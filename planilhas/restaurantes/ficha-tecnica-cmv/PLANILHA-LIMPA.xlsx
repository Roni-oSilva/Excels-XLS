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Insumos" sheetId="3" r:id="rId3"/>
    <sheet name="Fichas" sheetId="4" r:id="rId4"/>
    <sheet name="Pratos" sheetId="5" r:id="rId5"/>
    <sheet name="Calc" sheetId="6" state="hidden" r:id="rId6"/>
    <sheet name="Desperdício" sheetId="7" r:id="rId7"/>
    <sheet name="CMV Mensal" sheetId="8" r:id="rId8"/>
    <sheet name="Dashboard" sheetId="9" r:id="rId9"/>
  </sheets>
  <definedNames>
    <definedName name="_xlnm._FilterDatabase" localSheetId="6" hidden="1">Desperdício!$A$4:$H$504</definedName>
    <definedName name="_xlnm._FilterDatabase" localSheetId="3" hidden="1">Fichas!$A$4:$H$804</definedName>
    <definedName name="_xlnm._FilterDatabase" localSheetId="2" hidden="1">Insumos!$A$4:$I$304</definedName>
    <definedName name="_xlnm._FilterDatabase" localSheetId="4" hidden="1">Pratos!$A$4:$P$104</definedName>
    <definedName name="Ano">Config!$C$8</definedName>
    <definedName name="CatPrato">Config!$F$5:$F$16</definedName>
    <definedName name="CMVMeta">Config!$C$5</definedName>
    <definedName name="ImpTaxa">Config!$C$6</definedName>
    <definedName name="InsBruto">Insumos!$G$5:$G$304</definedName>
    <definedName name="InsNome">Insumos!$B$5:$B$304</definedName>
    <definedName name="InsUnid">Insumos!$C$5:$C$304</definedName>
    <definedName name="InsUtil">Insumos!$H$5:$H$304</definedName>
    <definedName name="MCmed">Calc!$B$2</definedName>
    <definedName name="MesRef">Config!$C$7</definedName>
    <definedName name="Motivos">Config!$G$5:$G$16</definedName>
    <definedName name="NPratos">Calc!$B$1</definedName>
    <definedName name="PratoCusto">Pratos!$G$5:$G$104</definedName>
    <definedName name="PratoNome">Pratos!$A$5:$A$104</definedName>
    <definedName name="PratoQtd">Pratos!$E$5:$E$104</definedName>
    <definedName name="Unidades">Config!$E$5:$E$16</definedName>
  </definedNames>
  <calcPr calcId="124519" fullCalcOnLoad="1"/>
</workbook>
</file>

<file path=xl/sharedStrings.xml><?xml version="1.0" encoding="utf-8"?>
<sst xmlns="http://schemas.openxmlformats.org/spreadsheetml/2006/main" count="173" uniqueCount="159">
  <si>
    <t>Ficha Técnica e CMV</t>
  </si>
  <si>
    <t>Carvex XLS · Saiba quanto custa cada prato e onde seu dinheiro está sumindo</t>
  </si>
  <si>
    <t>O que esta planilha faz</t>
  </si>
  <si>
    <t>Cadastre seus insumos e monte a ficha técnica de cada prato. A planilha calcula o custo por porção, o CMV de cada prato, o preço sugerido para atingir sua meta, classifica o cardápio (estrela, burro de carga, quebra-cabeça e cão) e compara o CMV real do mês com o CMV teórico.</t>
  </si>
  <si>
    <t>Como começar (5 minutos)</t>
  </si>
  <si>
    <t>1. Config</t>
  </si>
  <si>
    <t>Informe a meta de CMV (ex.: 32%), impostos e taxas sobre a venda e o mês de referência.</t>
  </si>
  <si>
    <t>2. Cadastre os insumos</t>
  </si>
  <si>
    <t>Em Insumos: preço da embalagem, quantidade que vem nela e o fator de correção (perda na limpeza, quando houver).</t>
  </si>
  <si>
    <t>3. Cadastre os pratos</t>
  </si>
  <si>
    <t>Em Pratos: nome, rendimento (porções), preço de venda e quantidade vendida no mês.</t>
  </si>
  <si>
    <t>4. Monte as fichas</t>
  </si>
  <si>
    <t>Em Fichas: para cada prato, liste os insumos e a quantidade LÍQUIDA que vai em 1 receita.</t>
  </si>
  <si>
    <t>5. Feche o mês</t>
  </si>
  <si>
    <t>Em CMV Mensal, informe estoque inicial, compras, estoque final e receita. Compare com o CMV teórico e registre o desperdício.</t>
  </si>
  <si>
    <t>Mapa das abas (clique para ir)</t>
  </si>
  <si>
    <t>Config</t>
  </si>
  <si>
    <t>Meta de CMV, impostos/taxas, mês de referência e listas.</t>
  </si>
  <si>
    <t>Insumos</t>
  </si>
  <si>
    <t>Preço e custo útil de cada ingrediente.</t>
  </si>
  <si>
    <t>Pratos</t>
  </si>
  <si>
    <t>Custo, CMV, preço sugerido e classificação de cada prato.</t>
  </si>
  <si>
    <t>Fichas</t>
  </si>
  <si>
    <t>Receitas: insumos e quantidades de cada prato.</t>
  </si>
  <si>
    <t>CMV Mensal</t>
  </si>
  <si>
    <t>CMV real x teórico e perdas por mês.</t>
  </si>
  <si>
    <t>Desperdício</t>
  </si>
  <si>
    <t>Registro diário de perdas por motivo.</t>
  </si>
  <si>
    <t>Dashboard</t>
  </si>
  <si>
    <t>Indicadores, piores pratos e gráficos.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</si>
  <si>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</si>
  <si>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</si>
  <si>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</si>
  <si>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</si>
  <si>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</si>
  <si>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</si>
  <si>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</si>
  <si>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</si>
  <si>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Use SEMPRE a mesma unidade do insumo na ficha (se o insumo é em kg, informe 0,150 para 150 g).</t>
  </si>
  <si>
    <t>• Fator de correção = peso bruto / peso líquido. Ex.: 1 kg de frango rende 870 g limpos: FC = 1,15. Sem perda, deixe 1.</t>
  </si>
  <si>
    <t>• CMV real = (estoque inicial + compras - estoque final) / receita. Faça contagem física do estoque no 1º dia do mês.</t>
  </si>
  <si>
    <t>Carvex XLS · Ficha Técnica e CMV para Restaurantes · versão 1.0 · Dúvidas: consulte o TUTORIAL.md e o MANUAL.md que acompanham o produto.</t>
  </si>
  <si>
    <t>Configurações</t>
  </si>
  <si>
    <t>Preencha as células amarelas.</t>
  </si>
  <si>
    <t>Restaurante</t>
  </si>
  <si>
    <t>Meta de CMV (% da venda)</t>
  </si>
  <si>
    <t>Impostos + taxas sobre a venda (%)</t>
  </si>
  <si>
    <t>Mês de referência (1º dia do mês)</t>
  </si>
  <si>
    <t>Ano do CMV mensal</t>
  </si>
  <si>
    <t>Dica: CMV saudável costuma ficar entre 25% e 40% do faturamento, conforme o tipo de operação.</t>
  </si>
  <si>
    <t>Unidades</t>
  </si>
  <si>
    <t>Categorias de prato</t>
  </si>
  <si>
    <t>Motivos de desperdício</t>
  </si>
  <si>
    <t>kg</t>
  </si>
  <si>
    <t>Pratos principais</t>
  </si>
  <si>
    <t>Vencimento</t>
  </si>
  <si>
    <t>g</t>
  </si>
  <si>
    <t>Lanches</t>
  </si>
  <si>
    <t>Erro de preparo</t>
  </si>
  <si>
    <t>L</t>
  </si>
  <si>
    <t>Porções</t>
  </si>
  <si>
    <t>Sobra de produção</t>
  </si>
  <si>
    <t>ml</t>
  </si>
  <si>
    <t>Sobremesas</t>
  </si>
  <si>
    <t>Queda / quebra</t>
  </si>
  <si>
    <t>un</t>
  </si>
  <si>
    <t>Bebidas</t>
  </si>
  <si>
    <t>Devolução do cliente</t>
  </si>
  <si>
    <t>dz</t>
  </si>
  <si>
    <t>Entradas</t>
  </si>
  <si>
    <t>Outros</t>
  </si>
  <si>
    <t>pct</t>
  </si>
  <si>
    <t>Insumos (ingredientes)</t>
  </si>
  <si>
    <t>Atualize o preço sempre que o fornecedor reajustar: todas as fichas recalculam sozinhas.</t>
  </si>
  <si>
    <t>Código</t>
  </si>
  <si>
    <t>Insumo</t>
  </si>
  <si>
    <t>Unidade</t>
  </si>
  <si>
    <t>Preço da embalagem (R$)</t>
  </si>
  <si>
    <t>Qtd na embalagem</t>
  </si>
  <si>
    <t>Fator de correção (FC)</t>
  </si>
  <si>
    <t>Custo por unidade (bruto)</t>
  </si>
  <si>
    <t>Custo por unidade ÚTIL</t>
  </si>
  <si>
    <t>Atualizado em</t>
  </si>
  <si>
    <t>Fichas técnicas (receitas)</t>
  </si>
  <si>
    <t>Uma linha por insumo de cada prato. Quantidade LÍQUIDA, na unidade do insumo.</t>
  </si>
  <si>
    <t>Prato</t>
  </si>
  <si>
    <t>Quantidade na receita</t>
  </si>
  <si>
    <t>Observação</t>
  </si>
  <si>
    <t>Custo útil unitário</t>
  </si>
  <si>
    <t>Custo do item</t>
  </si>
  <si>
    <t>Conferência</t>
  </si>
  <si>
    <t>Pratos: custo, CMV e engenharia de cardápio</t>
  </si>
  <si>
    <t>Preencha as colunas amarelas. O custo vem das fichas.</t>
  </si>
  <si>
    <t>Categoria</t>
  </si>
  <si>
    <t>Rendimento (porções)</t>
  </si>
  <si>
    <t>Preço de venda (R$)</t>
  </si>
  <si>
    <t>Qtd vendida no mês</t>
  </si>
  <si>
    <t>Custo total da receita</t>
  </si>
  <si>
    <t>CUSTO POR PORÇÃO</t>
  </si>
  <si>
    <t>CMV %</t>
  </si>
  <si>
    <t>Status vs meta</t>
  </si>
  <si>
    <t>Preço sugerido (pela meta)</t>
  </si>
  <si>
    <t>Margem de contribuição (R$)</t>
  </si>
  <si>
    <t>Lucro total no mês</t>
  </si>
  <si>
    <t>Mix de vendas</t>
  </si>
  <si>
    <t>Classe do cardápio</t>
  </si>
  <si>
    <t>O que fazer</t>
  </si>
  <si>
    <t>Chave</t>
  </si>
  <si>
    <t>NPratos</t>
  </si>
  <si>
    <t>MCmed</t>
  </si>
  <si>
    <t>Registro de desperdício</t>
  </si>
  <si>
    <t>Anote toda perda: o que não é medido não é controlado.</t>
  </si>
  <si>
    <t>Data</t>
  </si>
  <si>
    <t>Quantidade</t>
  </si>
  <si>
    <t>Motivo</t>
  </si>
  <si>
    <t>Custo da perda (R$)</t>
  </si>
  <si>
    <t>Mês</t>
  </si>
  <si>
    <t>CMV mensal: real x teórico</t>
  </si>
  <si>
    <t>CMV real = estoque inicial + compras - estoque final. Teórico = o que as fichas dizem que deveria ter custado.</t>
  </si>
  <si>
    <t>Estoque inicial (R$)</t>
  </si>
  <si>
    <t>Compras do mês (R$)</t>
  </si>
  <si>
    <t>Estoque final (R$)</t>
  </si>
  <si>
    <t>Receita de vendas (R$)</t>
  </si>
  <si>
    <t>CMV REAL (R$)</t>
  </si>
  <si>
    <t>CMV real %</t>
  </si>
  <si>
    <t>CMV teórico (R$)</t>
  </si>
  <si>
    <t>CMV teórico %</t>
  </si>
  <si>
    <t>Diferença (R$)</t>
  </si>
  <si>
    <t>Diferença (pontos %)</t>
  </si>
  <si>
    <t>Perdas registradas (R$)</t>
  </si>
  <si>
    <t>Perda sem explicação (R$)</t>
  </si>
  <si>
    <t>Situação</t>
  </si>
  <si>
    <t>Meta</t>
  </si>
  <si>
    <t>Meta CMV</t>
  </si>
  <si>
    <t>Dashboard do restaurante</t>
  </si>
  <si>
    <t>Resultado do mês de referência (Config) e saúde do cardápio.</t>
  </si>
  <si>
    <t>CMV REAL (mês ref.)</t>
  </si>
  <si>
    <t>CMV TEÓRICO (fichas)</t>
  </si>
  <si>
    <t>META DE CMV</t>
  </si>
  <si>
    <t>PERDA ACIMA DO TEÓRICO (pontos)</t>
  </si>
  <si>
    <t>PERDAS REGISTRADAS (R$)</t>
  </si>
  <si>
    <t>PRATOS ACIMA DA META</t>
  </si>
  <si>
    <t>PRATOS ESTRELA</t>
  </si>
  <si>
    <t>PRATOS CÃO</t>
  </si>
  <si>
    <t>MARGEM DE CONTRIB. NO MÊS</t>
  </si>
  <si>
    <t>PERDA SEM EXPLICAÇÃO (R$)</t>
  </si>
  <si>
    <t>Os 5 pratos com pior CMV</t>
  </si>
  <si>
    <t>#</t>
  </si>
  <si>
    <t>Custo por porção</t>
  </si>
  <si>
    <t>Preço atual</t>
  </si>
  <si>
    <t>Preço sugerido</t>
  </si>
  <si>
    <t>Classe</t>
  </si>
  <si>
    <t>Cardápio por classe</t>
  </si>
  <si>
    <t>Estrela</t>
  </si>
  <si>
    <t>Burro de carga</t>
  </si>
  <si>
    <t>Quebra-cabeça</t>
  </si>
  <si>
    <t>Cão</t>
  </si>
  <si>
    <t>Desperdício por motivo (mês de referência)</t>
  </si>
  <si>
    <t>Custo (R$)</t>
  </si>
</sst>
</file>

<file path=xl/styles.xml><?xml version="1.0" encoding="utf-8"?>
<styleSheet xmlns="http://schemas.openxmlformats.org/spreadsheetml/2006/main">
  <numFmts count="10">
    <numFmt numFmtId="164" formatCode="0.0%"/>
    <numFmt numFmtId="165" formatCode="dd/mm/yyyy"/>
    <numFmt numFmtId="166" formatCode="&quot;R$&quot; #,##0.00;[Red]-&quot;R$&quot; #,##0.00"/>
    <numFmt numFmtId="167" formatCode="#,##0.###"/>
    <numFmt numFmtId="168" formatCode="0.00"/>
    <numFmt numFmtId="169" formatCode="&quot;R$&quot; #,##0.0000"/>
    <numFmt numFmtId="170" formatCode="#,##0"/>
    <numFmt numFmtId="171" formatCode="0.0000"/>
    <numFmt numFmtId="172" formatCode="mmm/yy"/>
    <numFmt numFmtId="173" formatCode="0%"/>
  </numFmts>
  <fonts count="1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sz val="10"/>
      <color rgb="FF9CA3AF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B45309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DC2626"/>
      <name val="Calibri"/>
      <family val="2"/>
      <scheme val="minor"/>
    </font>
    <font>
      <sz val="10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2C55E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8" fillId="3" borderId="2" xfId="0" applyFont="1" applyFill="1" applyBorder="1" applyAlignment="1" applyProtection="1">
      <alignment vertical="center"/>
      <protection locked="0"/>
    </xf>
    <xf numFmtId="0" fontId="9" fillId="4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3" borderId="2" xfId="0" applyFont="1" applyFill="1" applyBorder="1" applyAlignment="1" applyProtection="1">
      <alignment vertical="center"/>
      <protection locked="0"/>
    </xf>
    <xf numFmtId="164" fontId="6" fillId="3" borderId="2" xfId="0" applyNumberFormat="1" applyFont="1" applyFill="1" applyBorder="1" applyAlignment="1" applyProtection="1">
      <alignment horizontal="center" vertical="center"/>
      <protection locked="0"/>
    </xf>
    <xf numFmtId="165" fontId="6" fillId="3" borderId="2" xfId="0" applyNumberFormat="1" applyFont="1" applyFill="1" applyBorder="1" applyAlignment="1" applyProtection="1">
      <alignment horizontal="center" vertical="center"/>
      <protection locked="0"/>
    </xf>
    <xf numFmtId="1" fontId="6" fillId="3" borderId="2" xfId="0" applyNumberFormat="1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166" fontId="6" fillId="3" borderId="2" xfId="0" applyNumberFormat="1" applyFont="1" applyFill="1" applyBorder="1" applyAlignment="1" applyProtection="1">
      <alignment vertical="center"/>
      <protection locked="0"/>
    </xf>
    <xf numFmtId="167" fontId="6" fillId="3" borderId="2" xfId="0" applyNumberFormat="1" applyFont="1" applyFill="1" applyBorder="1" applyAlignment="1" applyProtection="1">
      <alignment vertical="center"/>
      <protection locked="0"/>
    </xf>
    <xf numFmtId="168" fontId="6" fillId="3" borderId="2" xfId="0" applyNumberFormat="1" applyFont="1" applyFill="1" applyBorder="1" applyAlignment="1" applyProtection="1">
      <alignment horizontal="center" vertical="center"/>
      <protection locked="0"/>
    </xf>
    <xf numFmtId="169" fontId="12" fillId="4" borderId="2" xfId="0" applyNumberFormat="1" applyFont="1" applyFill="1" applyBorder="1" applyAlignment="1">
      <alignment vertical="center"/>
    </xf>
    <xf numFmtId="169" fontId="9" fillId="4" borderId="2" xfId="0" applyNumberFormat="1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166" fontId="12" fillId="4" borderId="2" xfId="0" applyNumberFormat="1" applyFont="1" applyFill="1" applyBorder="1" applyAlignment="1">
      <alignment vertical="center"/>
    </xf>
    <xf numFmtId="170" fontId="6" fillId="3" borderId="2" xfId="0" applyNumberFormat="1" applyFont="1" applyFill="1" applyBorder="1" applyAlignment="1" applyProtection="1">
      <alignment horizontal="center" vertical="center"/>
      <protection locked="0"/>
    </xf>
    <xf numFmtId="166" fontId="9" fillId="5" borderId="2" xfId="0" applyNumberFormat="1" applyFont="1" applyFill="1" applyBorder="1" applyAlignment="1">
      <alignment vertical="center"/>
    </xf>
    <xf numFmtId="164" fontId="9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64" fontId="12" fillId="4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vertical="center"/>
    </xf>
    <xf numFmtId="171" fontId="13" fillId="4" borderId="2" xfId="0" applyNumberFormat="1" applyFont="1" applyFill="1" applyBorder="1" applyAlignment="1">
      <alignment vertical="center"/>
    </xf>
    <xf numFmtId="172" fontId="12" fillId="4" borderId="2" xfId="0" applyNumberFormat="1" applyFont="1" applyFill="1" applyBorder="1" applyAlignment="1">
      <alignment horizontal="center" vertical="center"/>
    </xf>
    <xf numFmtId="172" fontId="9" fillId="4" borderId="2" xfId="0" applyNumberFormat="1" applyFont="1" applyFill="1" applyBorder="1" applyAlignment="1">
      <alignment horizontal="center" vertical="center"/>
    </xf>
    <xf numFmtId="166" fontId="9" fillId="4" borderId="2" xfId="0" applyNumberFormat="1" applyFont="1" applyFill="1" applyBorder="1" applyAlignment="1">
      <alignment vertical="center"/>
    </xf>
    <xf numFmtId="173" fontId="13" fillId="4" borderId="2" xfId="0" applyNumberFormat="1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 wrapText="1"/>
    </xf>
    <xf numFmtId="164" fontId="15" fillId="6" borderId="5" xfId="0" applyNumberFormat="1" applyFont="1" applyFill="1" applyBorder="1" applyAlignment="1">
      <alignment horizontal="center" vertical="center"/>
    </xf>
    <xf numFmtId="164" fontId="16" fillId="6" borderId="5" xfId="0" applyNumberFormat="1" applyFont="1" applyFill="1" applyBorder="1" applyAlignment="1">
      <alignment horizontal="center" vertical="center"/>
    </xf>
    <xf numFmtId="164" fontId="17" fillId="6" borderId="5" xfId="0" applyNumberFormat="1" applyFont="1" applyFill="1" applyBorder="1" applyAlignment="1">
      <alignment horizontal="center" vertical="center"/>
    </xf>
    <xf numFmtId="166" fontId="16" fillId="6" borderId="5" xfId="0" applyNumberFormat="1" applyFont="1" applyFill="1" applyBorder="1" applyAlignment="1">
      <alignment horizontal="center" vertical="center"/>
    </xf>
    <xf numFmtId="170" fontId="17" fillId="6" borderId="5" xfId="0" applyNumberFormat="1" applyFont="1" applyFill="1" applyBorder="1" applyAlignment="1">
      <alignment horizontal="center" vertical="center"/>
    </xf>
    <xf numFmtId="170" fontId="16" fillId="6" borderId="5" xfId="0" applyNumberFormat="1" applyFont="1" applyFill="1" applyBorder="1" applyAlignment="1">
      <alignment horizontal="center" vertical="center"/>
    </xf>
    <xf numFmtId="166" fontId="17" fillId="6" borderId="5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8" fillId="4" borderId="2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170" fontId="12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color rgb="FFDC2626"/>
      </font>
    </dxf>
    <dxf>
      <font>
        <b/>
        <color rgb="FFFFFFFF"/>
      </font>
      <fill>
        <patternFill>
          <bgColor rgb="FFDC2626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052E16"/>
      </font>
      <fill>
        <patternFill>
          <bgColor rgb="FF22C55E"/>
        </patternFill>
      </fill>
    </dxf>
    <dxf>
      <font>
        <b/>
        <color rgb="FF78350F"/>
      </font>
      <fill>
        <patternFill>
          <bgColor rgb="FFFDE68A"/>
        </patternFill>
      </fill>
    </dxf>
    <dxf>
      <font>
        <b/>
        <color rgb="FF1E3A8A"/>
      </font>
      <fill>
        <patternFill>
          <bgColor rgb="FFBFDBFE"/>
        </patternFill>
      </fill>
    </dxf>
    <dxf>
      <font>
        <b/>
        <color rgb="FF7F1D1D"/>
      </font>
      <fill>
        <patternFill>
          <bgColor rgb="FFFECAC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CMV real por mês x meta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CMV real %</c:v>
          </c:tx>
          <c:spPr>
            <a:solidFill>
              <a:srgbClr val="16A34A"/>
            </a:solidFill>
          </c:spPr>
          <c:dLbls>
            <c:numFmt formatCode="0%" sourceLinked="0"/>
            <c:showVal val="1"/>
          </c:dLbls>
          <c:cat>
            <c:numRef>
              <c:f>'CMV Mensal'!$A$5:$A$16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'CMV Mensal'!$G$5:$G$16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10001"/>
        <c:axId val="50010002"/>
      </c:barChart>
      <c:lineChart>
        <c:grouping val="standard"/>
        <c:ser>
          <c:idx val="1"/>
          <c:order val="1"/>
          <c:tx>
            <c:v>Meta</c:v>
          </c:tx>
          <c:spPr>
            <a:ln w="25400">
              <a:solidFill>
                <a:srgbClr val="EF4444"/>
              </a:solidFill>
              <a:prstDash val="dash"/>
            </a:ln>
          </c:spPr>
          <c:marker>
            <c:symbol val="none"/>
          </c:marker>
          <c:cat>
            <c:numRef>
              <c:f>'CMV Mensal'!$A$5:$A$16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'CMV Mensal'!$B$18:$M$18</c:f>
              <c:numCache>
                <c:formatCode>General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mmm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Perdas por motivo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Custo</c:v>
          </c:tx>
          <c:spPr>
            <a:solidFill>
              <a:srgbClr val="F87171"/>
            </a:solidFill>
          </c:spPr>
          <c:dLbls>
            <c:numFmt formatCode="#,##0" sourceLinked="0"/>
            <c:showVal val="1"/>
          </c:dLbls>
          <c:cat>
            <c:strRef>
              <c:f>Dashboard!$F$20:$F$25</c:f>
              <c:strCache>
                <c:ptCount val="6"/>
                <c:pt idx="0">
                  <c:v>Vencimento</c:v>
                </c:pt>
                <c:pt idx="1">
                  <c:v>Erro de preparo</c:v>
                </c:pt>
                <c:pt idx="2">
                  <c:v>Sobra de produção</c:v>
                </c:pt>
                <c:pt idx="3">
                  <c:v>Queda / quebra</c:v>
                </c:pt>
                <c:pt idx="4">
                  <c:v>Devolução do cliente</c:v>
                </c:pt>
                <c:pt idx="5">
                  <c:v>Outros</c:v>
                </c:pt>
              </c:strCache>
            </c:strRef>
          </c:cat>
          <c:val>
            <c:numRef>
              <c:f>Dashboard!$I$20:$I$25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Engenharia de cardápio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Pratos</c:v>
          </c:tx>
          <c:dPt>
            <c:idx val="0"/>
            <c:spPr>
              <a:solidFill>
                <a:srgbClr val="22C55E"/>
              </a:solidFill>
            </c:spPr>
          </c:dPt>
          <c:dPt>
            <c:idx val="1"/>
            <c:spPr>
              <a:solidFill>
                <a:srgbClr val="FCD34D"/>
              </a:solidFill>
            </c:spPr>
          </c:dPt>
          <c:dPt>
            <c:idx val="2"/>
            <c:spPr>
              <a:solidFill>
                <a:srgbClr val="93C5FD"/>
              </a:solidFill>
            </c:spPr>
          </c:dPt>
          <c:dPt>
            <c:idx val="3"/>
            <c:spPr>
              <a:solidFill>
                <a:srgbClr val="FCA5A5"/>
              </a:solidFill>
            </c:spPr>
          </c:dPt>
          <c:dLbls>
            <c:showVal val="1"/>
          </c:dLbls>
          <c:cat>
            <c:strRef>
              <c:f>Dashboard!$A$20:$A$23</c:f>
              <c:strCache>
                <c:ptCount val="4"/>
                <c:pt idx="0">
                  <c:v>Estrela</c:v>
                </c:pt>
                <c:pt idx="1">
                  <c:v>Burro de carga</c:v>
                </c:pt>
                <c:pt idx="2">
                  <c:v>Quebra-cabeça</c:v>
                </c:pt>
                <c:pt idx="3">
                  <c:v>Cão</c:v>
                </c:pt>
              </c:strCache>
            </c:strRef>
          </c:cat>
          <c:val>
            <c:numRef>
              <c:f>Dashboard!$B$20:$B$23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7</xdr:col>
      <xdr:colOff>838200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26</xdr:row>
      <xdr:rowOff>0</xdr:rowOff>
    </xdr:from>
    <xdr:to>
      <xdr:col>9</xdr:col>
      <xdr:colOff>552450</xdr:colOff>
      <xdr:row>38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3</xdr:col>
      <xdr:colOff>866775</xdr:colOff>
      <xdr:row>38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3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>
      <c r="B4" s="3" t="s">
        <v>2</v>
      </c>
      <c r="C4" s="3"/>
    </row>
    <row r="5" spans="1:3" ht="48" customHeight="1">
      <c r="B5" s="4" t="s">
        <v>3</v>
      </c>
      <c r="C5" s="4"/>
    </row>
    <row r="7" spans="1:3">
      <c r="B7" s="3" t="s">
        <v>4</v>
      </c>
      <c r="C7" s="3"/>
    </row>
    <row r="8" spans="1:3" ht="20" customHeight="1">
      <c r="B8" s="5" t="s">
        <v>5</v>
      </c>
      <c r="C8" s="6" t="s">
        <v>6</v>
      </c>
    </row>
    <row r="9" spans="1:3" ht="30" customHeight="1">
      <c r="B9" s="5" t="s">
        <v>7</v>
      </c>
      <c r="C9" s="6" t="s">
        <v>8</v>
      </c>
    </row>
    <row r="10" spans="1:3" ht="20" customHeight="1">
      <c r="B10" s="5" t="s">
        <v>9</v>
      </c>
      <c r="C10" s="6" t="s">
        <v>10</v>
      </c>
    </row>
    <row r="11" spans="1:3" ht="20" customHeight="1">
      <c r="B11" s="5" t="s">
        <v>11</v>
      </c>
      <c r="C11" s="6" t="s">
        <v>12</v>
      </c>
    </row>
    <row r="12" spans="1:3" ht="30" customHeight="1">
      <c r="B12" s="5" t="s">
        <v>13</v>
      </c>
      <c r="C12" s="6" t="s">
        <v>14</v>
      </c>
    </row>
    <row r="14" spans="1:3">
      <c r="B14" s="3" t="s">
        <v>15</v>
      </c>
      <c r="C14" s="3"/>
    </row>
    <row r="15" spans="1:3" ht="18" customHeight="1">
      <c r="B15" s="7" t="s">
        <v>16</v>
      </c>
      <c r="C15" s="6" t="s">
        <v>17</v>
      </c>
    </row>
    <row r="16" spans="1:3" ht="18" customHeight="1">
      <c r="B16" s="7" t="s">
        <v>18</v>
      </c>
      <c r="C16" s="6" t="s">
        <v>19</v>
      </c>
    </row>
    <row r="17" spans="2:3" ht="18" customHeight="1">
      <c r="B17" s="7" t="s">
        <v>20</v>
      </c>
      <c r="C17" s="6" t="s">
        <v>21</v>
      </c>
    </row>
    <row r="18" spans="2:3" ht="18" customHeight="1">
      <c r="B18" s="7" t="s">
        <v>22</v>
      </c>
      <c r="C18" s="6" t="s">
        <v>23</v>
      </c>
    </row>
    <row r="19" spans="2:3" ht="18" customHeight="1">
      <c r="B19" s="7" t="s">
        <v>24</v>
      </c>
      <c r="C19" s="6" t="s">
        <v>25</v>
      </c>
    </row>
    <row r="20" spans="2:3" ht="18" customHeight="1">
      <c r="B20" s="7" t="s">
        <v>26</v>
      </c>
      <c r="C20" s="6" t="s">
        <v>27</v>
      </c>
    </row>
    <row r="21" spans="2:3" ht="18" customHeight="1">
      <c r="B21" s="7" t="s">
        <v>28</v>
      </c>
      <c r="C21" s="6" t="s">
        <v>29</v>
      </c>
    </row>
    <row r="23" spans="2:3">
      <c r="B23" s="3" t="s">
        <v>30</v>
      </c>
      <c r="C23" s="3"/>
    </row>
    <row r="24" spans="2:3">
      <c r="B24" s="8" t="s">
        <v>31</v>
      </c>
      <c r="C24" s="6" t="s">
        <v>32</v>
      </c>
    </row>
    <row r="25" spans="2:3">
      <c r="B25" s="9" t="s">
        <v>33</v>
      </c>
      <c r="C25" s="6" t="s">
        <v>34</v>
      </c>
    </row>
    <row r="26" spans="2:3">
      <c r="B26" s="10" t="s">
        <v>35</v>
      </c>
      <c r="C26" s="6" t="s">
        <v>36</v>
      </c>
    </row>
    <row r="28" spans="2:3">
      <c r="B28" s="3" t="s">
        <v>37</v>
      </c>
      <c r="C28" s="3"/>
    </row>
    <row r="29" spans="2:3" ht="18" customHeight="1">
      <c r="B29" s="6" t="s">
        <v>38</v>
      </c>
      <c r="C29" s="6"/>
    </row>
    <row r="30" spans="2:3" ht="30" customHeight="1">
      <c r="B30" s="6" t="s">
        <v>39</v>
      </c>
      <c r="C30" s="6"/>
    </row>
    <row r="31" spans="2:3" ht="30" customHeight="1">
      <c r="B31" s="6" t="s">
        <v>40</v>
      </c>
      <c r="C31" s="6"/>
    </row>
    <row r="33" spans="2:3">
      <c r="B33" s="11" t="s">
        <v>41</v>
      </c>
      <c r="C33" s="11"/>
    </row>
  </sheetData>
  <sheetProtection sheet="1" objects="1" scenarios="1"/>
  <mergeCells count="12">
    <mergeCell ref="A1:C1"/>
    <mergeCell ref="A2:C2"/>
    <mergeCell ref="B4:C4"/>
    <mergeCell ref="B5:C5"/>
    <mergeCell ref="B7:C7"/>
    <mergeCell ref="B14:C14"/>
    <mergeCell ref="B23:C23"/>
    <mergeCell ref="B28:C28"/>
    <mergeCell ref="B29:C29"/>
    <mergeCell ref="B30:C30"/>
    <mergeCell ref="B31:C31"/>
    <mergeCell ref="B33:C33"/>
  </mergeCells>
  <hyperlinks>
    <hyperlink ref="B15" location="'Config'!A1" display="Config"/>
    <hyperlink ref="B16" location="'Insumos'!A1" display="Insumos"/>
    <hyperlink ref="B17" location="'Pratos'!A1" display="Pratos"/>
    <hyperlink ref="B18" location="'Fichas'!A1" display="Fichas"/>
    <hyperlink ref="B19" location="'CMV Mensal'!A1" display="CMV Mensal"/>
    <hyperlink ref="B20" location="'Desperdício'!A1" display="Desperdício"/>
    <hyperlink ref="B21" location="'Dashboard'!A1" display="Dashboard"/>
  </hyperlinks>
  <pageMargins left="0.7" right="0.7" top="0.75" bottom="0.75" header="0.3" footer="0.3"/>
  <pageSetup paperSize="9" fitToHeight="0" orientation="landscape"/>
  <headerFooter>
    <oddFooter>&amp;L&amp;8Carvex XLS - Ficha Técnica e CMV para Restaurantes&amp;R&amp;8Página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16"/>
  <sheetViews>
    <sheetView showGridLines="0" workbookViewId="0"/>
  </sheetViews>
  <sheetFormatPr defaultRowHeight="15"/>
  <cols>
    <col min="1" max="1" width="3.7109375" customWidth="1"/>
    <col min="2" max="2" width="40.7109375" customWidth="1"/>
    <col min="3" max="3" width="16.7109375" customWidth="1"/>
    <col min="4" max="4" width="3.7109375" customWidth="1"/>
    <col min="5" max="7" width="24.7109375" customWidth="1"/>
  </cols>
  <sheetData>
    <row r="1" spans="1:8" ht="36" customHeight="1">
      <c r="A1" s="1" t="s">
        <v>42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43</v>
      </c>
      <c r="B2" s="2"/>
      <c r="C2" s="2"/>
      <c r="D2" s="2"/>
      <c r="E2" s="2"/>
      <c r="F2" s="2"/>
      <c r="G2" s="2"/>
      <c r="H2" s="2"/>
    </row>
    <row r="4" spans="1:8">
      <c r="B4" s="12" t="s">
        <v>44</v>
      </c>
      <c r="C4" s="13"/>
      <c r="E4" s="10" t="s">
        <v>50</v>
      </c>
      <c r="F4" s="10" t="s">
        <v>51</v>
      </c>
      <c r="G4" s="10" t="s">
        <v>52</v>
      </c>
    </row>
    <row r="5" spans="1:8">
      <c r="B5" s="12" t="s">
        <v>45</v>
      </c>
      <c r="C5" s="14">
        <v>0.32</v>
      </c>
      <c r="E5" s="13" t="s">
        <v>53</v>
      </c>
      <c r="F5" s="13" t="s">
        <v>54</v>
      </c>
      <c r="G5" s="13" t="s">
        <v>55</v>
      </c>
    </row>
    <row r="6" spans="1:8">
      <c r="B6" s="12" t="s">
        <v>46</v>
      </c>
      <c r="C6" s="14"/>
      <c r="E6" s="13" t="s">
        <v>56</v>
      </c>
      <c r="F6" s="13" t="s">
        <v>57</v>
      </c>
      <c r="G6" s="13" t="s">
        <v>58</v>
      </c>
    </row>
    <row r="7" spans="1:8">
      <c r="B7" s="12" t="s">
        <v>47</v>
      </c>
      <c r="C7" s="15"/>
      <c r="E7" s="13" t="s">
        <v>59</v>
      </c>
      <c r="F7" s="13" t="s">
        <v>60</v>
      </c>
      <c r="G7" s="13" t="s">
        <v>61</v>
      </c>
    </row>
    <row r="8" spans="1:8">
      <c r="B8" s="12" t="s">
        <v>48</v>
      </c>
      <c r="C8" s="16">
        <v>2026</v>
      </c>
      <c r="E8" s="13" t="s">
        <v>62</v>
      </c>
      <c r="F8" s="13" t="s">
        <v>63</v>
      </c>
      <c r="G8" s="13" t="s">
        <v>64</v>
      </c>
    </row>
    <row r="9" spans="1:8">
      <c r="B9" s="11" t="s">
        <v>49</v>
      </c>
      <c r="E9" s="13" t="s">
        <v>65</v>
      </c>
      <c r="F9" s="13" t="s">
        <v>66</v>
      </c>
      <c r="G9" s="13" t="s">
        <v>67</v>
      </c>
    </row>
    <row r="10" spans="1:8">
      <c r="E10" s="13" t="s">
        <v>68</v>
      </c>
      <c r="F10" s="13" t="s">
        <v>69</v>
      </c>
      <c r="G10" s="13" t="s">
        <v>70</v>
      </c>
    </row>
    <row r="11" spans="1:8">
      <c r="E11" s="13" t="s">
        <v>71</v>
      </c>
      <c r="F11" s="13"/>
      <c r="G11" s="13"/>
    </row>
    <row r="12" spans="1:8">
      <c r="E12" s="13"/>
      <c r="F12" s="13"/>
      <c r="G12" s="13"/>
    </row>
    <row r="13" spans="1:8">
      <c r="E13" s="13"/>
      <c r="F13" s="13"/>
      <c r="G13" s="13"/>
    </row>
    <row r="14" spans="1:8">
      <c r="E14" s="13"/>
      <c r="F14" s="13"/>
      <c r="G14" s="13"/>
    </row>
    <row r="15" spans="1:8">
      <c r="E15" s="13"/>
      <c r="F15" s="13"/>
      <c r="G15" s="13"/>
    </row>
    <row r="16" spans="1:8">
      <c r="E16" s="13"/>
      <c r="F16" s="13"/>
      <c r="G16" s="13"/>
    </row>
  </sheetData>
  <mergeCells count="2">
    <mergeCell ref="A1:H1"/>
    <mergeCell ref="A2:H2"/>
  </mergeCells>
  <dataValidations count="3">
    <dataValidation type="decimal" allowBlank="1" showInputMessage="1" showErrorMessage="1" errorTitle="Valor inválido" error="Digite um número entre 0 e 0.95." sqref="C5:C6">
      <formula1>0</formula1>
      <formula2>0.95</formula2>
    </dataValidation>
    <dataValidation type="date" operator="greaterThanOrEqual" allowBlank="1" showInputMessage="1" showErrorMessage="1" errorTitle="Data inválida" error="Digite uma data válida (dd/mm/aaaa)." promptTitle="Data" prompt="Use o dia 1 do mês que deseja analisar" sqref="C7">
      <formula1>36526</formula1>
    </dataValidation>
    <dataValidation type="whole" allowBlank="1" showInputMessage="1" showErrorMessage="1" errorTitle="Valor inválido" error="Digite um número entre 2000 e 2100." sqref="C8">
      <formula1>2000</formula1>
      <formula2>2100</formula2>
    </dataValidation>
  </dataValidations>
  <pageMargins left="0.7" right="0.7" top="0.75" bottom="0.75" header="0.3" footer="0.3"/>
  <pageSetup paperSize="9" fitToHeight="0" orientation="landscape"/>
  <headerFooter>
    <oddFooter>&amp;L&amp;8Carvex XLS - Ficha Técnica e CMV para Restaurantes&amp;R&amp;8Página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I30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8.7109375" customWidth="1"/>
    <col min="2" max="2" width="34.7109375" customWidth="1"/>
    <col min="3" max="3" width="9.7109375" customWidth="1"/>
    <col min="4" max="4" width="14.7109375" customWidth="1"/>
    <col min="5" max="6" width="12.7109375" customWidth="1"/>
    <col min="7" max="8" width="14.7109375" customWidth="1"/>
    <col min="9" max="9" width="12.7109375" customWidth="1"/>
  </cols>
  <sheetData>
    <row r="1" spans="1:9" ht="36" customHeight="1">
      <c r="A1" s="1" t="s">
        <v>72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73</v>
      </c>
      <c r="B2" s="2"/>
      <c r="C2" s="2"/>
      <c r="D2" s="2"/>
      <c r="E2" s="2"/>
      <c r="F2" s="2"/>
      <c r="G2" s="2"/>
      <c r="H2" s="2"/>
      <c r="I2" s="2"/>
    </row>
    <row r="4" spans="1:9" ht="44" customHeight="1">
      <c r="A4" s="10" t="s">
        <v>74</v>
      </c>
      <c r="B4" s="10" t="s">
        <v>75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80</v>
      </c>
      <c r="H4" s="10" t="s">
        <v>81</v>
      </c>
      <c r="I4" s="10" t="s">
        <v>82</v>
      </c>
    </row>
    <row r="5" spans="1:9">
      <c r="A5" s="13"/>
      <c r="B5" s="13"/>
      <c r="C5" s="17"/>
      <c r="D5" s="18"/>
      <c r="E5" s="19"/>
      <c r="F5" s="20"/>
      <c r="G5" s="21">
        <f>IF(OR($B5="",$D5="",N($E5)&lt;=0),"",$D5/$E5)</f>
        <v>0</v>
      </c>
      <c r="H5" s="22">
        <f>IF($G5="","",$G5*IF($F5="",1,$F5))</f>
        <v>0</v>
      </c>
      <c r="I5" s="15"/>
    </row>
    <row r="6" spans="1:9">
      <c r="A6" s="13"/>
      <c r="B6" s="13"/>
      <c r="C6" s="17"/>
      <c r="D6" s="18"/>
      <c r="E6" s="19"/>
      <c r="F6" s="20"/>
      <c r="G6" s="21">
        <f>IF(OR($B6="",$D6="",N($E6)&lt;=0),"",$D6/$E6)</f>
        <v>0</v>
      </c>
      <c r="H6" s="22">
        <f>IF($G6="","",$G6*IF($F6="",1,$F6))</f>
        <v>0</v>
      </c>
      <c r="I6" s="15"/>
    </row>
    <row r="7" spans="1:9">
      <c r="A7" s="13"/>
      <c r="B7" s="13"/>
      <c r="C7" s="17"/>
      <c r="D7" s="18"/>
      <c r="E7" s="19"/>
      <c r="F7" s="20"/>
      <c r="G7" s="21">
        <f>IF(OR($B7="",$D7="",N($E7)&lt;=0),"",$D7/$E7)</f>
        <v>0</v>
      </c>
      <c r="H7" s="22">
        <f>IF($G7="","",$G7*IF($F7="",1,$F7))</f>
        <v>0</v>
      </c>
      <c r="I7" s="15"/>
    </row>
    <row r="8" spans="1:9">
      <c r="A8" s="13"/>
      <c r="B8" s="13"/>
      <c r="C8" s="17"/>
      <c r="D8" s="18"/>
      <c r="E8" s="19"/>
      <c r="F8" s="20"/>
      <c r="G8" s="21">
        <f>IF(OR($B8="",$D8="",N($E8)&lt;=0),"",$D8/$E8)</f>
        <v>0</v>
      </c>
      <c r="H8" s="22">
        <f>IF($G8="","",$G8*IF($F8="",1,$F8))</f>
        <v>0</v>
      </c>
      <c r="I8" s="15"/>
    </row>
    <row r="9" spans="1:9">
      <c r="A9" s="13"/>
      <c r="B9" s="13"/>
      <c r="C9" s="17"/>
      <c r="D9" s="18"/>
      <c r="E9" s="19"/>
      <c r="F9" s="20"/>
      <c r="G9" s="21">
        <f>IF(OR($B9="",$D9="",N($E9)&lt;=0),"",$D9/$E9)</f>
        <v>0</v>
      </c>
      <c r="H9" s="22">
        <f>IF($G9="","",$G9*IF($F9="",1,$F9))</f>
        <v>0</v>
      </c>
      <c r="I9" s="15"/>
    </row>
    <row r="10" spans="1:9">
      <c r="A10" s="13"/>
      <c r="B10" s="13"/>
      <c r="C10" s="17"/>
      <c r="D10" s="18"/>
      <c r="E10" s="19"/>
      <c r="F10" s="20"/>
      <c r="G10" s="21">
        <f>IF(OR($B10="",$D10="",N($E10)&lt;=0),"",$D10/$E10)</f>
        <v>0</v>
      </c>
      <c r="H10" s="22">
        <f>IF($G10="","",$G10*IF($F10="",1,$F10))</f>
        <v>0</v>
      </c>
      <c r="I10" s="15"/>
    </row>
    <row r="11" spans="1:9">
      <c r="A11" s="13"/>
      <c r="B11" s="13"/>
      <c r="C11" s="17"/>
      <c r="D11" s="18"/>
      <c r="E11" s="19"/>
      <c r="F11" s="20"/>
      <c r="G11" s="21">
        <f>IF(OR($B11="",$D11="",N($E11)&lt;=0),"",$D11/$E11)</f>
        <v>0</v>
      </c>
      <c r="H11" s="22">
        <f>IF($G11="","",$G11*IF($F11="",1,$F11))</f>
        <v>0</v>
      </c>
      <c r="I11" s="15"/>
    </row>
    <row r="12" spans="1:9">
      <c r="A12" s="13"/>
      <c r="B12" s="13"/>
      <c r="C12" s="17"/>
      <c r="D12" s="18"/>
      <c r="E12" s="19"/>
      <c r="F12" s="20"/>
      <c r="G12" s="21">
        <f>IF(OR($B12="",$D12="",N($E12)&lt;=0),"",$D12/$E12)</f>
        <v>0</v>
      </c>
      <c r="H12" s="22">
        <f>IF($G12="","",$G12*IF($F12="",1,$F12))</f>
        <v>0</v>
      </c>
      <c r="I12" s="15"/>
    </row>
    <row r="13" spans="1:9">
      <c r="A13" s="13"/>
      <c r="B13" s="13"/>
      <c r="C13" s="17"/>
      <c r="D13" s="18"/>
      <c r="E13" s="19"/>
      <c r="F13" s="20"/>
      <c r="G13" s="21">
        <f>IF(OR($B13="",$D13="",N($E13)&lt;=0),"",$D13/$E13)</f>
        <v>0</v>
      </c>
      <c r="H13" s="22">
        <f>IF($G13="","",$G13*IF($F13="",1,$F13))</f>
        <v>0</v>
      </c>
      <c r="I13" s="15"/>
    </row>
    <row r="14" spans="1:9">
      <c r="A14" s="13"/>
      <c r="B14" s="13"/>
      <c r="C14" s="17"/>
      <c r="D14" s="18"/>
      <c r="E14" s="19"/>
      <c r="F14" s="20"/>
      <c r="G14" s="21">
        <f>IF(OR($B14="",$D14="",N($E14)&lt;=0),"",$D14/$E14)</f>
        <v>0</v>
      </c>
      <c r="H14" s="22">
        <f>IF($G14="","",$G14*IF($F14="",1,$F14))</f>
        <v>0</v>
      </c>
      <c r="I14" s="15"/>
    </row>
    <row r="15" spans="1:9">
      <c r="A15" s="13"/>
      <c r="B15" s="13"/>
      <c r="C15" s="17"/>
      <c r="D15" s="18"/>
      <c r="E15" s="19"/>
      <c r="F15" s="20"/>
      <c r="G15" s="21">
        <f>IF(OR($B15="",$D15="",N($E15)&lt;=0),"",$D15/$E15)</f>
        <v>0</v>
      </c>
      <c r="H15" s="22">
        <f>IF($G15="","",$G15*IF($F15="",1,$F15))</f>
        <v>0</v>
      </c>
      <c r="I15" s="15"/>
    </row>
    <row r="16" spans="1:9">
      <c r="A16" s="13"/>
      <c r="B16" s="13"/>
      <c r="C16" s="17"/>
      <c r="D16" s="18"/>
      <c r="E16" s="19"/>
      <c r="F16" s="20"/>
      <c r="G16" s="21">
        <f>IF(OR($B16="",$D16="",N($E16)&lt;=0),"",$D16/$E16)</f>
        <v>0</v>
      </c>
      <c r="H16" s="22">
        <f>IF($G16="","",$G16*IF($F16="",1,$F16))</f>
        <v>0</v>
      </c>
      <c r="I16" s="15"/>
    </row>
    <row r="17" spans="1:9">
      <c r="A17" s="13"/>
      <c r="B17" s="13"/>
      <c r="C17" s="17"/>
      <c r="D17" s="18"/>
      <c r="E17" s="19"/>
      <c r="F17" s="20"/>
      <c r="G17" s="21">
        <f>IF(OR($B17="",$D17="",N($E17)&lt;=0),"",$D17/$E17)</f>
        <v>0</v>
      </c>
      <c r="H17" s="22">
        <f>IF($G17="","",$G17*IF($F17="",1,$F17))</f>
        <v>0</v>
      </c>
      <c r="I17" s="15"/>
    </row>
    <row r="18" spans="1:9">
      <c r="A18" s="13"/>
      <c r="B18" s="13"/>
      <c r="C18" s="17"/>
      <c r="D18" s="18"/>
      <c r="E18" s="19"/>
      <c r="F18" s="20"/>
      <c r="G18" s="21">
        <f>IF(OR($B18="",$D18="",N($E18)&lt;=0),"",$D18/$E18)</f>
        <v>0</v>
      </c>
      <c r="H18" s="22">
        <f>IF($G18="","",$G18*IF($F18="",1,$F18))</f>
        <v>0</v>
      </c>
      <c r="I18" s="15"/>
    </row>
    <row r="19" spans="1:9">
      <c r="A19" s="13"/>
      <c r="B19" s="13"/>
      <c r="C19" s="17"/>
      <c r="D19" s="18"/>
      <c r="E19" s="19"/>
      <c r="F19" s="20"/>
      <c r="G19" s="21">
        <f>IF(OR($B19="",$D19="",N($E19)&lt;=0),"",$D19/$E19)</f>
        <v>0</v>
      </c>
      <c r="H19" s="22">
        <f>IF($G19="","",$G19*IF($F19="",1,$F19))</f>
        <v>0</v>
      </c>
      <c r="I19" s="15"/>
    </row>
    <row r="20" spans="1:9">
      <c r="A20" s="13"/>
      <c r="B20" s="13"/>
      <c r="C20" s="17"/>
      <c r="D20" s="18"/>
      <c r="E20" s="19"/>
      <c r="F20" s="20"/>
      <c r="G20" s="21">
        <f>IF(OR($B20="",$D20="",N($E20)&lt;=0),"",$D20/$E20)</f>
        <v>0</v>
      </c>
      <c r="H20" s="22">
        <f>IF($G20="","",$G20*IF($F20="",1,$F20))</f>
        <v>0</v>
      </c>
      <c r="I20" s="15"/>
    </row>
    <row r="21" spans="1:9">
      <c r="A21" s="13"/>
      <c r="B21" s="13"/>
      <c r="C21" s="17"/>
      <c r="D21" s="18"/>
      <c r="E21" s="19"/>
      <c r="F21" s="20"/>
      <c r="G21" s="21">
        <f>IF(OR($B21="",$D21="",N($E21)&lt;=0),"",$D21/$E21)</f>
        <v>0</v>
      </c>
      <c r="H21" s="22">
        <f>IF($G21="","",$G21*IF($F21="",1,$F21))</f>
        <v>0</v>
      </c>
      <c r="I21" s="15"/>
    </row>
    <row r="22" spans="1:9">
      <c r="A22" s="13"/>
      <c r="B22" s="13"/>
      <c r="C22" s="17"/>
      <c r="D22" s="18"/>
      <c r="E22" s="19"/>
      <c r="F22" s="20"/>
      <c r="G22" s="21">
        <f>IF(OR($B22="",$D22="",N($E22)&lt;=0),"",$D22/$E22)</f>
        <v>0</v>
      </c>
      <c r="H22" s="22">
        <f>IF($G22="","",$G22*IF($F22="",1,$F22))</f>
        <v>0</v>
      </c>
      <c r="I22" s="15"/>
    </row>
    <row r="23" spans="1:9">
      <c r="A23" s="13"/>
      <c r="B23" s="13"/>
      <c r="C23" s="17"/>
      <c r="D23" s="18"/>
      <c r="E23" s="19"/>
      <c r="F23" s="20"/>
      <c r="G23" s="21">
        <f>IF(OR($B23="",$D23="",N($E23)&lt;=0),"",$D23/$E23)</f>
        <v>0</v>
      </c>
      <c r="H23" s="22">
        <f>IF($G23="","",$G23*IF($F23="",1,$F23))</f>
        <v>0</v>
      </c>
      <c r="I23" s="15"/>
    </row>
    <row r="24" spans="1:9">
      <c r="A24" s="13"/>
      <c r="B24" s="13"/>
      <c r="C24" s="17"/>
      <c r="D24" s="18"/>
      <c r="E24" s="19"/>
      <c r="F24" s="20"/>
      <c r="G24" s="21">
        <f>IF(OR($B24="",$D24="",N($E24)&lt;=0),"",$D24/$E24)</f>
        <v>0</v>
      </c>
      <c r="H24" s="22">
        <f>IF($G24="","",$G24*IF($F24="",1,$F24))</f>
        <v>0</v>
      </c>
      <c r="I24" s="15"/>
    </row>
    <row r="25" spans="1:9">
      <c r="A25" s="13"/>
      <c r="B25" s="13"/>
      <c r="C25" s="17"/>
      <c r="D25" s="18"/>
      <c r="E25" s="19"/>
      <c r="F25" s="20"/>
      <c r="G25" s="21">
        <f>IF(OR($B25="",$D25="",N($E25)&lt;=0),"",$D25/$E25)</f>
        <v>0</v>
      </c>
      <c r="H25" s="22">
        <f>IF($G25="","",$G25*IF($F25="",1,$F25))</f>
        <v>0</v>
      </c>
      <c r="I25" s="15"/>
    </row>
    <row r="26" spans="1:9">
      <c r="A26" s="13"/>
      <c r="B26" s="13"/>
      <c r="C26" s="17"/>
      <c r="D26" s="18"/>
      <c r="E26" s="19"/>
      <c r="F26" s="20"/>
      <c r="G26" s="21">
        <f>IF(OR($B26="",$D26="",N($E26)&lt;=0),"",$D26/$E26)</f>
        <v>0</v>
      </c>
      <c r="H26" s="22">
        <f>IF($G26="","",$G26*IF($F26="",1,$F26))</f>
        <v>0</v>
      </c>
      <c r="I26" s="15"/>
    </row>
    <row r="27" spans="1:9">
      <c r="A27" s="13"/>
      <c r="B27" s="13"/>
      <c r="C27" s="17"/>
      <c r="D27" s="18"/>
      <c r="E27" s="19"/>
      <c r="F27" s="20"/>
      <c r="G27" s="21">
        <f>IF(OR($B27="",$D27="",N($E27)&lt;=0),"",$D27/$E27)</f>
        <v>0</v>
      </c>
      <c r="H27" s="22">
        <f>IF($G27="","",$G27*IF($F27="",1,$F27))</f>
        <v>0</v>
      </c>
      <c r="I27" s="15"/>
    </row>
    <row r="28" spans="1:9">
      <c r="A28" s="13"/>
      <c r="B28" s="13"/>
      <c r="C28" s="17"/>
      <c r="D28" s="18"/>
      <c r="E28" s="19"/>
      <c r="F28" s="20"/>
      <c r="G28" s="21">
        <f>IF(OR($B28="",$D28="",N($E28)&lt;=0),"",$D28/$E28)</f>
        <v>0</v>
      </c>
      <c r="H28" s="22">
        <f>IF($G28="","",$G28*IF($F28="",1,$F28))</f>
        <v>0</v>
      </c>
      <c r="I28" s="15"/>
    </row>
    <row r="29" spans="1:9">
      <c r="A29" s="13"/>
      <c r="B29" s="13"/>
      <c r="C29" s="17"/>
      <c r="D29" s="18"/>
      <c r="E29" s="19"/>
      <c r="F29" s="20"/>
      <c r="G29" s="21">
        <f>IF(OR($B29="",$D29="",N($E29)&lt;=0),"",$D29/$E29)</f>
        <v>0</v>
      </c>
      <c r="H29" s="22">
        <f>IF($G29="","",$G29*IF($F29="",1,$F29))</f>
        <v>0</v>
      </c>
      <c r="I29" s="15"/>
    </row>
    <row r="30" spans="1:9">
      <c r="A30" s="13"/>
      <c r="B30" s="13"/>
      <c r="C30" s="17"/>
      <c r="D30" s="18"/>
      <c r="E30" s="19"/>
      <c r="F30" s="20"/>
      <c r="G30" s="21">
        <f>IF(OR($B30="",$D30="",N($E30)&lt;=0),"",$D30/$E30)</f>
        <v>0</v>
      </c>
      <c r="H30" s="22">
        <f>IF($G30="","",$G30*IF($F30="",1,$F30))</f>
        <v>0</v>
      </c>
      <c r="I30" s="15"/>
    </row>
    <row r="31" spans="1:9">
      <c r="A31" s="13"/>
      <c r="B31" s="13"/>
      <c r="C31" s="17"/>
      <c r="D31" s="18"/>
      <c r="E31" s="19"/>
      <c r="F31" s="20"/>
      <c r="G31" s="21">
        <f>IF(OR($B31="",$D31="",N($E31)&lt;=0),"",$D31/$E31)</f>
        <v>0</v>
      </c>
      <c r="H31" s="22">
        <f>IF($G31="","",$G31*IF($F31="",1,$F31))</f>
        <v>0</v>
      </c>
      <c r="I31" s="15"/>
    </row>
    <row r="32" spans="1:9">
      <c r="A32" s="13"/>
      <c r="B32" s="13"/>
      <c r="C32" s="17"/>
      <c r="D32" s="18"/>
      <c r="E32" s="19"/>
      <c r="F32" s="20"/>
      <c r="G32" s="21">
        <f>IF(OR($B32="",$D32="",N($E32)&lt;=0),"",$D32/$E32)</f>
        <v>0</v>
      </c>
      <c r="H32" s="22">
        <f>IF($G32="","",$G32*IF($F32="",1,$F32))</f>
        <v>0</v>
      </c>
      <c r="I32" s="15"/>
    </row>
    <row r="33" spans="1:9">
      <c r="A33" s="13"/>
      <c r="B33" s="13"/>
      <c r="C33" s="17"/>
      <c r="D33" s="18"/>
      <c r="E33" s="19"/>
      <c r="F33" s="20"/>
      <c r="G33" s="21">
        <f>IF(OR($B33="",$D33="",N($E33)&lt;=0),"",$D33/$E33)</f>
        <v>0</v>
      </c>
      <c r="H33" s="22">
        <f>IF($G33="","",$G33*IF($F33="",1,$F33))</f>
        <v>0</v>
      </c>
      <c r="I33" s="15"/>
    </row>
    <row r="34" spans="1:9">
      <c r="A34" s="13"/>
      <c r="B34" s="13"/>
      <c r="C34" s="17"/>
      <c r="D34" s="18"/>
      <c r="E34" s="19"/>
      <c r="F34" s="20"/>
      <c r="G34" s="21">
        <f>IF(OR($B34="",$D34="",N($E34)&lt;=0),"",$D34/$E34)</f>
        <v>0</v>
      </c>
      <c r="H34" s="22">
        <f>IF($G34="","",$G34*IF($F34="",1,$F34))</f>
        <v>0</v>
      </c>
      <c r="I34" s="15"/>
    </row>
    <row r="35" spans="1:9">
      <c r="A35" s="13"/>
      <c r="B35" s="13"/>
      <c r="C35" s="17"/>
      <c r="D35" s="18"/>
      <c r="E35" s="19"/>
      <c r="F35" s="20"/>
      <c r="G35" s="21">
        <f>IF(OR($B35="",$D35="",N($E35)&lt;=0),"",$D35/$E35)</f>
        <v>0</v>
      </c>
      <c r="H35" s="22">
        <f>IF($G35="","",$G35*IF($F35="",1,$F35))</f>
        <v>0</v>
      </c>
      <c r="I35" s="15"/>
    </row>
    <row r="36" spans="1:9">
      <c r="A36" s="13"/>
      <c r="B36" s="13"/>
      <c r="C36" s="17"/>
      <c r="D36" s="18"/>
      <c r="E36" s="19"/>
      <c r="F36" s="20"/>
      <c r="G36" s="21">
        <f>IF(OR($B36="",$D36="",N($E36)&lt;=0),"",$D36/$E36)</f>
        <v>0</v>
      </c>
      <c r="H36" s="22">
        <f>IF($G36="","",$G36*IF($F36="",1,$F36))</f>
        <v>0</v>
      </c>
      <c r="I36" s="15"/>
    </row>
    <row r="37" spans="1:9">
      <c r="A37" s="13"/>
      <c r="B37" s="13"/>
      <c r="C37" s="17"/>
      <c r="D37" s="18"/>
      <c r="E37" s="19"/>
      <c r="F37" s="20"/>
      <c r="G37" s="21">
        <f>IF(OR($B37="",$D37="",N($E37)&lt;=0),"",$D37/$E37)</f>
        <v>0</v>
      </c>
      <c r="H37" s="22">
        <f>IF($G37="","",$G37*IF($F37="",1,$F37))</f>
        <v>0</v>
      </c>
      <c r="I37" s="15"/>
    </row>
    <row r="38" spans="1:9">
      <c r="A38" s="13"/>
      <c r="B38" s="13"/>
      <c r="C38" s="17"/>
      <c r="D38" s="18"/>
      <c r="E38" s="19"/>
      <c r="F38" s="20"/>
      <c r="G38" s="21">
        <f>IF(OR($B38="",$D38="",N($E38)&lt;=0),"",$D38/$E38)</f>
        <v>0</v>
      </c>
      <c r="H38" s="22">
        <f>IF($G38="","",$G38*IF($F38="",1,$F38))</f>
        <v>0</v>
      </c>
      <c r="I38" s="15"/>
    </row>
    <row r="39" spans="1:9">
      <c r="A39" s="13"/>
      <c r="B39" s="13"/>
      <c r="C39" s="17"/>
      <c r="D39" s="18"/>
      <c r="E39" s="19"/>
      <c r="F39" s="20"/>
      <c r="G39" s="21">
        <f>IF(OR($B39="",$D39="",N($E39)&lt;=0),"",$D39/$E39)</f>
        <v>0</v>
      </c>
      <c r="H39" s="22">
        <f>IF($G39="","",$G39*IF($F39="",1,$F39))</f>
        <v>0</v>
      </c>
      <c r="I39" s="15"/>
    </row>
    <row r="40" spans="1:9">
      <c r="A40" s="13"/>
      <c r="B40" s="13"/>
      <c r="C40" s="17"/>
      <c r="D40" s="18"/>
      <c r="E40" s="19"/>
      <c r="F40" s="20"/>
      <c r="G40" s="21">
        <f>IF(OR($B40="",$D40="",N($E40)&lt;=0),"",$D40/$E40)</f>
        <v>0</v>
      </c>
      <c r="H40" s="22">
        <f>IF($G40="","",$G40*IF($F40="",1,$F40))</f>
        <v>0</v>
      </c>
      <c r="I40" s="15"/>
    </row>
    <row r="41" spans="1:9">
      <c r="A41" s="13"/>
      <c r="B41" s="13"/>
      <c r="C41" s="17"/>
      <c r="D41" s="18"/>
      <c r="E41" s="19"/>
      <c r="F41" s="20"/>
      <c r="G41" s="21">
        <f>IF(OR($B41="",$D41="",N($E41)&lt;=0),"",$D41/$E41)</f>
        <v>0</v>
      </c>
      <c r="H41" s="22">
        <f>IF($G41="","",$G41*IF($F41="",1,$F41))</f>
        <v>0</v>
      </c>
      <c r="I41" s="15"/>
    </row>
    <row r="42" spans="1:9">
      <c r="A42" s="13"/>
      <c r="B42" s="13"/>
      <c r="C42" s="17"/>
      <c r="D42" s="18"/>
      <c r="E42" s="19"/>
      <c r="F42" s="20"/>
      <c r="G42" s="21">
        <f>IF(OR($B42="",$D42="",N($E42)&lt;=0),"",$D42/$E42)</f>
        <v>0</v>
      </c>
      <c r="H42" s="22">
        <f>IF($G42="","",$G42*IF($F42="",1,$F42))</f>
        <v>0</v>
      </c>
      <c r="I42" s="15"/>
    </row>
    <row r="43" spans="1:9">
      <c r="A43" s="13"/>
      <c r="B43" s="13"/>
      <c r="C43" s="17"/>
      <c r="D43" s="18"/>
      <c r="E43" s="19"/>
      <c r="F43" s="20"/>
      <c r="G43" s="21">
        <f>IF(OR($B43="",$D43="",N($E43)&lt;=0),"",$D43/$E43)</f>
        <v>0</v>
      </c>
      <c r="H43" s="22">
        <f>IF($G43="","",$G43*IF($F43="",1,$F43))</f>
        <v>0</v>
      </c>
      <c r="I43" s="15"/>
    </row>
    <row r="44" spans="1:9">
      <c r="A44" s="13"/>
      <c r="B44" s="13"/>
      <c r="C44" s="17"/>
      <c r="D44" s="18"/>
      <c r="E44" s="19"/>
      <c r="F44" s="20"/>
      <c r="G44" s="21">
        <f>IF(OR($B44="",$D44="",N($E44)&lt;=0),"",$D44/$E44)</f>
        <v>0</v>
      </c>
      <c r="H44" s="22">
        <f>IF($G44="","",$G44*IF($F44="",1,$F44))</f>
        <v>0</v>
      </c>
      <c r="I44" s="15"/>
    </row>
    <row r="45" spans="1:9">
      <c r="A45" s="13"/>
      <c r="B45" s="13"/>
      <c r="C45" s="17"/>
      <c r="D45" s="18"/>
      <c r="E45" s="19"/>
      <c r="F45" s="20"/>
      <c r="G45" s="21">
        <f>IF(OR($B45="",$D45="",N($E45)&lt;=0),"",$D45/$E45)</f>
        <v>0</v>
      </c>
      <c r="H45" s="22">
        <f>IF($G45="","",$G45*IF($F45="",1,$F45))</f>
        <v>0</v>
      </c>
      <c r="I45" s="15"/>
    </row>
    <row r="46" spans="1:9">
      <c r="A46" s="13"/>
      <c r="B46" s="13"/>
      <c r="C46" s="17"/>
      <c r="D46" s="18"/>
      <c r="E46" s="19"/>
      <c r="F46" s="20"/>
      <c r="G46" s="21">
        <f>IF(OR($B46="",$D46="",N($E46)&lt;=0),"",$D46/$E46)</f>
        <v>0</v>
      </c>
      <c r="H46" s="22">
        <f>IF($G46="","",$G46*IF($F46="",1,$F46))</f>
        <v>0</v>
      </c>
      <c r="I46" s="15"/>
    </row>
    <row r="47" spans="1:9">
      <c r="A47" s="13"/>
      <c r="B47" s="13"/>
      <c r="C47" s="17"/>
      <c r="D47" s="18"/>
      <c r="E47" s="19"/>
      <c r="F47" s="20"/>
      <c r="G47" s="21">
        <f>IF(OR($B47="",$D47="",N($E47)&lt;=0),"",$D47/$E47)</f>
        <v>0</v>
      </c>
      <c r="H47" s="22">
        <f>IF($G47="","",$G47*IF($F47="",1,$F47))</f>
        <v>0</v>
      </c>
      <c r="I47" s="15"/>
    </row>
    <row r="48" spans="1:9">
      <c r="A48" s="13"/>
      <c r="B48" s="13"/>
      <c r="C48" s="17"/>
      <c r="D48" s="18"/>
      <c r="E48" s="19"/>
      <c r="F48" s="20"/>
      <c r="G48" s="21">
        <f>IF(OR($B48="",$D48="",N($E48)&lt;=0),"",$D48/$E48)</f>
        <v>0</v>
      </c>
      <c r="H48" s="22">
        <f>IF($G48="","",$G48*IF($F48="",1,$F48))</f>
        <v>0</v>
      </c>
      <c r="I48" s="15"/>
    </row>
    <row r="49" spans="1:9">
      <c r="A49" s="13"/>
      <c r="B49" s="13"/>
      <c r="C49" s="17"/>
      <c r="D49" s="18"/>
      <c r="E49" s="19"/>
      <c r="F49" s="20"/>
      <c r="G49" s="21">
        <f>IF(OR($B49="",$D49="",N($E49)&lt;=0),"",$D49/$E49)</f>
        <v>0</v>
      </c>
      <c r="H49" s="22">
        <f>IF($G49="","",$G49*IF($F49="",1,$F49))</f>
        <v>0</v>
      </c>
      <c r="I49" s="15"/>
    </row>
    <row r="50" spans="1:9">
      <c r="A50" s="13"/>
      <c r="B50" s="13"/>
      <c r="C50" s="17"/>
      <c r="D50" s="18"/>
      <c r="E50" s="19"/>
      <c r="F50" s="20"/>
      <c r="G50" s="21">
        <f>IF(OR($B50="",$D50="",N($E50)&lt;=0),"",$D50/$E50)</f>
        <v>0</v>
      </c>
      <c r="H50" s="22">
        <f>IF($G50="","",$G50*IF($F50="",1,$F50))</f>
        <v>0</v>
      </c>
      <c r="I50" s="15"/>
    </row>
    <row r="51" spans="1:9">
      <c r="A51" s="13"/>
      <c r="B51" s="13"/>
      <c r="C51" s="17"/>
      <c r="D51" s="18"/>
      <c r="E51" s="19"/>
      <c r="F51" s="20"/>
      <c r="G51" s="21">
        <f>IF(OR($B51="",$D51="",N($E51)&lt;=0),"",$D51/$E51)</f>
        <v>0</v>
      </c>
      <c r="H51" s="22">
        <f>IF($G51="","",$G51*IF($F51="",1,$F51))</f>
        <v>0</v>
      </c>
      <c r="I51" s="15"/>
    </row>
    <row r="52" spans="1:9">
      <c r="A52" s="13"/>
      <c r="B52" s="13"/>
      <c r="C52" s="17"/>
      <c r="D52" s="18"/>
      <c r="E52" s="19"/>
      <c r="F52" s="20"/>
      <c r="G52" s="21">
        <f>IF(OR($B52="",$D52="",N($E52)&lt;=0),"",$D52/$E52)</f>
        <v>0</v>
      </c>
      <c r="H52" s="22">
        <f>IF($G52="","",$G52*IF($F52="",1,$F52))</f>
        <v>0</v>
      </c>
      <c r="I52" s="15"/>
    </row>
    <row r="53" spans="1:9">
      <c r="A53" s="13"/>
      <c r="B53" s="13"/>
      <c r="C53" s="17"/>
      <c r="D53" s="18"/>
      <c r="E53" s="19"/>
      <c r="F53" s="20"/>
      <c r="G53" s="21">
        <f>IF(OR($B53="",$D53="",N($E53)&lt;=0),"",$D53/$E53)</f>
        <v>0</v>
      </c>
      <c r="H53" s="22">
        <f>IF($G53="","",$G53*IF($F53="",1,$F53))</f>
        <v>0</v>
      </c>
      <c r="I53" s="15"/>
    </row>
    <row r="54" spans="1:9">
      <c r="A54" s="13"/>
      <c r="B54" s="13"/>
      <c r="C54" s="17"/>
      <c r="D54" s="18"/>
      <c r="E54" s="19"/>
      <c r="F54" s="20"/>
      <c r="G54" s="21">
        <f>IF(OR($B54="",$D54="",N($E54)&lt;=0),"",$D54/$E54)</f>
        <v>0</v>
      </c>
      <c r="H54" s="22">
        <f>IF($G54="","",$G54*IF($F54="",1,$F54))</f>
        <v>0</v>
      </c>
      <c r="I54" s="15"/>
    </row>
    <row r="55" spans="1:9">
      <c r="A55" s="13"/>
      <c r="B55" s="13"/>
      <c r="C55" s="17"/>
      <c r="D55" s="18"/>
      <c r="E55" s="19"/>
      <c r="F55" s="20"/>
      <c r="G55" s="21">
        <f>IF(OR($B55="",$D55="",N($E55)&lt;=0),"",$D55/$E55)</f>
        <v>0</v>
      </c>
      <c r="H55" s="22">
        <f>IF($G55="","",$G55*IF($F55="",1,$F55))</f>
        <v>0</v>
      </c>
      <c r="I55" s="15"/>
    </row>
    <row r="56" spans="1:9">
      <c r="A56" s="13"/>
      <c r="B56" s="13"/>
      <c r="C56" s="17"/>
      <c r="D56" s="18"/>
      <c r="E56" s="19"/>
      <c r="F56" s="20"/>
      <c r="G56" s="21">
        <f>IF(OR($B56="",$D56="",N($E56)&lt;=0),"",$D56/$E56)</f>
        <v>0</v>
      </c>
      <c r="H56" s="22">
        <f>IF($G56="","",$G56*IF($F56="",1,$F56))</f>
        <v>0</v>
      </c>
      <c r="I56" s="15"/>
    </row>
    <row r="57" spans="1:9">
      <c r="A57" s="13"/>
      <c r="B57" s="13"/>
      <c r="C57" s="17"/>
      <c r="D57" s="18"/>
      <c r="E57" s="19"/>
      <c r="F57" s="20"/>
      <c r="G57" s="21">
        <f>IF(OR($B57="",$D57="",N($E57)&lt;=0),"",$D57/$E57)</f>
        <v>0</v>
      </c>
      <c r="H57" s="22">
        <f>IF($G57="","",$G57*IF($F57="",1,$F57))</f>
        <v>0</v>
      </c>
      <c r="I57" s="15"/>
    </row>
    <row r="58" spans="1:9">
      <c r="A58" s="13"/>
      <c r="B58" s="13"/>
      <c r="C58" s="17"/>
      <c r="D58" s="18"/>
      <c r="E58" s="19"/>
      <c r="F58" s="20"/>
      <c r="G58" s="21">
        <f>IF(OR($B58="",$D58="",N($E58)&lt;=0),"",$D58/$E58)</f>
        <v>0</v>
      </c>
      <c r="H58" s="22">
        <f>IF($G58="","",$G58*IF($F58="",1,$F58))</f>
        <v>0</v>
      </c>
      <c r="I58" s="15"/>
    </row>
    <row r="59" spans="1:9">
      <c r="A59" s="13"/>
      <c r="B59" s="13"/>
      <c r="C59" s="17"/>
      <c r="D59" s="18"/>
      <c r="E59" s="19"/>
      <c r="F59" s="20"/>
      <c r="G59" s="21">
        <f>IF(OR($B59="",$D59="",N($E59)&lt;=0),"",$D59/$E59)</f>
        <v>0</v>
      </c>
      <c r="H59" s="22">
        <f>IF($G59="","",$G59*IF($F59="",1,$F59))</f>
        <v>0</v>
      </c>
      <c r="I59" s="15"/>
    </row>
    <row r="60" spans="1:9">
      <c r="A60" s="13"/>
      <c r="B60" s="13"/>
      <c r="C60" s="17"/>
      <c r="D60" s="18"/>
      <c r="E60" s="19"/>
      <c r="F60" s="20"/>
      <c r="G60" s="21">
        <f>IF(OR($B60="",$D60="",N($E60)&lt;=0),"",$D60/$E60)</f>
        <v>0</v>
      </c>
      <c r="H60" s="22">
        <f>IF($G60="","",$G60*IF($F60="",1,$F60))</f>
        <v>0</v>
      </c>
      <c r="I60" s="15"/>
    </row>
    <row r="61" spans="1:9">
      <c r="A61" s="13"/>
      <c r="B61" s="13"/>
      <c r="C61" s="17"/>
      <c r="D61" s="18"/>
      <c r="E61" s="19"/>
      <c r="F61" s="20"/>
      <c r="G61" s="21">
        <f>IF(OR($B61="",$D61="",N($E61)&lt;=0),"",$D61/$E61)</f>
        <v>0</v>
      </c>
      <c r="H61" s="22">
        <f>IF($G61="","",$G61*IF($F61="",1,$F61))</f>
        <v>0</v>
      </c>
      <c r="I61" s="15"/>
    </row>
    <row r="62" spans="1:9">
      <c r="A62" s="13"/>
      <c r="B62" s="13"/>
      <c r="C62" s="17"/>
      <c r="D62" s="18"/>
      <c r="E62" s="19"/>
      <c r="F62" s="20"/>
      <c r="G62" s="21">
        <f>IF(OR($B62="",$D62="",N($E62)&lt;=0),"",$D62/$E62)</f>
        <v>0</v>
      </c>
      <c r="H62" s="22">
        <f>IF($G62="","",$G62*IF($F62="",1,$F62))</f>
        <v>0</v>
      </c>
      <c r="I62" s="15"/>
    </row>
    <row r="63" spans="1:9">
      <c r="A63" s="13"/>
      <c r="B63" s="13"/>
      <c r="C63" s="17"/>
      <c r="D63" s="18"/>
      <c r="E63" s="19"/>
      <c r="F63" s="20"/>
      <c r="G63" s="21">
        <f>IF(OR($B63="",$D63="",N($E63)&lt;=0),"",$D63/$E63)</f>
        <v>0</v>
      </c>
      <c r="H63" s="22">
        <f>IF($G63="","",$G63*IF($F63="",1,$F63))</f>
        <v>0</v>
      </c>
      <c r="I63" s="15"/>
    </row>
    <row r="64" spans="1:9">
      <c r="A64" s="13"/>
      <c r="B64" s="13"/>
      <c r="C64" s="17"/>
      <c r="D64" s="18"/>
      <c r="E64" s="19"/>
      <c r="F64" s="20"/>
      <c r="G64" s="21">
        <f>IF(OR($B64="",$D64="",N($E64)&lt;=0),"",$D64/$E64)</f>
        <v>0</v>
      </c>
      <c r="H64" s="22">
        <f>IF($G64="","",$G64*IF($F64="",1,$F64))</f>
        <v>0</v>
      </c>
      <c r="I64" s="15"/>
    </row>
    <row r="65" spans="1:9">
      <c r="A65" s="13"/>
      <c r="B65" s="13"/>
      <c r="C65" s="17"/>
      <c r="D65" s="18"/>
      <c r="E65" s="19"/>
      <c r="F65" s="20"/>
      <c r="G65" s="21">
        <f>IF(OR($B65="",$D65="",N($E65)&lt;=0),"",$D65/$E65)</f>
        <v>0</v>
      </c>
      <c r="H65" s="22">
        <f>IF($G65="","",$G65*IF($F65="",1,$F65))</f>
        <v>0</v>
      </c>
      <c r="I65" s="15"/>
    </row>
    <row r="66" spans="1:9">
      <c r="A66" s="13"/>
      <c r="B66" s="13"/>
      <c r="C66" s="17"/>
      <c r="D66" s="18"/>
      <c r="E66" s="19"/>
      <c r="F66" s="20"/>
      <c r="G66" s="21">
        <f>IF(OR($B66="",$D66="",N($E66)&lt;=0),"",$D66/$E66)</f>
        <v>0</v>
      </c>
      <c r="H66" s="22">
        <f>IF($G66="","",$G66*IF($F66="",1,$F66))</f>
        <v>0</v>
      </c>
      <c r="I66" s="15"/>
    </row>
    <row r="67" spans="1:9">
      <c r="A67" s="13"/>
      <c r="B67" s="13"/>
      <c r="C67" s="17"/>
      <c r="D67" s="18"/>
      <c r="E67" s="19"/>
      <c r="F67" s="20"/>
      <c r="G67" s="21">
        <f>IF(OR($B67="",$D67="",N($E67)&lt;=0),"",$D67/$E67)</f>
        <v>0</v>
      </c>
      <c r="H67" s="22">
        <f>IF($G67="","",$G67*IF($F67="",1,$F67))</f>
        <v>0</v>
      </c>
      <c r="I67" s="15"/>
    </row>
    <row r="68" spans="1:9">
      <c r="A68" s="13"/>
      <c r="B68" s="13"/>
      <c r="C68" s="17"/>
      <c r="D68" s="18"/>
      <c r="E68" s="19"/>
      <c r="F68" s="20"/>
      <c r="G68" s="21">
        <f>IF(OR($B68="",$D68="",N($E68)&lt;=0),"",$D68/$E68)</f>
        <v>0</v>
      </c>
      <c r="H68" s="22">
        <f>IF($G68="","",$G68*IF($F68="",1,$F68))</f>
        <v>0</v>
      </c>
      <c r="I68" s="15"/>
    </row>
    <row r="69" spans="1:9">
      <c r="A69" s="13"/>
      <c r="B69" s="13"/>
      <c r="C69" s="17"/>
      <c r="D69" s="18"/>
      <c r="E69" s="19"/>
      <c r="F69" s="20"/>
      <c r="G69" s="21">
        <f>IF(OR($B69="",$D69="",N($E69)&lt;=0),"",$D69/$E69)</f>
        <v>0</v>
      </c>
      <c r="H69" s="22">
        <f>IF($G69="","",$G69*IF($F69="",1,$F69))</f>
        <v>0</v>
      </c>
      <c r="I69" s="15"/>
    </row>
    <row r="70" spans="1:9">
      <c r="A70" s="13"/>
      <c r="B70" s="13"/>
      <c r="C70" s="17"/>
      <c r="D70" s="18"/>
      <c r="E70" s="19"/>
      <c r="F70" s="20"/>
      <c r="G70" s="21">
        <f>IF(OR($B70="",$D70="",N($E70)&lt;=0),"",$D70/$E70)</f>
        <v>0</v>
      </c>
      <c r="H70" s="22">
        <f>IF($G70="","",$G70*IF($F70="",1,$F70))</f>
        <v>0</v>
      </c>
      <c r="I70" s="15"/>
    </row>
    <row r="71" spans="1:9">
      <c r="A71" s="13"/>
      <c r="B71" s="13"/>
      <c r="C71" s="17"/>
      <c r="D71" s="18"/>
      <c r="E71" s="19"/>
      <c r="F71" s="20"/>
      <c r="G71" s="21">
        <f>IF(OR($B71="",$D71="",N($E71)&lt;=0),"",$D71/$E71)</f>
        <v>0</v>
      </c>
      <c r="H71" s="22">
        <f>IF($G71="","",$G71*IF($F71="",1,$F71))</f>
        <v>0</v>
      </c>
      <c r="I71" s="15"/>
    </row>
    <row r="72" spans="1:9">
      <c r="A72" s="13"/>
      <c r="B72" s="13"/>
      <c r="C72" s="17"/>
      <c r="D72" s="18"/>
      <c r="E72" s="19"/>
      <c r="F72" s="20"/>
      <c r="G72" s="21">
        <f>IF(OR($B72="",$D72="",N($E72)&lt;=0),"",$D72/$E72)</f>
        <v>0</v>
      </c>
      <c r="H72" s="22">
        <f>IF($G72="","",$G72*IF($F72="",1,$F72))</f>
        <v>0</v>
      </c>
      <c r="I72" s="15"/>
    </row>
    <row r="73" spans="1:9">
      <c r="A73" s="13"/>
      <c r="B73" s="13"/>
      <c r="C73" s="17"/>
      <c r="D73" s="18"/>
      <c r="E73" s="19"/>
      <c r="F73" s="20"/>
      <c r="G73" s="21">
        <f>IF(OR($B73="",$D73="",N($E73)&lt;=0),"",$D73/$E73)</f>
        <v>0</v>
      </c>
      <c r="H73" s="22">
        <f>IF($G73="","",$G73*IF($F73="",1,$F73))</f>
        <v>0</v>
      </c>
      <c r="I73" s="15"/>
    </row>
    <row r="74" spans="1:9">
      <c r="A74" s="13"/>
      <c r="B74" s="13"/>
      <c r="C74" s="17"/>
      <c r="D74" s="18"/>
      <c r="E74" s="19"/>
      <c r="F74" s="20"/>
      <c r="G74" s="21">
        <f>IF(OR($B74="",$D74="",N($E74)&lt;=0),"",$D74/$E74)</f>
        <v>0</v>
      </c>
      <c r="H74" s="22">
        <f>IF($G74="","",$G74*IF($F74="",1,$F74))</f>
        <v>0</v>
      </c>
      <c r="I74" s="15"/>
    </row>
    <row r="75" spans="1:9">
      <c r="A75" s="13"/>
      <c r="B75" s="13"/>
      <c r="C75" s="17"/>
      <c r="D75" s="18"/>
      <c r="E75" s="19"/>
      <c r="F75" s="20"/>
      <c r="G75" s="21">
        <f>IF(OR($B75="",$D75="",N($E75)&lt;=0),"",$D75/$E75)</f>
        <v>0</v>
      </c>
      <c r="H75" s="22">
        <f>IF($G75="","",$G75*IF($F75="",1,$F75))</f>
        <v>0</v>
      </c>
      <c r="I75" s="15"/>
    </row>
    <row r="76" spans="1:9">
      <c r="A76" s="13"/>
      <c r="B76" s="13"/>
      <c r="C76" s="17"/>
      <c r="D76" s="18"/>
      <c r="E76" s="19"/>
      <c r="F76" s="20"/>
      <c r="G76" s="21">
        <f>IF(OR($B76="",$D76="",N($E76)&lt;=0),"",$D76/$E76)</f>
        <v>0</v>
      </c>
      <c r="H76" s="22">
        <f>IF($G76="","",$G76*IF($F76="",1,$F76))</f>
        <v>0</v>
      </c>
      <c r="I76" s="15"/>
    </row>
    <row r="77" spans="1:9">
      <c r="A77" s="13"/>
      <c r="B77" s="13"/>
      <c r="C77" s="17"/>
      <c r="D77" s="18"/>
      <c r="E77" s="19"/>
      <c r="F77" s="20"/>
      <c r="G77" s="21">
        <f>IF(OR($B77="",$D77="",N($E77)&lt;=0),"",$D77/$E77)</f>
        <v>0</v>
      </c>
      <c r="H77" s="22">
        <f>IF($G77="","",$G77*IF($F77="",1,$F77))</f>
        <v>0</v>
      </c>
      <c r="I77" s="15"/>
    </row>
    <row r="78" spans="1:9">
      <c r="A78" s="13"/>
      <c r="B78" s="13"/>
      <c r="C78" s="17"/>
      <c r="D78" s="18"/>
      <c r="E78" s="19"/>
      <c r="F78" s="20"/>
      <c r="G78" s="21">
        <f>IF(OR($B78="",$D78="",N($E78)&lt;=0),"",$D78/$E78)</f>
        <v>0</v>
      </c>
      <c r="H78" s="22">
        <f>IF($G78="","",$G78*IF($F78="",1,$F78))</f>
        <v>0</v>
      </c>
      <c r="I78" s="15"/>
    </row>
    <row r="79" spans="1:9">
      <c r="A79" s="13"/>
      <c r="B79" s="13"/>
      <c r="C79" s="17"/>
      <c r="D79" s="18"/>
      <c r="E79" s="19"/>
      <c r="F79" s="20"/>
      <c r="G79" s="21">
        <f>IF(OR($B79="",$D79="",N($E79)&lt;=0),"",$D79/$E79)</f>
        <v>0</v>
      </c>
      <c r="H79" s="22">
        <f>IF($G79="","",$G79*IF($F79="",1,$F79))</f>
        <v>0</v>
      </c>
      <c r="I79" s="15"/>
    </row>
    <row r="80" spans="1:9">
      <c r="A80" s="13"/>
      <c r="B80" s="13"/>
      <c r="C80" s="17"/>
      <c r="D80" s="18"/>
      <c r="E80" s="19"/>
      <c r="F80" s="20"/>
      <c r="G80" s="21">
        <f>IF(OR($B80="",$D80="",N($E80)&lt;=0),"",$D80/$E80)</f>
        <v>0</v>
      </c>
      <c r="H80" s="22">
        <f>IF($G80="","",$G80*IF($F80="",1,$F80))</f>
        <v>0</v>
      </c>
      <c r="I80" s="15"/>
    </row>
    <row r="81" spans="1:9">
      <c r="A81" s="13"/>
      <c r="B81" s="13"/>
      <c r="C81" s="17"/>
      <c r="D81" s="18"/>
      <c r="E81" s="19"/>
      <c r="F81" s="20"/>
      <c r="G81" s="21">
        <f>IF(OR($B81="",$D81="",N($E81)&lt;=0),"",$D81/$E81)</f>
        <v>0</v>
      </c>
      <c r="H81" s="22">
        <f>IF($G81="","",$G81*IF($F81="",1,$F81))</f>
        <v>0</v>
      </c>
      <c r="I81" s="15"/>
    </row>
    <row r="82" spans="1:9">
      <c r="A82" s="13"/>
      <c r="B82" s="13"/>
      <c r="C82" s="17"/>
      <c r="D82" s="18"/>
      <c r="E82" s="19"/>
      <c r="F82" s="20"/>
      <c r="G82" s="21">
        <f>IF(OR($B82="",$D82="",N($E82)&lt;=0),"",$D82/$E82)</f>
        <v>0</v>
      </c>
      <c r="H82" s="22">
        <f>IF($G82="","",$G82*IF($F82="",1,$F82))</f>
        <v>0</v>
      </c>
      <c r="I82" s="15"/>
    </row>
    <row r="83" spans="1:9">
      <c r="A83" s="13"/>
      <c r="B83" s="13"/>
      <c r="C83" s="17"/>
      <c r="D83" s="18"/>
      <c r="E83" s="19"/>
      <c r="F83" s="20"/>
      <c r="G83" s="21">
        <f>IF(OR($B83="",$D83="",N($E83)&lt;=0),"",$D83/$E83)</f>
        <v>0</v>
      </c>
      <c r="H83" s="22">
        <f>IF($G83="","",$G83*IF($F83="",1,$F83))</f>
        <v>0</v>
      </c>
      <c r="I83" s="15"/>
    </row>
    <row r="84" spans="1:9">
      <c r="A84" s="13"/>
      <c r="B84" s="13"/>
      <c r="C84" s="17"/>
      <c r="D84" s="18"/>
      <c r="E84" s="19"/>
      <c r="F84" s="20"/>
      <c r="G84" s="21">
        <f>IF(OR($B84="",$D84="",N($E84)&lt;=0),"",$D84/$E84)</f>
        <v>0</v>
      </c>
      <c r="H84" s="22">
        <f>IF($G84="","",$G84*IF($F84="",1,$F84))</f>
        <v>0</v>
      </c>
      <c r="I84" s="15"/>
    </row>
    <row r="85" spans="1:9">
      <c r="A85" s="13"/>
      <c r="B85" s="13"/>
      <c r="C85" s="17"/>
      <c r="D85" s="18"/>
      <c r="E85" s="19"/>
      <c r="F85" s="20"/>
      <c r="G85" s="21">
        <f>IF(OR($B85="",$D85="",N($E85)&lt;=0),"",$D85/$E85)</f>
        <v>0</v>
      </c>
      <c r="H85" s="22">
        <f>IF($G85="","",$G85*IF($F85="",1,$F85))</f>
        <v>0</v>
      </c>
      <c r="I85" s="15"/>
    </row>
    <row r="86" spans="1:9">
      <c r="A86" s="13"/>
      <c r="B86" s="13"/>
      <c r="C86" s="17"/>
      <c r="D86" s="18"/>
      <c r="E86" s="19"/>
      <c r="F86" s="20"/>
      <c r="G86" s="21">
        <f>IF(OR($B86="",$D86="",N($E86)&lt;=0),"",$D86/$E86)</f>
        <v>0</v>
      </c>
      <c r="H86" s="22">
        <f>IF($G86="","",$G86*IF($F86="",1,$F86))</f>
        <v>0</v>
      </c>
      <c r="I86" s="15"/>
    </row>
    <row r="87" spans="1:9">
      <c r="A87" s="13"/>
      <c r="B87" s="13"/>
      <c r="C87" s="17"/>
      <c r="D87" s="18"/>
      <c r="E87" s="19"/>
      <c r="F87" s="20"/>
      <c r="G87" s="21">
        <f>IF(OR($B87="",$D87="",N($E87)&lt;=0),"",$D87/$E87)</f>
        <v>0</v>
      </c>
      <c r="H87" s="22">
        <f>IF($G87="","",$G87*IF($F87="",1,$F87))</f>
        <v>0</v>
      </c>
      <c r="I87" s="15"/>
    </row>
    <row r="88" spans="1:9">
      <c r="A88" s="13"/>
      <c r="B88" s="13"/>
      <c r="C88" s="17"/>
      <c r="D88" s="18"/>
      <c r="E88" s="19"/>
      <c r="F88" s="20"/>
      <c r="G88" s="21">
        <f>IF(OR($B88="",$D88="",N($E88)&lt;=0),"",$D88/$E88)</f>
        <v>0</v>
      </c>
      <c r="H88" s="22">
        <f>IF($G88="","",$G88*IF($F88="",1,$F88))</f>
        <v>0</v>
      </c>
      <c r="I88" s="15"/>
    </row>
    <row r="89" spans="1:9">
      <c r="A89" s="13"/>
      <c r="B89" s="13"/>
      <c r="C89" s="17"/>
      <c r="D89" s="18"/>
      <c r="E89" s="19"/>
      <c r="F89" s="20"/>
      <c r="G89" s="21">
        <f>IF(OR($B89="",$D89="",N($E89)&lt;=0),"",$D89/$E89)</f>
        <v>0</v>
      </c>
      <c r="H89" s="22">
        <f>IF($G89="","",$G89*IF($F89="",1,$F89))</f>
        <v>0</v>
      </c>
      <c r="I89" s="15"/>
    </row>
    <row r="90" spans="1:9">
      <c r="A90" s="13"/>
      <c r="B90" s="13"/>
      <c r="C90" s="17"/>
      <c r="D90" s="18"/>
      <c r="E90" s="19"/>
      <c r="F90" s="20"/>
      <c r="G90" s="21">
        <f>IF(OR($B90="",$D90="",N($E90)&lt;=0),"",$D90/$E90)</f>
        <v>0</v>
      </c>
      <c r="H90" s="22">
        <f>IF($G90="","",$G90*IF($F90="",1,$F90))</f>
        <v>0</v>
      </c>
      <c r="I90" s="15"/>
    </row>
    <row r="91" spans="1:9">
      <c r="A91" s="13"/>
      <c r="B91" s="13"/>
      <c r="C91" s="17"/>
      <c r="D91" s="18"/>
      <c r="E91" s="19"/>
      <c r="F91" s="20"/>
      <c r="G91" s="21">
        <f>IF(OR($B91="",$D91="",N($E91)&lt;=0),"",$D91/$E91)</f>
        <v>0</v>
      </c>
      <c r="H91" s="22">
        <f>IF($G91="","",$G91*IF($F91="",1,$F91))</f>
        <v>0</v>
      </c>
      <c r="I91" s="15"/>
    </row>
    <row r="92" spans="1:9">
      <c r="A92" s="13"/>
      <c r="B92" s="13"/>
      <c r="C92" s="17"/>
      <c r="D92" s="18"/>
      <c r="E92" s="19"/>
      <c r="F92" s="20"/>
      <c r="G92" s="21">
        <f>IF(OR($B92="",$D92="",N($E92)&lt;=0),"",$D92/$E92)</f>
        <v>0</v>
      </c>
      <c r="H92" s="22">
        <f>IF($G92="","",$G92*IF($F92="",1,$F92))</f>
        <v>0</v>
      </c>
      <c r="I92" s="15"/>
    </row>
    <row r="93" spans="1:9">
      <c r="A93" s="13"/>
      <c r="B93" s="13"/>
      <c r="C93" s="17"/>
      <c r="D93" s="18"/>
      <c r="E93" s="19"/>
      <c r="F93" s="20"/>
      <c r="G93" s="21">
        <f>IF(OR($B93="",$D93="",N($E93)&lt;=0),"",$D93/$E93)</f>
        <v>0</v>
      </c>
      <c r="H93" s="22">
        <f>IF($G93="","",$G93*IF($F93="",1,$F93))</f>
        <v>0</v>
      </c>
      <c r="I93" s="15"/>
    </row>
    <row r="94" spans="1:9">
      <c r="A94" s="13"/>
      <c r="B94" s="13"/>
      <c r="C94" s="17"/>
      <c r="D94" s="18"/>
      <c r="E94" s="19"/>
      <c r="F94" s="20"/>
      <c r="G94" s="21">
        <f>IF(OR($B94="",$D94="",N($E94)&lt;=0),"",$D94/$E94)</f>
        <v>0</v>
      </c>
      <c r="H94" s="22">
        <f>IF($G94="","",$G94*IF($F94="",1,$F94))</f>
        <v>0</v>
      </c>
      <c r="I94" s="15"/>
    </row>
    <row r="95" spans="1:9">
      <c r="A95" s="13"/>
      <c r="B95" s="13"/>
      <c r="C95" s="17"/>
      <c r="D95" s="18"/>
      <c r="E95" s="19"/>
      <c r="F95" s="20"/>
      <c r="G95" s="21">
        <f>IF(OR($B95="",$D95="",N($E95)&lt;=0),"",$D95/$E95)</f>
        <v>0</v>
      </c>
      <c r="H95" s="22">
        <f>IF($G95="","",$G95*IF($F95="",1,$F95))</f>
        <v>0</v>
      </c>
      <c r="I95" s="15"/>
    </row>
    <row r="96" spans="1:9">
      <c r="A96" s="13"/>
      <c r="B96" s="13"/>
      <c r="C96" s="17"/>
      <c r="D96" s="18"/>
      <c r="E96" s="19"/>
      <c r="F96" s="20"/>
      <c r="G96" s="21">
        <f>IF(OR($B96="",$D96="",N($E96)&lt;=0),"",$D96/$E96)</f>
        <v>0</v>
      </c>
      <c r="H96" s="22">
        <f>IF($G96="","",$G96*IF($F96="",1,$F96))</f>
        <v>0</v>
      </c>
      <c r="I96" s="15"/>
    </row>
    <row r="97" spans="1:9">
      <c r="A97" s="13"/>
      <c r="B97" s="13"/>
      <c r="C97" s="17"/>
      <c r="D97" s="18"/>
      <c r="E97" s="19"/>
      <c r="F97" s="20"/>
      <c r="G97" s="21">
        <f>IF(OR($B97="",$D97="",N($E97)&lt;=0),"",$D97/$E97)</f>
        <v>0</v>
      </c>
      <c r="H97" s="22">
        <f>IF($G97="","",$G97*IF($F97="",1,$F97))</f>
        <v>0</v>
      </c>
      <c r="I97" s="15"/>
    </row>
    <row r="98" spans="1:9">
      <c r="A98" s="13"/>
      <c r="B98" s="13"/>
      <c r="C98" s="17"/>
      <c r="D98" s="18"/>
      <c r="E98" s="19"/>
      <c r="F98" s="20"/>
      <c r="G98" s="21">
        <f>IF(OR($B98="",$D98="",N($E98)&lt;=0),"",$D98/$E98)</f>
        <v>0</v>
      </c>
      <c r="H98" s="22">
        <f>IF($G98="","",$G98*IF($F98="",1,$F98))</f>
        <v>0</v>
      </c>
      <c r="I98" s="15"/>
    </row>
    <row r="99" spans="1:9">
      <c r="A99" s="13"/>
      <c r="B99" s="13"/>
      <c r="C99" s="17"/>
      <c r="D99" s="18"/>
      <c r="E99" s="19"/>
      <c r="F99" s="20"/>
      <c r="G99" s="21">
        <f>IF(OR($B99="",$D99="",N($E99)&lt;=0),"",$D99/$E99)</f>
        <v>0</v>
      </c>
      <c r="H99" s="22">
        <f>IF($G99="","",$G99*IF($F99="",1,$F99))</f>
        <v>0</v>
      </c>
      <c r="I99" s="15"/>
    </row>
    <row r="100" spans="1:9">
      <c r="A100" s="13"/>
      <c r="B100" s="13"/>
      <c r="C100" s="17"/>
      <c r="D100" s="18"/>
      <c r="E100" s="19"/>
      <c r="F100" s="20"/>
      <c r="G100" s="21">
        <f>IF(OR($B100="",$D100="",N($E100)&lt;=0),"",$D100/$E100)</f>
        <v>0</v>
      </c>
      <c r="H100" s="22">
        <f>IF($G100="","",$G100*IF($F100="",1,$F100))</f>
        <v>0</v>
      </c>
      <c r="I100" s="15"/>
    </row>
    <row r="101" spans="1:9">
      <c r="A101" s="13"/>
      <c r="B101" s="13"/>
      <c r="C101" s="17"/>
      <c r="D101" s="18"/>
      <c r="E101" s="19"/>
      <c r="F101" s="20"/>
      <c r="G101" s="21">
        <f>IF(OR($B101="",$D101="",N($E101)&lt;=0),"",$D101/$E101)</f>
        <v>0</v>
      </c>
      <c r="H101" s="22">
        <f>IF($G101="","",$G101*IF($F101="",1,$F101))</f>
        <v>0</v>
      </c>
      <c r="I101" s="15"/>
    </row>
    <row r="102" spans="1:9">
      <c r="A102" s="13"/>
      <c r="B102" s="13"/>
      <c r="C102" s="17"/>
      <c r="D102" s="18"/>
      <c r="E102" s="19"/>
      <c r="F102" s="20"/>
      <c r="G102" s="21">
        <f>IF(OR($B102="",$D102="",N($E102)&lt;=0),"",$D102/$E102)</f>
        <v>0</v>
      </c>
      <c r="H102" s="22">
        <f>IF($G102="","",$G102*IF($F102="",1,$F102))</f>
        <v>0</v>
      </c>
      <c r="I102" s="15"/>
    </row>
    <row r="103" spans="1:9">
      <c r="A103" s="13"/>
      <c r="B103" s="13"/>
      <c r="C103" s="17"/>
      <c r="D103" s="18"/>
      <c r="E103" s="19"/>
      <c r="F103" s="20"/>
      <c r="G103" s="21">
        <f>IF(OR($B103="",$D103="",N($E103)&lt;=0),"",$D103/$E103)</f>
        <v>0</v>
      </c>
      <c r="H103" s="22">
        <f>IF($G103="","",$G103*IF($F103="",1,$F103))</f>
        <v>0</v>
      </c>
      <c r="I103" s="15"/>
    </row>
    <row r="104" spans="1:9">
      <c r="A104" s="13"/>
      <c r="B104" s="13"/>
      <c r="C104" s="17"/>
      <c r="D104" s="18"/>
      <c r="E104" s="19"/>
      <c r="F104" s="20"/>
      <c r="G104" s="21">
        <f>IF(OR($B104="",$D104="",N($E104)&lt;=0),"",$D104/$E104)</f>
        <v>0</v>
      </c>
      <c r="H104" s="22">
        <f>IF($G104="","",$G104*IF($F104="",1,$F104))</f>
        <v>0</v>
      </c>
      <c r="I104" s="15"/>
    </row>
    <row r="105" spans="1:9">
      <c r="A105" s="13"/>
      <c r="B105" s="13"/>
      <c r="C105" s="17"/>
      <c r="D105" s="18"/>
      <c r="E105" s="19"/>
      <c r="F105" s="20"/>
      <c r="G105" s="21">
        <f>IF(OR($B105="",$D105="",N($E105)&lt;=0),"",$D105/$E105)</f>
        <v>0</v>
      </c>
      <c r="H105" s="22">
        <f>IF($G105="","",$G105*IF($F105="",1,$F105))</f>
        <v>0</v>
      </c>
      <c r="I105" s="15"/>
    </row>
    <row r="106" spans="1:9">
      <c r="A106" s="13"/>
      <c r="B106" s="13"/>
      <c r="C106" s="17"/>
      <c r="D106" s="18"/>
      <c r="E106" s="19"/>
      <c r="F106" s="20"/>
      <c r="G106" s="21">
        <f>IF(OR($B106="",$D106="",N($E106)&lt;=0),"",$D106/$E106)</f>
        <v>0</v>
      </c>
      <c r="H106" s="22">
        <f>IF($G106="","",$G106*IF($F106="",1,$F106))</f>
        <v>0</v>
      </c>
      <c r="I106" s="15"/>
    </row>
    <row r="107" spans="1:9">
      <c r="A107" s="13"/>
      <c r="B107" s="13"/>
      <c r="C107" s="17"/>
      <c r="D107" s="18"/>
      <c r="E107" s="19"/>
      <c r="F107" s="20"/>
      <c r="G107" s="21">
        <f>IF(OR($B107="",$D107="",N($E107)&lt;=0),"",$D107/$E107)</f>
        <v>0</v>
      </c>
      <c r="H107" s="22">
        <f>IF($G107="","",$G107*IF($F107="",1,$F107))</f>
        <v>0</v>
      </c>
      <c r="I107" s="15"/>
    </row>
    <row r="108" spans="1:9">
      <c r="A108" s="13"/>
      <c r="B108" s="13"/>
      <c r="C108" s="17"/>
      <c r="D108" s="18"/>
      <c r="E108" s="19"/>
      <c r="F108" s="20"/>
      <c r="G108" s="21">
        <f>IF(OR($B108="",$D108="",N($E108)&lt;=0),"",$D108/$E108)</f>
        <v>0</v>
      </c>
      <c r="H108" s="22">
        <f>IF($G108="","",$G108*IF($F108="",1,$F108))</f>
        <v>0</v>
      </c>
      <c r="I108" s="15"/>
    </row>
    <row r="109" spans="1:9">
      <c r="A109" s="13"/>
      <c r="B109" s="13"/>
      <c r="C109" s="17"/>
      <c r="D109" s="18"/>
      <c r="E109" s="19"/>
      <c r="F109" s="20"/>
      <c r="G109" s="21">
        <f>IF(OR($B109="",$D109="",N($E109)&lt;=0),"",$D109/$E109)</f>
        <v>0</v>
      </c>
      <c r="H109" s="22">
        <f>IF($G109="","",$G109*IF($F109="",1,$F109))</f>
        <v>0</v>
      </c>
      <c r="I109" s="15"/>
    </row>
    <row r="110" spans="1:9">
      <c r="A110" s="13"/>
      <c r="B110" s="13"/>
      <c r="C110" s="17"/>
      <c r="D110" s="18"/>
      <c r="E110" s="19"/>
      <c r="F110" s="20"/>
      <c r="G110" s="21">
        <f>IF(OR($B110="",$D110="",N($E110)&lt;=0),"",$D110/$E110)</f>
        <v>0</v>
      </c>
      <c r="H110" s="22">
        <f>IF($G110="","",$G110*IF($F110="",1,$F110))</f>
        <v>0</v>
      </c>
      <c r="I110" s="15"/>
    </row>
    <row r="111" spans="1:9">
      <c r="A111" s="13"/>
      <c r="B111" s="13"/>
      <c r="C111" s="17"/>
      <c r="D111" s="18"/>
      <c r="E111" s="19"/>
      <c r="F111" s="20"/>
      <c r="G111" s="21">
        <f>IF(OR($B111="",$D111="",N($E111)&lt;=0),"",$D111/$E111)</f>
        <v>0</v>
      </c>
      <c r="H111" s="22">
        <f>IF($G111="","",$G111*IF($F111="",1,$F111))</f>
        <v>0</v>
      </c>
      <c r="I111" s="15"/>
    </row>
    <row r="112" spans="1:9">
      <c r="A112" s="13"/>
      <c r="B112" s="13"/>
      <c r="C112" s="17"/>
      <c r="D112" s="18"/>
      <c r="E112" s="19"/>
      <c r="F112" s="20"/>
      <c r="G112" s="21">
        <f>IF(OR($B112="",$D112="",N($E112)&lt;=0),"",$D112/$E112)</f>
        <v>0</v>
      </c>
      <c r="H112" s="22">
        <f>IF($G112="","",$G112*IF($F112="",1,$F112))</f>
        <v>0</v>
      </c>
      <c r="I112" s="15"/>
    </row>
    <row r="113" spans="1:9">
      <c r="A113" s="13"/>
      <c r="B113" s="13"/>
      <c r="C113" s="17"/>
      <c r="D113" s="18"/>
      <c r="E113" s="19"/>
      <c r="F113" s="20"/>
      <c r="G113" s="21">
        <f>IF(OR($B113="",$D113="",N($E113)&lt;=0),"",$D113/$E113)</f>
        <v>0</v>
      </c>
      <c r="H113" s="22">
        <f>IF($G113="","",$G113*IF($F113="",1,$F113))</f>
        <v>0</v>
      </c>
      <c r="I113" s="15"/>
    </row>
    <row r="114" spans="1:9">
      <c r="A114" s="13"/>
      <c r="B114" s="13"/>
      <c r="C114" s="17"/>
      <c r="D114" s="18"/>
      <c r="E114" s="19"/>
      <c r="F114" s="20"/>
      <c r="G114" s="21">
        <f>IF(OR($B114="",$D114="",N($E114)&lt;=0),"",$D114/$E114)</f>
        <v>0</v>
      </c>
      <c r="H114" s="22">
        <f>IF($G114="","",$G114*IF($F114="",1,$F114))</f>
        <v>0</v>
      </c>
      <c r="I114" s="15"/>
    </row>
    <row r="115" spans="1:9">
      <c r="A115" s="13"/>
      <c r="B115" s="13"/>
      <c r="C115" s="17"/>
      <c r="D115" s="18"/>
      <c r="E115" s="19"/>
      <c r="F115" s="20"/>
      <c r="G115" s="21">
        <f>IF(OR($B115="",$D115="",N($E115)&lt;=0),"",$D115/$E115)</f>
        <v>0</v>
      </c>
      <c r="H115" s="22">
        <f>IF($G115="","",$G115*IF($F115="",1,$F115))</f>
        <v>0</v>
      </c>
      <c r="I115" s="15"/>
    </row>
    <row r="116" spans="1:9">
      <c r="A116" s="13"/>
      <c r="B116" s="13"/>
      <c r="C116" s="17"/>
      <c r="D116" s="18"/>
      <c r="E116" s="19"/>
      <c r="F116" s="20"/>
      <c r="G116" s="21">
        <f>IF(OR($B116="",$D116="",N($E116)&lt;=0),"",$D116/$E116)</f>
        <v>0</v>
      </c>
      <c r="H116" s="22">
        <f>IF($G116="","",$G116*IF($F116="",1,$F116))</f>
        <v>0</v>
      </c>
      <c r="I116" s="15"/>
    </row>
    <row r="117" spans="1:9">
      <c r="A117" s="13"/>
      <c r="B117" s="13"/>
      <c r="C117" s="17"/>
      <c r="D117" s="18"/>
      <c r="E117" s="19"/>
      <c r="F117" s="20"/>
      <c r="G117" s="21">
        <f>IF(OR($B117="",$D117="",N($E117)&lt;=0),"",$D117/$E117)</f>
        <v>0</v>
      </c>
      <c r="H117" s="22">
        <f>IF($G117="","",$G117*IF($F117="",1,$F117))</f>
        <v>0</v>
      </c>
      <c r="I117" s="15"/>
    </row>
    <row r="118" spans="1:9">
      <c r="A118" s="13"/>
      <c r="B118" s="13"/>
      <c r="C118" s="17"/>
      <c r="D118" s="18"/>
      <c r="E118" s="19"/>
      <c r="F118" s="20"/>
      <c r="G118" s="21">
        <f>IF(OR($B118="",$D118="",N($E118)&lt;=0),"",$D118/$E118)</f>
        <v>0</v>
      </c>
      <c r="H118" s="22">
        <f>IF($G118="","",$G118*IF($F118="",1,$F118))</f>
        <v>0</v>
      </c>
      <c r="I118" s="15"/>
    </row>
    <row r="119" spans="1:9">
      <c r="A119" s="13"/>
      <c r="B119" s="13"/>
      <c r="C119" s="17"/>
      <c r="D119" s="18"/>
      <c r="E119" s="19"/>
      <c r="F119" s="20"/>
      <c r="G119" s="21">
        <f>IF(OR($B119="",$D119="",N($E119)&lt;=0),"",$D119/$E119)</f>
        <v>0</v>
      </c>
      <c r="H119" s="22">
        <f>IF($G119="","",$G119*IF($F119="",1,$F119))</f>
        <v>0</v>
      </c>
      <c r="I119" s="15"/>
    </row>
    <row r="120" spans="1:9">
      <c r="A120" s="13"/>
      <c r="B120" s="13"/>
      <c r="C120" s="17"/>
      <c r="D120" s="18"/>
      <c r="E120" s="19"/>
      <c r="F120" s="20"/>
      <c r="G120" s="21">
        <f>IF(OR($B120="",$D120="",N($E120)&lt;=0),"",$D120/$E120)</f>
        <v>0</v>
      </c>
      <c r="H120" s="22">
        <f>IF($G120="","",$G120*IF($F120="",1,$F120))</f>
        <v>0</v>
      </c>
      <c r="I120" s="15"/>
    </row>
    <row r="121" spans="1:9">
      <c r="A121" s="13"/>
      <c r="B121" s="13"/>
      <c r="C121" s="17"/>
      <c r="D121" s="18"/>
      <c r="E121" s="19"/>
      <c r="F121" s="20"/>
      <c r="G121" s="21">
        <f>IF(OR($B121="",$D121="",N($E121)&lt;=0),"",$D121/$E121)</f>
        <v>0</v>
      </c>
      <c r="H121" s="22">
        <f>IF($G121="","",$G121*IF($F121="",1,$F121))</f>
        <v>0</v>
      </c>
      <c r="I121" s="15"/>
    </row>
    <row r="122" spans="1:9">
      <c r="A122" s="13"/>
      <c r="B122" s="13"/>
      <c r="C122" s="17"/>
      <c r="D122" s="18"/>
      <c r="E122" s="19"/>
      <c r="F122" s="20"/>
      <c r="G122" s="21">
        <f>IF(OR($B122="",$D122="",N($E122)&lt;=0),"",$D122/$E122)</f>
        <v>0</v>
      </c>
      <c r="H122" s="22">
        <f>IF($G122="","",$G122*IF($F122="",1,$F122))</f>
        <v>0</v>
      </c>
      <c r="I122" s="15"/>
    </row>
    <row r="123" spans="1:9">
      <c r="A123" s="13"/>
      <c r="B123" s="13"/>
      <c r="C123" s="17"/>
      <c r="D123" s="18"/>
      <c r="E123" s="19"/>
      <c r="F123" s="20"/>
      <c r="G123" s="21">
        <f>IF(OR($B123="",$D123="",N($E123)&lt;=0),"",$D123/$E123)</f>
        <v>0</v>
      </c>
      <c r="H123" s="22">
        <f>IF($G123="","",$G123*IF($F123="",1,$F123))</f>
        <v>0</v>
      </c>
      <c r="I123" s="15"/>
    </row>
    <row r="124" spans="1:9">
      <c r="A124" s="13"/>
      <c r="B124" s="13"/>
      <c r="C124" s="17"/>
      <c r="D124" s="18"/>
      <c r="E124" s="19"/>
      <c r="F124" s="20"/>
      <c r="G124" s="21">
        <f>IF(OR($B124="",$D124="",N($E124)&lt;=0),"",$D124/$E124)</f>
        <v>0</v>
      </c>
      <c r="H124" s="22">
        <f>IF($G124="","",$G124*IF($F124="",1,$F124))</f>
        <v>0</v>
      </c>
      <c r="I124" s="15"/>
    </row>
    <row r="125" spans="1:9">
      <c r="A125" s="13"/>
      <c r="B125" s="13"/>
      <c r="C125" s="17"/>
      <c r="D125" s="18"/>
      <c r="E125" s="19"/>
      <c r="F125" s="20"/>
      <c r="G125" s="21">
        <f>IF(OR($B125="",$D125="",N($E125)&lt;=0),"",$D125/$E125)</f>
        <v>0</v>
      </c>
      <c r="H125" s="22">
        <f>IF($G125="","",$G125*IF($F125="",1,$F125))</f>
        <v>0</v>
      </c>
      <c r="I125" s="15"/>
    </row>
    <row r="126" spans="1:9">
      <c r="A126" s="13"/>
      <c r="B126" s="13"/>
      <c r="C126" s="17"/>
      <c r="D126" s="18"/>
      <c r="E126" s="19"/>
      <c r="F126" s="20"/>
      <c r="G126" s="21">
        <f>IF(OR($B126="",$D126="",N($E126)&lt;=0),"",$D126/$E126)</f>
        <v>0</v>
      </c>
      <c r="H126" s="22">
        <f>IF($G126="","",$G126*IF($F126="",1,$F126))</f>
        <v>0</v>
      </c>
      <c r="I126" s="15"/>
    </row>
    <row r="127" spans="1:9">
      <c r="A127" s="13"/>
      <c r="B127" s="13"/>
      <c r="C127" s="17"/>
      <c r="D127" s="18"/>
      <c r="E127" s="19"/>
      <c r="F127" s="20"/>
      <c r="G127" s="21">
        <f>IF(OR($B127="",$D127="",N($E127)&lt;=0),"",$D127/$E127)</f>
        <v>0</v>
      </c>
      <c r="H127" s="22">
        <f>IF($G127="","",$G127*IF($F127="",1,$F127))</f>
        <v>0</v>
      </c>
      <c r="I127" s="15"/>
    </row>
    <row r="128" spans="1:9">
      <c r="A128" s="13"/>
      <c r="B128" s="13"/>
      <c r="C128" s="17"/>
      <c r="D128" s="18"/>
      <c r="E128" s="19"/>
      <c r="F128" s="20"/>
      <c r="G128" s="21">
        <f>IF(OR($B128="",$D128="",N($E128)&lt;=0),"",$D128/$E128)</f>
        <v>0</v>
      </c>
      <c r="H128" s="22">
        <f>IF($G128="","",$G128*IF($F128="",1,$F128))</f>
        <v>0</v>
      </c>
      <c r="I128" s="15"/>
    </row>
    <row r="129" spans="1:9">
      <c r="A129" s="13"/>
      <c r="B129" s="13"/>
      <c r="C129" s="17"/>
      <c r="D129" s="18"/>
      <c r="E129" s="19"/>
      <c r="F129" s="20"/>
      <c r="G129" s="21">
        <f>IF(OR($B129="",$D129="",N($E129)&lt;=0),"",$D129/$E129)</f>
        <v>0</v>
      </c>
      <c r="H129" s="22">
        <f>IF($G129="","",$G129*IF($F129="",1,$F129))</f>
        <v>0</v>
      </c>
      <c r="I129" s="15"/>
    </row>
    <row r="130" spans="1:9">
      <c r="A130" s="13"/>
      <c r="B130" s="13"/>
      <c r="C130" s="17"/>
      <c r="D130" s="18"/>
      <c r="E130" s="19"/>
      <c r="F130" s="20"/>
      <c r="G130" s="21">
        <f>IF(OR($B130="",$D130="",N($E130)&lt;=0),"",$D130/$E130)</f>
        <v>0</v>
      </c>
      <c r="H130" s="22">
        <f>IF($G130="","",$G130*IF($F130="",1,$F130))</f>
        <v>0</v>
      </c>
      <c r="I130" s="15"/>
    </row>
    <row r="131" spans="1:9">
      <c r="A131" s="13"/>
      <c r="B131" s="13"/>
      <c r="C131" s="17"/>
      <c r="D131" s="18"/>
      <c r="E131" s="19"/>
      <c r="F131" s="20"/>
      <c r="G131" s="21">
        <f>IF(OR($B131="",$D131="",N($E131)&lt;=0),"",$D131/$E131)</f>
        <v>0</v>
      </c>
      <c r="H131" s="22">
        <f>IF($G131="","",$G131*IF($F131="",1,$F131))</f>
        <v>0</v>
      </c>
      <c r="I131" s="15"/>
    </row>
    <row r="132" spans="1:9">
      <c r="A132" s="13"/>
      <c r="B132" s="13"/>
      <c r="C132" s="17"/>
      <c r="D132" s="18"/>
      <c r="E132" s="19"/>
      <c r="F132" s="20"/>
      <c r="G132" s="21">
        <f>IF(OR($B132="",$D132="",N($E132)&lt;=0),"",$D132/$E132)</f>
        <v>0</v>
      </c>
      <c r="H132" s="22">
        <f>IF($G132="","",$G132*IF($F132="",1,$F132))</f>
        <v>0</v>
      </c>
      <c r="I132" s="15"/>
    </row>
    <row r="133" spans="1:9">
      <c r="A133" s="13"/>
      <c r="B133" s="13"/>
      <c r="C133" s="17"/>
      <c r="D133" s="18"/>
      <c r="E133" s="19"/>
      <c r="F133" s="20"/>
      <c r="G133" s="21">
        <f>IF(OR($B133="",$D133="",N($E133)&lt;=0),"",$D133/$E133)</f>
        <v>0</v>
      </c>
      <c r="H133" s="22">
        <f>IF($G133="","",$G133*IF($F133="",1,$F133))</f>
        <v>0</v>
      </c>
      <c r="I133" s="15"/>
    </row>
    <row r="134" spans="1:9">
      <c r="A134" s="13"/>
      <c r="B134" s="13"/>
      <c r="C134" s="17"/>
      <c r="D134" s="18"/>
      <c r="E134" s="19"/>
      <c r="F134" s="20"/>
      <c r="G134" s="21">
        <f>IF(OR($B134="",$D134="",N($E134)&lt;=0),"",$D134/$E134)</f>
        <v>0</v>
      </c>
      <c r="H134" s="22">
        <f>IF($G134="","",$G134*IF($F134="",1,$F134))</f>
        <v>0</v>
      </c>
      <c r="I134" s="15"/>
    </row>
    <row r="135" spans="1:9">
      <c r="A135" s="13"/>
      <c r="B135" s="13"/>
      <c r="C135" s="17"/>
      <c r="D135" s="18"/>
      <c r="E135" s="19"/>
      <c r="F135" s="20"/>
      <c r="G135" s="21">
        <f>IF(OR($B135="",$D135="",N($E135)&lt;=0),"",$D135/$E135)</f>
        <v>0</v>
      </c>
      <c r="H135" s="22">
        <f>IF($G135="","",$G135*IF($F135="",1,$F135))</f>
        <v>0</v>
      </c>
      <c r="I135" s="15"/>
    </row>
    <row r="136" spans="1:9">
      <c r="A136" s="13"/>
      <c r="B136" s="13"/>
      <c r="C136" s="17"/>
      <c r="D136" s="18"/>
      <c r="E136" s="19"/>
      <c r="F136" s="20"/>
      <c r="G136" s="21">
        <f>IF(OR($B136="",$D136="",N($E136)&lt;=0),"",$D136/$E136)</f>
        <v>0</v>
      </c>
      <c r="H136" s="22">
        <f>IF($G136="","",$G136*IF($F136="",1,$F136))</f>
        <v>0</v>
      </c>
      <c r="I136" s="15"/>
    </row>
    <row r="137" spans="1:9">
      <c r="A137" s="13"/>
      <c r="B137" s="13"/>
      <c r="C137" s="17"/>
      <c r="D137" s="18"/>
      <c r="E137" s="19"/>
      <c r="F137" s="20"/>
      <c r="G137" s="21">
        <f>IF(OR($B137="",$D137="",N($E137)&lt;=0),"",$D137/$E137)</f>
        <v>0</v>
      </c>
      <c r="H137" s="22">
        <f>IF($G137="","",$G137*IF($F137="",1,$F137))</f>
        <v>0</v>
      </c>
      <c r="I137" s="15"/>
    </row>
    <row r="138" spans="1:9">
      <c r="A138" s="13"/>
      <c r="B138" s="13"/>
      <c r="C138" s="17"/>
      <c r="D138" s="18"/>
      <c r="E138" s="19"/>
      <c r="F138" s="20"/>
      <c r="G138" s="21">
        <f>IF(OR($B138="",$D138="",N($E138)&lt;=0),"",$D138/$E138)</f>
        <v>0</v>
      </c>
      <c r="H138" s="22">
        <f>IF($G138="","",$G138*IF($F138="",1,$F138))</f>
        <v>0</v>
      </c>
      <c r="I138" s="15"/>
    </row>
    <row r="139" spans="1:9">
      <c r="A139" s="13"/>
      <c r="B139" s="13"/>
      <c r="C139" s="17"/>
      <c r="D139" s="18"/>
      <c r="E139" s="19"/>
      <c r="F139" s="20"/>
      <c r="G139" s="21">
        <f>IF(OR($B139="",$D139="",N($E139)&lt;=0),"",$D139/$E139)</f>
        <v>0</v>
      </c>
      <c r="H139" s="22">
        <f>IF($G139="","",$G139*IF($F139="",1,$F139))</f>
        <v>0</v>
      </c>
      <c r="I139" s="15"/>
    </row>
    <row r="140" spans="1:9">
      <c r="A140" s="13"/>
      <c r="B140" s="13"/>
      <c r="C140" s="17"/>
      <c r="D140" s="18"/>
      <c r="E140" s="19"/>
      <c r="F140" s="20"/>
      <c r="G140" s="21">
        <f>IF(OR($B140="",$D140="",N($E140)&lt;=0),"",$D140/$E140)</f>
        <v>0</v>
      </c>
      <c r="H140" s="22">
        <f>IF($G140="","",$G140*IF($F140="",1,$F140))</f>
        <v>0</v>
      </c>
      <c r="I140" s="15"/>
    </row>
    <row r="141" spans="1:9">
      <c r="A141" s="13"/>
      <c r="B141" s="13"/>
      <c r="C141" s="17"/>
      <c r="D141" s="18"/>
      <c r="E141" s="19"/>
      <c r="F141" s="20"/>
      <c r="G141" s="21">
        <f>IF(OR($B141="",$D141="",N($E141)&lt;=0),"",$D141/$E141)</f>
        <v>0</v>
      </c>
      <c r="H141" s="22">
        <f>IF($G141="","",$G141*IF($F141="",1,$F141))</f>
        <v>0</v>
      </c>
      <c r="I141" s="15"/>
    </row>
    <row r="142" spans="1:9">
      <c r="A142" s="13"/>
      <c r="B142" s="13"/>
      <c r="C142" s="17"/>
      <c r="D142" s="18"/>
      <c r="E142" s="19"/>
      <c r="F142" s="20"/>
      <c r="G142" s="21">
        <f>IF(OR($B142="",$D142="",N($E142)&lt;=0),"",$D142/$E142)</f>
        <v>0</v>
      </c>
      <c r="H142" s="22">
        <f>IF($G142="","",$G142*IF($F142="",1,$F142))</f>
        <v>0</v>
      </c>
      <c r="I142" s="15"/>
    </row>
    <row r="143" spans="1:9">
      <c r="A143" s="13"/>
      <c r="B143" s="13"/>
      <c r="C143" s="17"/>
      <c r="D143" s="18"/>
      <c r="E143" s="19"/>
      <c r="F143" s="20"/>
      <c r="G143" s="21">
        <f>IF(OR($B143="",$D143="",N($E143)&lt;=0),"",$D143/$E143)</f>
        <v>0</v>
      </c>
      <c r="H143" s="22">
        <f>IF($G143="","",$G143*IF($F143="",1,$F143))</f>
        <v>0</v>
      </c>
      <c r="I143" s="15"/>
    </row>
    <row r="144" spans="1:9">
      <c r="A144" s="13"/>
      <c r="B144" s="13"/>
      <c r="C144" s="17"/>
      <c r="D144" s="18"/>
      <c r="E144" s="19"/>
      <c r="F144" s="20"/>
      <c r="G144" s="21">
        <f>IF(OR($B144="",$D144="",N($E144)&lt;=0),"",$D144/$E144)</f>
        <v>0</v>
      </c>
      <c r="H144" s="22">
        <f>IF($G144="","",$G144*IF($F144="",1,$F144))</f>
        <v>0</v>
      </c>
      <c r="I144" s="15"/>
    </row>
    <row r="145" spans="1:9">
      <c r="A145" s="13"/>
      <c r="B145" s="13"/>
      <c r="C145" s="17"/>
      <c r="D145" s="18"/>
      <c r="E145" s="19"/>
      <c r="F145" s="20"/>
      <c r="G145" s="21">
        <f>IF(OR($B145="",$D145="",N($E145)&lt;=0),"",$D145/$E145)</f>
        <v>0</v>
      </c>
      <c r="H145" s="22">
        <f>IF($G145="","",$G145*IF($F145="",1,$F145))</f>
        <v>0</v>
      </c>
      <c r="I145" s="15"/>
    </row>
    <row r="146" spans="1:9">
      <c r="A146" s="13"/>
      <c r="B146" s="13"/>
      <c r="C146" s="17"/>
      <c r="D146" s="18"/>
      <c r="E146" s="19"/>
      <c r="F146" s="20"/>
      <c r="G146" s="21">
        <f>IF(OR($B146="",$D146="",N($E146)&lt;=0),"",$D146/$E146)</f>
        <v>0</v>
      </c>
      <c r="H146" s="22">
        <f>IF($G146="","",$G146*IF($F146="",1,$F146))</f>
        <v>0</v>
      </c>
      <c r="I146" s="15"/>
    </row>
    <row r="147" spans="1:9">
      <c r="A147" s="13"/>
      <c r="B147" s="13"/>
      <c r="C147" s="17"/>
      <c r="D147" s="18"/>
      <c r="E147" s="19"/>
      <c r="F147" s="20"/>
      <c r="G147" s="21">
        <f>IF(OR($B147="",$D147="",N($E147)&lt;=0),"",$D147/$E147)</f>
        <v>0</v>
      </c>
      <c r="H147" s="22">
        <f>IF($G147="","",$G147*IF($F147="",1,$F147))</f>
        <v>0</v>
      </c>
      <c r="I147" s="15"/>
    </row>
    <row r="148" spans="1:9">
      <c r="A148" s="13"/>
      <c r="B148" s="13"/>
      <c r="C148" s="17"/>
      <c r="D148" s="18"/>
      <c r="E148" s="19"/>
      <c r="F148" s="20"/>
      <c r="G148" s="21">
        <f>IF(OR($B148="",$D148="",N($E148)&lt;=0),"",$D148/$E148)</f>
        <v>0</v>
      </c>
      <c r="H148" s="22">
        <f>IF($G148="","",$G148*IF($F148="",1,$F148))</f>
        <v>0</v>
      </c>
      <c r="I148" s="15"/>
    </row>
    <row r="149" spans="1:9">
      <c r="A149" s="13"/>
      <c r="B149" s="13"/>
      <c r="C149" s="17"/>
      <c r="D149" s="18"/>
      <c r="E149" s="19"/>
      <c r="F149" s="20"/>
      <c r="G149" s="21">
        <f>IF(OR($B149="",$D149="",N($E149)&lt;=0),"",$D149/$E149)</f>
        <v>0</v>
      </c>
      <c r="H149" s="22">
        <f>IF($G149="","",$G149*IF($F149="",1,$F149))</f>
        <v>0</v>
      </c>
      <c r="I149" s="15"/>
    </row>
    <row r="150" spans="1:9">
      <c r="A150" s="13"/>
      <c r="B150" s="13"/>
      <c r="C150" s="17"/>
      <c r="D150" s="18"/>
      <c r="E150" s="19"/>
      <c r="F150" s="20"/>
      <c r="G150" s="21">
        <f>IF(OR($B150="",$D150="",N($E150)&lt;=0),"",$D150/$E150)</f>
        <v>0</v>
      </c>
      <c r="H150" s="22">
        <f>IF($G150="","",$G150*IF($F150="",1,$F150))</f>
        <v>0</v>
      </c>
      <c r="I150" s="15"/>
    </row>
    <row r="151" spans="1:9">
      <c r="A151" s="13"/>
      <c r="B151" s="13"/>
      <c r="C151" s="17"/>
      <c r="D151" s="18"/>
      <c r="E151" s="19"/>
      <c r="F151" s="20"/>
      <c r="G151" s="21">
        <f>IF(OR($B151="",$D151="",N($E151)&lt;=0),"",$D151/$E151)</f>
        <v>0</v>
      </c>
      <c r="H151" s="22">
        <f>IF($G151="","",$G151*IF($F151="",1,$F151))</f>
        <v>0</v>
      </c>
      <c r="I151" s="15"/>
    </row>
    <row r="152" spans="1:9">
      <c r="A152" s="13"/>
      <c r="B152" s="13"/>
      <c r="C152" s="17"/>
      <c r="D152" s="18"/>
      <c r="E152" s="19"/>
      <c r="F152" s="20"/>
      <c r="G152" s="21">
        <f>IF(OR($B152="",$D152="",N($E152)&lt;=0),"",$D152/$E152)</f>
        <v>0</v>
      </c>
      <c r="H152" s="22">
        <f>IF($G152="","",$G152*IF($F152="",1,$F152))</f>
        <v>0</v>
      </c>
      <c r="I152" s="15"/>
    </row>
    <row r="153" spans="1:9">
      <c r="A153" s="13"/>
      <c r="B153" s="13"/>
      <c r="C153" s="17"/>
      <c r="D153" s="18"/>
      <c r="E153" s="19"/>
      <c r="F153" s="20"/>
      <c r="G153" s="21">
        <f>IF(OR($B153="",$D153="",N($E153)&lt;=0),"",$D153/$E153)</f>
        <v>0</v>
      </c>
      <c r="H153" s="22">
        <f>IF($G153="","",$G153*IF($F153="",1,$F153))</f>
        <v>0</v>
      </c>
      <c r="I153" s="15"/>
    </row>
    <row r="154" spans="1:9">
      <c r="A154" s="13"/>
      <c r="B154" s="13"/>
      <c r="C154" s="17"/>
      <c r="D154" s="18"/>
      <c r="E154" s="19"/>
      <c r="F154" s="20"/>
      <c r="G154" s="21">
        <f>IF(OR($B154="",$D154="",N($E154)&lt;=0),"",$D154/$E154)</f>
        <v>0</v>
      </c>
      <c r="H154" s="22">
        <f>IF($G154="","",$G154*IF($F154="",1,$F154))</f>
        <v>0</v>
      </c>
      <c r="I154" s="15"/>
    </row>
    <row r="155" spans="1:9">
      <c r="A155" s="13"/>
      <c r="B155" s="13"/>
      <c r="C155" s="17"/>
      <c r="D155" s="18"/>
      <c r="E155" s="19"/>
      <c r="F155" s="20"/>
      <c r="G155" s="21">
        <f>IF(OR($B155="",$D155="",N($E155)&lt;=0),"",$D155/$E155)</f>
        <v>0</v>
      </c>
      <c r="H155" s="22">
        <f>IF($G155="","",$G155*IF($F155="",1,$F155))</f>
        <v>0</v>
      </c>
      <c r="I155" s="15"/>
    </row>
    <row r="156" spans="1:9">
      <c r="A156" s="13"/>
      <c r="B156" s="13"/>
      <c r="C156" s="17"/>
      <c r="D156" s="18"/>
      <c r="E156" s="19"/>
      <c r="F156" s="20"/>
      <c r="G156" s="21">
        <f>IF(OR($B156="",$D156="",N($E156)&lt;=0),"",$D156/$E156)</f>
        <v>0</v>
      </c>
      <c r="H156" s="22">
        <f>IF($G156="","",$G156*IF($F156="",1,$F156))</f>
        <v>0</v>
      </c>
      <c r="I156" s="15"/>
    </row>
    <row r="157" spans="1:9">
      <c r="A157" s="13"/>
      <c r="B157" s="13"/>
      <c r="C157" s="17"/>
      <c r="D157" s="18"/>
      <c r="E157" s="19"/>
      <c r="F157" s="20"/>
      <c r="G157" s="21">
        <f>IF(OR($B157="",$D157="",N($E157)&lt;=0),"",$D157/$E157)</f>
        <v>0</v>
      </c>
      <c r="H157" s="22">
        <f>IF($G157="","",$G157*IF($F157="",1,$F157))</f>
        <v>0</v>
      </c>
      <c r="I157" s="15"/>
    </row>
    <row r="158" spans="1:9">
      <c r="A158" s="13"/>
      <c r="B158" s="13"/>
      <c r="C158" s="17"/>
      <c r="D158" s="18"/>
      <c r="E158" s="19"/>
      <c r="F158" s="20"/>
      <c r="G158" s="21">
        <f>IF(OR($B158="",$D158="",N($E158)&lt;=0),"",$D158/$E158)</f>
        <v>0</v>
      </c>
      <c r="H158" s="22">
        <f>IF($G158="","",$G158*IF($F158="",1,$F158))</f>
        <v>0</v>
      </c>
      <c r="I158" s="15"/>
    </row>
    <row r="159" spans="1:9">
      <c r="A159" s="13"/>
      <c r="B159" s="13"/>
      <c r="C159" s="17"/>
      <c r="D159" s="18"/>
      <c r="E159" s="19"/>
      <c r="F159" s="20"/>
      <c r="G159" s="21">
        <f>IF(OR($B159="",$D159="",N($E159)&lt;=0),"",$D159/$E159)</f>
        <v>0</v>
      </c>
      <c r="H159" s="22">
        <f>IF($G159="","",$G159*IF($F159="",1,$F159))</f>
        <v>0</v>
      </c>
      <c r="I159" s="15"/>
    </row>
    <row r="160" spans="1:9">
      <c r="A160" s="13"/>
      <c r="B160" s="13"/>
      <c r="C160" s="17"/>
      <c r="D160" s="18"/>
      <c r="E160" s="19"/>
      <c r="F160" s="20"/>
      <c r="G160" s="21">
        <f>IF(OR($B160="",$D160="",N($E160)&lt;=0),"",$D160/$E160)</f>
        <v>0</v>
      </c>
      <c r="H160" s="22">
        <f>IF($G160="","",$G160*IF($F160="",1,$F160))</f>
        <v>0</v>
      </c>
      <c r="I160" s="15"/>
    </row>
    <row r="161" spans="1:9">
      <c r="A161" s="13"/>
      <c r="B161" s="13"/>
      <c r="C161" s="17"/>
      <c r="D161" s="18"/>
      <c r="E161" s="19"/>
      <c r="F161" s="20"/>
      <c r="G161" s="21">
        <f>IF(OR($B161="",$D161="",N($E161)&lt;=0),"",$D161/$E161)</f>
        <v>0</v>
      </c>
      <c r="H161" s="22">
        <f>IF($G161="","",$G161*IF($F161="",1,$F161))</f>
        <v>0</v>
      </c>
      <c r="I161" s="15"/>
    </row>
    <row r="162" spans="1:9">
      <c r="A162" s="13"/>
      <c r="B162" s="13"/>
      <c r="C162" s="17"/>
      <c r="D162" s="18"/>
      <c r="E162" s="19"/>
      <c r="F162" s="20"/>
      <c r="G162" s="21">
        <f>IF(OR($B162="",$D162="",N($E162)&lt;=0),"",$D162/$E162)</f>
        <v>0</v>
      </c>
      <c r="H162" s="22">
        <f>IF($G162="","",$G162*IF($F162="",1,$F162))</f>
        <v>0</v>
      </c>
      <c r="I162" s="15"/>
    </row>
    <row r="163" spans="1:9">
      <c r="A163" s="13"/>
      <c r="B163" s="13"/>
      <c r="C163" s="17"/>
      <c r="D163" s="18"/>
      <c r="E163" s="19"/>
      <c r="F163" s="20"/>
      <c r="G163" s="21">
        <f>IF(OR($B163="",$D163="",N($E163)&lt;=0),"",$D163/$E163)</f>
        <v>0</v>
      </c>
      <c r="H163" s="22">
        <f>IF($G163="","",$G163*IF($F163="",1,$F163))</f>
        <v>0</v>
      </c>
      <c r="I163" s="15"/>
    </row>
    <row r="164" spans="1:9">
      <c r="A164" s="13"/>
      <c r="B164" s="13"/>
      <c r="C164" s="17"/>
      <c r="D164" s="18"/>
      <c r="E164" s="19"/>
      <c r="F164" s="20"/>
      <c r="G164" s="21">
        <f>IF(OR($B164="",$D164="",N($E164)&lt;=0),"",$D164/$E164)</f>
        <v>0</v>
      </c>
      <c r="H164" s="22">
        <f>IF($G164="","",$G164*IF($F164="",1,$F164))</f>
        <v>0</v>
      </c>
      <c r="I164" s="15"/>
    </row>
    <row r="165" spans="1:9">
      <c r="A165" s="13"/>
      <c r="B165" s="13"/>
      <c r="C165" s="17"/>
      <c r="D165" s="18"/>
      <c r="E165" s="19"/>
      <c r="F165" s="20"/>
      <c r="G165" s="21">
        <f>IF(OR($B165="",$D165="",N($E165)&lt;=0),"",$D165/$E165)</f>
        <v>0</v>
      </c>
      <c r="H165" s="22">
        <f>IF($G165="","",$G165*IF($F165="",1,$F165))</f>
        <v>0</v>
      </c>
      <c r="I165" s="15"/>
    </row>
    <row r="166" spans="1:9">
      <c r="A166" s="13"/>
      <c r="B166" s="13"/>
      <c r="C166" s="17"/>
      <c r="D166" s="18"/>
      <c r="E166" s="19"/>
      <c r="F166" s="20"/>
      <c r="G166" s="21">
        <f>IF(OR($B166="",$D166="",N($E166)&lt;=0),"",$D166/$E166)</f>
        <v>0</v>
      </c>
      <c r="H166" s="22">
        <f>IF($G166="","",$G166*IF($F166="",1,$F166))</f>
        <v>0</v>
      </c>
      <c r="I166" s="15"/>
    </row>
    <row r="167" spans="1:9">
      <c r="A167" s="13"/>
      <c r="B167" s="13"/>
      <c r="C167" s="17"/>
      <c r="D167" s="18"/>
      <c r="E167" s="19"/>
      <c r="F167" s="20"/>
      <c r="G167" s="21">
        <f>IF(OR($B167="",$D167="",N($E167)&lt;=0),"",$D167/$E167)</f>
        <v>0</v>
      </c>
      <c r="H167" s="22">
        <f>IF($G167="","",$G167*IF($F167="",1,$F167))</f>
        <v>0</v>
      </c>
      <c r="I167" s="15"/>
    </row>
    <row r="168" spans="1:9">
      <c r="A168" s="13"/>
      <c r="B168" s="13"/>
      <c r="C168" s="17"/>
      <c r="D168" s="18"/>
      <c r="E168" s="19"/>
      <c r="F168" s="20"/>
      <c r="G168" s="21">
        <f>IF(OR($B168="",$D168="",N($E168)&lt;=0),"",$D168/$E168)</f>
        <v>0</v>
      </c>
      <c r="H168" s="22">
        <f>IF($G168="","",$G168*IF($F168="",1,$F168))</f>
        <v>0</v>
      </c>
      <c r="I168" s="15"/>
    </row>
    <row r="169" spans="1:9">
      <c r="A169" s="13"/>
      <c r="B169" s="13"/>
      <c r="C169" s="17"/>
      <c r="D169" s="18"/>
      <c r="E169" s="19"/>
      <c r="F169" s="20"/>
      <c r="G169" s="21">
        <f>IF(OR($B169="",$D169="",N($E169)&lt;=0),"",$D169/$E169)</f>
        <v>0</v>
      </c>
      <c r="H169" s="22">
        <f>IF($G169="","",$G169*IF($F169="",1,$F169))</f>
        <v>0</v>
      </c>
      <c r="I169" s="15"/>
    </row>
    <row r="170" spans="1:9">
      <c r="A170" s="13"/>
      <c r="B170" s="13"/>
      <c r="C170" s="17"/>
      <c r="D170" s="18"/>
      <c r="E170" s="19"/>
      <c r="F170" s="20"/>
      <c r="G170" s="21">
        <f>IF(OR($B170="",$D170="",N($E170)&lt;=0),"",$D170/$E170)</f>
        <v>0</v>
      </c>
      <c r="H170" s="22">
        <f>IF($G170="","",$G170*IF($F170="",1,$F170))</f>
        <v>0</v>
      </c>
      <c r="I170" s="15"/>
    </row>
    <row r="171" spans="1:9">
      <c r="A171" s="13"/>
      <c r="B171" s="13"/>
      <c r="C171" s="17"/>
      <c r="D171" s="18"/>
      <c r="E171" s="19"/>
      <c r="F171" s="20"/>
      <c r="G171" s="21">
        <f>IF(OR($B171="",$D171="",N($E171)&lt;=0),"",$D171/$E171)</f>
        <v>0</v>
      </c>
      <c r="H171" s="22">
        <f>IF($G171="","",$G171*IF($F171="",1,$F171))</f>
        <v>0</v>
      </c>
      <c r="I171" s="15"/>
    </row>
    <row r="172" spans="1:9">
      <c r="A172" s="13"/>
      <c r="B172" s="13"/>
      <c r="C172" s="17"/>
      <c r="D172" s="18"/>
      <c r="E172" s="19"/>
      <c r="F172" s="20"/>
      <c r="G172" s="21">
        <f>IF(OR($B172="",$D172="",N($E172)&lt;=0),"",$D172/$E172)</f>
        <v>0</v>
      </c>
      <c r="H172" s="22">
        <f>IF($G172="","",$G172*IF($F172="",1,$F172))</f>
        <v>0</v>
      </c>
      <c r="I172" s="15"/>
    </row>
    <row r="173" spans="1:9">
      <c r="A173" s="13"/>
      <c r="B173" s="13"/>
      <c r="C173" s="17"/>
      <c r="D173" s="18"/>
      <c r="E173" s="19"/>
      <c r="F173" s="20"/>
      <c r="G173" s="21">
        <f>IF(OR($B173="",$D173="",N($E173)&lt;=0),"",$D173/$E173)</f>
        <v>0</v>
      </c>
      <c r="H173" s="22">
        <f>IF($G173="","",$G173*IF($F173="",1,$F173))</f>
        <v>0</v>
      </c>
      <c r="I173" s="15"/>
    </row>
    <row r="174" spans="1:9">
      <c r="A174" s="13"/>
      <c r="B174" s="13"/>
      <c r="C174" s="17"/>
      <c r="D174" s="18"/>
      <c r="E174" s="19"/>
      <c r="F174" s="20"/>
      <c r="G174" s="21">
        <f>IF(OR($B174="",$D174="",N($E174)&lt;=0),"",$D174/$E174)</f>
        <v>0</v>
      </c>
      <c r="H174" s="22">
        <f>IF($G174="","",$G174*IF($F174="",1,$F174))</f>
        <v>0</v>
      </c>
      <c r="I174" s="15"/>
    </row>
    <row r="175" spans="1:9">
      <c r="A175" s="13"/>
      <c r="B175" s="13"/>
      <c r="C175" s="17"/>
      <c r="D175" s="18"/>
      <c r="E175" s="19"/>
      <c r="F175" s="20"/>
      <c r="G175" s="21">
        <f>IF(OR($B175="",$D175="",N($E175)&lt;=0),"",$D175/$E175)</f>
        <v>0</v>
      </c>
      <c r="H175" s="22">
        <f>IF($G175="","",$G175*IF($F175="",1,$F175))</f>
        <v>0</v>
      </c>
      <c r="I175" s="15"/>
    </row>
    <row r="176" spans="1:9">
      <c r="A176" s="13"/>
      <c r="B176" s="13"/>
      <c r="C176" s="17"/>
      <c r="D176" s="18"/>
      <c r="E176" s="19"/>
      <c r="F176" s="20"/>
      <c r="G176" s="21">
        <f>IF(OR($B176="",$D176="",N($E176)&lt;=0),"",$D176/$E176)</f>
        <v>0</v>
      </c>
      <c r="H176" s="22">
        <f>IF($G176="","",$G176*IF($F176="",1,$F176))</f>
        <v>0</v>
      </c>
      <c r="I176" s="15"/>
    </row>
    <row r="177" spans="1:9">
      <c r="A177" s="13"/>
      <c r="B177" s="13"/>
      <c r="C177" s="17"/>
      <c r="D177" s="18"/>
      <c r="E177" s="19"/>
      <c r="F177" s="20"/>
      <c r="G177" s="21">
        <f>IF(OR($B177="",$D177="",N($E177)&lt;=0),"",$D177/$E177)</f>
        <v>0</v>
      </c>
      <c r="H177" s="22">
        <f>IF($G177="","",$G177*IF($F177="",1,$F177))</f>
        <v>0</v>
      </c>
      <c r="I177" s="15"/>
    </row>
    <row r="178" spans="1:9">
      <c r="A178" s="13"/>
      <c r="B178" s="13"/>
      <c r="C178" s="17"/>
      <c r="D178" s="18"/>
      <c r="E178" s="19"/>
      <c r="F178" s="20"/>
      <c r="G178" s="21">
        <f>IF(OR($B178="",$D178="",N($E178)&lt;=0),"",$D178/$E178)</f>
        <v>0</v>
      </c>
      <c r="H178" s="22">
        <f>IF($G178="","",$G178*IF($F178="",1,$F178))</f>
        <v>0</v>
      </c>
      <c r="I178" s="15"/>
    </row>
    <row r="179" spans="1:9">
      <c r="A179" s="13"/>
      <c r="B179" s="13"/>
      <c r="C179" s="17"/>
      <c r="D179" s="18"/>
      <c r="E179" s="19"/>
      <c r="F179" s="20"/>
      <c r="G179" s="21">
        <f>IF(OR($B179="",$D179="",N($E179)&lt;=0),"",$D179/$E179)</f>
        <v>0</v>
      </c>
      <c r="H179" s="22">
        <f>IF($G179="","",$G179*IF($F179="",1,$F179))</f>
        <v>0</v>
      </c>
      <c r="I179" s="15"/>
    </row>
    <row r="180" spans="1:9">
      <c r="A180" s="13"/>
      <c r="B180" s="13"/>
      <c r="C180" s="17"/>
      <c r="D180" s="18"/>
      <c r="E180" s="19"/>
      <c r="F180" s="20"/>
      <c r="G180" s="21">
        <f>IF(OR($B180="",$D180="",N($E180)&lt;=0),"",$D180/$E180)</f>
        <v>0</v>
      </c>
      <c r="H180" s="22">
        <f>IF($G180="","",$G180*IF($F180="",1,$F180))</f>
        <v>0</v>
      </c>
      <c r="I180" s="15"/>
    </row>
    <row r="181" spans="1:9">
      <c r="A181" s="13"/>
      <c r="B181" s="13"/>
      <c r="C181" s="17"/>
      <c r="D181" s="18"/>
      <c r="E181" s="19"/>
      <c r="F181" s="20"/>
      <c r="G181" s="21">
        <f>IF(OR($B181="",$D181="",N($E181)&lt;=0),"",$D181/$E181)</f>
        <v>0</v>
      </c>
      <c r="H181" s="22">
        <f>IF($G181="","",$G181*IF($F181="",1,$F181))</f>
        <v>0</v>
      </c>
      <c r="I181" s="15"/>
    </row>
    <row r="182" spans="1:9">
      <c r="A182" s="13"/>
      <c r="B182" s="13"/>
      <c r="C182" s="17"/>
      <c r="D182" s="18"/>
      <c r="E182" s="19"/>
      <c r="F182" s="20"/>
      <c r="G182" s="21">
        <f>IF(OR($B182="",$D182="",N($E182)&lt;=0),"",$D182/$E182)</f>
        <v>0</v>
      </c>
      <c r="H182" s="22">
        <f>IF($G182="","",$G182*IF($F182="",1,$F182))</f>
        <v>0</v>
      </c>
      <c r="I182" s="15"/>
    </row>
    <row r="183" spans="1:9">
      <c r="A183" s="13"/>
      <c r="B183" s="13"/>
      <c r="C183" s="17"/>
      <c r="D183" s="18"/>
      <c r="E183" s="19"/>
      <c r="F183" s="20"/>
      <c r="G183" s="21">
        <f>IF(OR($B183="",$D183="",N($E183)&lt;=0),"",$D183/$E183)</f>
        <v>0</v>
      </c>
      <c r="H183" s="22">
        <f>IF($G183="","",$G183*IF($F183="",1,$F183))</f>
        <v>0</v>
      </c>
      <c r="I183" s="15"/>
    </row>
    <row r="184" spans="1:9">
      <c r="A184" s="13"/>
      <c r="B184" s="13"/>
      <c r="C184" s="17"/>
      <c r="D184" s="18"/>
      <c r="E184" s="19"/>
      <c r="F184" s="20"/>
      <c r="G184" s="21">
        <f>IF(OR($B184="",$D184="",N($E184)&lt;=0),"",$D184/$E184)</f>
        <v>0</v>
      </c>
      <c r="H184" s="22">
        <f>IF($G184="","",$G184*IF($F184="",1,$F184))</f>
        <v>0</v>
      </c>
      <c r="I184" s="15"/>
    </row>
    <row r="185" spans="1:9">
      <c r="A185" s="13"/>
      <c r="B185" s="13"/>
      <c r="C185" s="17"/>
      <c r="D185" s="18"/>
      <c r="E185" s="19"/>
      <c r="F185" s="20"/>
      <c r="G185" s="21">
        <f>IF(OR($B185="",$D185="",N($E185)&lt;=0),"",$D185/$E185)</f>
        <v>0</v>
      </c>
      <c r="H185" s="22">
        <f>IF($G185="","",$G185*IF($F185="",1,$F185))</f>
        <v>0</v>
      </c>
      <c r="I185" s="15"/>
    </row>
    <row r="186" spans="1:9">
      <c r="A186" s="13"/>
      <c r="B186" s="13"/>
      <c r="C186" s="17"/>
      <c r="D186" s="18"/>
      <c r="E186" s="19"/>
      <c r="F186" s="20"/>
      <c r="G186" s="21">
        <f>IF(OR($B186="",$D186="",N($E186)&lt;=0),"",$D186/$E186)</f>
        <v>0</v>
      </c>
      <c r="H186" s="22">
        <f>IF($G186="","",$G186*IF($F186="",1,$F186))</f>
        <v>0</v>
      </c>
      <c r="I186" s="15"/>
    </row>
    <row r="187" spans="1:9">
      <c r="A187" s="13"/>
      <c r="B187" s="13"/>
      <c r="C187" s="17"/>
      <c r="D187" s="18"/>
      <c r="E187" s="19"/>
      <c r="F187" s="20"/>
      <c r="G187" s="21">
        <f>IF(OR($B187="",$D187="",N($E187)&lt;=0),"",$D187/$E187)</f>
        <v>0</v>
      </c>
      <c r="H187" s="22">
        <f>IF($G187="","",$G187*IF($F187="",1,$F187))</f>
        <v>0</v>
      </c>
      <c r="I187" s="15"/>
    </row>
    <row r="188" spans="1:9">
      <c r="A188" s="13"/>
      <c r="B188" s="13"/>
      <c r="C188" s="17"/>
      <c r="D188" s="18"/>
      <c r="E188" s="19"/>
      <c r="F188" s="20"/>
      <c r="G188" s="21">
        <f>IF(OR($B188="",$D188="",N($E188)&lt;=0),"",$D188/$E188)</f>
        <v>0</v>
      </c>
      <c r="H188" s="22">
        <f>IF($G188="","",$G188*IF($F188="",1,$F188))</f>
        <v>0</v>
      </c>
      <c r="I188" s="15"/>
    </row>
    <row r="189" spans="1:9">
      <c r="A189" s="13"/>
      <c r="B189" s="13"/>
      <c r="C189" s="17"/>
      <c r="D189" s="18"/>
      <c r="E189" s="19"/>
      <c r="F189" s="20"/>
      <c r="G189" s="21">
        <f>IF(OR($B189="",$D189="",N($E189)&lt;=0),"",$D189/$E189)</f>
        <v>0</v>
      </c>
      <c r="H189" s="22">
        <f>IF($G189="","",$G189*IF($F189="",1,$F189))</f>
        <v>0</v>
      </c>
      <c r="I189" s="15"/>
    </row>
    <row r="190" spans="1:9">
      <c r="A190" s="13"/>
      <c r="B190" s="13"/>
      <c r="C190" s="17"/>
      <c r="D190" s="18"/>
      <c r="E190" s="19"/>
      <c r="F190" s="20"/>
      <c r="G190" s="21">
        <f>IF(OR($B190="",$D190="",N($E190)&lt;=0),"",$D190/$E190)</f>
        <v>0</v>
      </c>
      <c r="H190" s="22">
        <f>IF($G190="","",$G190*IF($F190="",1,$F190))</f>
        <v>0</v>
      </c>
      <c r="I190" s="15"/>
    </row>
    <row r="191" spans="1:9">
      <c r="A191" s="13"/>
      <c r="B191" s="13"/>
      <c r="C191" s="17"/>
      <c r="D191" s="18"/>
      <c r="E191" s="19"/>
      <c r="F191" s="20"/>
      <c r="G191" s="21">
        <f>IF(OR($B191="",$D191="",N($E191)&lt;=0),"",$D191/$E191)</f>
        <v>0</v>
      </c>
      <c r="H191" s="22">
        <f>IF($G191="","",$G191*IF($F191="",1,$F191))</f>
        <v>0</v>
      </c>
      <c r="I191" s="15"/>
    </row>
    <row r="192" spans="1:9">
      <c r="A192" s="13"/>
      <c r="B192" s="13"/>
      <c r="C192" s="17"/>
      <c r="D192" s="18"/>
      <c r="E192" s="19"/>
      <c r="F192" s="20"/>
      <c r="G192" s="21">
        <f>IF(OR($B192="",$D192="",N($E192)&lt;=0),"",$D192/$E192)</f>
        <v>0</v>
      </c>
      <c r="H192" s="22">
        <f>IF($G192="","",$G192*IF($F192="",1,$F192))</f>
        <v>0</v>
      </c>
      <c r="I192" s="15"/>
    </row>
    <row r="193" spans="1:9">
      <c r="A193" s="13"/>
      <c r="B193" s="13"/>
      <c r="C193" s="17"/>
      <c r="D193" s="18"/>
      <c r="E193" s="19"/>
      <c r="F193" s="20"/>
      <c r="G193" s="21">
        <f>IF(OR($B193="",$D193="",N($E193)&lt;=0),"",$D193/$E193)</f>
        <v>0</v>
      </c>
      <c r="H193" s="22">
        <f>IF($G193="","",$G193*IF($F193="",1,$F193))</f>
        <v>0</v>
      </c>
      <c r="I193" s="15"/>
    </row>
    <row r="194" spans="1:9">
      <c r="A194" s="13"/>
      <c r="B194" s="13"/>
      <c r="C194" s="17"/>
      <c r="D194" s="18"/>
      <c r="E194" s="19"/>
      <c r="F194" s="20"/>
      <c r="G194" s="21">
        <f>IF(OR($B194="",$D194="",N($E194)&lt;=0),"",$D194/$E194)</f>
        <v>0</v>
      </c>
      <c r="H194" s="22">
        <f>IF($G194="","",$G194*IF($F194="",1,$F194))</f>
        <v>0</v>
      </c>
      <c r="I194" s="15"/>
    </row>
    <row r="195" spans="1:9">
      <c r="A195" s="13"/>
      <c r="B195" s="13"/>
      <c r="C195" s="17"/>
      <c r="D195" s="18"/>
      <c r="E195" s="19"/>
      <c r="F195" s="20"/>
      <c r="G195" s="21">
        <f>IF(OR($B195="",$D195="",N($E195)&lt;=0),"",$D195/$E195)</f>
        <v>0</v>
      </c>
      <c r="H195" s="22">
        <f>IF($G195="","",$G195*IF($F195="",1,$F195))</f>
        <v>0</v>
      </c>
      <c r="I195" s="15"/>
    </row>
    <row r="196" spans="1:9">
      <c r="A196" s="13"/>
      <c r="B196" s="13"/>
      <c r="C196" s="17"/>
      <c r="D196" s="18"/>
      <c r="E196" s="19"/>
      <c r="F196" s="20"/>
      <c r="G196" s="21">
        <f>IF(OR($B196="",$D196="",N($E196)&lt;=0),"",$D196/$E196)</f>
        <v>0</v>
      </c>
      <c r="H196" s="22">
        <f>IF($G196="","",$G196*IF($F196="",1,$F196))</f>
        <v>0</v>
      </c>
      <c r="I196" s="15"/>
    </row>
    <row r="197" spans="1:9">
      <c r="A197" s="13"/>
      <c r="B197" s="13"/>
      <c r="C197" s="17"/>
      <c r="D197" s="18"/>
      <c r="E197" s="19"/>
      <c r="F197" s="20"/>
      <c r="G197" s="21">
        <f>IF(OR($B197="",$D197="",N($E197)&lt;=0),"",$D197/$E197)</f>
        <v>0</v>
      </c>
      <c r="H197" s="22">
        <f>IF($G197="","",$G197*IF($F197="",1,$F197))</f>
        <v>0</v>
      </c>
      <c r="I197" s="15"/>
    </row>
    <row r="198" spans="1:9">
      <c r="A198" s="13"/>
      <c r="B198" s="13"/>
      <c r="C198" s="17"/>
      <c r="D198" s="18"/>
      <c r="E198" s="19"/>
      <c r="F198" s="20"/>
      <c r="G198" s="21">
        <f>IF(OR($B198="",$D198="",N($E198)&lt;=0),"",$D198/$E198)</f>
        <v>0</v>
      </c>
      <c r="H198" s="22">
        <f>IF($G198="","",$G198*IF($F198="",1,$F198))</f>
        <v>0</v>
      </c>
      <c r="I198" s="15"/>
    </row>
    <row r="199" spans="1:9">
      <c r="A199" s="13"/>
      <c r="B199" s="13"/>
      <c r="C199" s="17"/>
      <c r="D199" s="18"/>
      <c r="E199" s="19"/>
      <c r="F199" s="20"/>
      <c r="G199" s="21">
        <f>IF(OR($B199="",$D199="",N($E199)&lt;=0),"",$D199/$E199)</f>
        <v>0</v>
      </c>
      <c r="H199" s="22">
        <f>IF($G199="","",$G199*IF($F199="",1,$F199))</f>
        <v>0</v>
      </c>
      <c r="I199" s="15"/>
    </row>
    <row r="200" spans="1:9">
      <c r="A200" s="13"/>
      <c r="B200" s="13"/>
      <c r="C200" s="17"/>
      <c r="D200" s="18"/>
      <c r="E200" s="19"/>
      <c r="F200" s="20"/>
      <c r="G200" s="21">
        <f>IF(OR($B200="",$D200="",N($E200)&lt;=0),"",$D200/$E200)</f>
        <v>0</v>
      </c>
      <c r="H200" s="22">
        <f>IF($G200="","",$G200*IF($F200="",1,$F200))</f>
        <v>0</v>
      </c>
      <c r="I200" s="15"/>
    </row>
    <row r="201" spans="1:9">
      <c r="A201" s="13"/>
      <c r="B201" s="13"/>
      <c r="C201" s="17"/>
      <c r="D201" s="18"/>
      <c r="E201" s="19"/>
      <c r="F201" s="20"/>
      <c r="G201" s="21">
        <f>IF(OR($B201="",$D201="",N($E201)&lt;=0),"",$D201/$E201)</f>
        <v>0</v>
      </c>
      <c r="H201" s="22">
        <f>IF($G201="","",$G201*IF($F201="",1,$F201))</f>
        <v>0</v>
      </c>
      <c r="I201" s="15"/>
    </row>
    <row r="202" spans="1:9">
      <c r="A202" s="13"/>
      <c r="B202" s="13"/>
      <c r="C202" s="17"/>
      <c r="D202" s="18"/>
      <c r="E202" s="19"/>
      <c r="F202" s="20"/>
      <c r="G202" s="21">
        <f>IF(OR($B202="",$D202="",N($E202)&lt;=0),"",$D202/$E202)</f>
        <v>0</v>
      </c>
      <c r="H202" s="22">
        <f>IF($G202="","",$G202*IF($F202="",1,$F202))</f>
        <v>0</v>
      </c>
      <c r="I202" s="15"/>
    </row>
    <row r="203" spans="1:9">
      <c r="A203" s="13"/>
      <c r="B203" s="13"/>
      <c r="C203" s="17"/>
      <c r="D203" s="18"/>
      <c r="E203" s="19"/>
      <c r="F203" s="20"/>
      <c r="G203" s="21">
        <f>IF(OR($B203="",$D203="",N($E203)&lt;=0),"",$D203/$E203)</f>
        <v>0</v>
      </c>
      <c r="H203" s="22">
        <f>IF($G203="","",$G203*IF($F203="",1,$F203))</f>
        <v>0</v>
      </c>
      <c r="I203" s="15"/>
    </row>
    <row r="204" spans="1:9">
      <c r="A204" s="13"/>
      <c r="B204" s="13"/>
      <c r="C204" s="17"/>
      <c r="D204" s="18"/>
      <c r="E204" s="19"/>
      <c r="F204" s="20"/>
      <c r="G204" s="21">
        <f>IF(OR($B204="",$D204="",N($E204)&lt;=0),"",$D204/$E204)</f>
        <v>0</v>
      </c>
      <c r="H204" s="22">
        <f>IF($G204="","",$G204*IF($F204="",1,$F204))</f>
        <v>0</v>
      </c>
      <c r="I204" s="15"/>
    </row>
    <row r="205" spans="1:9">
      <c r="A205" s="13"/>
      <c r="B205" s="13"/>
      <c r="C205" s="17"/>
      <c r="D205" s="18"/>
      <c r="E205" s="19"/>
      <c r="F205" s="20"/>
      <c r="G205" s="21">
        <f>IF(OR($B205="",$D205="",N($E205)&lt;=0),"",$D205/$E205)</f>
        <v>0</v>
      </c>
      <c r="H205" s="22">
        <f>IF($G205="","",$G205*IF($F205="",1,$F205))</f>
        <v>0</v>
      </c>
      <c r="I205" s="15"/>
    </row>
    <row r="206" spans="1:9">
      <c r="A206" s="13"/>
      <c r="B206" s="13"/>
      <c r="C206" s="17"/>
      <c r="D206" s="18"/>
      <c r="E206" s="19"/>
      <c r="F206" s="20"/>
      <c r="G206" s="21">
        <f>IF(OR($B206="",$D206="",N($E206)&lt;=0),"",$D206/$E206)</f>
        <v>0</v>
      </c>
      <c r="H206" s="22">
        <f>IF($G206="","",$G206*IF($F206="",1,$F206))</f>
        <v>0</v>
      </c>
      <c r="I206" s="15"/>
    </row>
    <row r="207" spans="1:9">
      <c r="A207" s="13"/>
      <c r="B207" s="13"/>
      <c r="C207" s="17"/>
      <c r="D207" s="18"/>
      <c r="E207" s="19"/>
      <c r="F207" s="20"/>
      <c r="G207" s="21">
        <f>IF(OR($B207="",$D207="",N($E207)&lt;=0),"",$D207/$E207)</f>
        <v>0</v>
      </c>
      <c r="H207" s="22">
        <f>IF($G207="","",$G207*IF($F207="",1,$F207))</f>
        <v>0</v>
      </c>
      <c r="I207" s="15"/>
    </row>
    <row r="208" spans="1:9">
      <c r="A208" s="13"/>
      <c r="B208" s="13"/>
      <c r="C208" s="17"/>
      <c r="D208" s="18"/>
      <c r="E208" s="19"/>
      <c r="F208" s="20"/>
      <c r="G208" s="21">
        <f>IF(OR($B208="",$D208="",N($E208)&lt;=0),"",$D208/$E208)</f>
        <v>0</v>
      </c>
      <c r="H208" s="22">
        <f>IF($G208="","",$G208*IF($F208="",1,$F208))</f>
        <v>0</v>
      </c>
      <c r="I208" s="15"/>
    </row>
    <row r="209" spans="1:9">
      <c r="A209" s="13"/>
      <c r="B209" s="13"/>
      <c r="C209" s="17"/>
      <c r="D209" s="18"/>
      <c r="E209" s="19"/>
      <c r="F209" s="20"/>
      <c r="G209" s="21">
        <f>IF(OR($B209="",$D209="",N($E209)&lt;=0),"",$D209/$E209)</f>
        <v>0</v>
      </c>
      <c r="H209" s="22">
        <f>IF($G209="","",$G209*IF($F209="",1,$F209))</f>
        <v>0</v>
      </c>
      <c r="I209" s="15"/>
    </row>
    <row r="210" spans="1:9">
      <c r="A210" s="13"/>
      <c r="B210" s="13"/>
      <c r="C210" s="17"/>
      <c r="D210" s="18"/>
      <c r="E210" s="19"/>
      <c r="F210" s="20"/>
      <c r="G210" s="21">
        <f>IF(OR($B210="",$D210="",N($E210)&lt;=0),"",$D210/$E210)</f>
        <v>0</v>
      </c>
      <c r="H210" s="22">
        <f>IF($G210="","",$G210*IF($F210="",1,$F210))</f>
        <v>0</v>
      </c>
      <c r="I210" s="15"/>
    </row>
    <row r="211" spans="1:9">
      <c r="A211" s="13"/>
      <c r="B211" s="13"/>
      <c r="C211" s="17"/>
      <c r="D211" s="18"/>
      <c r="E211" s="19"/>
      <c r="F211" s="20"/>
      <c r="G211" s="21">
        <f>IF(OR($B211="",$D211="",N($E211)&lt;=0),"",$D211/$E211)</f>
        <v>0</v>
      </c>
      <c r="H211" s="22">
        <f>IF($G211="","",$G211*IF($F211="",1,$F211))</f>
        <v>0</v>
      </c>
      <c r="I211" s="15"/>
    </row>
    <row r="212" spans="1:9">
      <c r="A212" s="13"/>
      <c r="B212" s="13"/>
      <c r="C212" s="17"/>
      <c r="D212" s="18"/>
      <c r="E212" s="19"/>
      <c r="F212" s="20"/>
      <c r="G212" s="21">
        <f>IF(OR($B212="",$D212="",N($E212)&lt;=0),"",$D212/$E212)</f>
        <v>0</v>
      </c>
      <c r="H212" s="22">
        <f>IF($G212="","",$G212*IF($F212="",1,$F212))</f>
        <v>0</v>
      </c>
      <c r="I212" s="15"/>
    </row>
    <row r="213" spans="1:9">
      <c r="A213" s="13"/>
      <c r="B213" s="13"/>
      <c r="C213" s="17"/>
      <c r="D213" s="18"/>
      <c r="E213" s="19"/>
      <c r="F213" s="20"/>
      <c r="G213" s="21">
        <f>IF(OR($B213="",$D213="",N($E213)&lt;=0),"",$D213/$E213)</f>
        <v>0</v>
      </c>
      <c r="H213" s="22">
        <f>IF($G213="","",$G213*IF($F213="",1,$F213))</f>
        <v>0</v>
      </c>
      <c r="I213" s="15"/>
    </row>
    <row r="214" spans="1:9">
      <c r="A214" s="13"/>
      <c r="B214" s="13"/>
      <c r="C214" s="17"/>
      <c r="D214" s="18"/>
      <c r="E214" s="19"/>
      <c r="F214" s="20"/>
      <c r="G214" s="21">
        <f>IF(OR($B214="",$D214="",N($E214)&lt;=0),"",$D214/$E214)</f>
        <v>0</v>
      </c>
      <c r="H214" s="22">
        <f>IF($G214="","",$G214*IF($F214="",1,$F214))</f>
        <v>0</v>
      </c>
      <c r="I214" s="15"/>
    </row>
    <row r="215" spans="1:9">
      <c r="A215" s="13"/>
      <c r="B215" s="13"/>
      <c r="C215" s="17"/>
      <c r="D215" s="18"/>
      <c r="E215" s="19"/>
      <c r="F215" s="20"/>
      <c r="G215" s="21">
        <f>IF(OR($B215="",$D215="",N($E215)&lt;=0),"",$D215/$E215)</f>
        <v>0</v>
      </c>
      <c r="H215" s="22">
        <f>IF($G215="","",$G215*IF($F215="",1,$F215))</f>
        <v>0</v>
      </c>
      <c r="I215" s="15"/>
    </row>
    <row r="216" spans="1:9">
      <c r="A216" s="13"/>
      <c r="B216" s="13"/>
      <c r="C216" s="17"/>
      <c r="D216" s="18"/>
      <c r="E216" s="19"/>
      <c r="F216" s="20"/>
      <c r="G216" s="21">
        <f>IF(OR($B216="",$D216="",N($E216)&lt;=0),"",$D216/$E216)</f>
        <v>0</v>
      </c>
      <c r="H216" s="22">
        <f>IF($G216="","",$G216*IF($F216="",1,$F216))</f>
        <v>0</v>
      </c>
      <c r="I216" s="15"/>
    </row>
    <row r="217" spans="1:9">
      <c r="A217" s="13"/>
      <c r="B217" s="13"/>
      <c r="C217" s="17"/>
      <c r="D217" s="18"/>
      <c r="E217" s="19"/>
      <c r="F217" s="20"/>
      <c r="G217" s="21">
        <f>IF(OR($B217="",$D217="",N($E217)&lt;=0),"",$D217/$E217)</f>
        <v>0</v>
      </c>
      <c r="H217" s="22">
        <f>IF($G217="","",$G217*IF($F217="",1,$F217))</f>
        <v>0</v>
      </c>
      <c r="I217" s="15"/>
    </row>
    <row r="218" spans="1:9">
      <c r="A218" s="13"/>
      <c r="B218" s="13"/>
      <c r="C218" s="17"/>
      <c r="D218" s="18"/>
      <c r="E218" s="19"/>
      <c r="F218" s="20"/>
      <c r="G218" s="21">
        <f>IF(OR($B218="",$D218="",N($E218)&lt;=0),"",$D218/$E218)</f>
        <v>0</v>
      </c>
      <c r="H218" s="22">
        <f>IF($G218="","",$G218*IF($F218="",1,$F218))</f>
        <v>0</v>
      </c>
      <c r="I218" s="15"/>
    </row>
    <row r="219" spans="1:9">
      <c r="A219" s="13"/>
      <c r="B219" s="13"/>
      <c r="C219" s="17"/>
      <c r="D219" s="18"/>
      <c r="E219" s="19"/>
      <c r="F219" s="20"/>
      <c r="G219" s="21">
        <f>IF(OR($B219="",$D219="",N($E219)&lt;=0),"",$D219/$E219)</f>
        <v>0</v>
      </c>
      <c r="H219" s="22">
        <f>IF($G219="","",$G219*IF($F219="",1,$F219))</f>
        <v>0</v>
      </c>
      <c r="I219" s="15"/>
    </row>
    <row r="220" spans="1:9">
      <c r="A220" s="13"/>
      <c r="B220" s="13"/>
      <c r="C220" s="17"/>
      <c r="D220" s="18"/>
      <c r="E220" s="19"/>
      <c r="F220" s="20"/>
      <c r="G220" s="21">
        <f>IF(OR($B220="",$D220="",N($E220)&lt;=0),"",$D220/$E220)</f>
        <v>0</v>
      </c>
      <c r="H220" s="22">
        <f>IF($G220="","",$G220*IF($F220="",1,$F220))</f>
        <v>0</v>
      </c>
      <c r="I220" s="15"/>
    </row>
    <row r="221" spans="1:9">
      <c r="A221" s="13"/>
      <c r="B221" s="13"/>
      <c r="C221" s="17"/>
      <c r="D221" s="18"/>
      <c r="E221" s="19"/>
      <c r="F221" s="20"/>
      <c r="G221" s="21">
        <f>IF(OR($B221="",$D221="",N($E221)&lt;=0),"",$D221/$E221)</f>
        <v>0</v>
      </c>
      <c r="H221" s="22">
        <f>IF($G221="","",$G221*IF($F221="",1,$F221))</f>
        <v>0</v>
      </c>
      <c r="I221" s="15"/>
    </row>
    <row r="222" spans="1:9">
      <c r="A222" s="13"/>
      <c r="B222" s="13"/>
      <c r="C222" s="17"/>
      <c r="D222" s="18"/>
      <c r="E222" s="19"/>
      <c r="F222" s="20"/>
      <c r="G222" s="21">
        <f>IF(OR($B222="",$D222="",N($E222)&lt;=0),"",$D222/$E222)</f>
        <v>0</v>
      </c>
      <c r="H222" s="22">
        <f>IF($G222="","",$G222*IF($F222="",1,$F222))</f>
        <v>0</v>
      </c>
      <c r="I222" s="15"/>
    </row>
    <row r="223" spans="1:9">
      <c r="A223" s="13"/>
      <c r="B223" s="13"/>
      <c r="C223" s="17"/>
      <c r="D223" s="18"/>
      <c r="E223" s="19"/>
      <c r="F223" s="20"/>
      <c r="G223" s="21">
        <f>IF(OR($B223="",$D223="",N($E223)&lt;=0),"",$D223/$E223)</f>
        <v>0</v>
      </c>
      <c r="H223" s="22">
        <f>IF($G223="","",$G223*IF($F223="",1,$F223))</f>
        <v>0</v>
      </c>
      <c r="I223" s="15"/>
    </row>
    <row r="224" spans="1:9">
      <c r="A224" s="13"/>
      <c r="B224" s="13"/>
      <c r="C224" s="17"/>
      <c r="D224" s="18"/>
      <c r="E224" s="19"/>
      <c r="F224" s="20"/>
      <c r="G224" s="21">
        <f>IF(OR($B224="",$D224="",N($E224)&lt;=0),"",$D224/$E224)</f>
        <v>0</v>
      </c>
      <c r="H224" s="22">
        <f>IF($G224="","",$G224*IF($F224="",1,$F224))</f>
        <v>0</v>
      </c>
      <c r="I224" s="15"/>
    </row>
    <row r="225" spans="1:9">
      <c r="A225" s="13"/>
      <c r="B225" s="13"/>
      <c r="C225" s="17"/>
      <c r="D225" s="18"/>
      <c r="E225" s="19"/>
      <c r="F225" s="20"/>
      <c r="G225" s="21">
        <f>IF(OR($B225="",$D225="",N($E225)&lt;=0),"",$D225/$E225)</f>
        <v>0</v>
      </c>
      <c r="H225" s="22">
        <f>IF($G225="","",$G225*IF($F225="",1,$F225))</f>
        <v>0</v>
      </c>
      <c r="I225" s="15"/>
    </row>
    <row r="226" spans="1:9">
      <c r="A226" s="13"/>
      <c r="B226" s="13"/>
      <c r="C226" s="17"/>
      <c r="D226" s="18"/>
      <c r="E226" s="19"/>
      <c r="F226" s="20"/>
      <c r="G226" s="21">
        <f>IF(OR($B226="",$D226="",N($E226)&lt;=0),"",$D226/$E226)</f>
        <v>0</v>
      </c>
      <c r="H226" s="22">
        <f>IF($G226="","",$G226*IF($F226="",1,$F226))</f>
        <v>0</v>
      </c>
      <c r="I226" s="15"/>
    </row>
    <row r="227" spans="1:9">
      <c r="A227" s="13"/>
      <c r="B227" s="13"/>
      <c r="C227" s="17"/>
      <c r="D227" s="18"/>
      <c r="E227" s="19"/>
      <c r="F227" s="20"/>
      <c r="G227" s="21">
        <f>IF(OR($B227="",$D227="",N($E227)&lt;=0),"",$D227/$E227)</f>
        <v>0</v>
      </c>
      <c r="H227" s="22">
        <f>IF($G227="","",$G227*IF($F227="",1,$F227))</f>
        <v>0</v>
      </c>
      <c r="I227" s="15"/>
    </row>
    <row r="228" spans="1:9">
      <c r="A228" s="13"/>
      <c r="B228" s="13"/>
      <c r="C228" s="17"/>
      <c r="D228" s="18"/>
      <c r="E228" s="19"/>
      <c r="F228" s="20"/>
      <c r="G228" s="21">
        <f>IF(OR($B228="",$D228="",N($E228)&lt;=0),"",$D228/$E228)</f>
        <v>0</v>
      </c>
      <c r="H228" s="22">
        <f>IF($G228="","",$G228*IF($F228="",1,$F228))</f>
        <v>0</v>
      </c>
      <c r="I228" s="15"/>
    </row>
    <row r="229" spans="1:9">
      <c r="A229" s="13"/>
      <c r="B229" s="13"/>
      <c r="C229" s="17"/>
      <c r="D229" s="18"/>
      <c r="E229" s="19"/>
      <c r="F229" s="20"/>
      <c r="G229" s="21">
        <f>IF(OR($B229="",$D229="",N($E229)&lt;=0),"",$D229/$E229)</f>
        <v>0</v>
      </c>
      <c r="H229" s="22">
        <f>IF($G229="","",$G229*IF($F229="",1,$F229))</f>
        <v>0</v>
      </c>
      <c r="I229" s="15"/>
    </row>
    <row r="230" spans="1:9">
      <c r="A230" s="13"/>
      <c r="B230" s="13"/>
      <c r="C230" s="17"/>
      <c r="D230" s="18"/>
      <c r="E230" s="19"/>
      <c r="F230" s="20"/>
      <c r="G230" s="21">
        <f>IF(OR($B230="",$D230="",N($E230)&lt;=0),"",$D230/$E230)</f>
        <v>0</v>
      </c>
      <c r="H230" s="22">
        <f>IF($G230="","",$G230*IF($F230="",1,$F230))</f>
        <v>0</v>
      </c>
      <c r="I230" s="15"/>
    </row>
    <row r="231" spans="1:9">
      <c r="A231" s="13"/>
      <c r="B231" s="13"/>
      <c r="C231" s="17"/>
      <c r="D231" s="18"/>
      <c r="E231" s="19"/>
      <c r="F231" s="20"/>
      <c r="G231" s="21">
        <f>IF(OR($B231="",$D231="",N($E231)&lt;=0),"",$D231/$E231)</f>
        <v>0</v>
      </c>
      <c r="H231" s="22">
        <f>IF($G231="","",$G231*IF($F231="",1,$F231))</f>
        <v>0</v>
      </c>
      <c r="I231" s="15"/>
    </row>
    <row r="232" spans="1:9">
      <c r="A232" s="13"/>
      <c r="B232" s="13"/>
      <c r="C232" s="17"/>
      <c r="D232" s="18"/>
      <c r="E232" s="19"/>
      <c r="F232" s="20"/>
      <c r="G232" s="21">
        <f>IF(OR($B232="",$D232="",N($E232)&lt;=0),"",$D232/$E232)</f>
        <v>0</v>
      </c>
      <c r="H232" s="22">
        <f>IF($G232="","",$G232*IF($F232="",1,$F232))</f>
        <v>0</v>
      </c>
      <c r="I232" s="15"/>
    </row>
    <row r="233" spans="1:9">
      <c r="A233" s="13"/>
      <c r="B233" s="13"/>
      <c r="C233" s="17"/>
      <c r="D233" s="18"/>
      <c r="E233" s="19"/>
      <c r="F233" s="20"/>
      <c r="G233" s="21">
        <f>IF(OR($B233="",$D233="",N($E233)&lt;=0),"",$D233/$E233)</f>
        <v>0</v>
      </c>
      <c r="H233" s="22">
        <f>IF($G233="","",$G233*IF($F233="",1,$F233))</f>
        <v>0</v>
      </c>
      <c r="I233" s="15"/>
    </row>
    <row r="234" spans="1:9">
      <c r="A234" s="13"/>
      <c r="B234" s="13"/>
      <c r="C234" s="17"/>
      <c r="D234" s="18"/>
      <c r="E234" s="19"/>
      <c r="F234" s="20"/>
      <c r="G234" s="21">
        <f>IF(OR($B234="",$D234="",N($E234)&lt;=0),"",$D234/$E234)</f>
        <v>0</v>
      </c>
      <c r="H234" s="22">
        <f>IF($G234="","",$G234*IF($F234="",1,$F234))</f>
        <v>0</v>
      </c>
      <c r="I234" s="15"/>
    </row>
    <row r="235" spans="1:9">
      <c r="A235" s="13"/>
      <c r="B235" s="13"/>
      <c r="C235" s="17"/>
      <c r="D235" s="18"/>
      <c r="E235" s="19"/>
      <c r="F235" s="20"/>
      <c r="G235" s="21">
        <f>IF(OR($B235="",$D235="",N($E235)&lt;=0),"",$D235/$E235)</f>
        <v>0</v>
      </c>
      <c r="H235" s="22">
        <f>IF($G235="","",$G235*IF($F235="",1,$F235))</f>
        <v>0</v>
      </c>
      <c r="I235" s="15"/>
    </row>
    <row r="236" spans="1:9">
      <c r="A236" s="13"/>
      <c r="B236" s="13"/>
      <c r="C236" s="17"/>
      <c r="D236" s="18"/>
      <c r="E236" s="19"/>
      <c r="F236" s="20"/>
      <c r="G236" s="21">
        <f>IF(OR($B236="",$D236="",N($E236)&lt;=0),"",$D236/$E236)</f>
        <v>0</v>
      </c>
      <c r="H236" s="22">
        <f>IF($G236="","",$G236*IF($F236="",1,$F236))</f>
        <v>0</v>
      </c>
      <c r="I236" s="15"/>
    </row>
    <row r="237" spans="1:9">
      <c r="A237" s="13"/>
      <c r="B237" s="13"/>
      <c r="C237" s="17"/>
      <c r="D237" s="18"/>
      <c r="E237" s="19"/>
      <c r="F237" s="20"/>
      <c r="G237" s="21">
        <f>IF(OR($B237="",$D237="",N($E237)&lt;=0),"",$D237/$E237)</f>
        <v>0</v>
      </c>
      <c r="H237" s="22">
        <f>IF($G237="","",$G237*IF($F237="",1,$F237))</f>
        <v>0</v>
      </c>
      <c r="I237" s="15"/>
    </row>
    <row r="238" spans="1:9">
      <c r="A238" s="13"/>
      <c r="B238" s="13"/>
      <c r="C238" s="17"/>
      <c r="D238" s="18"/>
      <c r="E238" s="19"/>
      <c r="F238" s="20"/>
      <c r="G238" s="21">
        <f>IF(OR($B238="",$D238="",N($E238)&lt;=0),"",$D238/$E238)</f>
        <v>0</v>
      </c>
      <c r="H238" s="22">
        <f>IF($G238="","",$G238*IF($F238="",1,$F238))</f>
        <v>0</v>
      </c>
      <c r="I238" s="15"/>
    </row>
    <row r="239" spans="1:9">
      <c r="A239" s="13"/>
      <c r="B239" s="13"/>
      <c r="C239" s="17"/>
      <c r="D239" s="18"/>
      <c r="E239" s="19"/>
      <c r="F239" s="20"/>
      <c r="G239" s="21">
        <f>IF(OR($B239="",$D239="",N($E239)&lt;=0),"",$D239/$E239)</f>
        <v>0</v>
      </c>
      <c r="H239" s="22">
        <f>IF($G239="","",$G239*IF($F239="",1,$F239))</f>
        <v>0</v>
      </c>
      <c r="I239" s="15"/>
    </row>
    <row r="240" spans="1:9">
      <c r="A240" s="13"/>
      <c r="B240" s="13"/>
      <c r="C240" s="17"/>
      <c r="D240" s="18"/>
      <c r="E240" s="19"/>
      <c r="F240" s="20"/>
      <c r="G240" s="21">
        <f>IF(OR($B240="",$D240="",N($E240)&lt;=0),"",$D240/$E240)</f>
        <v>0</v>
      </c>
      <c r="H240" s="22">
        <f>IF($G240="","",$G240*IF($F240="",1,$F240))</f>
        <v>0</v>
      </c>
      <c r="I240" s="15"/>
    </row>
    <row r="241" spans="1:9">
      <c r="A241" s="13"/>
      <c r="B241" s="13"/>
      <c r="C241" s="17"/>
      <c r="D241" s="18"/>
      <c r="E241" s="19"/>
      <c r="F241" s="20"/>
      <c r="G241" s="21">
        <f>IF(OR($B241="",$D241="",N($E241)&lt;=0),"",$D241/$E241)</f>
        <v>0</v>
      </c>
      <c r="H241" s="22">
        <f>IF($G241="","",$G241*IF($F241="",1,$F241))</f>
        <v>0</v>
      </c>
      <c r="I241" s="15"/>
    </row>
    <row r="242" spans="1:9">
      <c r="A242" s="13"/>
      <c r="B242" s="13"/>
      <c r="C242" s="17"/>
      <c r="D242" s="18"/>
      <c r="E242" s="19"/>
      <c r="F242" s="20"/>
      <c r="G242" s="21">
        <f>IF(OR($B242="",$D242="",N($E242)&lt;=0),"",$D242/$E242)</f>
        <v>0</v>
      </c>
      <c r="H242" s="22">
        <f>IF($G242="","",$G242*IF($F242="",1,$F242))</f>
        <v>0</v>
      </c>
      <c r="I242" s="15"/>
    </row>
    <row r="243" spans="1:9">
      <c r="A243" s="13"/>
      <c r="B243" s="13"/>
      <c r="C243" s="17"/>
      <c r="D243" s="18"/>
      <c r="E243" s="19"/>
      <c r="F243" s="20"/>
      <c r="G243" s="21">
        <f>IF(OR($B243="",$D243="",N($E243)&lt;=0),"",$D243/$E243)</f>
        <v>0</v>
      </c>
      <c r="H243" s="22">
        <f>IF($G243="","",$G243*IF($F243="",1,$F243))</f>
        <v>0</v>
      </c>
      <c r="I243" s="15"/>
    </row>
    <row r="244" spans="1:9">
      <c r="A244" s="13"/>
      <c r="B244" s="13"/>
      <c r="C244" s="17"/>
      <c r="D244" s="18"/>
      <c r="E244" s="19"/>
      <c r="F244" s="20"/>
      <c r="G244" s="21">
        <f>IF(OR($B244="",$D244="",N($E244)&lt;=0),"",$D244/$E244)</f>
        <v>0</v>
      </c>
      <c r="H244" s="22">
        <f>IF($G244="","",$G244*IF($F244="",1,$F244))</f>
        <v>0</v>
      </c>
      <c r="I244" s="15"/>
    </row>
    <row r="245" spans="1:9">
      <c r="A245" s="13"/>
      <c r="B245" s="13"/>
      <c r="C245" s="17"/>
      <c r="D245" s="18"/>
      <c r="E245" s="19"/>
      <c r="F245" s="20"/>
      <c r="G245" s="21">
        <f>IF(OR($B245="",$D245="",N($E245)&lt;=0),"",$D245/$E245)</f>
        <v>0</v>
      </c>
      <c r="H245" s="22">
        <f>IF($G245="","",$G245*IF($F245="",1,$F245))</f>
        <v>0</v>
      </c>
      <c r="I245" s="15"/>
    </row>
    <row r="246" spans="1:9">
      <c r="A246" s="13"/>
      <c r="B246" s="13"/>
      <c r="C246" s="17"/>
      <c r="D246" s="18"/>
      <c r="E246" s="19"/>
      <c r="F246" s="20"/>
      <c r="G246" s="21">
        <f>IF(OR($B246="",$D246="",N($E246)&lt;=0),"",$D246/$E246)</f>
        <v>0</v>
      </c>
      <c r="H246" s="22">
        <f>IF($G246="","",$G246*IF($F246="",1,$F246))</f>
        <v>0</v>
      </c>
      <c r="I246" s="15"/>
    </row>
    <row r="247" spans="1:9">
      <c r="A247" s="13"/>
      <c r="B247" s="13"/>
      <c r="C247" s="17"/>
      <c r="D247" s="18"/>
      <c r="E247" s="19"/>
      <c r="F247" s="20"/>
      <c r="G247" s="21">
        <f>IF(OR($B247="",$D247="",N($E247)&lt;=0),"",$D247/$E247)</f>
        <v>0</v>
      </c>
      <c r="H247" s="22">
        <f>IF($G247="","",$G247*IF($F247="",1,$F247))</f>
        <v>0</v>
      </c>
      <c r="I247" s="15"/>
    </row>
    <row r="248" spans="1:9">
      <c r="A248" s="13"/>
      <c r="B248" s="13"/>
      <c r="C248" s="17"/>
      <c r="D248" s="18"/>
      <c r="E248" s="19"/>
      <c r="F248" s="20"/>
      <c r="G248" s="21">
        <f>IF(OR($B248="",$D248="",N($E248)&lt;=0),"",$D248/$E248)</f>
        <v>0</v>
      </c>
      <c r="H248" s="22">
        <f>IF($G248="","",$G248*IF($F248="",1,$F248))</f>
        <v>0</v>
      </c>
      <c r="I248" s="15"/>
    </row>
    <row r="249" spans="1:9">
      <c r="A249" s="13"/>
      <c r="B249" s="13"/>
      <c r="C249" s="17"/>
      <c r="D249" s="18"/>
      <c r="E249" s="19"/>
      <c r="F249" s="20"/>
      <c r="G249" s="21">
        <f>IF(OR($B249="",$D249="",N($E249)&lt;=0),"",$D249/$E249)</f>
        <v>0</v>
      </c>
      <c r="H249" s="22">
        <f>IF($G249="","",$G249*IF($F249="",1,$F249))</f>
        <v>0</v>
      </c>
      <c r="I249" s="15"/>
    </row>
    <row r="250" spans="1:9">
      <c r="A250" s="13"/>
      <c r="B250" s="13"/>
      <c r="C250" s="17"/>
      <c r="D250" s="18"/>
      <c r="E250" s="19"/>
      <c r="F250" s="20"/>
      <c r="G250" s="21">
        <f>IF(OR($B250="",$D250="",N($E250)&lt;=0),"",$D250/$E250)</f>
        <v>0</v>
      </c>
      <c r="H250" s="22">
        <f>IF($G250="","",$G250*IF($F250="",1,$F250))</f>
        <v>0</v>
      </c>
      <c r="I250" s="15"/>
    </row>
    <row r="251" spans="1:9">
      <c r="A251" s="13"/>
      <c r="B251" s="13"/>
      <c r="C251" s="17"/>
      <c r="D251" s="18"/>
      <c r="E251" s="19"/>
      <c r="F251" s="20"/>
      <c r="G251" s="21">
        <f>IF(OR($B251="",$D251="",N($E251)&lt;=0),"",$D251/$E251)</f>
        <v>0</v>
      </c>
      <c r="H251" s="22">
        <f>IF($G251="","",$G251*IF($F251="",1,$F251))</f>
        <v>0</v>
      </c>
      <c r="I251" s="15"/>
    </row>
    <row r="252" spans="1:9">
      <c r="A252" s="13"/>
      <c r="B252" s="13"/>
      <c r="C252" s="17"/>
      <c r="D252" s="18"/>
      <c r="E252" s="19"/>
      <c r="F252" s="20"/>
      <c r="G252" s="21">
        <f>IF(OR($B252="",$D252="",N($E252)&lt;=0),"",$D252/$E252)</f>
        <v>0</v>
      </c>
      <c r="H252" s="22">
        <f>IF($G252="","",$G252*IF($F252="",1,$F252))</f>
        <v>0</v>
      </c>
      <c r="I252" s="15"/>
    </row>
    <row r="253" spans="1:9">
      <c r="A253" s="13"/>
      <c r="B253" s="13"/>
      <c r="C253" s="17"/>
      <c r="D253" s="18"/>
      <c r="E253" s="19"/>
      <c r="F253" s="20"/>
      <c r="G253" s="21">
        <f>IF(OR($B253="",$D253="",N($E253)&lt;=0),"",$D253/$E253)</f>
        <v>0</v>
      </c>
      <c r="H253" s="22">
        <f>IF($G253="","",$G253*IF($F253="",1,$F253))</f>
        <v>0</v>
      </c>
      <c r="I253" s="15"/>
    </row>
    <row r="254" spans="1:9">
      <c r="A254" s="13"/>
      <c r="B254" s="13"/>
      <c r="C254" s="17"/>
      <c r="D254" s="18"/>
      <c r="E254" s="19"/>
      <c r="F254" s="20"/>
      <c r="G254" s="21">
        <f>IF(OR($B254="",$D254="",N($E254)&lt;=0),"",$D254/$E254)</f>
        <v>0</v>
      </c>
      <c r="H254" s="22">
        <f>IF($G254="","",$G254*IF($F254="",1,$F254))</f>
        <v>0</v>
      </c>
      <c r="I254" s="15"/>
    </row>
    <row r="255" spans="1:9">
      <c r="A255" s="13"/>
      <c r="B255" s="13"/>
      <c r="C255" s="17"/>
      <c r="D255" s="18"/>
      <c r="E255" s="19"/>
      <c r="F255" s="20"/>
      <c r="G255" s="21">
        <f>IF(OR($B255="",$D255="",N($E255)&lt;=0),"",$D255/$E255)</f>
        <v>0</v>
      </c>
      <c r="H255" s="22">
        <f>IF($G255="","",$G255*IF($F255="",1,$F255))</f>
        <v>0</v>
      </c>
      <c r="I255" s="15"/>
    </row>
    <row r="256" spans="1:9">
      <c r="A256" s="13"/>
      <c r="B256" s="13"/>
      <c r="C256" s="17"/>
      <c r="D256" s="18"/>
      <c r="E256" s="19"/>
      <c r="F256" s="20"/>
      <c r="G256" s="21">
        <f>IF(OR($B256="",$D256="",N($E256)&lt;=0),"",$D256/$E256)</f>
        <v>0</v>
      </c>
      <c r="H256" s="22">
        <f>IF($G256="","",$G256*IF($F256="",1,$F256))</f>
        <v>0</v>
      </c>
      <c r="I256" s="15"/>
    </row>
    <row r="257" spans="1:9">
      <c r="A257" s="13"/>
      <c r="B257" s="13"/>
      <c r="C257" s="17"/>
      <c r="D257" s="18"/>
      <c r="E257" s="19"/>
      <c r="F257" s="20"/>
      <c r="G257" s="21">
        <f>IF(OR($B257="",$D257="",N($E257)&lt;=0),"",$D257/$E257)</f>
        <v>0</v>
      </c>
      <c r="H257" s="22">
        <f>IF($G257="","",$G257*IF($F257="",1,$F257))</f>
        <v>0</v>
      </c>
      <c r="I257" s="15"/>
    </row>
    <row r="258" spans="1:9">
      <c r="A258" s="13"/>
      <c r="B258" s="13"/>
      <c r="C258" s="17"/>
      <c r="D258" s="18"/>
      <c r="E258" s="19"/>
      <c r="F258" s="20"/>
      <c r="G258" s="21">
        <f>IF(OR($B258="",$D258="",N($E258)&lt;=0),"",$D258/$E258)</f>
        <v>0</v>
      </c>
      <c r="H258" s="22">
        <f>IF($G258="","",$G258*IF($F258="",1,$F258))</f>
        <v>0</v>
      </c>
      <c r="I258" s="15"/>
    </row>
    <row r="259" spans="1:9">
      <c r="A259" s="13"/>
      <c r="B259" s="13"/>
      <c r="C259" s="17"/>
      <c r="D259" s="18"/>
      <c r="E259" s="19"/>
      <c r="F259" s="20"/>
      <c r="G259" s="21">
        <f>IF(OR($B259="",$D259="",N($E259)&lt;=0),"",$D259/$E259)</f>
        <v>0</v>
      </c>
      <c r="H259" s="22">
        <f>IF($G259="","",$G259*IF($F259="",1,$F259))</f>
        <v>0</v>
      </c>
      <c r="I259" s="15"/>
    </row>
    <row r="260" spans="1:9">
      <c r="A260" s="13"/>
      <c r="B260" s="13"/>
      <c r="C260" s="17"/>
      <c r="D260" s="18"/>
      <c r="E260" s="19"/>
      <c r="F260" s="20"/>
      <c r="G260" s="21">
        <f>IF(OR($B260="",$D260="",N($E260)&lt;=0),"",$D260/$E260)</f>
        <v>0</v>
      </c>
      <c r="H260" s="22">
        <f>IF($G260="","",$G260*IF($F260="",1,$F260))</f>
        <v>0</v>
      </c>
      <c r="I260" s="15"/>
    </row>
    <row r="261" spans="1:9">
      <c r="A261" s="13"/>
      <c r="B261" s="13"/>
      <c r="C261" s="17"/>
      <c r="D261" s="18"/>
      <c r="E261" s="19"/>
      <c r="F261" s="20"/>
      <c r="G261" s="21">
        <f>IF(OR($B261="",$D261="",N($E261)&lt;=0),"",$D261/$E261)</f>
        <v>0</v>
      </c>
      <c r="H261" s="22">
        <f>IF($G261="","",$G261*IF($F261="",1,$F261))</f>
        <v>0</v>
      </c>
      <c r="I261" s="15"/>
    </row>
    <row r="262" spans="1:9">
      <c r="A262" s="13"/>
      <c r="B262" s="13"/>
      <c r="C262" s="17"/>
      <c r="D262" s="18"/>
      <c r="E262" s="19"/>
      <c r="F262" s="20"/>
      <c r="G262" s="21">
        <f>IF(OR($B262="",$D262="",N($E262)&lt;=0),"",$D262/$E262)</f>
        <v>0</v>
      </c>
      <c r="H262" s="22">
        <f>IF($G262="","",$G262*IF($F262="",1,$F262))</f>
        <v>0</v>
      </c>
      <c r="I262" s="15"/>
    </row>
    <row r="263" spans="1:9">
      <c r="A263" s="13"/>
      <c r="B263" s="13"/>
      <c r="C263" s="17"/>
      <c r="D263" s="18"/>
      <c r="E263" s="19"/>
      <c r="F263" s="20"/>
      <c r="G263" s="21">
        <f>IF(OR($B263="",$D263="",N($E263)&lt;=0),"",$D263/$E263)</f>
        <v>0</v>
      </c>
      <c r="H263" s="22">
        <f>IF($G263="","",$G263*IF($F263="",1,$F263))</f>
        <v>0</v>
      </c>
      <c r="I263" s="15"/>
    </row>
    <row r="264" spans="1:9">
      <c r="A264" s="13"/>
      <c r="B264" s="13"/>
      <c r="C264" s="17"/>
      <c r="D264" s="18"/>
      <c r="E264" s="19"/>
      <c r="F264" s="20"/>
      <c r="G264" s="21">
        <f>IF(OR($B264="",$D264="",N($E264)&lt;=0),"",$D264/$E264)</f>
        <v>0</v>
      </c>
      <c r="H264" s="22">
        <f>IF($G264="","",$G264*IF($F264="",1,$F264))</f>
        <v>0</v>
      </c>
      <c r="I264" s="15"/>
    </row>
    <row r="265" spans="1:9">
      <c r="A265" s="13"/>
      <c r="B265" s="13"/>
      <c r="C265" s="17"/>
      <c r="D265" s="18"/>
      <c r="E265" s="19"/>
      <c r="F265" s="20"/>
      <c r="G265" s="21">
        <f>IF(OR($B265="",$D265="",N($E265)&lt;=0),"",$D265/$E265)</f>
        <v>0</v>
      </c>
      <c r="H265" s="22">
        <f>IF($G265="","",$G265*IF($F265="",1,$F265))</f>
        <v>0</v>
      </c>
      <c r="I265" s="15"/>
    </row>
    <row r="266" spans="1:9">
      <c r="A266" s="13"/>
      <c r="B266" s="13"/>
      <c r="C266" s="17"/>
      <c r="D266" s="18"/>
      <c r="E266" s="19"/>
      <c r="F266" s="20"/>
      <c r="G266" s="21">
        <f>IF(OR($B266="",$D266="",N($E266)&lt;=0),"",$D266/$E266)</f>
        <v>0</v>
      </c>
      <c r="H266" s="22">
        <f>IF($G266="","",$G266*IF($F266="",1,$F266))</f>
        <v>0</v>
      </c>
      <c r="I266" s="15"/>
    </row>
    <row r="267" spans="1:9">
      <c r="A267" s="13"/>
      <c r="B267" s="13"/>
      <c r="C267" s="17"/>
      <c r="D267" s="18"/>
      <c r="E267" s="19"/>
      <c r="F267" s="20"/>
      <c r="G267" s="21">
        <f>IF(OR($B267="",$D267="",N($E267)&lt;=0),"",$D267/$E267)</f>
        <v>0</v>
      </c>
      <c r="H267" s="22">
        <f>IF($G267="","",$G267*IF($F267="",1,$F267))</f>
        <v>0</v>
      </c>
      <c r="I267" s="15"/>
    </row>
    <row r="268" spans="1:9">
      <c r="A268" s="13"/>
      <c r="B268" s="13"/>
      <c r="C268" s="17"/>
      <c r="D268" s="18"/>
      <c r="E268" s="19"/>
      <c r="F268" s="20"/>
      <c r="G268" s="21">
        <f>IF(OR($B268="",$D268="",N($E268)&lt;=0),"",$D268/$E268)</f>
        <v>0</v>
      </c>
      <c r="H268" s="22">
        <f>IF($G268="","",$G268*IF($F268="",1,$F268))</f>
        <v>0</v>
      </c>
      <c r="I268" s="15"/>
    </row>
    <row r="269" spans="1:9">
      <c r="A269" s="13"/>
      <c r="B269" s="13"/>
      <c r="C269" s="17"/>
      <c r="D269" s="18"/>
      <c r="E269" s="19"/>
      <c r="F269" s="20"/>
      <c r="G269" s="21">
        <f>IF(OR($B269="",$D269="",N($E269)&lt;=0),"",$D269/$E269)</f>
        <v>0</v>
      </c>
      <c r="H269" s="22">
        <f>IF($G269="","",$G269*IF($F269="",1,$F269))</f>
        <v>0</v>
      </c>
      <c r="I269" s="15"/>
    </row>
    <row r="270" spans="1:9">
      <c r="A270" s="13"/>
      <c r="B270" s="13"/>
      <c r="C270" s="17"/>
      <c r="D270" s="18"/>
      <c r="E270" s="19"/>
      <c r="F270" s="20"/>
      <c r="G270" s="21">
        <f>IF(OR($B270="",$D270="",N($E270)&lt;=0),"",$D270/$E270)</f>
        <v>0</v>
      </c>
      <c r="H270" s="22">
        <f>IF($G270="","",$G270*IF($F270="",1,$F270))</f>
        <v>0</v>
      </c>
      <c r="I270" s="15"/>
    </row>
    <row r="271" spans="1:9">
      <c r="A271" s="13"/>
      <c r="B271" s="13"/>
      <c r="C271" s="17"/>
      <c r="D271" s="18"/>
      <c r="E271" s="19"/>
      <c r="F271" s="20"/>
      <c r="G271" s="21">
        <f>IF(OR($B271="",$D271="",N($E271)&lt;=0),"",$D271/$E271)</f>
        <v>0</v>
      </c>
      <c r="H271" s="22">
        <f>IF($G271="","",$G271*IF($F271="",1,$F271))</f>
        <v>0</v>
      </c>
      <c r="I271" s="15"/>
    </row>
    <row r="272" spans="1:9">
      <c r="A272" s="13"/>
      <c r="B272" s="13"/>
      <c r="C272" s="17"/>
      <c r="D272" s="18"/>
      <c r="E272" s="19"/>
      <c r="F272" s="20"/>
      <c r="G272" s="21">
        <f>IF(OR($B272="",$D272="",N($E272)&lt;=0),"",$D272/$E272)</f>
        <v>0</v>
      </c>
      <c r="H272" s="22">
        <f>IF($G272="","",$G272*IF($F272="",1,$F272))</f>
        <v>0</v>
      </c>
      <c r="I272" s="15"/>
    </row>
    <row r="273" spans="1:9">
      <c r="A273" s="13"/>
      <c r="B273" s="13"/>
      <c r="C273" s="17"/>
      <c r="D273" s="18"/>
      <c r="E273" s="19"/>
      <c r="F273" s="20"/>
      <c r="G273" s="21">
        <f>IF(OR($B273="",$D273="",N($E273)&lt;=0),"",$D273/$E273)</f>
        <v>0</v>
      </c>
      <c r="H273" s="22">
        <f>IF($G273="","",$G273*IF($F273="",1,$F273))</f>
        <v>0</v>
      </c>
      <c r="I273" s="15"/>
    </row>
    <row r="274" spans="1:9">
      <c r="A274" s="13"/>
      <c r="B274" s="13"/>
      <c r="C274" s="17"/>
      <c r="D274" s="18"/>
      <c r="E274" s="19"/>
      <c r="F274" s="20"/>
      <c r="G274" s="21">
        <f>IF(OR($B274="",$D274="",N($E274)&lt;=0),"",$D274/$E274)</f>
        <v>0</v>
      </c>
      <c r="H274" s="22">
        <f>IF($G274="","",$G274*IF($F274="",1,$F274))</f>
        <v>0</v>
      </c>
      <c r="I274" s="15"/>
    </row>
    <row r="275" spans="1:9">
      <c r="A275" s="13"/>
      <c r="B275" s="13"/>
      <c r="C275" s="17"/>
      <c r="D275" s="18"/>
      <c r="E275" s="19"/>
      <c r="F275" s="20"/>
      <c r="G275" s="21">
        <f>IF(OR($B275="",$D275="",N($E275)&lt;=0),"",$D275/$E275)</f>
        <v>0</v>
      </c>
      <c r="H275" s="22">
        <f>IF($G275="","",$G275*IF($F275="",1,$F275))</f>
        <v>0</v>
      </c>
      <c r="I275" s="15"/>
    </row>
    <row r="276" spans="1:9">
      <c r="A276" s="13"/>
      <c r="B276" s="13"/>
      <c r="C276" s="17"/>
      <c r="D276" s="18"/>
      <c r="E276" s="19"/>
      <c r="F276" s="20"/>
      <c r="G276" s="21">
        <f>IF(OR($B276="",$D276="",N($E276)&lt;=0),"",$D276/$E276)</f>
        <v>0</v>
      </c>
      <c r="H276" s="22">
        <f>IF($G276="","",$G276*IF($F276="",1,$F276))</f>
        <v>0</v>
      </c>
      <c r="I276" s="15"/>
    </row>
    <row r="277" spans="1:9">
      <c r="A277" s="13"/>
      <c r="B277" s="13"/>
      <c r="C277" s="17"/>
      <c r="D277" s="18"/>
      <c r="E277" s="19"/>
      <c r="F277" s="20"/>
      <c r="G277" s="21">
        <f>IF(OR($B277="",$D277="",N($E277)&lt;=0),"",$D277/$E277)</f>
        <v>0</v>
      </c>
      <c r="H277" s="22">
        <f>IF($G277="","",$G277*IF($F277="",1,$F277))</f>
        <v>0</v>
      </c>
      <c r="I277" s="15"/>
    </row>
    <row r="278" spans="1:9">
      <c r="A278" s="13"/>
      <c r="B278" s="13"/>
      <c r="C278" s="17"/>
      <c r="D278" s="18"/>
      <c r="E278" s="19"/>
      <c r="F278" s="20"/>
      <c r="G278" s="21">
        <f>IF(OR($B278="",$D278="",N($E278)&lt;=0),"",$D278/$E278)</f>
        <v>0</v>
      </c>
      <c r="H278" s="22">
        <f>IF($G278="","",$G278*IF($F278="",1,$F278))</f>
        <v>0</v>
      </c>
      <c r="I278" s="15"/>
    </row>
    <row r="279" spans="1:9">
      <c r="A279" s="13"/>
      <c r="B279" s="13"/>
      <c r="C279" s="17"/>
      <c r="D279" s="18"/>
      <c r="E279" s="19"/>
      <c r="F279" s="20"/>
      <c r="G279" s="21">
        <f>IF(OR($B279="",$D279="",N($E279)&lt;=0),"",$D279/$E279)</f>
        <v>0</v>
      </c>
      <c r="H279" s="22">
        <f>IF($G279="","",$G279*IF($F279="",1,$F279))</f>
        <v>0</v>
      </c>
      <c r="I279" s="15"/>
    </row>
    <row r="280" spans="1:9">
      <c r="A280" s="13"/>
      <c r="B280" s="13"/>
      <c r="C280" s="17"/>
      <c r="D280" s="18"/>
      <c r="E280" s="19"/>
      <c r="F280" s="20"/>
      <c r="G280" s="21">
        <f>IF(OR($B280="",$D280="",N($E280)&lt;=0),"",$D280/$E280)</f>
        <v>0</v>
      </c>
      <c r="H280" s="22">
        <f>IF($G280="","",$G280*IF($F280="",1,$F280))</f>
        <v>0</v>
      </c>
      <c r="I280" s="15"/>
    </row>
    <row r="281" spans="1:9">
      <c r="A281" s="13"/>
      <c r="B281" s="13"/>
      <c r="C281" s="17"/>
      <c r="D281" s="18"/>
      <c r="E281" s="19"/>
      <c r="F281" s="20"/>
      <c r="G281" s="21">
        <f>IF(OR($B281="",$D281="",N($E281)&lt;=0),"",$D281/$E281)</f>
        <v>0</v>
      </c>
      <c r="H281" s="22">
        <f>IF($G281="","",$G281*IF($F281="",1,$F281))</f>
        <v>0</v>
      </c>
      <c r="I281" s="15"/>
    </row>
    <row r="282" spans="1:9">
      <c r="A282" s="13"/>
      <c r="B282" s="13"/>
      <c r="C282" s="17"/>
      <c r="D282" s="18"/>
      <c r="E282" s="19"/>
      <c r="F282" s="20"/>
      <c r="G282" s="21">
        <f>IF(OR($B282="",$D282="",N($E282)&lt;=0),"",$D282/$E282)</f>
        <v>0</v>
      </c>
      <c r="H282" s="22">
        <f>IF($G282="","",$G282*IF($F282="",1,$F282))</f>
        <v>0</v>
      </c>
      <c r="I282" s="15"/>
    </row>
    <row r="283" spans="1:9">
      <c r="A283" s="13"/>
      <c r="B283" s="13"/>
      <c r="C283" s="17"/>
      <c r="D283" s="18"/>
      <c r="E283" s="19"/>
      <c r="F283" s="20"/>
      <c r="G283" s="21">
        <f>IF(OR($B283="",$D283="",N($E283)&lt;=0),"",$D283/$E283)</f>
        <v>0</v>
      </c>
      <c r="H283" s="22">
        <f>IF($G283="","",$G283*IF($F283="",1,$F283))</f>
        <v>0</v>
      </c>
      <c r="I283" s="15"/>
    </row>
    <row r="284" spans="1:9">
      <c r="A284" s="13"/>
      <c r="B284" s="13"/>
      <c r="C284" s="17"/>
      <c r="D284" s="18"/>
      <c r="E284" s="19"/>
      <c r="F284" s="20"/>
      <c r="G284" s="21">
        <f>IF(OR($B284="",$D284="",N($E284)&lt;=0),"",$D284/$E284)</f>
        <v>0</v>
      </c>
      <c r="H284" s="22">
        <f>IF($G284="","",$G284*IF($F284="",1,$F284))</f>
        <v>0</v>
      </c>
      <c r="I284" s="15"/>
    </row>
    <row r="285" spans="1:9">
      <c r="A285" s="13"/>
      <c r="B285" s="13"/>
      <c r="C285" s="17"/>
      <c r="D285" s="18"/>
      <c r="E285" s="19"/>
      <c r="F285" s="20"/>
      <c r="G285" s="21">
        <f>IF(OR($B285="",$D285="",N($E285)&lt;=0),"",$D285/$E285)</f>
        <v>0</v>
      </c>
      <c r="H285" s="22">
        <f>IF($G285="","",$G285*IF($F285="",1,$F285))</f>
        <v>0</v>
      </c>
      <c r="I285" s="15"/>
    </row>
    <row r="286" spans="1:9">
      <c r="A286" s="13"/>
      <c r="B286" s="13"/>
      <c r="C286" s="17"/>
      <c r="D286" s="18"/>
      <c r="E286" s="19"/>
      <c r="F286" s="20"/>
      <c r="G286" s="21">
        <f>IF(OR($B286="",$D286="",N($E286)&lt;=0),"",$D286/$E286)</f>
        <v>0</v>
      </c>
      <c r="H286" s="22">
        <f>IF($G286="","",$G286*IF($F286="",1,$F286))</f>
        <v>0</v>
      </c>
      <c r="I286" s="15"/>
    </row>
    <row r="287" spans="1:9">
      <c r="A287" s="13"/>
      <c r="B287" s="13"/>
      <c r="C287" s="17"/>
      <c r="D287" s="18"/>
      <c r="E287" s="19"/>
      <c r="F287" s="20"/>
      <c r="G287" s="21">
        <f>IF(OR($B287="",$D287="",N($E287)&lt;=0),"",$D287/$E287)</f>
        <v>0</v>
      </c>
      <c r="H287" s="22">
        <f>IF($G287="","",$G287*IF($F287="",1,$F287))</f>
        <v>0</v>
      </c>
      <c r="I287" s="15"/>
    </row>
    <row r="288" spans="1:9">
      <c r="A288" s="13"/>
      <c r="B288" s="13"/>
      <c r="C288" s="17"/>
      <c r="D288" s="18"/>
      <c r="E288" s="19"/>
      <c r="F288" s="20"/>
      <c r="G288" s="21">
        <f>IF(OR($B288="",$D288="",N($E288)&lt;=0),"",$D288/$E288)</f>
        <v>0</v>
      </c>
      <c r="H288" s="22">
        <f>IF($G288="","",$G288*IF($F288="",1,$F288))</f>
        <v>0</v>
      </c>
      <c r="I288" s="15"/>
    </row>
    <row r="289" spans="1:9">
      <c r="A289" s="13"/>
      <c r="B289" s="13"/>
      <c r="C289" s="17"/>
      <c r="D289" s="18"/>
      <c r="E289" s="19"/>
      <c r="F289" s="20"/>
      <c r="G289" s="21">
        <f>IF(OR($B289="",$D289="",N($E289)&lt;=0),"",$D289/$E289)</f>
        <v>0</v>
      </c>
      <c r="H289" s="22">
        <f>IF($G289="","",$G289*IF($F289="",1,$F289))</f>
        <v>0</v>
      </c>
      <c r="I289" s="15"/>
    </row>
    <row r="290" spans="1:9">
      <c r="A290" s="13"/>
      <c r="B290" s="13"/>
      <c r="C290" s="17"/>
      <c r="D290" s="18"/>
      <c r="E290" s="19"/>
      <c r="F290" s="20"/>
      <c r="G290" s="21">
        <f>IF(OR($B290="",$D290="",N($E290)&lt;=0),"",$D290/$E290)</f>
        <v>0</v>
      </c>
      <c r="H290" s="22">
        <f>IF($G290="","",$G290*IF($F290="",1,$F290))</f>
        <v>0</v>
      </c>
      <c r="I290" s="15"/>
    </row>
    <row r="291" spans="1:9">
      <c r="A291" s="13"/>
      <c r="B291" s="13"/>
      <c r="C291" s="17"/>
      <c r="D291" s="18"/>
      <c r="E291" s="19"/>
      <c r="F291" s="20"/>
      <c r="G291" s="21">
        <f>IF(OR($B291="",$D291="",N($E291)&lt;=0),"",$D291/$E291)</f>
        <v>0</v>
      </c>
      <c r="H291" s="22">
        <f>IF($G291="","",$G291*IF($F291="",1,$F291))</f>
        <v>0</v>
      </c>
      <c r="I291" s="15"/>
    </row>
    <row r="292" spans="1:9">
      <c r="A292" s="13"/>
      <c r="B292" s="13"/>
      <c r="C292" s="17"/>
      <c r="D292" s="18"/>
      <c r="E292" s="19"/>
      <c r="F292" s="20"/>
      <c r="G292" s="21">
        <f>IF(OR($B292="",$D292="",N($E292)&lt;=0),"",$D292/$E292)</f>
        <v>0</v>
      </c>
      <c r="H292" s="22">
        <f>IF($G292="","",$G292*IF($F292="",1,$F292))</f>
        <v>0</v>
      </c>
      <c r="I292" s="15"/>
    </row>
    <row r="293" spans="1:9">
      <c r="A293" s="13"/>
      <c r="B293" s="13"/>
      <c r="C293" s="17"/>
      <c r="D293" s="18"/>
      <c r="E293" s="19"/>
      <c r="F293" s="20"/>
      <c r="G293" s="21">
        <f>IF(OR($B293="",$D293="",N($E293)&lt;=0),"",$D293/$E293)</f>
        <v>0</v>
      </c>
      <c r="H293" s="22">
        <f>IF($G293="","",$G293*IF($F293="",1,$F293))</f>
        <v>0</v>
      </c>
      <c r="I293" s="15"/>
    </row>
    <row r="294" spans="1:9">
      <c r="A294" s="13"/>
      <c r="B294" s="13"/>
      <c r="C294" s="17"/>
      <c r="D294" s="18"/>
      <c r="E294" s="19"/>
      <c r="F294" s="20"/>
      <c r="G294" s="21">
        <f>IF(OR($B294="",$D294="",N($E294)&lt;=0),"",$D294/$E294)</f>
        <v>0</v>
      </c>
      <c r="H294" s="22">
        <f>IF($G294="","",$G294*IF($F294="",1,$F294))</f>
        <v>0</v>
      </c>
      <c r="I294" s="15"/>
    </row>
    <row r="295" spans="1:9">
      <c r="A295" s="13"/>
      <c r="B295" s="13"/>
      <c r="C295" s="17"/>
      <c r="D295" s="18"/>
      <c r="E295" s="19"/>
      <c r="F295" s="20"/>
      <c r="G295" s="21">
        <f>IF(OR($B295="",$D295="",N($E295)&lt;=0),"",$D295/$E295)</f>
        <v>0</v>
      </c>
      <c r="H295" s="22">
        <f>IF($G295="","",$G295*IF($F295="",1,$F295))</f>
        <v>0</v>
      </c>
      <c r="I295" s="15"/>
    </row>
    <row r="296" spans="1:9">
      <c r="A296" s="13"/>
      <c r="B296" s="13"/>
      <c r="C296" s="17"/>
      <c r="D296" s="18"/>
      <c r="E296" s="19"/>
      <c r="F296" s="20"/>
      <c r="G296" s="21">
        <f>IF(OR($B296="",$D296="",N($E296)&lt;=0),"",$D296/$E296)</f>
        <v>0</v>
      </c>
      <c r="H296" s="22">
        <f>IF($G296="","",$G296*IF($F296="",1,$F296))</f>
        <v>0</v>
      </c>
      <c r="I296" s="15"/>
    </row>
    <row r="297" spans="1:9">
      <c r="A297" s="13"/>
      <c r="B297" s="13"/>
      <c r="C297" s="17"/>
      <c r="D297" s="18"/>
      <c r="E297" s="19"/>
      <c r="F297" s="20"/>
      <c r="G297" s="21">
        <f>IF(OR($B297="",$D297="",N($E297)&lt;=0),"",$D297/$E297)</f>
        <v>0</v>
      </c>
      <c r="H297" s="22">
        <f>IF($G297="","",$G297*IF($F297="",1,$F297))</f>
        <v>0</v>
      </c>
      <c r="I297" s="15"/>
    </row>
    <row r="298" spans="1:9">
      <c r="A298" s="13"/>
      <c r="B298" s="13"/>
      <c r="C298" s="17"/>
      <c r="D298" s="18"/>
      <c r="E298" s="19"/>
      <c r="F298" s="20"/>
      <c r="G298" s="21">
        <f>IF(OR($B298="",$D298="",N($E298)&lt;=0),"",$D298/$E298)</f>
        <v>0</v>
      </c>
      <c r="H298" s="22">
        <f>IF($G298="","",$G298*IF($F298="",1,$F298))</f>
        <v>0</v>
      </c>
      <c r="I298" s="15"/>
    </row>
    <row r="299" spans="1:9">
      <c r="A299" s="13"/>
      <c r="B299" s="13"/>
      <c r="C299" s="17"/>
      <c r="D299" s="18"/>
      <c r="E299" s="19"/>
      <c r="F299" s="20"/>
      <c r="G299" s="21">
        <f>IF(OR($B299="",$D299="",N($E299)&lt;=0),"",$D299/$E299)</f>
        <v>0</v>
      </c>
      <c r="H299" s="22">
        <f>IF($G299="","",$G299*IF($F299="",1,$F299))</f>
        <v>0</v>
      </c>
      <c r="I299" s="15"/>
    </row>
    <row r="300" spans="1:9">
      <c r="A300" s="13"/>
      <c r="B300" s="13"/>
      <c r="C300" s="17"/>
      <c r="D300" s="18"/>
      <c r="E300" s="19"/>
      <c r="F300" s="20"/>
      <c r="G300" s="21">
        <f>IF(OR($B300="",$D300="",N($E300)&lt;=0),"",$D300/$E300)</f>
        <v>0</v>
      </c>
      <c r="H300" s="22">
        <f>IF($G300="","",$G300*IF($F300="",1,$F300))</f>
        <v>0</v>
      </c>
      <c r="I300" s="15"/>
    </row>
    <row r="301" spans="1:9">
      <c r="A301" s="13"/>
      <c r="B301" s="13"/>
      <c r="C301" s="17"/>
      <c r="D301" s="18"/>
      <c r="E301" s="19"/>
      <c r="F301" s="20"/>
      <c r="G301" s="21">
        <f>IF(OR($B301="",$D301="",N($E301)&lt;=0),"",$D301/$E301)</f>
        <v>0</v>
      </c>
      <c r="H301" s="22">
        <f>IF($G301="","",$G301*IF($F301="",1,$F301))</f>
        <v>0</v>
      </c>
      <c r="I301" s="15"/>
    </row>
    <row r="302" spans="1:9">
      <c r="A302" s="13"/>
      <c r="B302" s="13"/>
      <c r="C302" s="17"/>
      <c r="D302" s="18"/>
      <c r="E302" s="19"/>
      <c r="F302" s="20"/>
      <c r="G302" s="21">
        <f>IF(OR($B302="",$D302="",N($E302)&lt;=0),"",$D302/$E302)</f>
        <v>0</v>
      </c>
      <c r="H302" s="22">
        <f>IF($G302="","",$G302*IF($F302="",1,$F302))</f>
        <v>0</v>
      </c>
      <c r="I302" s="15"/>
    </row>
    <row r="303" spans="1:9">
      <c r="A303" s="13"/>
      <c r="B303" s="13"/>
      <c r="C303" s="17"/>
      <c r="D303" s="18"/>
      <c r="E303" s="19"/>
      <c r="F303" s="20"/>
      <c r="G303" s="21">
        <f>IF(OR($B303="",$D303="",N($E303)&lt;=0),"",$D303/$E303)</f>
        <v>0</v>
      </c>
      <c r="H303" s="22">
        <f>IF($G303="","",$G303*IF($F303="",1,$F303))</f>
        <v>0</v>
      </c>
      <c r="I303" s="15"/>
    </row>
    <row r="304" spans="1:9">
      <c r="A304" s="13"/>
      <c r="B304" s="13"/>
      <c r="C304" s="17"/>
      <c r="D304" s="18"/>
      <c r="E304" s="19"/>
      <c r="F304" s="20"/>
      <c r="G304" s="21">
        <f>IF(OR($B304="",$D304="",N($E304)&lt;=0),"",$D304/$E304)</f>
        <v>0</v>
      </c>
      <c r="H304" s="22">
        <f>IF($G304="","",$G304*IF($F304="",1,$F304))</f>
        <v>0</v>
      </c>
      <c r="I304" s="15"/>
    </row>
  </sheetData>
  <autoFilter ref="A4:I304"/>
  <mergeCells count="2">
    <mergeCell ref="A1:I1"/>
    <mergeCell ref="A2:I2"/>
  </mergeCells>
  <dataValidations count="3">
    <dataValidation type="list" allowBlank="1" showInputMessage="1" showErrorMessage="1" errorTitle="Valor inválido" error="Escolha um item da lista." sqref="C5:C304">
      <formula1>Unidades</formula1>
    </dataValidation>
    <dataValidation type="decimal" operator="greaterThanOrEqual" allowBlank="1" showInputMessage="1" showErrorMessage="1" errorTitle="Valor inválido" error="Digite um número maior ou igual a 0." sqref="D5:E304">
      <formula1>0</formula1>
    </dataValidation>
    <dataValidation type="decimal" allowBlank="1" showInputMessage="1" showErrorMessage="1" errorTitle="Valor inválido" error="Digite um número entre 1 e 5." promptTitle="Dica" prompt="FC mínimo 1 (sem perda)" sqref="F5:F304">
      <formula1>1</formula1>
      <formula2>5</formula2>
    </dataValidation>
  </dataValidations>
  <pageMargins left="0.7" right="0.7" top="0.75" bottom="0.75" header="0.3" footer="0.3"/>
  <pageSetup paperSize="9" fitToHeight="0" orientation="landscape"/>
  <headerFooter>
    <oddFooter>&amp;L&amp;8Carvex XLS - Ficha Técnica e CMV para Restaurantes&amp;R&amp;8Página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80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4.7109375" customWidth="1"/>
    <col min="2" max="2" width="30.7109375" customWidth="1"/>
    <col min="3" max="3" width="13.7109375" customWidth="1"/>
    <col min="4" max="4" width="22.7109375" customWidth="1"/>
    <col min="5" max="5" width="9.7109375" customWidth="1"/>
    <col min="6" max="6" width="14.7109375" customWidth="1"/>
    <col min="7" max="7" width="13.7109375" customWidth="1"/>
    <col min="8" max="8" width="20.7109375" customWidth="1"/>
  </cols>
  <sheetData>
    <row r="1" spans="1:8" ht="36" customHeight="1">
      <c r="A1" s="1" t="s">
        <v>83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84</v>
      </c>
      <c r="B2" s="2"/>
      <c r="C2" s="2"/>
      <c r="D2" s="2"/>
      <c r="E2" s="2"/>
      <c r="F2" s="2"/>
      <c r="G2" s="2"/>
      <c r="H2" s="2"/>
    </row>
    <row r="4" spans="1:8" ht="36" customHeight="1">
      <c r="A4" s="10" t="s">
        <v>85</v>
      </c>
      <c r="B4" s="10" t="s">
        <v>75</v>
      </c>
      <c r="C4" s="10" t="s">
        <v>86</v>
      </c>
      <c r="D4" s="10" t="s">
        <v>87</v>
      </c>
      <c r="E4" s="10" t="s">
        <v>76</v>
      </c>
      <c r="F4" s="10" t="s">
        <v>88</v>
      </c>
      <c r="G4" s="10" t="s">
        <v>89</v>
      </c>
      <c r="H4" s="10" t="s">
        <v>90</v>
      </c>
    </row>
    <row r="5" spans="1:8">
      <c r="A5" s="13"/>
      <c r="B5" s="13"/>
      <c r="C5" s="19"/>
      <c r="D5" s="13"/>
      <c r="E5" s="23">
        <f>IF($B5="","",IFERROR(INDEX(InsUnid,MATCH($B5,InsNome,0)),""))</f>
        <v>0</v>
      </c>
      <c r="F5" s="21">
        <f>IF($B5="","",IFERROR(INDEX(InsUtil,MATCH($B5,InsNome,0)),""))</f>
        <v>0</v>
      </c>
      <c r="G5" s="24">
        <f>IF(OR($A5="",$C5="",$F5=""),"",$C5*$F5)</f>
        <v>0</v>
      </c>
      <c r="H5" s="23">
        <f>IF($A5="","",IF($B5="","Escolha o insumo",IF($F5="","Insumo sem custo",IF(COUNTIF(PratoNome,$A5)=0,"Prato não cadastrado",IF($C5="","Falta quantidade","OK")))))</f>
        <v>0</v>
      </c>
    </row>
    <row r="6" spans="1:8">
      <c r="A6" s="13"/>
      <c r="B6" s="13"/>
      <c r="C6" s="19"/>
      <c r="D6" s="13"/>
      <c r="E6" s="23">
        <f>IF($B6="","",IFERROR(INDEX(InsUnid,MATCH($B6,InsNome,0)),""))</f>
        <v>0</v>
      </c>
      <c r="F6" s="21">
        <f>IF($B6="","",IFERROR(INDEX(InsUtil,MATCH($B6,InsNome,0)),""))</f>
        <v>0</v>
      </c>
      <c r="G6" s="24">
        <f>IF(OR($A6="",$C6="",$F6=""),"",$C6*$F6)</f>
        <v>0</v>
      </c>
      <c r="H6" s="23">
        <f>IF($A6="","",IF($B6="","Escolha o insumo",IF($F6="","Insumo sem custo",IF(COUNTIF(PratoNome,$A6)=0,"Prato não cadastrado",IF($C6="","Falta quantidade","OK")))))</f>
        <v>0</v>
      </c>
    </row>
    <row r="7" spans="1:8">
      <c r="A7" s="13"/>
      <c r="B7" s="13"/>
      <c r="C7" s="19"/>
      <c r="D7" s="13"/>
      <c r="E7" s="23">
        <f>IF($B7="","",IFERROR(INDEX(InsUnid,MATCH($B7,InsNome,0)),""))</f>
        <v>0</v>
      </c>
      <c r="F7" s="21">
        <f>IF($B7="","",IFERROR(INDEX(InsUtil,MATCH($B7,InsNome,0)),""))</f>
        <v>0</v>
      </c>
      <c r="G7" s="24">
        <f>IF(OR($A7="",$C7="",$F7=""),"",$C7*$F7)</f>
        <v>0</v>
      </c>
      <c r="H7" s="23">
        <f>IF($A7="","",IF($B7="","Escolha o insumo",IF($F7="","Insumo sem custo",IF(COUNTIF(PratoNome,$A7)=0,"Prato não cadastrado",IF($C7="","Falta quantidade","OK")))))</f>
        <v>0</v>
      </c>
    </row>
    <row r="8" spans="1:8">
      <c r="A8" s="13"/>
      <c r="B8" s="13"/>
      <c r="C8" s="19"/>
      <c r="D8" s="13"/>
      <c r="E8" s="23">
        <f>IF($B8="","",IFERROR(INDEX(InsUnid,MATCH($B8,InsNome,0)),""))</f>
        <v>0</v>
      </c>
      <c r="F8" s="21">
        <f>IF($B8="","",IFERROR(INDEX(InsUtil,MATCH($B8,InsNome,0)),""))</f>
        <v>0</v>
      </c>
      <c r="G8" s="24">
        <f>IF(OR($A8="",$C8="",$F8=""),"",$C8*$F8)</f>
        <v>0</v>
      </c>
      <c r="H8" s="23">
        <f>IF($A8="","",IF($B8="","Escolha o insumo",IF($F8="","Insumo sem custo",IF(COUNTIF(PratoNome,$A8)=0,"Prato não cadastrado",IF($C8="","Falta quantidade","OK")))))</f>
        <v>0</v>
      </c>
    </row>
    <row r="9" spans="1:8">
      <c r="A9" s="13"/>
      <c r="B9" s="13"/>
      <c r="C9" s="19"/>
      <c r="D9" s="13"/>
      <c r="E9" s="23">
        <f>IF($B9="","",IFERROR(INDEX(InsUnid,MATCH($B9,InsNome,0)),""))</f>
        <v>0</v>
      </c>
      <c r="F9" s="21">
        <f>IF($B9="","",IFERROR(INDEX(InsUtil,MATCH($B9,InsNome,0)),""))</f>
        <v>0</v>
      </c>
      <c r="G9" s="24">
        <f>IF(OR($A9="",$C9="",$F9=""),"",$C9*$F9)</f>
        <v>0</v>
      </c>
      <c r="H9" s="23">
        <f>IF($A9="","",IF($B9="","Escolha o insumo",IF($F9="","Insumo sem custo",IF(COUNTIF(PratoNome,$A9)=0,"Prato não cadastrado",IF($C9="","Falta quantidade","OK")))))</f>
        <v>0</v>
      </c>
    </row>
    <row r="10" spans="1:8">
      <c r="A10" s="13"/>
      <c r="B10" s="13"/>
      <c r="C10" s="19"/>
      <c r="D10" s="13"/>
      <c r="E10" s="23">
        <f>IF($B10="","",IFERROR(INDEX(InsUnid,MATCH($B10,InsNome,0)),""))</f>
        <v>0</v>
      </c>
      <c r="F10" s="21">
        <f>IF($B10="","",IFERROR(INDEX(InsUtil,MATCH($B10,InsNome,0)),""))</f>
        <v>0</v>
      </c>
      <c r="G10" s="24">
        <f>IF(OR($A10="",$C10="",$F10=""),"",$C10*$F10)</f>
        <v>0</v>
      </c>
      <c r="H10" s="23">
        <f>IF($A10="","",IF($B10="","Escolha o insumo",IF($F10="","Insumo sem custo",IF(COUNTIF(PratoNome,$A10)=0,"Prato não cadastrado",IF($C10="","Falta quantidade","OK")))))</f>
        <v>0</v>
      </c>
    </row>
    <row r="11" spans="1:8">
      <c r="A11" s="13"/>
      <c r="B11" s="13"/>
      <c r="C11" s="19"/>
      <c r="D11" s="13"/>
      <c r="E11" s="23">
        <f>IF($B11="","",IFERROR(INDEX(InsUnid,MATCH($B11,InsNome,0)),""))</f>
        <v>0</v>
      </c>
      <c r="F11" s="21">
        <f>IF($B11="","",IFERROR(INDEX(InsUtil,MATCH($B11,InsNome,0)),""))</f>
        <v>0</v>
      </c>
      <c r="G11" s="24">
        <f>IF(OR($A11="",$C11="",$F11=""),"",$C11*$F11)</f>
        <v>0</v>
      </c>
      <c r="H11" s="23">
        <f>IF($A11="","",IF($B11="","Escolha o insumo",IF($F11="","Insumo sem custo",IF(COUNTIF(PratoNome,$A11)=0,"Prato não cadastrado",IF($C11="","Falta quantidade","OK")))))</f>
        <v>0</v>
      </c>
    </row>
    <row r="12" spans="1:8">
      <c r="A12" s="13"/>
      <c r="B12" s="13"/>
      <c r="C12" s="19"/>
      <c r="D12" s="13"/>
      <c r="E12" s="23">
        <f>IF($B12="","",IFERROR(INDEX(InsUnid,MATCH($B12,InsNome,0)),""))</f>
        <v>0</v>
      </c>
      <c r="F12" s="21">
        <f>IF($B12="","",IFERROR(INDEX(InsUtil,MATCH($B12,InsNome,0)),""))</f>
        <v>0</v>
      </c>
      <c r="G12" s="24">
        <f>IF(OR($A12="",$C12="",$F12=""),"",$C12*$F12)</f>
        <v>0</v>
      </c>
      <c r="H12" s="23">
        <f>IF($A12="","",IF($B12="","Escolha o insumo",IF($F12="","Insumo sem custo",IF(COUNTIF(PratoNome,$A12)=0,"Prato não cadastrado",IF($C12="","Falta quantidade","OK")))))</f>
        <v>0</v>
      </c>
    </row>
    <row r="13" spans="1:8">
      <c r="A13" s="13"/>
      <c r="B13" s="13"/>
      <c r="C13" s="19"/>
      <c r="D13" s="13"/>
      <c r="E13" s="23">
        <f>IF($B13="","",IFERROR(INDEX(InsUnid,MATCH($B13,InsNome,0)),""))</f>
        <v>0</v>
      </c>
      <c r="F13" s="21">
        <f>IF($B13="","",IFERROR(INDEX(InsUtil,MATCH($B13,InsNome,0)),""))</f>
        <v>0</v>
      </c>
      <c r="G13" s="24">
        <f>IF(OR($A13="",$C13="",$F13=""),"",$C13*$F13)</f>
        <v>0</v>
      </c>
      <c r="H13" s="23">
        <f>IF($A13="","",IF($B13="","Escolha o insumo",IF($F13="","Insumo sem custo",IF(COUNTIF(PratoNome,$A13)=0,"Prato não cadastrado",IF($C13="","Falta quantidade","OK")))))</f>
        <v>0</v>
      </c>
    </row>
    <row r="14" spans="1:8">
      <c r="A14" s="13"/>
      <c r="B14" s="13"/>
      <c r="C14" s="19"/>
      <c r="D14" s="13"/>
      <c r="E14" s="23">
        <f>IF($B14="","",IFERROR(INDEX(InsUnid,MATCH($B14,InsNome,0)),""))</f>
        <v>0</v>
      </c>
      <c r="F14" s="21">
        <f>IF($B14="","",IFERROR(INDEX(InsUtil,MATCH($B14,InsNome,0)),""))</f>
        <v>0</v>
      </c>
      <c r="G14" s="24">
        <f>IF(OR($A14="",$C14="",$F14=""),"",$C14*$F14)</f>
        <v>0</v>
      </c>
      <c r="H14" s="23">
        <f>IF($A14="","",IF($B14="","Escolha o insumo",IF($F14="","Insumo sem custo",IF(COUNTIF(PratoNome,$A14)=0,"Prato não cadastrado",IF($C14="","Falta quantidade","OK")))))</f>
        <v>0</v>
      </c>
    </row>
    <row r="15" spans="1:8">
      <c r="A15" s="13"/>
      <c r="B15" s="13"/>
      <c r="C15" s="19"/>
      <c r="D15" s="13"/>
      <c r="E15" s="23">
        <f>IF($B15="","",IFERROR(INDEX(InsUnid,MATCH($B15,InsNome,0)),""))</f>
        <v>0</v>
      </c>
      <c r="F15" s="21">
        <f>IF($B15="","",IFERROR(INDEX(InsUtil,MATCH($B15,InsNome,0)),""))</f>
        <v>0</v>
      </c>
      <c r="G15" s="24">
        <f>IF(OR($A15="",$C15="",$F15=""),"",$C15*$F15)</f>
        <v>0</v>
      </c>
      <c r="H15" s="23">
        <f>IF($A15="","",IF($B15="","Escolha o insumo",IF($F15="","Insumo sem custo",IF(COUNTIF(PratoNome,$A15)=0,"Prato não cadastrado",IF($C15="","Falta quantidade","OK")))))</f>
        <v>0</v>
      </c>
    </row>
    <row r="16" spans="1:8">
      <c r="A16" s="13"/>
      <c r="B16" s="13"/>
      <c r="C16" s="19"/>
      <c r="D16" s="13"/>
      <c r="E16" s="23">
        <f>IF($B16="","",IFERROR(INDEX(InsUnid,MATCH($B16,InsNome,0)),""))</f>
        <v>0</v>
      </c>
      <c r="F16" s="21">
        <f>IF($B16="","",IFERROR(INDEX(InsUtil,MATCH($B16,InsNome,0)),""))</f>
        <v>0</v>
      </c>
      <c r="G16" s="24">
        <f>IF(OR($A16="",$C16="",$F16=""),"",$C16*$F16)</f>
        <v>0</v>
      </c>
      <c r="H16" s="23">
        <f>IF($A16="","",IF($B16="","Escolha o insumo",IF($F16="","Insumo sem custo",IF(COUNTIF(PratoNome,$A16)=0,"Prato não cadastrado",IF($C16="","Falta quantidade","OK")))))</f>
        <v>0</v>
      </c>
    </row>
    <row r="17" spans="1:8">
      <c r="A17" s="13"/>
      <c r="B17" s="13"/>
      <c r="C17" s="19"/>
      <c r="D17" s="13"/>
      <c r="E17" s="23">
        <f>IF($B17="","",IFERROR(INDEX(InsUnid,MATCH($B17,InsNome,0)),""))</f>
        <v>0</v>
      </c>
      <c r="F17" s="21">
        <f>IF($B17="","",IFERROR(INDEX(InsUtil,MATCH($B17,InsNome,0)),""))</f>
        <v>0</v>
      </c>
      <c r="G17" s="24">
        <f>IF(OR($A17="",$C17="",$F17=""),"",$C17*$F17)</f>
        <v>0</v>
      </c>
      <c r="H17" s="23">
        <f>IF($A17="","",IF($B17="","Escolha o insumo",IF($F17="","Insumo sem custo",IF(COUNTIF(PratoNome,$A17)=0,"Prato não cadastrado",IF($C17="","Falta quantidade","OK")))))</f>
        <v>0</v>
      </c>
    </row>
    <row r="18" spans="1:8">
      <c r="A18" s="13"/>
      <c r="B18" s="13"/>
      <c r="C18" s="19"/>
      <c r="D18" s="13"/>
      <c r="E18" s="23">
        <f>IF($B18="","",IFERROR(INDEX(InsUnid,MATCH($B18,InsNome,0)),""))</f>
        <v>0</v>
      </c>
      <c r="F18" s="21">
        <f>IF($B18="","",IFERROR(INDEX(InsUtil,MATCH($B18,InsNome,0)),""))</f>
        <v>0</v>
      </c>
      <c r="G18" s="24">
        <f>IF(OR($A18="",$C18="",$F18=""),"",$C18*$F18)</f>
        <v>0</v>
      </c>
      <c r="H18" s="23">
        <f>IF($A18="","",IF($B18="","Escolha o insumo",IF($F18="","Insumo sem custo",IF(COUNTIF(PratoNome,$A18)=0,"Prato não cadastrado",IF($C18="","Falta quantidade","OK")))))</f>
        <v>0</v>
      </c>
    </row>
    <row r="19" spans="1:8">
      <c r="A19" s="13"/>
      <c r="B19" s="13"/>
      <c r="C19" s="19"/>
      <c r="D19" s="13"/>
      <c r="E19" s="23">
        <f>IF($B19="","",IFERROR(INDEX(InsUnid,MATCH($B19,InsNome,0)),""))</f>
        <v>0</v>
      </c>
      <c r="F19" s="21">
        <f>IF($B19="","",IFERROR(INDEX(InsUtil,MATCH($B19,InsNome,0)),""))</f>
        <v>0</v>
      </c>
      <c r="G19" s="24">
        <f>IF(OR($A19="",$C19="",$F19=""),"",$C19*$F19)</f>
        <v>0</v>
      </c>
      <c r="H19" s="23">
        <f>IF($A19="","",IF($B19="","Escolha o insumo",IF($F19="","Insumo sem custo",IF(COUNTIF(PratoNome,$A19)=0,"Prato não cadastrado",IF($C19="","Falta quantidade","OK")))))</f>
        <v>0</v>
      </c>
    </row>
    <row r="20" spans="1:8">
      <c r="A20" s="13"/>
      <c r="B20" s="13"/>
      <c r="C20" s="19"/>
      <c r="D20" s="13"/>
      <c r="E20" s="23">
        <f>IF($B20="","",IFERROR(INDEX(InsUnid,MATCH($B20,InsNome,0)),""))</f>
        <v>0</v>
      </c>
      <c r="F20" s="21">
        <f>IF($B20="","",IFERROR(INDEX(InsUtil,MATCH($B20,InsNome,0)),""))</f>
        <v>0</v>
      </c>
      <c r="G20" s="24">
        <f>IF(OR($A20="",$C20="",$F20=""),"",$C20*$F20)</f>
        <v>0</v>
      </c>
      <c r="H20" s="23">
        <f>IF($A20="","",IF($B20="","Escolha o insumo",IF($F20="","Insumo sem custo",IF(COUNTIF(PratoNome,$A20)=0,"Prato não cadastrado",IF($C20="","Falta quantidade","OK")))))</f>
        <v>0</v>
      </c>
    </row>
    <row r="21" spans="1:8">
      <c r="A21" s="13"/>
      <c r="B21" s="13"/>
      <c r="C21" s="19"/>
      <c r="D21" s="13"/>
      <c r="E21" s="23">
        <f>IF($B21="","",IFERROR(INDEX(InsUnid,MATCH($B21,InsNome,0)),""))</f>
        <v>0</v>
      </c>
      <c r="F21" s="21">
        <f>IF($B21="","",IFERROR(INDEX(InsUtil,MATCH($B21,InsNome,0)),""))</f>
        <v>0</v>
      </c>
      <c r="G21" s="24">
        <f>IF(OR($A21="",$C21="",$F21=""),"",$C21*$F21)</f>
        <v>0</v>
      </c>
      <c r="H21" s="23">
        <f>IF($A21="","",IF($B21="","Escolha o insumo",IF($F21="","Insumo sem custo",IF(COUNTIF(PratoNome,$A21)=0,"Prato não cadastrado",IF($C21="","Falta quantidade","OK")))))</f>
        <v>0</v>
      </c>
    </row>
    <row r="22" spans="1:8">
      <c r="A22" s="13"/>
      <c r="B22" s="13"/>
      <c r="C22" s="19"/>
      <c r="D22" s="13"/>
      <c r="E22" s="23">
        <f>IF($B22="","",IFERROR(INDEX(InsUnid,MATCH($B22,InsNome,0)),""))</f>
        <v>0</v>
      </c>
      <c r="F22" s="21">
        <f>IF($B22="","",IFERROR(INDEX(InsUtil,MATCH($B22,InsNome,0)),""))</f>
        <v>0</v>
      </c>
      <c r="G22" s="24">
        <f>IF(OR($A22="",$C22="",$F22=""),"",$C22*$F22)</f>
        <v>0</v>
      </c>
      <c r="H22" s="23">
        <f>IF($A22="","",IF($B22="","Escolha o insumo",IF($F22="","Insumo sem custo",IF(COUNTIF(PratoNome,$A22)=0,"Prato não cadastrado",IF($C22="","Falta quantidade","OK")))))</f>
        <v>0</v>
      </c>
    </row>
    <row r="23" spans="1:8">
      <c r="A23" s="13"/>
      <c r="B23" s="13"/>
      <c r="C23" s="19"/>
      <c r="D23" s="13"/>
      <c r="E23" s="23">
        <f>IF($B23="","",IFERROR(INDEX(InsUnid,MATCH($B23,InsNome,0)),""))</f>
        <v>0</v>
      </c>
      <c r="F23" s="21">
        <f>IF($B23="","",IFERROR(INDEX(InsUtil,MATCH($B23,InsNome,0)),""))</f>
        <v>0</v>
      </c>
      <c r="G23" s="24">
        <f>IF(OR($A23="",$C23="",$F23=""),"",$C23*$F23)</f>
        <v>0</v>
      </c>
      <c r="H23" s="23">
        <f>IF($A23="","",IF($B23="","Escolha o insumo",IF($F23="","Insumo sem custo",IF(COUNTIF(PratoNome,$A23)=0,"Prato não cadastrado",IF($C23="","Falta quantidade","OK")))))</f>
        <v>0</v>
      </c>
    </row>
    <row r="24" spans="1:8">
      <c r="A24" s="13"/>
      <c r="B24" s="13"/>
      <c r="C24" s="19"/>
      <c r="D24" s="13"/>
      <c r="E24" s="23">
        <f>IF($B24="","",IFERROR(INDEX(InsUnid,MATCH($B24,InsNome,0)),""))</f>
        <v>0</v>
      </c>
      <c r="F24" s="21">
        <f>IF($B24="","",IFERROR(INDEX(InsUtil,MATCH($B24,InsNome,0)),""))</f>
        <v>0</v>
      </c>
      <c r="G24" s="24">
        <f>IF(OR($A24="",$C24="",$F24=""),"",$C24*$F24)</f>
        <v>0</v>
      </c>
      <c r="H24" s="23">
        <f>IF($A24="","",IF($B24="","Escolha o insumo",IF($F24="","Insumo sem custo",IF(COUNTIF(PratoNome,$A24)=0,"Prato não cadastrado",IF($C24="","Falta quantidade","OK")))))</f>
        <v>0</v>
      </c>
    </row>
    <row r="25" spans="1:8">
      <c r="A25" s="13"/>
      <c r="B25" s="13"/>
      <c r="C25" s="19"/>
      <c r="D25" s="13"/>
      <c r="E25" s="23">
        <f>IF($B25="","",IFERROR(INDEX(InsUnid,MATCH($B25,InsNome,0)),""))</f>
        <v>0</v>
      </c>
      <c r="F25" s="21">
        <f>IF($B25="","",IFERROR(INDEX(InsUtil,MATCH($B25,InsNome,0)),""))</f>
        <v>0</v>
      </c>
      <c r="G25" s="24">
        <f>IF(OR($A25="",$C25="",$F25=""),"",$C25*$F25)</f>
        <v>0</v>
      </c>
      <c r="H25" s="23">
        <f>IF($A25="","",IF($B25="","Escolha o insumo",IF($F25="","Insumo sem custo",IF(COUNTIF(PratoNome,$A25)=0,"Prato não cadastrado",IF($C25="","Falta quantidade","OK")))))</f>
        <v>0</v>
      </c>
    </row>
    <row r="26" spans="1:8">
      <c r="A26" s="13"/>
      <c r="B26" s="13"/>
      <c r="C26" s="19"/>
      <c r="D26" s="13"/>
      <c r="E26" s="23">
        <f>IF($B26="","",IFERROR(INDEX(InsUnid,MATCH($B26,InsNome,0)),""))</f>
        <v>0</v>
      </c>
      <c r="F26" s="21">
        <f>IF($B26="","",IFERROR(INDEX(InsUtil,MATCH($B26,InsNome,0)),""))</f>
        <v>0</v>
      </c>
      <c r="G26" s="24">
        <f>IF(OR($A26="",$C26="",$F26=""),"",$C26*$F26)</f>
        <v>0</v>
      </c>
      <c r="H26" s="23">
        <f>IF($A26="","",IF($B26="","Escolha o insumo",IF($F26="","Insumo sem custo",IF(COUNTIF(PratoNome,$A26)=0,"Prato não cadastrado",IF($C26="","Falta quantidade","OK")))))</f>
        <v>0</v>
      </c>
    </row>
    <row r="27" spans="1:8">
      <c r="A27" s="13"/>
      <c r="B27" s="13"/>
      <c r="C27" s="19"/>
      <c r="D27" s="13"/>
      <c r="E27" s="23">
        <f>IF($B27="","",IFERROR(INDEX(InsUnid,MATCH($B27,InsNome,0)),""))</f>
        <v>0</v>
      </c>
      <c r="F27" s="21">
        <f>IF($B27="","",IFERROR(INDEX(InsUtil,MATCH($B27,InsNome,0)),""))</f>
        <v>0</v>
      </c>
      <c r="G27" s="24">
        <f>IF(OR($A27="",$C27="",$F27=""),"",$C27*$F27)</f>
        <v>0</v>
      </c>
      <c r="H27" s="23">
        <f>IF($A27="","",IF($B27="","Escolha o insumo",IF($F27="","Insumo sem custo",IF(COUNTIF(PratoNome,$A27)=0,"Prato não cadastrado",IF($C27="","Falta quantidade","OK")))))</f>
        <v>0</v>
      </c>
    </row>
    <row r="28" spans="1:8">
      <c r="A28" s="13"/>
      <c r="B28" s="13"/>
      <c r="C28" s="19"/>
      <c r="D28" s="13"/>
      <c r="E28" s="23">
        <f>IF($B28="","",IFERROR(INDEX(InsUnid,MATCH($B28,InsNome,0)),""))</f>
        <v>0</v>
      </c>
      <c r="F28" s="21">
        <f>IF($B28="","",IFERROR(INDEX(InsUtil,MATCH($B28,InsNome,0)),""))</f>
        <v>0</v>
      </c>
      <c r="G28" s="24">
        <f>IF(OR($A28="",$C28="",$F28=""),"",$C28*$F28)</f>
        <v>0</v>
      </c>
      <c r="H28" s="23">
        <f>IF($A28="","",IF($B28="","Escolha o insumo",IF($F28="","Insumo sem custo",IF(COUNTIF(PratoNome,$A28)=0,"Prato não cadastrado",IF($C28="","Falta quantidade","OK")))))</f>
        <v>0</v>
      </c>
    </row>
    <row r="29" spans="1:8">
      <c r="A29" s="13"/>
      <c r="B29" s="13"/>
      <c r="C29" s="19"/>
      <c r="D29" s="13"/>
      <c r="E29" s="23">
        <f>IF($B29="","",IFERROR(INDEX(InsUnid,MATCH($B29,InsNome,0)),""))</f>
        <v>0</v>
      </c>
      <c r="F29" s="21">
        <f>IF($B29="","",IFERROR(INDEX(InsUtil,MATCH($B29,InsNome,0)),""))</f>
        <v>0</v>
      </c>
      <c r="G29" s="24">
        <f>IF(OR($A29="",$C29="",$F29=""),"",$C29*$F29)</f>
        <v>0</v>
      </c>
      <c r="H29" s="23">
        <f>IF($A29="","",IF($B29="","Escolha o insumo",IF($F29="","Insumo sem custo",IF(COUNTIF(PratoNome,$A29)=0,"Prato não cadastrado",IF($C29="","Falta quantidade","OK")))))</f>
        <v>0</v>
      </c>
    </row>
    <row r="30" spans="1:8">
      <c r="A30" s="13"/>
      <c r="B30" s="13"/>
      <c r="C30" s="19"/>
      <c r="D30" s="13"/>
      <c r="E30" s="23">
        <f>IF($B30="","",IFERROR(INDEX(InsUnid,MATCH($B30,InsNome,0)),""))</f>
        <v>0</v>
      </c>
      <c r="F30" s="21">
        <f>IF($B30="","",IFERROR(INDEX(InsUtil,MATCH($B30,InsNome,0)),""))</f>
        <v>0</v>
      </c>
      <c r="G30" s="24">
        <f>IF(OR($A30="",$C30="",$F30=""),"",$C30*$F30)</f>
        <v>0</v>
      </c>
      <c r="H30" s="23">
        <f>IF($A30="","",IF($B30="","Escolha o insumo",IF($F30="","Insumo sem custo",IF(COUNTIF(PratoNome,$A30)=0,"Prato não cadastrado",IF($C30="","Falta quantidade","OK")))))</f>
        <v>0</v>
      </c>
    </row>
    <row r="31" spans="1:8">
      <c r="A31" s="13"/>
      <c r="B31" s="13"/>
      <c r="C31" s="19"/>
      <c r="D31" s="13"/>
      <c r="E31" s="23">
        <f>IF($B31="","",IFERROR(INDEX(InsUnid,MATCH($B31,InsNome,0)),""))</f>
        <v>0</v>
      </c>
      <c r="F31" s="21">
        <f>IF($B31="","",IFERROR(INDEX(InsUtil,MATCH($B31,InsNome,0)),""))</f>
        <v>0</v>
      </c>
      <c r="G31" s="24">
        <f>IF(OR($A31="",$C31="",$F31=""),"",$C31*$F31)</f>
        <v>0</v>
      </c>
      <c r="H31" s="23">
        <f>IF($A31="","",IF($B31="","Escolha o insumo",IF($F31="","Insumo sem custo",IF(COUNTIF(PratoNome,$A31)=0,"Prato não cadastrado",IF($C31="","Falta quantidade","OK")))))</f>
        <v>0</v>
      </c>
    </row>
    <row r="32" spans="1:8">
      <c r="A32" s="13"/>
      <c r="B32" s="13"/>
      <c r="C32" s="19"/>
      <c r="D32" s="13"/>
      <c r="E32" s="23">
        <f>IF($B32="","",IFERROR(INDEX(InsUnid,MATCH($B32,InsNome,0)),""))</f>
        <v>0</v>
      </c>
      <c r="F32" s="21">
        <f>IF($B32="","",IFERROR(INDEX(InsUtil,MATCH($B32,InsNome,0)),""))</f>
        <v>0</v>
      </c>
      <c r="G32" s="24">
        <f>IF(OR($A32="",$C32="",$F32=""),"",$C32*$F32)</f>
        <v>0</v>
      </c>
      <c r="H32" s="23">
        <f>IF($A32="","",IF($B32="","Escolha o insumo",IF($F32="","Insumo sem custo",IF(COUNTIF(PratoNome,$A32)=0,"Prato não cadastrado",IF($C32="","Falta quantidade","OK")))))</f>
        <v>0</v>
      </c>
    </row>
    <row r="33" spans="1:8">
      <c r="A33" s="13"/>
      <c r="B33" s="13"/>
      <c r="C33" s="19"/>
      <c r="D33" s="13"/>
      <c r="E33" s="23">
        <f>IF($B33="","",IFERROR(INDEX(InsUnid,MATCH($B33,InsNome,0)),""))</f>
        <v>0</v>
      </c>
      <c r="F33" s="21">
        <f>IF($B33="","",IFERROR(INDEX(InsUtil,MATCH($B33,InsNome,0)),""))</f>
        <v>0</v>
      </c>
      <c r="G33" s="24">
        <f>IF(OR($A33="",$C33="",$F33=""),"",$C33*$F33)</f>
        <v>0</v>
      </c>
      <c r="H33" s="23">
        <f>IF($A33="","",IF($B33="","Escolha o insumo",IF($F33="","Insumo sem custo",IF(COUNTIF(PratoNome,$A33)=0,"Prato não cadastrado",IF($C33="","Falta quantidade","OK")))))</f>
        <v>0</v>
      </c>
    </row>
    <row r="34" spans="1:8">
      <c r="A34" s="13"/>
      <c r="B34" s="13"/>
      <c r="C34" s="19"/>
      <c r="D34" s="13"/>
      <c r="E34" s="23">
        <f>IF($B34="","",IFERROR(INDEX(InsUnid,MATCH($B34,InsNome,0)),""))</f>
        <v>0</v>
      </c>
      <c r="F34" s="21">
        <f>IF($B34="","",IFERROR(INDEX(InsUtil,MATCH($B34,InsNome,0)),""))</f>
        <v>0</v>
      </c>
      <c r="G34" s="24">
        <f>IF(OR($A34="",$C34="",$F34=""),"",$C34*$F34)</f>
        <v>0</v>
      </c>
      <c r="H34" s="23">
        <f>IF($A34="","",IF($B34="","Escolha o insumo",IF($F34="","Insumo sem custo",IF(COUNTIF(PratoNome,$A34)=0,"Prato não cadastrado",IF($C34="","Falta quantidade","OK")))))</f>
        <v>0</v>
      </c>
    </row>
    <row r="35" spans="1:8">
      <c r="A35" s="13"/>
      <c r="B35" s="13"/>
      <c r="C35" s="19"/>
      <c r="D35" s="13"/>
      <c r="E35" s="23">
        <f>IF($B35="","",IFERROR(INDEX(InsUnid,MATCH($B35,InsNome,0)),""))</f>
        <v>0</v>
      </c>
      <c r="F35" s="21">
        <f>IF($B35="","",IFERROR(INDEX(InsUtil,MATCH($B35,InsNome,0)),""))</f>
        <v>0</v>
      </c>
      <c r="G35" s="24">
        <f>IF(OR($A35="",$C35="",$F35=""),"",$C35*$F35)</f>
        <v>0</v>
      </c>
      <c r="H35" s="23">
        <f>IF($A35="","",IF($B35="","Escolha o insumo",IF($F35="","Insumo sem custo",IF(COUNTIF(PratoNome,$A35)=0,"Prato não cadastrado",IF($C35="","Falta quantidade","OK")))))</f>
        <v>0</v>
      </c>
    </row>
    <row r="36" spans="1:8">
      <c r="A36" s="13"/>
      <c r="B36" s="13"/>
      <c r="C36" s="19"/>
      <c r="D36" s="13"/>
      <c r="E36" s="23">
        <f>IF($B36="","",IFERROR(INDEX(InsUnid,MATCH($B36,InsNome,0)),""))</f>
        <v>0</v>
      </c>
      <c r="F36" s="21">
        <f>IF($B36="","",IFERROR(INDEX(InsUtil,MATCH($B36,InsNome,0)),""))</f>
        <v>0</v>
      </c>
      <c r="G36" s="24">
        <f>IF(OR($A36="",$C36="",$F36=""),"",$C36*$F36)</f>
        <v>0</v>
      </c>
      <c r="H36" s="23">
        <f>IF($A36="","",IF($B36="","Escolha o insumo",IF($F36="","Insumo sem custo",IF(COUNTIF(PratoNome,$A36)=0,"Prato não cadastrado",IF($C36="","Falta quantidade","OK")))))</f>
        <v>0</v>
      </c>
    </row>
    <row r="37" spans="1:8">
      <c r="A37" s="13"/>
      <c r="B37" s="13"/>
      <c r="C37" s="19"/>
      <c r="D37" s="13"/>
      <c r="E37" s="23">
        <f>IF($B37="","",IFERROR(INDEX(InsUnid,MATCH($B37,InsNome,0)),""))</f>
        <v>0</v>
      </c>
      <c r="F37" s="21">
        <f>IF($B37="","",IFERROR(INDEX(InsUtil,MATCH($B37,InsNome,0)),""))</f>
        <v>0</v>
      </c>
      <c r="G37" s="24">
        <f>IF(OR($A37="",$C37="",$F37=""),"",$C37*$F37)</f>
        <v>0</v>
      </c>
      <c r="H37" s="23">
        <f>IF($A37="","",IF($B37="","Escolha o insumo",IF($F37="","Insumo sem custo",IF(COUNTIF(PratoNome,$A37)=0,"Prato não cadastrado",IF($C37="","Falta quantidade","OK")))))</f>
        <v>0</v>
      </c>
    </row>
    <row r="38" spans="1:8">
      <c r="A38" s="13"/>
      <c r="B38" s="13"/>
      <c r="C38" s="19"/>
      <c r="D38" s="13"/>
      <c r="E38" s="23">
        <f>IF($B38="","",IFERROR(INDEX(InsUnid,MATCH($B38,InsNome,0)),""))</f>
        <v>0</v>
      </c>
      <c r="F38" s="21">
        <f>IF($B38="","",IFERROR(INDEX(InsUtil,MATCH($B38,InsNome,0)),""))</f>
        <v>0</v>
      </c>
      <c r="G38" s="24">
        <f>IF(OR($A38="",$C38="",$F38=""),"",$C38*$F38)</f>
        <v>0</v>
      </c>
      <c r="H38" s="23">
        <f>IF($A38="","",IF($B38="","Escolha o insumo",IF($F38="","Insumo sem custo",IF(COUNTIF(PratoNome,$A38)=0,"Prato não cadastrado",IF($C38="","Falta quantidade","OK")))))</f>
        <v>0</v>
      </c>
    </row>
    <row r="39" spans="1:8">
      <c r="A39" s="13"/>
      <c r="B39" s="13"/>
      <c r="C39" s="19"/>
      <c r="D39" s="13"/>
      <c r="E39" s="23">
        <f>IF($B39="","",IFERROR(INDEX(InsUnid,MATCH($B39,InsNome,0)),""))</f>
        <v>0</v>
      </c>
      <c r="F39" s="21">
        <f>IF($B39="","",IFERROR(INDEX(InsUtil,MATCH($B39,InsNome,0)),""))</f>
        <v>0</v>
      </c>
      <c r="G39" s="24">
        <f>IF(OR($A39="",$C39="",$F39=""),"",$C39*$F39)</f>
        <v>0</v>
      </c>
      <c r="H39" s="23">
        <f>IF($A39="","",IF($B39="","Escolha o insumo",IF($F39="","Insumo sem custo",IF(COUNTIF(PratoNome,$A39)=0,"Prato não cadastrado",IF($C39="","Falta quantidade","OK")))))</f>
        <v>0</v>
      </c>
    </row>
    <row r="40" spans="1:8">
      <c r="A40" s="13"/>
      <c r="B40" s="13"/>
      <c r="C40" s="19"/>
      <c r="D40" s="13"/>
      <c r="E40" s="23">
        <f>IF($B40="","",IFERROR(INDEX(InsUnid,MATCH($B40,InsNome,0)),""))</f>
        <v>0</v>
      </c>
      <c r="F40" s="21">
        <f>IF($B40="","",IFERROR(INDEX(InsUtil,MATCH($B40,InsNome,0)),""))</f>
        <v>0</v>
      </c>
      <c r="G40" s="24">
        <f>IF(OR($A40="",$C40="",$F40=""),"",$C40*$F40)</f>
        <v>0</v>
      </c>
      <c r="H40" s="23">
        <f>IF($A40="","",IF($B40="","Escolha o insumo",IF($F40="","Insumo sem custo",IF(COUNTIF(PratoNome,$A40)=0,"Prato não cadastrado",IF($C40="","Falta quantidade","OK")))))</f>
        <v>0</v>
      </c>
    </row>
    <row r="41" spans="1:8">
      <c r="A41" s="13"/>
      <c r="B41" s="13"/>
      <c r="C41" s="19"/>
      <c r="D41" s="13"/>
      <c r="E41" s="23">
        <f>IF($B41="","",IFERROR(INDEX(InsUnid,MATCH($B41,InsNome,0)),""))</f>
        <v>0</v>
      </c>
      <c r="F41" s="21">
        <f>IF($B41="","",IFERROR(INDEX(InsUtil,MATCH($B41,InsNome,0)),""))</f>
        <v>0</v>
      </c>
      <c r="G41" s="24">
        <f>IF(OR($A41="",$C41="",$F41=""),"",$C41*$F41)</f>
        <v>0</v>
      </c>
      <c r="H41" s="23">
        <f>IF($A41="","",IF($B41="","Escolha o insumo",IF($F41="","Insumo sem custo",IF(COUNTIF(PratoNome,$A41)=0,"Prato não cadastrado",IF($C41="","Falta quantidade","OK")))))</f>
        <v>0</v>
      </c>
    </row>
    <row r="42" spans="1:8">
      <c r="A42" s="13"/>
      <c r="B42" s="13"/>
      <c r="C42" s="19"/>
      <c r="D42" s="13"/>
      <c r="E42" s="23">
        <f>IF($B42="","",IFERROR(INDEX(InsUnid,MATCH($B42,InsNome,0)),""))</f>
        <v>0</v>
      </c>
      <c r="F42" s="21">
        <f>IF($B42="","",IFERROR(INDEX(InsUtil,MATCH($B42,InsNome,0)),""))</f>
        <v>0</v>
      </c>
      <c r="G42" s="24">
        <f>IF(OR($A42="",$C42="",$F42=""),"",$C42*$F42)</f>
        <v>0</v>
      </c>
      <c r="H42" s="23">
        <f>IF($A42="","",IF($B42="","Escolha o insumo",IF($F42="","Insumo sem custo",IF(COUNTIF(PratoNome,$A42)=0,"Prato não cadastrado",IF($C42="","Falta quantidade","OK")))))</f>
        <v>0</v>
      </c>
    </row>
    <row r="43" spans="1:8">
      <c r="A43" s="13"/>
      <c r="B43" s="13"/>
      <c r="C43" s="19"/>
      <c r="D43" s="13"/>
      <c r="E43" s="23">
        <f>IF($B43="","",IFERROR(INDEX(InsUnid,MATCH($B43,InsNome,0)),""))</f>
        <v>0</v>
      </c>
      <c r="F43" s="21">
        <f>IF($B43="","",IFERROR(INDEX(InsUtil,MATCH($B43,InsNome,0)),""))</f>
        <v>0</v>
      </c>
      <c r="G43" s="24">
        <f>IF(OR($A43="",$C43="",$F43=""),"",$C43*$F43)</f>
        <v>0</v>
      </c>
      <c r="H43" s="23">
        <f>IF($A43="","",IF($B43="","Escolha o insumo",IF($F43="","Insumo sem custo",IF(COUNTIF(PratoNome,$A43)=0,"Prato não cadastrado",IF($C43="","Falta quantidade","OK")))))</f>
        <v>0</v>
      </c>
    </row>
    <row r="44" spans="1:8">
      <c r="A44" s="13"/>
      <c r="B44" s="13"/>
      <c r="C44" s="19"/>
      <c r="D44" s="13"/>
      <c r="E44" s="23">
        <f>IF($B44="","",IFERROR(INDEX(InsUnid,MATCH($B44,InsNome,0)),""))</f>
        <v>0</v>
      </c>
      <c r="F44" s="21">
        <f>IF($B44="","",IFERROR(INDEX(InsUtil,MATCH($B44,InsNome,0)),""))</f>
        <v>0</v>
      </c>
      <c r="G44" s="24">
        <f>IF(OR($A44="",$C44="",$F44=""),"",$C44*$F44)</f>
        <v>0</v>
      </c>
      <c r="H44" s="23">
        <f>IF($A44="","",IF($B44="","Escolha o insumo",IF($F44="","Insumo sem custo",IF(COUNTIF(PratoNome,$A44)=0,"Prato não cadastrado",IF($C44="","Falta quantidade","OK")))))</f>
        <v>0</v>
      </c>
    </row>
    <row r="45" spans="1:8">
      <c r="A45" s="13"/>
      <c r="B45" s="13"/>
      <c r="C45" s="19"/>
      <c r="D45" s="13"/>
      <c r="E45" s="23">
        <f>IF($B45="","",IFERROR(INDEX(InsUnid,MATCH($B45,InsNome,0)),""))</f>
        <v>0</v>
      </c>
      <c r="F45" s="21">
        <f>IF($B45="","",IFERROR(INDEX(InsUtil,MATCH($B45,InsNome,0)),""))</f>
        <v>0</v>
      </c>
      <c r="G45" s="24">
        <f>IF(OR($A45="",$C45="",$F45=""),"",$C45*$F45)</f>
        <v>0</v>
      </c>
      <c r="H45" s="23">
        <f>IF($A45="","",IF($B45="","Escolha o insumo",IF($F45="","Insumo sem custo",IF(COUNTIF(PratoNome,$A45)=0,"Prato não cadastrado",IF($C45="","Falta quantidade","OK")))))</f>
        <v>0</v>
      </c>
    </row>
    <row r="46" spans="1:8">
      <c r="A46" s="13"/>
      <c r="B46" s="13"/>
      <c r="C46" s="19"/>
      <c r="D46" s="13"/>
      <c r="E46" s="23">
        <f>IF($B46="","",IFERROR(INDEX(InsUnid,MATCH($B46,InsNome,0)),""))</f>
        <v>0</v>
      </c>
      <c r="F46" s="21">
        <f>IF($B46="","",IFERROR(INDEX(InsUtil,MATCH($B46,InsNome,0)),""))</f>
        <v>0</v>
      </c>
      <c r="G46" s="24">
        <f>IF(OR($A46="",$C46="",$F46=""),"",$C46*$F46)</f>
        <v>0</v>
      </c>
      <c r="H46" s="23">
        <f>IF($A46="","",IF($B46="","Escolha o insumo",IF($F46="","Insumo sem custo",IF(COUNTIF(PratoNome,$A46)=0,"Prato não cadastrado",IF($C46="","Falta quantidade","OK")))))</f>
        <v>0</v>
      </c>
    </row>
    <row r="47" spans="1:8">
      <c r="A47" s="13"/>
      <c r="B47" s="13"/>
      <c r="C47" s="19"/>
      <c r="D47" s="13"/>
      <c r="E47" s="23">
        <f>IF($B47="","",IFERROR(INDEX(InsUnid,MATCH($B47,InsNome,0)),""))</f>
        <v>0</v>
      </c>
      <c r="F47" s="21">
        <f>IF($B47="","",IFERROR(INDEX(InsUtil,MATCH($B47,InsNome,0)),""))</f>
        <v>0</v>
      </c>
      <c r="G47" s="24">
        <f>IF(OR($A47="",$C47="",$F47=""),"",$C47*$F47)</f>
        <v>0</v>
      </c>
      <c r="H47" s="23">
        <f>IF($A47="","",IF($B47="","Escolha o insumo",IF($F47="","Insumo sem custo",IF(COUNTIF(PratoNome,$A47)=0,"Prato não cadastrado",IF($C47="","Falta quantidade","OK")))))</f>
        <v>0</v>
      </c>
    </row>
    <row r="48" spans="1:8">
      <c r="A48" s="13"/>
      <c r="B48" s="13"/>
      <c r="C48" s="19"/>
      <c r="D48" s="13"/>
      <c r="E48" s="23">
        <f>IF($B48="","",IFERROR(INDEX(InsUnid,MATCH($B48,InsNome,0)),""))</f>
        <v>0</v>
      </c>
      <c r="F48" s="21">
        <f>IF($B48="","",IFERROR(INDEX(InsUtil,MATCH($B48,InsNome,0)),""))</f>
        <v>0</v>
      </c>
      <c r="G48" s="24">
        <f>IF(OR($A48="",$C48="",$F48=""),"",$C48*$F48)</f>
        <v>0</v>
      </c>
      <c r="H48" s="23">
        <f>IF($A48="","",IF($B48="","Escolha o insumo",IF($F48="","Insumo sem custo",IF(COUNTIF(PratoNome,$A48)=0,"Prato não cadastrado",IF($C48="","Falta quantidade","OK")))))</f>
        <v>0</v>
      </c>
    </row>
    <row r="49" spans="1:8">
      <c r="A49" s="13"/>
      <c r="B49" s="13"/>
      <c r="C49" s="19"/>
      <c r="D49" s="13"/>
      <c r="E49" s="23">
        <f>IF($B49="","",IFERROR(INDEX(InsUnid,MATCH($B49,InsNome,0)),""))</f>
        <v>0</v>
      </c>
      <c r="F49" s="21">
        <f>IF($B49="","",IFERROR(INDEX(InsUtil,MATCH($B49,InsNome,0)),""))</f>
        <v>0</v>
      </c>
      <c r="G49" s="24">
        <f>IF(OR($A49="",$C49="",$F49=""),"",$C49*$F49)</f>
        <v>0</v>
      </c>
      <c r="H49" s="23">
        <f>IF($A49="","",IF($B49="","Escolha o insumo",IF($F49="","Insumo sem custo",IF(COUNTIF(PratoNome,$A49)=0,"Prato não cadastrado",IF($C49="","Falta quantidade","OK")))))</f>
        <v>0</v>
      </c>
    </row>
    <row r="50" spans="1:8">
      <c r="A50" s="13"/>
      <c r="B50" s="13"/>
      <c r="C50" s="19"/>
      <c r="D50" s="13"/>
      <c r="E50" s="23">
        <f>IF($B50="","",IFERROR(INDEX(InsUnid,MATCH($B50,InsNome,0)),""))</f>
        <v>0</v>
      </c>
      <c r="F50" s="21">
        <f>IF($B50="","",IFERROR(INDEX(InsUtil,MATCH($B50,InsNome,0)),""))</f>
        <v>0</v>
      </c>
      <c r="G50" s="24">
        <f>IF(OR($A50="",$C50="",$F50=""),"",$C50*$F50)</f>
        <v>0</v>
      </c>
      <c r="H50" s="23">
        <f>IF($A50="","",IF($B50="","Escolha o insumo",IF($F50="","Insumo sem custo",IF(COUNTIF(PratoNome,$A50)=0,"Prato não cadastrado",IF($C50="","Falta quantidade","OK")))))</f>
        <v>0</v>
      </c>
    </row>
    <row r="51" spans="1:8">
      <c r="A51" s="13"/>
      <c r="B51" s="13"/>
      <c r="C51" s="19"/>
      <c r="D51" s="13"/>
      <c r="E51" s="23">
        <f>IF($B51="","",IFERROR(INDEX(InsUnid,MATCH($B51,InsNome,0)),""))</f>
        <v>0</v>
      </c>
      <c r="F51" s="21">
        <f>IF($B51="","",IFERROR(INDEX(InsUtil,MATCH($B51,InsNome,0)),""))</f>
        <v>0</v>
      </c>
      <c r="G51" s="24">
        <f>IF(OR($A51="",$C51="",$F51=""),"",$C51*$F51)</f>
        <v>0</v>
      </c>
      <c r="H51" s="23">
        <f>IF($A51="","",IF($B51="","Escolha o insumo",IF($F51="","Insumo sem custo",IF(COUNTIF(PratoNome,$A51)=0,"Prato não cadastrado",IF($C51="","Falta quantidade","OK")))))</f>
        <v>0</v>
      </c>
    </row>
    <row r="52" spans="1:8">
      <c r="A52" s="13"/>
      <c r="B52" s="13"/>
      <c r="C52" s="19"/>
      <c r="D52" s="13"/>
      <c r="E52" s="23">
        <f>IF($B52="","",IFERROR(INDEX(InsUnid,MATCH($B52,InsNome,0)),""))</f>
        <v>0</v>
      </c>
      <c r="F52" s="21">
        <f>IF($B52="","",IFERROR(INDEX(InsUtil,MATCH($B52,InsNome,0)),""))</f>
        <v>0</v>
      </c>
      <c r="G52" s="24">
        <f>IF(OR($A52="",$C52="",$F52=""),"",$C52*$F52)</f>
        <v>0</v>
      </c>
      <c r="H52" s="23">
        <f>IF($A52="","",IF($B52="","Escolha o insumo",IF($F52="","Insumo sem custo",IF(COUNTIF(PratoNome,$A52)=0,"Prato não cadastrado",IF($C52="","Falta quantidade","OK")))))</f>
        <v>0</v>
      </c>
    </row>
    <row r="53" spans="1:8">
      <c r="A53" s="13"/>
      <c r="B53" s="13"/>
      <c r="C53" s="19"/>
      <c r="D53" s="13"/>
      <c r="E53" s="23">
        <f>IF($B53="","",IFERROR(INDEX(InsUnid,MATCH($B53,InsNome,0)),""))</f>
        <v>0</v>
      </c>
      <c r="F53" s="21">
        <f>IF($B53="","",IFERROR(INDEX(InsUtil,MATCH($B53,InsNome,0)),""))</f>
        <v>0</v>
      </c>
      <c r="G53" s="24">
        <f>IF(OR($A53="",$C53="",$F53=""),"",$C53*$F53)</f>
        <v>0</v>
      </c>
      <c r="H53" s="23">
        <f>IF($A53="","",IF($B53="","Escolha o insumo",IF($F53="","Insumo sem custo",IF(COUNTIF(PratoNome,$A53)=0,"Prato não cadastrado",IF($C53="","Falta quantidade","OK")))))</f>
        <v>0</v>
      </c>
    </row>
    <row r="54" spans="1:8">
      <c r="A54" s="13"/>
      <c r="B54" s="13"/>
      <c r="C54" s="19"/>
      <c r="D54" s="13"/>
      <c r="E54" s="23">
        <f>IF($B54="","",IFERROR(INDEX(InsUnid,MATCH($B54,InsNome,0)),""))</f>
        <v>0</v>
      </c>
      <c r="F54" s="21">
        <f>IF($B54="","",IFERROR(INDEX(InsUtil,MATCH($B54,InsNome,0)),""))</f>
        <v>0</v>
      </c>
      <c r="G54" s="24">
        <f>IF(OR($A54="",$C54="",$F54=""),"",$C54*$F54)</f>
        <v>0</v>
      </c>
      <c r="H54" s="23">
        <f>IF($A54="","",IF($B54="","Escolha o insumo",IF($F54="","Insumo sem custo",IF(COUNTIF(PratoNome,$A54)=0,"Prato não cadastrado",IF($C54="","Falta quantidade","OK")))))</f>
        <v>0</v>
      </c>
    </row>
    <row r="55" spans="1:8">
      <c r="A55" s="13"/>
      <c r="B55" s="13"/>
      <c r="C55" s="19"/>
      <c r="D55" s="13"/>
      <c r="E55" s="23">
        <f>IF($B55="","",IFERROR(INDEX(InsUnid,MATCH($B55,InsNome,0)),""))</f>
        <v>0</v>
      </c>
      <c r="F55" s="21">
        <f>IF($B55="","",IFERROR(INDEX(InsUtil,MATCH($B55,InsNome,0)),""))</f>
        <v>0</v>
      </c>
      <c r="G55" s="24">
        <f>IF(OR($A55="",$C55="",$F55=""),"",$C55*$F55)</f>
        <v>0</v>
      </c>
      <c r="H55" s="23">
        <f>IF($A55="","",IF($B55="","Escolha o insumo",IF($F55="","Insumo sem custo",IF(COUNTIF(PratoNome,$A55)=0,"Prato não cadastrado",IF($C55="","Falta quantidade","OK")))))</f>
        <v>0</v>
      </c>
    </row>
    <row r="56" spans="1:8">
      <c r="A56" s="13"/>
      <c r="B56" s="13"/>
      <c r="C56" s="19"/>
      <c r="D56" s="13"/>
      <c r="E56" s="23">
        <f>IF($B56="","",IFERROR(INDEX(InsUnid,MATCH($B56,InsNome,0)),""))</f>
        <v>0</v>
      </c>
      <c r="F56" s="21">
        <f>IF($B56="","",IFERROR(INDEX(InsUtil,MATCH($B56,InsNome,0)),""))</f>
        <v>0</v>
      </c>
      <c r="G56" s="24">
        <f>IF(OR($A56="",$C56="",$F56=""),"",$C56*$F56)</f>
        <v>0</v>
      </c>
      <c r="H56" s="23">
        <f>IF($A56="","",IF($B56="","Escolha o insumo",IF($F56="","Insumo sem custo",IF(COUNTIF(PratoNome,$A56)=0,"Prato não cadastrado",IF($C56="","Falta quantidade","OK")))))</f>
        <v>0</v>
      </c>
    </row>
    <row r="57" spans="1:8">
      <c r="A57" s="13"/>
      <c r="B57" s="13"/>
      <c r="C57" s="19"/>
      <c r="D57" s="13"/>
      <c r="E57" s="23">
        <f>IF($B57="","",IFERROR(INDEX(InsUnid,MATCH($B57,InsNome,0)),""))</f>
        <v>0</v>
      </c>
      <c r="F57" s="21">
        <f>IF($B57="","",IFERROR(INDEX(InsUtil,MATCH($B57,InsNome,0)),""))</f>
        <v>0</v>
      </c>
      <c r="G57" s="24">
        <f>IF(OR($A57="",$C57="",$F57=""),"",$C57*$F57)</f>
        <v>0</v>
      </c>
      <c r="H57" s="23">
        <f>IF($A57="","",IF($B57="","Escolha o insumo",IF($F57="","Insumo sem custo",IF(COUNTIF(PratoNome,$A57)=0,"Prato não cadastrado",IF($C57="","Falta quantidade","OK")))))</f>
        <v>0</v>
      </c>
    </row>
    <row r="58" spans="1:8">
      <c r="A58" s="13"/>
      <c r="B58" s="13"/>
      <c r="C58" s="19"/>
      <c r="D58" s="13"/>
      <c r="E58" s="23">
        <f>IF($B58="","",IFERROR(INDEX(InsUnid,MATCH($B58,InsNome,0)),""))</f>
        <v>0</v>
      </c>
      <c r="F58" s="21">
        <f>IF($B58="","",IFERROR(INDEX(InsUtil,MATCH($B58,InsNome,0)),""))</f>
        <v>0</v>
      </c>
      <c r="G58" s="24">
        <f>IF(OR($A58="",$C58="",$F58=""),"",$C58*$F58)</f>
        <v>0</v>
      </c>
      <c r="H58" s="23">
        <f>IF($A58="","",IF($B58="","Escolha o insumo",IF($F58="","Insumo sem custo",IF(COUNTIF(PratoNome,$A58)=0,"Prato não cadastrado",IF($C58="","Falta quantidade","OK")))))</f>
        <v>0</v>
      </c>
    </row>
    <row r="59" spans="1:8">
      <c r="A59" s="13"/>
      <c r="B59" s="13"/>
      <c r="C59" s="19"/>
      <c r="D59" s="13"/>
      <c r="E59" s="23">
        <f>IF($B59="","",IFERROR(INDEX(InsUnid,MATCH($B59,InsNome,0)),""))</f>
        <v>0</v>
      </c>
      <c r="F59" s="21">
        <f>IF($B59="","",IFERROR(INDEX(InsUtil,MATCH($B59,InsNome,0)),""))</f>
        <v>0</v>
      </c>
      <c r="G59" s="24">
        <f>IF(OR($A59="",$C59="",$F59=""),"",$C59*$F59)</f>
        <v>0</v>
      </c>
      <c r="H59" s="23">
        <f>IF($A59="","",IF($B59="","Escolha o insumo",IF($F59="","Insumo sem custo",IF(COUNTIF(PratoNome,$A59)=0,"Prato não cadastrado",IF($C59="","Falta quantidade","OK")))))</f>
        <v>0</v>
      </c>
    </row>
    <row r="60" spans="1:8">
      <c r="A60" s="13"/>
      <c r="B60" s="13"/>
      <c r="C60" s="19"/>
      <c r="D60" s="13"/>
      <c r="E60" s="23">
        <f>IF($B60="","",IFERROR(INDEX(InsUnid,MATCH($B60,InsNome,0)),""))</f>
        <v>0</v>
      </c>
      <c r="F60" s="21">
        <f>IF($B60="","",IFERROR(INDEX(InsUtil,MATCH($B60,InsNome,0)),""))</f>
        <v>0</v>
      </c>
      <c r="G60" s="24">
        <f>IF(OR($A60="",$C60="",$F60=""),"",$C60*$F60)</f>
        <v>0</v>
      </c>
      <c r="H60" s="23">
        <f>IF($A60="","",IF($B60="","Escolha o insumo",IF($F60="","Insumo sem custo",IF(COUNTIF(PratoNome,$A60)=0,"Prato não cadastrado",IF($C60="","Falta quantidade","OK")))))</f>
        <v>0</v>
      </c>
    </row>
    <row r="61" spans="1:8">
      <c r="A61" s="13"/>
      <c r="B61" s="13"/>
      <c r="C61" s="19"/>
      <c r="D61" s="13"/>
      <c r="E61" s="23">
        <f>IF($B61="","",IFERROR(INDEX(InsUnid,MATCH($B61,InsNome,0)),""))</f>
        <v>0</v>
      </c>
      <c r="F61" s="21">
        <f>IF($B61="","",IFERROR(INDEX(InsUtil,MATCH($B61,InsNome,0)),""))</f>
        <v>0</v>
      </c>
      <c r="G61" s="24">
        <f>IF(OR($A61="",$C61="",$F61=""),"",$C61*$F61)</f>
        <v>0</v>
      </c>
      <c r="H61" s="23">
        <f>IF($A61="","",IF($B61="","Escolha o insumo",IF($F61="","Insumo sem custo",IF(COUNTIF(PratoNome,$A61)=0,"Prato não cadastrado",IF($C61="","Falta quantidade","OK")))))</f>
        <v>0</v>
      </c>
    </row>
    <row r="62" spans="1:8">
      <c r="A62" s="13"/>
      <c r="B62" s="13"/>
      <c r="C62" s="19"/>
      <c r="D62" s="13"/>
      <c r="E62" s="23">
        <f>IF($B62="","",IFERROR(INDEX(InsUnid,MATCH($B62,InsNome,0)),""))</f>
        <v>0</v>
      </c>
      <c r="F62" s="21">
        <f>IF($B62="","",IFERROR(INDEX(InsUtil,MATCH($B62,InsNome,0)),""))</f>
        <v>0</v>
      </c>
      <c r="G62" s="24">
        <f>IF(OR($A62="",$C62="",$F62=""),"",$C62*$F62)</f>
        <v>0</v>
      </c>
      <c r="H62" s="23">
        <f>IF($A62="","",IF($B62="","Escolha o insumo",IF($F62="","Insumo sem custo",IF(COUNTIF(PratoNome,$A62)=0,"Prato não cadastrado",IF($C62="","Falta quantidade","OK")))))</f>
        <v>0</v>
      </c>
    </row>
    <row r="63" spans="1:8">
      <c r="A63" s="13"/>
      <c r="B63" s="13"/>
      <c r="C63" s="19"/>
      <c r="D63" s="13"/>
      <c r="E63" s="23">
        <f>IF($B63="","",IFERROR(INDEX(InsUnid,MATCH($B63,InsNome,0)),""))</f>
        <v>0</v>
      </c>
      <c r="F63" s="21">
        <f>IF($B63="","",IFERROR(INDEX(InsUtil,MATCH($B63,InsNome,0)),""))</f>
        <v>0</v>
      </c>
      <c r="G63" s="24">
        <f>IF(OR($A63="",$C63="",$F63=""),"",$C63*$F63)</f>
        <v>0</v>
      </c>
      <c r="H63" s="23">
        <f>IF($A63="","",IF($B63="","Escolha o insumo",IF($F63="","Insumo sem custo",IF(COUNTIF(PratoNome,$A63)=0,"Prato não cadastrado",IF($C63="","Falta quantidade","OK")))))</f>
        <v>0</v>
      </c>
    </row>
    <row r="64" spans="1:8">
      <c r="A64" s="13"/>
      <c r="B64" s="13"/>
      <c r="C64" s="19"/>
      <c r="D64" s="13"/>
      <c r="E64" s="23">
        <f>IF($B64="","",IFERROR(INDEX(InsUnid,MATCH($B64,InsNome,0)),""))</f>
        <v>0</v>
      </c>
      <c r="F64" s="21">
        <f>IF($B64="","",IFERROR(INDEX(InsUtil,MATCH($B64,InsNome,0)),""))</f>
        <v>0</v>
      </c>
      <c r="G64" s="24">
        <f>IF(OR($A64="",$C64="",$F64=""),"",$C64*$F64)</f>
        <v>0</v>
      </c>
      <c r="H64" s="23">
        <f>IF($A64="","",IF($B64="","Escolha o insumo",IF($F64="","Insumo sem custo",IF(COUNTIF(PratoNome,$A64)=0,"Prato não cadastrado",IF($C64="","Falta quantidade","OK")))))</f>
        <v>0</v>
      </c>
    </row>
    <row r="65" spans="1:8">
      <c r="A65" s="13"/>
      <c r="B65" s="13"/>
      <c r="C65" s="19"/>
      <c r="D65" s="13"/>
      <c r="E65" s="23">
        <f>IF($B65="","",IFERROR(INDEX(InsUnid,MATCH($B65,InsNome,0)),""))</f>
        <v>0</v>
      </c>
      <c r="F65" s="21">
        <f>IF($B65="","",IFERROR(INDEX(InsUtil,MATCH($B65,InsNome,0)),""))</f>
        <v>0</v>
      </c>
      <c r="G65" s="24">
        <f>IF(OR($A65="",$C65="",$F65=""),"",$C65*$F65)</f>
        <v>0</v>
      </c>
      <c r="H65" s="23">
        <f>IF($A65="","",IF($B65="","Escolha o insumo",IF($F65="","Insumo sem custo",IF(COUNTIF(PratoNome,$A65)=0,"Prato não cadastrado",IF($C65="","Falta quantidade","OK")))))</f>
        <v>0</v>
      </c>
    </row>
    <row r="66" spans="1:8">
      <c r="A66" s="13"/>
      <c r="B66" s="13"/>
      <c r="C66" s="19"/>
      <c r="D66" s="13"/>
      <c r="E66" s="23">
        <f>IF($B66="","",IFERROR(INDEX(InsUnid,MATCH($B66,InsNome,0)),""))</f>
        <v>0</v>
      </c>
      <c r="F66" s="21">
        <f>IF($B66="","",IFERROR(INDEX(InsUtil,MATCH($B66,InsNome,0)),""))</f>
        <v>0</v>
      </c>
      <c r="G66" s="24">
        <f>IF(OR($A66="",$C66="",$F66=""),"",$C66*$F66)</f>
        <v>0</v>
      </c>
      <c r="H66" s="23">
        <f>IF($A66="","",IF($B66="","Escolha o insumo",IF($F66="","Insumo sem custo",IF(COUNTIF(PratoNome,$A66)=0,"Prato não cadastrado",IF($C66="","Falta quantidade","OK")))))</f>
        <v>0</v>
      </c>
    </row>
    <row r="67" spans="1:8">
      <c r="A67" s="13"/>
      <c r="B67" s="13"/>
      <c r="C67" s="19"/>
      <c r="D67" s="13"/>
      <c r="E67" s="23">
        <f>IF($B67="","",IFERROR(INDEX(InsUnid,MATCH($B67,InsNome,0)),""))</f>
        <v>0</v>
      </c>
      <c r="F67" s="21">
        <f>IF($B67="","",IFERROR(INDEX(InsUtil,MATCH($B67,InsNome,0)),""))</f>
        <v>0</v>
      </c>
      <c r="G67" s="24">
        <f>IF(OR($A67="",$C67="",$F67=""),"",$C67*$F67)</f>
        <v>0</v>
      </c>
      <c r="H67" s="23">
        <f>IF($A67="","",IF($B67="","Escolha o insumo",IF($F67="","Insumo sem custo",IF(COUNTIF(PratoNome,$A67)=0,"Prato não cadastrado",IF($C67="","Falta quantidade","OK")))))</f>
        <v>0</v>
      </c>
    </row>
    <row r="68" spans="1:8">
      <c r="A68" s="13"/>
      <c r="B68" s="13"/>
      <c r="C68" s="19"/>
      <c r="D68" s="13"/>
      <c r="E68" s="23">
        <f>IF($B68="","",IFERROR(INDEX(InsUnid,MATCH($B68,InsNome,0)),""))</f>
        <v>0</v>
      </c>
      <c r="F68" s="21">
        <f>IF($B68="","",IFERROR(INDEX(InsUtil,MATCH($B68,InsNome,0)),""))</f>
        <v>0</v>
      </c>
      <c r="G68" s="24">
        <f>IF(OR($A68="",$C68="",$F68=""),"",$C68*$F68)</f>
        <v>0</v>
      </c>
      <c r="H68" s="23">
        <f>IF($A68="","",IF($B68="","Escolha o insumo",IF($F68="","Insumo sem custo",IF(COUNTIF(PratoNome,$A68)=0,"Prato não cadastrado",IF($C68="","Falta quantidade","OK")))))</f>
        <v>0</v>
      </c>
    </row>
    <row r="69" spans="1:8">
      <c r="A69" s="13"/>
      <c r="B69" s="13"/>
      <c r="C69" s="19"/>
      <c r="D69" s="13"/>
      <c r="E69" s="23">
        <f>IF($B69="","",IFERROR(INDEX(InsUnid,MATCH($B69,InsNome,0)),""))</f>
        <v>0</v>
      </c>
      <c r="F69" s="21">
        <f>IF($B69="","",IFERROR(INDEX(InsUtil,MATCH($B69,InsNome,0)),""))</f>
        <v>0</v>
      </c>
      <c r="G69" s="24">
        <f>IF(OR($A69="",$C69="",$F69=""),"",$C69*$F69)</f>
        <v>0</v>
      </c>
      <c r="H69" s="23">
        <f>IF($A69="","",IF($B69="","Escolha o insumo",IF($F69="","Insumo sem custo",IF(COUNTIF(PratoNome,$A69)=0,"Prato não cadastrado",IF($C69="","Falta quantidade","OK")))))</f>
        <v>0</v>
      </c>
    </row>
    <row r="70" spans="1:8">
      <c r="A70" s="13"/>
      <c r="B70" s="13"/>
      <c r="C70" s="19"/>
      <c r="D70" s="13"/>
      <c r="E70" s="23">
        <f>IF($B70="","",IFERROR(INDEX(InsUnid,MATCH($B70,InsNome,0)),""))</f>
        <v>0</v>
      </c>
      <c r="F70" s="21">
        <f>IF($B70="","",IFERROR(INDEX(InsUtil,MATCH($B70,InsNome,0)),""))</f>
        <v>0</v>
      </c>
      <c r="G70" s="24">
        <f>IF(OR($A70="",$C70="",$F70=""),"",$C70*$F70)</f>
        <v>0</v>
      </c>
      <c r="H70" s="23">
        <f>IF($A70="","",IF($B70="","Escolha o insumo",IF($F70="","Insumo sem custo",IF(COUNTIF(PratoNome,$A70)=0,"Prato não cadastrado",IF($C70="","Falta quantidade","OK")))))</f>
        <v>0</v>
      </c>
    </row>
    <row r="71" spans="1:8">
      <c r="A71" s="13"/>
      <c r="B71" s="13"/>
      <c r="C71" s="19"/>
      <c r="D71" s="13"/>
      <c r="E71" s="23">
        <f>IF($B71="","",IFERROR(INDEX(InsUnid,MATCH($B71,InsNome,0)),""))</f>
        <v>0</v>
      </c>
      <c r="F71" s="21">
        <f>IF($B71="","",IFERROR(INDEX(InsUtil,MATCH($B71,InsNome,0)),""))</f>
        <v>0</v>
      </c>
      <c r="G71" s="24">
        <f>IF(OR($A71="",$C71="",$F71=""),"",$C71*$F71)</f>
        <v>0</v>
      </c>
      <c r="H71" s="23">
        <f>IF($A71="","",IF($B71="","Escolha o insumo",IF($F71="","Insumo sem custo",IF(COUNTIF(PratoNome,$A71)=0,"Prato não cadastrado",IF($C71="","Falta quantidade","OK")))))</f>
        <v>0</v>
      </c>
    </row>
    <row r="72" spans="1:8">
      <c r="A72" s="13"/>
      <c r="B72" s="13"/>
      <c r="C72" s="19"/>
      <c r="D72" s="13"/>
      <c r="E72" s="23">
        <f>IF($B72="","",IFERROR(INDEX(InsUnid,MATCH($B72,InsNome,0)),""))</f>
        <v>0</v>
      </c>
      <c r="F72" s="21">
        <f>IF($B72="","",IFERROR(INDEX(InsUtil,MATCH($B72,InsNome,0)),""))</f>
        <v>0</v>
      </c>
      <c r="G72" s="24">
        <f>IF(OR($A72="",$C72="",$F72=""),"",$C72*$F72)</f>
        <v>0</v>
      </c>
      <c r="H72" s="23">
        <f>IF($A72="","",IF($B72="","Escolha o insumo",IF($F72="","Insumo sem custo",IF(COUNTIF(PratoNome,$A72)=0,"Prato não cadastrado",IF($C72="","Falta quantidade","OK")))))</f>
        <v>0</v>
      </c>
    </row>
    <row r="73" spans="1:8">
      <c r="A73" s="13"/>
      <c r="B73" s="13"/>
      <c r="C73" s="19"/>
      <c r="D73" s="13"/>
      <c r="E73" s="23">
        <f>IF($B73="","",IFERROR(INDEX(InsUnid,MATCH($B73,InsNome,0)),""))</f>
        <v>0</v>
      </c>
      <c r="F73" s="21">
        <f>IF($B73="","",IFERROR(INDEX(InsUtil,MATCH($B73,InsNome,0)),""))</f>
        <v>0</v>
      </c>
      <c r="G73" s="24">
        <f>IF(OR($A73="",$C73="",$F73=""),"",$C73*$F73)</f>
        <v>0</v>
      </c>
      <c r="H73" s="23">
        <f>IF($A73="","",IF($B73="","Escolha o insumo",IF($F73="","Insumo sem custo",IF(COUNTIF(PratoNome,$A73)=0,"Prato não cadastrado",IF($C73="","Falta quantidade","OK")))))</f>
        <v>0</v>
      </c>
    </row>
    <row r="74" spans="1:8">
      <c r="A74" s="13"/>
      <c r="B74" s="13"/>
      <c r="C74" s="19"/>
      <c r="D74" s="13"/>
      <c r="E74" s="23">
        <f>IF($B74="","",IFERROR(INDEX(InsUnid,MATCH($B74,InsNome,0)),""))</f>
        <v>0</v>
      </c>
      <c r="F74" s="21">
        <f>IF($B74="","",IFERROR(INDEX(InsUtil,MATCH($B74,InsNome,0)),""))</f>
        <v>0</v>
      </c>
      <c r="G74" s="24">
        <f>IF(OR($A74="",$C74="",$F74=""),"",$C74*$F74)</f>
        <v>0</v>
      </c>
      <c r="H74" s="23">
        <f>IF($A74="","",IF($B74="","Escolha o insumo",IF($F74="","Insumo sem custo",IF(COUNTIF(PratoNome,$A74)=0,"Prato não cadastrado",IF($C74="","Falta quantidade","OK")))))</f>
        <v>0</v>
      </c>
    </row>
    <row r="75" spans="1:8">
      <c r="A75" s="13"/>
      <c r="B75" s="13"/>
      <c r="C75" s="19"/>
      <c r="D75" s="13"/>
      <c r="E75" s="23">
        <f>IF($B75="","",IFERROR(INDEX(InsUnid,MATCH($B75,InsNome,0)),""))</f>
        <v>0</v>
      </c>
      <c r="F75" s="21">
        <f>IF($B75="","",IFERROR(INDEX(InsUtil,MATCH($B75,InsNome,0)),""))</f>
        <v>0</v>
      </c>
      <c r="G75" s="24">
        <f>IF(OR($A75="",$C75="",$F75=""),"",$C75*$F75)</f>
        <v>0</v>
      </c>
      <c r="H75" s="23">
        <f>IF($A75="","",IF($B75="","Escolha o insumo",IF($F75="","Insumo sem custo",IF(COUNTIF(PratoNome,$A75)=0,"Prato não cadastrado",IF($C75="","Falta quantidade","OK")))))</f>
        <v>0</v>
      </c>
    </row>
    <row r="76" spans="1:8">
      <c r="A76" s="13"/>
      <c r="B76" s="13"/>
      <c r="C76" s="19"/>
      <c r="D76" s="13"/>
      <c r="E76" s="23">
        <f>IF($B76="","",IFERROR(INDEX(InsUnid,MATCH($B76,InsNome,0)),""))</f>
        <v>0</v>
      </c>
      <c r="F76" s="21">
        <f>IF($B76="","",IFERROR(INDEX(InsUtil,MATCH($B76,InsNome,0)),""))</f>
        <v>0</v>
      </c>
      <c r="G76" s="24">
        <f>IF(OR($A76="",$C76="",$F76=""),"",$C76*$F76)</f>
        <v>0</v>
      </c>
      <c r="H76" s="23">
        <f>IF($A76="","",IF($B76="","Escolha o insumo",IF($F76="","Insumo sem custo",IF(COUNTIF(PratoNome,$A76)=0,"Prato não cadastrado",IF($C76="","Falta quantidade","OK")))))</f>
        <v>0</v>
      </c>
    </row>
    <row r="77" spans="1:8">
      <c r="A77" s="13"/>
      <c r="B77" s="13"/>
      <c r="C77" s="19"/>
      <c r="D77" s="13"/>
      <c r="E77" s="23">
        <f>IF($B77="","",IFERROR(INDEX(InsUnid,MATCH($B77,InsNome,0)),""))</f>
        <v>0</v>
      </c>
      <c r="F77" s="21">
        <f>IF($B77="","",IFERROR(INDEX(InsUtil,MATCH($B77,InsNome,0)),""))</f>
        <v>0</v>
      </c>
      <c r="G77" s="24">
        <f>IF(OR($A77="",$C77="",$F77=""),"",$C77*$F77)</f>
        <v>0</v>
      </c>
      <c r="H77" s="23">
        <f>IF($A77="","",IF($B77="","Escolha o insumo",IF($F77="","Insumo sem custo",IF(COUNTIF(PratoNome,$A77)=0,"Prato não cadastrado",IF($C77="","Falta quantidade","OK")))))</f>
        <v>0</v>
      </c>
    </row>
    <row r="78" spans="1:8">
      <c r="A78" s="13"/>
      <c r="B78" s="13"/>
      <c r="C78" s="19"/>
      <c r="D78" s="13"/>
      <c r="E78" s="23">
        <f>IF($B78="","",IFERROR(INDEX(InsUnid,MATCH($B78,InsNome,0)),""))</f>
        <v>0</v>
      </c>
      <c r="F78" s="21">
        <f>IF($B78="","",IFERROR(INDEX(InsUtil,MATCH($B78,InsNome,0)),""))</f>
        <v>0</v>
      </c>
      <c r="G78" s="24">
        <f>IF(OR($A78="",$C78="",$F78=""),"",$C78*$F78)</f>
        <v>0</v>
      </c>
      <c r="H78" s="23">
        <f>IF($A78="","",IF($B78="","Escolha o insumo",IF($F78="","Insumo sem custo",IF(COUNTIF(PratoNome,$A78)=0,"Prato não cadastrado",IF($C78="","Falta quantidade","OK")))))</f>
        <v>0</v>
      </c>
    </row>
    <row r="79" spans="1:8">
      <c r="A79" s="13"/>
      <c r="B79" s="13"/>
      <c r="C79" s="19"/>
      <c r="D79" s="13"/>
      <c r="E79" s="23">
        <f>IF($B79="","",IFERROR(INDEX(InsUnid,MATCH($B79,InsNome,0)),""))</f>
        <v>0</v>
      </c>
      <c r="F79" s="21">
        <f>IF($B79="","",IFERROR(INDEX(InsUtil,MATCH($B79,InsNome,0)),""))</f>
        <v>0</v>
      </c>
      <c r="G79" s="24">
        <f>IF(OR($A79="",$C79="",$F79=""),"",$C79*$F79)</f>
        <v>0</v>
      </c>
      <c r="H79" s="23">
        <f>IF($A79="","",IF($B79="","Escolha o insumo",IF($F79="","Insumo sem custo",IF(COUNTIF(PratoNome,$A79)=0,"Prato não cadastrado",IF($C79="","Falta quantidade","OK")))))</f>
        <v>0</v>
      </c>
    </row>
    <row r="80" spans="1:8">
      <c r="A80" s="13"/>
      <c r="B80" s="13"/>
      <c r="C80" s="19"/>
      <c r="D80" s="13"/>
      <c r="E80" s="23">
        <f>IF($B80="","",IFERROR(INDEX(InsUnid,MATCH($B80,InsNome,0)),""))</f>
        <v>0</v>
      </c>
      <c r="F80" s="21">
        <f>IF($B80="","",IFERROR(INDEX(InsUtil,MATCH($B80,InsNome,0)),""))</f>
        <v>0</v>
      </c>
      <c r="G80" s="24">
        <f>IF(OR($A80="",$C80="",$F80=""),"",$C80*$F80)</f>
        <v>0</v>
      </c>
      <c r="H80" s="23">
        <f>IF($A80="","",IF($B80="","Escolha o insumo",IF($F80="","Insumo sem custo",IF(COUNTIF(PratoNome,$A80)=0,"Prato não cadastrado",IF($C80="","Falta quantidade","OK")))))</f>
        <v>0</v>
      </c>
    </row>
    <row r="81" spans="1:8">
      <c r="A81" s="13"/>
      <c r="B81" s="13"/>
      <c r="C81" s="19"/>
      <c r="D81" s="13"/>
      <c r="E81" s="23">
        <f>IF($B81="","",IFERROR(INDEX(InsUnid,MATCH($B81,InsNome,0)),""))</f>
        <v>0</v>
      </c>
      <c r="F81" s="21">
        <f>IF($B81="","",IFERROR(INDEX(InsUtil,MATCH($B81,InsNome,0)),""))</f>
        <v>0</v>
      </c>
      <c r="G81" s="24">
        <f>IF(OR($A81="",$C81="",$F81=""),"",$C81*$F81)</f>
        <v>0</v>
      </c>
      <c r="H81" s="23">
        <f>IF($A81="","",IF($B81="","Escolha o insumo",IF($F81="","Insumo sem custo",IF(COUNTIF(PratoNome,$A81)=0,"Prato não cadastrado",IF($C81="","Falta quantidade","OK")))))</f>
        <v>0</v>
      </c>
    </row>
    <row r="82" spans="1:8">
      <c r="A82" s="13"/>
      <c r="B82" s="13"/>
      <c r="C82" s="19"/>
      <c r="D82" s="13"/>
      <c r="E82" s="23">
        <f>IF($B82="","",IFERROR(INDEX(InsUnid,MATCH($B82,InsNome,0)),""))</f>
        <v>0</v>
      </c>
      <c r="F82" s="21">
        <f>IF($B82="","",IFERROR(INDEX(InsUtil,MATCH($B82,InsNome,0)),""))</f>
        <v>0</v>
      </c>
      <c r="G82" s="24">
        <f>IF(OR($A82="",$C82="",$F82=""),"",$C82*$F82)</f>
        <v>0</v>
      </c>
      <c r="H82" s="23">
        <f>IF($A82="","",IF($B82="","Escolha o insumo",IF($F82="","Insumo sem custo",IF(COUNTIF(PratoNome,$A82)=0,"Prato não cadastrado",IF($C82="","Falta quantidade","OK")))))</f>
        <v>0</v>
      </c>
    </row>
    <row r="83" spans="1:8">
      <c r="A83" s="13"/>
      <c r="B83" s="13"/>
      <c r="C83" s="19"/>
      <c r="D83" s="13"/>
      <c r="E83" s="23">
        <f>IF($B83="","",IFERROR(INDEX(InsUnid,MATCH($B83,InsNome,0)),""))</f>
        <v>0</v>
      </c>
      <c r="F83" s="21">
        <f>IF($B83="","",IFERROR(INDEX(InsUtil,MATCH($B83,InsNome,0)),""))</f>
        <v>0</v>
      </c>
      <c r="G83" s="24">
        <f>IF(OR($A83="",$C83="",$F83=""),"",$C83*$F83)</f>
        <v>0</v>
      </c>
      <c r="H83" s="23">
        <f>IF($A83="","",IF($B83="","Escolha o insumo",IF($F83="","Insumo sem custo",IF(COUNTIF(PratoNome,$A83)=0,"Prato não cadastrado",IF($C83="","Falta quantidade","OK")))))</f>
        <v>0</v>
      </c>
    </row>
    <row r="84" spans="1:8">
      <c r="A84" s="13"/>
      <c r="B84" s="13"/>
      <c r="C84" s="19"/>
      <c r="D84" s="13"/>
      <c r="E84" s="23">
        <f>IF($B84="","",IFERROR(INDEX(InsUnid,MATCH($B84,InsNome,0)),""))</f>
        <v>0</v>
      </c>
      <c r="F84" s="21">
        <f>IF($B84="","",IFERROR(INDEX(InsUtil,MATCH($B84,InsNome,0)),""))</f>
        <v>0</v>
      </c>
      <c r="G84" s="24">
        <f>IF(OR($A84="",$C84="",$F84=""),"",$C84*$F84)</f>
        <v>0</v>
      </c>
      <c r="H84" s="23">
        <f>IF($A84="","",IF($B84="","Escolha o insumo",IF($F84="","Insumo sem custo",IF(COUNTIF(PratoNome,$A84)=0,"Prato não cadastrado",IF($C84="","Falta quantidade","OK")))))</f>
        <v>0</v>
      </c>
    </row>
    <row r="85" spans="1:8">
      <c r="A85" s="13"/>
      <c r="B85" s="13"/>
      <c r="C85" s="19"/>
      <c r="D85" s="13"/>
      <c r="E85" s="23">
        <f>IF($B85="","",IFERROR(INDEX(InsUnid,MATCH($B85,InsNome,0)),""))</f>
        <v>0</v>
      </c>
      <c r="F85" s="21">
        <f>IF($B85="","",IFERROR(INDEX(InsUtil,MATCH($B85,InsNome,0)),""))</f>
        <v>0</v>
      </c>
      <c r="G85" s="24">
        <f>IF(OR($A85="",$C85="",$F85=""),"",$C85*$F85)</f>
        <v>0</v>
      </c>
      <c r="H85" s="23">
        <f>IF($A85="","",IF($B85="","Escolha o insumo",IF($F85="","Insumo sem custo",IF(COUNTIF(PratoNome,$A85)=0,"Prato não cadastrado",IF($C85="","Falta quantidade","OK")))))</f>
        <v>0</v>
      </c>
    </row>
    <row r="86" spans="1:8">
      <c r="A86" s="13"/>
      <c r="B86" s="13"/>
      <c r="C86" s="19"/>
      <c r="D86" s="13"/>
      <c r="E86" s="23">
        <f>IF($B86="","",IFERROR(INDEX(InsUnid,MATCH($B86,InsNome,0)),""))</f>
        <v>0</v>
      </c>
      <c r="F86" s="21">
        <f>IF($B86="","",IFERROR(INDEX(InsUtil,MATCH($B86,InsNome,0)),""))</f>
        <v>0</v>
      </c>
      <c r="G86" s="24">
        <f>IF(OR($A86="",$C86="",$F86=""),"",$C86*$F86)</f>
        <v>0</v>
      </c>
      <c r="H86" s="23">
        <f>IF($A86="","",IF($B86="","Escolha o insumo",IF($F86="","Insumo sem custo",IF(COUNTIF(PratoNome,$A86)=0,"Prato não cadastrado",IF($C86="","Falta quantidade","OK")))))</f>
        <v>0</v>
      </c>
    </row>
    <row r="87" spans="1:8">
      <c r="A87" s="13"/>
      <c r="B87" s="13"/>
      <c r="C87" s="19"/>
      <c r="D87" s="13"/>
      <c r="E87" s="23">
        <f>IF($B87="","",IFERROR(INDEX(InsUnid,MATCH($B87,InsNome,0)),""))</f>
        <v>0</v>
      </c>
      <c r="F87" s="21">
        <f>IF($B87="","",IFERROR(INDEX(InsUtil,MATCH($B87,InsNome,0)),""))</f>
        <v>0</v>
      </c>
      <c r="G87" s="24">
        <f>IF(OR($A87="",$C87="",$F87=""),"",$C87*$F87)</f>
        <v>0</v>
      </c>
      <c r="H87" s="23">
        <f>IF($A87="","",IF($B87="","Escolha o insumo",IF($F87="","Insumo sem custo",IF(COUNTIF(PratoNome,$A87)=0,"Prato não cadastrado",IF($C87="","Falta quantidade","OK")))))</f>
        <v>0</v>
      </c>
    </row>
    <row r="88" spans="1:8">
      <c r="A88" s="13"/>
      <c r="B88" s="13"/>
      <c r="C88" s="19"/>
      <c r="D88" s="13"/>
      <c r="E88" s="23">
        <f>IF($B88="","",IFERROR(INDEX(InsUnid,MATCH($B88,InsNome,0)),""))</f>
        <v>0</v>
      </c>
      <c r="F88" s="21">
        <f>IF($B88="","",IFERROR(INDEX(InsUtil,MATCH($B88,InsNome,0)),""))</f>
        <v>0</v>
      </c>
      <c r="G88" s="24">
        <f>IF(OR($A88="",$C88="",$F88=""),"",$C88*$F88)</f>
        <v>0</v>
      </c>
      <c r="H88" s="23">
        <f>IF($A88="","",IF($B88="","Escolha o insumo",IF($F88="","Insumo sem custo",IF(COUNTIF(PratoNome,$A88)=0,"Prato não cadastrado",IF($C88="","Falta quantidade","OK")))))</f>
        <v>0</v>
      </c>
    </row>
    <row r="89" spans="1:8">
      <c r="A89" s="13"/>
      <c r="B89" s="13"/>
      <c r="C89" s="19"/>
      <c r="D89" s="13"/>
      <c r="E89" s="23">
        <f>IF($B89="","",IFERROR(INDEX(InsUnid,MATCH($B89,InsNome,0)),""))</f>
        <v>0</v>
      </c>
      <c r="F89" s="21">
        <f>IF($B89="","",IFERROR(INDEX(InsUtil,MATCH($B89,InsNome,0)),""))</f>
        <v>0</v>
      </c>
      <c r="G89" s="24">
        <f>IF(OR($A89="",$C89="",$F89=""),"",$C89*$F89)</f>
        <v>0</v>
      </c>
      <c r="H89" s="23">
        <f>IF($A89="","",IF($B89="","Escolha o insumo",IF($F89="","Insumo sem custo",IF(COUNTIF(PratoNome,$A89)=0,"Prato não cadastrado",IF($C89="","Falta quantidade","OK")))))</f>
        <v>0</v>
      </c>
    </row>
    <row r="90" spans="1:8">
      <c r="A90" s="13"/>
      <c r="B90" s="13"/>
      <c r="C90" s="19"/>
      <c r="D90" s="13"/>
      <c r="E90" s="23">
        <f>IF($B90="","",IFERROR(INDEX(InsUnid,MATCH($B90,InsNome,0)),""))</f>
        <v>0</v>
      </c>
      <c r="F90" s="21">
        <f>IF($B90="","",IFERROR(INDEX(InsUtil,MATCH($B90,InsNome,0)),""))</f>
        <v>0</v>
      </c>
      <c r="G90" s="24">
        <f>IF(OR($A90="",$C90="",$F90=""),"",$C90*$F90)</f>
        <v>0</v>
      </c>
      <c r="H90" s="23">
        <f>IF($A90="","",IF($B90="","Escolha o insumo",IF($F90="","Insumo sem custo",IF(COUNTIF(PratoNome,$A90)=0,"Prato não cadastrado",IF($C90="","Falta quantidade","OK")))))</f>
        <v>0</v>
      </c>
    </row>
    <row r="91" spans="1:8">
      <c r="A91" s="13"/>
      <c r="B91" s="13"/>
      <c r="C91" s="19"/>
      <c r="D91" s="13"/>
      <c r="E91" s="23">
        <f>IF($B91="","",IFERROR(INDEX(InsUnid,MATCH($B91,InsNome,0)),""))</f>
        <v>0</v>
      </c>
      <c r="F91" s="21">
        <f>IF($B91="","",IFERROR(INDEX(InsUtil,MATCH($B91,InsNome,0)),""))</f>
        <v>0</v>
      </c>
      <c r="G91" s="24">
        <f>IF(OR($A91="",$C91="",$F91=""),"",$C91*$F91)</f>
        <v>0</v>
      </c>
      <c r="H91" s="23">
        <f>IF($A91="","",IF($B91="","Escolha o insumo",IF($F91="","Insumo sem custo",IF(COUNTIF(PratoNome,$A91)=0,"Prato não cadastrado",IF($C91="","Falta quantidade","OK")))))</f>
        <v>0</v>
      </c>
    </row>
    <row r="92" spans="1:8">
      <c r="A92" s="13"/>
      <c r="B92" s="13"/>
      <c r="C92" s="19"/>
      <c r="D92" s="13"/>
      <c r="E92" s="23">
        <f>IF($B92="","",IFERROR(INDEX(InsUnid,MATCH($B92,InsNome,0)),""))</f>
        <v>0</v>
      </c>
      <c r="F92" s="21">
        <f>IF($B92="","",IFERROR(INDEX(InsUtil,MATCH($B92,InsNome,0)),""))</f>
        <v>0</v>
      </c>
      <c r="G92" s="24">
        <f>IF(OR($A92="",$C92="",$F92=""),"",$C92*$F92)</f>
        <v>0</v>
      </c>
      <c r="H92" s="23">
        <f>IF($A92="","",IF($B92="","Escolha o insumo",IF($F92="","Insumo sem custo",IF(COUNTIF(PratoNome,$A92)=0,"Prato não cadastrado",IF($C92="","Falta quantidade","OK")))))</f>
        <v>0</v>
      </c>
    </row>
    <row r="93" spans="1:8">
      <c r="A93" s="13"/>
      <c r="B93" s="13"/>
      <c r="C93" s="19"/>
      <c r="D93" s="13"/>
      <c r="E93" s="23">
        <f>IF($B93="","",IFERROR(INDEX(InsUnid,MATCH($B93,InsNome,0)),""))</f>
        <v>0</v>
      </c>
      <c r="F93" s="21">
        <f>IF($B93="","",IFERROR(INDEX(InsUtil,MATCH($B93,InsNome,0)),""))</f>
        <v>0</v>
      </c>
      <c r="G93" s="24">
        <f>IF(OR($A93="",$C93="",$F93=""),"",$C93*$F93)</f>
        <v>0</v>
      </c>
      <c r="H93" s="23">
        <f>IF($A93="","",IF($B93="","Escolha o insumo",IF($F93="","Insumo sem custo",IF(COUNTIF(PratoNome,$A93)=0,"Prato não cadastrado",IF($C93="","Falta quantidade","OK")))))</f>
        <v>0</v>
      </c>
    </row>
    <row r="94" spans="1:8">
      <c r="A94" s="13"/>
      <c r="B94" s="13"/>
      <c r="C94" s="19"/>
      <c r="D94" s="13"/>
      <c r="E94" s="23">
        <f>IF($B94="","",IFERROR(INDEX(InsUnid,MATCH($B94,InsNome,0)),""))</f>
        <v>0</v>
      </c>
      <c r="F94" s="21">
        <f>IF($B94="","",IFERROR(INDEX(InsUtil,MATCH($B94,InsNome,0)),""))</f>
        <v>0</v>
      </c>
      <c r="G94" s="24">
        <f>IF(OR($A94="",$C94="",$F94=""),"",$C94*$F94)</f>
        <v>0</v>
      </c>
      <c r="H94" s="23">
        <f>IF($A94="","",IF($B94="","Escolha o insumo",IF($F94="","Insumo sem custo",IF(COUNTIF(PratoNome,$A94)=0,"Prato não cadastrado",IF($C94="","Falta quantidade","OK")))))</f>
        <v>0</v>
      </c>
    </row>
    <row r="95" spans="1:8">
      <c r="A95" s="13"/>
      <c r="B95" s="13"/>
      <c r="C95" s="19"/>
      <c r="D95" s="13"/>
      <c r="E95" s="23">
        <f>IF($B95="","",IFERROR(INDEX(InsUnid,MATCH($B95,InsNome,0)),""))</f>
        <v>0</v>
      </c>
      <c r="F95" s="21">
        <f>IF($B95="","",IFERROR(INDEX(InsUtil,MATCH($B95,InsNome,0)),""))</f>
        <v>0</v>
      </c>
      <c r="G95" s="24">
        <f>IF(OR($A95="",$C95="",$F95=""),"",$C95*$F95)</f>
        <v>0</v>
      </c>
      <c r="H95" s="23">
        <f>IF($A95="","",IF($B95="","Escolha o insumo",IF($F95="","Insumo sem custo",IF(COUNTIF(PratoNome,$A95)=0,"Prato não cadastrado",IF($C95="","Falta quantidade","OK")))))</f>
        <v>0</v>
      </c>
    </row>
    <row r="96" spans="1:8">
      <c r="A96" s="13"/>
      <c r="B96" s="13"/>
      <c r="C96" s="19"/>
      <c r="D96" s="13"/>
      <c r="E96" s="23">
        <f>IF($B96="","",IFERROR(INDEX(InsUnid,MATCH($B96,InsNome,0)),""))</f>
        <v>0</v>
      </c>
      <c r="F96" s="21">
        <f>IF($B96="","",IFERROR(INDEX(InsUtil,MATCH($B96,InsNome,0)),""))</f>
        <v>0</v>
      </c>
      <c r="G96" s="24">
        <f>IF(OR($A96="",$C96="",$F96=""),"",$C96*$F96)</f>
        <v>0</v>
      </c>
      <c r="H96" s="23">
        <f>IF($A96="","",IF($B96="","Escolha o insumo",IF($F96="","Insumo sem custo",IF(COUNTIF(PratoNome,$A96)=0,"Prato não cadastrado",IF($C96="","Falta quantidade","OK")))))</f>
        <v>0</v>
      </c>
    </row>
    <row r="97" spans="1:8">
      <c r="A97" s="13"/>
      <c r="B97" s="13"/>
      <c r="C97" s="19"/>
      <c r="D97" s="13"/>
      <c r="E97" s="23">
        <f>IF($B97="","",IFERROR(INDEX(InsUnid,MATCH($B97,InsNome,0)),""))</f>
        <v>0</v>
      </c>
      <c r="F97" s="21">
        <f>IF($B97="","",IFERROR(INDEX(InsUtil,MATCH($B97,InsNome,0)),""))</f>
        <v>0</v>
      </c>
      <c r="G97" s="24">
        <f>IF(OR($A97="",$C97="",$F97=""),"",$C97*$F97)</f>
        <v>0</v>
      </c>
      <c r="H97" s="23">
        <f>IF($A97="","",IF($B97="","Escolha o insumo",IF($F97="","Insumo sem custo",IF(COUNTIF(PratoNome,$A97)=0,"Prato não cadastrado",IF($C97="","Falta quantidade","OK")))))</f>
        <v>0</v>
      </c>
    </row>
    <row r="98" spans="1:8">
      <c r="A98" s="13"/>
      <c r="B98" s="13"/>
      <c r="C98" s="19"/>
      <c r="D98" s="13"/>
      <c r="E98" s="23">
        <f>IF($B98="","",IFERROR(INDEX(InsUnid,MATCH($B98,InsNome,0)),""))</f>
        <v>0</v>
      </c>
      <c r="F98" s="21">
        <f>IF($B98="","",IFERROR(INDEX(InsUtil,MATCH($B98,InsNome,0)),""))</f>
        <v>0</v>
      </c>
      <c r="G98" s="24">
        <f>IF(OR($A98="",$C98="",$F98=""),"",$C98*$F98)</f>
        <v>0</v>
      </c>
      <c r="H98" s="23">
        <f>IF($A98="","",IF($B98="","Escolha o insumo",IF($F98="","Insumo sem custo",IF(COUNTIF(PratoNome,$A98)=0,"Prato não cadastrado",IF($C98="","Falta quantidade","OK")))))</f>
        <v>0</v>
      </c>
    </row>
    <row r="99" spans="1:8">
      <c r="A99" s="13"/>
      <c r="B99" s="13"/>
      <c r="C99" s="19"/>
      <c r="D99" s="13"/>
      <c r="E99" s="23">
        <f>IF($B99="","",IFERROR(INDEX(InsUnid,MATCH($B99,InsNome,0)),""))</f>
        <v>0</v>
      </c>
      <c r="F99" s="21">
        <f>IF($B99="","",IFERROR(INDEX(InsUtil,MATCH($B99,InsNome,0)),""))</f>
        <v>0</v>
      </c>
      <c r="G99" s="24">
        <f>IF(OR($A99="",$C99="",$F99=""),"",$C99*$F99)</f>
        <v>0</v>
      </c>
      <c r="H99" s="23">
        <f>IF($A99="","",IF($B99="","Escolha o insumo",IF($F99="","Insumo sem custo",IF(COUNTIF(PratoNome,$A99)=0,"Prato não cadastrado",IF($C99="","Falta quantidade","OK")))))</f>
        <v>0</v>
      </c>
    </row>
    <row r="100" spans="1:8">
      <c r="A100" s="13"/>
      <c r="B100" s="13"/>
      <c r="C100" s="19"/>
      <c r="D100" s="13"/>
      <c r="E100" s="23">
        <f>IF($B100="","",IFERROR(INDEX(InsUnid,MATCH($B100,InsNome,0)),""))</f>
        <v>0</v>
      </c>
      <c r="F100" s="21">
        <f>IF($B100="","",IFERROR(INDEX(InsUtil,MATCH($B100,InsNome,0)),""))</f>
        <v>0</v>
      </c>
      <c r="G100" s="24">
        <f>IF(OR($A100="",$C100="",$F100=""),"",$C100*$F100)</f>
        <v>0</v>
      </c>
      <c r="H100" s="23">
        <f>IF($A100="","",IF($B100="","Escolha o insumo",IF($F100="","Insumo sem custo",IF(COUNTIF(PratoNome,$A100)=0,"Prato não cadastrado",IF($C100="","Falta quantidade","OK")))))</f>
        <v>0</v>
      </c>
    </row>
    <row r="101" spans="1:8">
      <c r="A101" s="13"/>
      <c r="B101" s="13"/>
      <c r="C101" s="19"/>
      <c r="D101" s="13"/>
      <c r="E101" s="23">
        <f>IF($B101="","",IFERROR(INDEX(InsUnid,MATCH($B101,InsNome,0)),""))</f>
        <v>0</v>
      </c>
      <c r="F101" s="21">
        <f>IF($B101="","",IFERROR(INDEX(InsUtil,MATCH($B101,InsNome,0)),""))</f>
        <v>0</v>
      </c>
      <c r="G101" s="24">
        <f>IF(OR($A101="",$C101="",$F101=""),"",$C101*$F101)</f>
        <v>0</v>
      </c>
      <c r="H101" s="23">
        <f>IF($A101="","",IF($B101="","Escolha o insumo",IF($F101="","Insumo sem custo",IF(COUNTIF(PratoNome,$A101)=0,"Prato não cadastrado",IF($C101="","Falta quantidade","OK")))))</f>
        <v>0</v>
      </c>
    </row>
    <row r="102" spans="1:8">
      <c r="A102" s="13"/>
      <c r="B102" s="13"/>
      <c r="C102" s="19"/>
      <c r="D102" s="13"/>
      <c r="E102" s="23">
        <f>IF($B102="","",IFERROR(INDEX(InsUnid,MATCH($B102,InsNome,0)),""))</f>
        <v>0</v>
      </c>
      <c r="F102" s="21">
        <f>IF($B102="","",IFERROR(INDEX(InsUtil,MATCH($B102,InsNome,0)),""))</f>
        <v>0</v>
      </c>
      <c r="G102" s="24">
        <f>IF(OR($A102="",$C102="",$F102=""),"",$C102*$F102)</f>
        <v>0</v>
      </c>
      <c r="H102" s="23">
        <f>IF($A102="","",IF($B102="","Escolha o insumo",IF($F102="","Insumo sem custo",IF(COUNTIF(PratoNome,$A102)=0,"Prato não cadastrado",IF($C102="","Falta quantidade","OK")))))</f>
        <v>0</v>
      </c>
    </row>
    <row r="103" spans="1:8">
      <c r="A103" s="13"/>
      <c r="B103" s="13"/>
      <c r="C103" s="19"/>
      <c r="D103" s="13"/>
      <c r="E103" s="23">
        <f>IF($B103="","",IFERROR(INDEX(InsUnid,MATCH($B103,InsNome,0)),""))</f>
        <v>0</v>
      </c>
      <c r="F103" s="21">
        <f>IF($B103="","",IFERROR(INDEX(InsUtil,MATCH($B103,InsNome,0)),""))</f>
        <v>0</v>
      </c>
      <c r="G103" s="24">
        <f>IF(OR($A103="",$C103="",$F103=""),"",$C103*$F103)</f>
        <v>0</v>
      </c>
      <c r="H103" s="23">
        <f>IF($A103="","",IF($B103="","Escolha o insumo",IF($F103="","Insumo sem custo",IF(COUNTIF(PratoNome,$A103)=0,"Prato não cadastrado",IF($C103="","Falta quantidade","OK")))))</f>
        <v>0</v>
      </c>
    </row>
    <row r="104" spans="1:8">
      <c r="A104" s="13"/>
      <c r="B104" s="13"/>
      <c r="C104" s="19"/>
      <c r="D104" s="13"/>
      <c r="E104" s="23">
        <f>IF($B104="","",IFERROR(INDEX(InsUnid,MATCH($B104,InsNome,0)),""))</f>
        <v>0</v>
      </c>
      <c r="F104" s="21">
        <f>IF($B104="","",IFERROR(INDEX(InsUtil,MATCH($B104,InsNome,0)),""))</f>
        <v>0</v>
      </c>
      <c r="G104" s="24">
        <f>IF(OR($A104="",$C104="",$F104=""),"",$C104*$F104)</f>
        <v>0</v>
      </c>
      <c r="H104" s="23">
        <f>IF($A104="","",IF($B104="","Escolha o insumo",IF($F104="","Insumo sem custo",IF(COUNTIF(PratoNome,$A104)=0,"Prato não cadastrado",IF($C104="","Falta quantidade","OK")))))</f>
        <v>0</v>
      </c>
    </row>
    <row r="105" spans="1:8">
      <c r="A105" s="13"/>
      <c r="B105" s="13"/>
      <c r="C105" s="19"/>
      <c r="D105" s="13"/>
      <c r="E105" s="23">
        <f>IF($B105="","",IFERROR(INDEX(InsUnid,MATCH($B105,InsNome,0)),""))</f>
        <v>0</v>
      </c>
      <c r="F105" s="21">
        <f>IF($B105="","",IFERROR(INDEX(InsUtil,MATCH($B105,InsNome,0)),""))</f>
        <v>0</v>
      </c>
      <c r="G105" s="24">
        <f>IF(OR($A105="",$C105="",$F105=""),"",$C105*$F105)</f>
        <v>0</v>
      </c>
      <c r="H105" s="23">
        <f>IF($A105="","",IF($B105="","Escolha o insumo",IF($F105="","Insumo sem custo",IF(COUNTIF(PratoNome,$A105)=0,"Prato não cadastrado",IF($C105="","Falta quantidade","OK")))))</f>
        <v>0</v>
      </c>
    </row>
    <row r="106" spans="1:8">
      <c r="A106" s="13"/>
      <c r="B106" s="13"/>
      <c r="C106" s="19"/>
      <c r="D106" s="13"/>
      <c r="E106" s="23">
        <f>IF($B106="","",IFERROR(INDEX(InsUnid,MATCH($B106,InsNome,0)),""))</f>
        <v>0</v>
      </c>
      <c r="F106" s="21">
        <f>IF($B106="","",IFERROR(INDEX(InsUtil,MATCH($B106,InsNome,0)),""))</f>
        <v>0</v>
      </c>
      <c r="G106" s="24">
        <f>IF(OR($A106="",$C106="",$F106=""),"",$C106*$F106)</f>
        <v>0</v>
      </c>
      <c r="H106" s="23">
        <f>IF($A106="","",IF($B106="","Escolha o insumo",IF($F106="","Insumo sem custo",IF(COUNTIF(PratoNome,$A106)=0,"Prato não cadastrado",IF($C106="","Falta quantidade","OK")))))</f>
        <v>0</v>
      </c>
    </row>
    <row r="107" spans="1:8">
      <c r="A107" s="13"/>
      <c r="B107" s="13"/>
      <c r="C107" s="19"/>
      <c r="D107" s="13"/>
      <c r="E107" s="23">
        <f>IF($B107="","",IFERROR(INDEX(InsUnid,MATCH($B107,InsNome,0)),""))</f>
        <v>0</v>
      </c>
      <c r="F107" s="21">
        <f>IF($B107="","",IFERROR(INDEX(InsUtil,MATCH($B107,InsNome,0)),""))</f>
        <v>0</v>
      </c>
      <c r="G107" s="24">
        <f>IF(OR($A107="",$C107="",$F107=""),"",$C107*$F107)</f>
        <v>0</v>
      </c>
      <c r="H107" s="23">
        <f>IF($A107="","",IF($B107="","Escolha o insumo",IF($F107="","Insumo sem custo",IF(COUNTIF(PratoNome,$A107)=0,"Prato não cadastrado",IF($C107="","Falta quantidade","OK")))))</f>
        <v>0</v>
      </c>
    </row>
    <row r="108" spans="1:8">
      <c r="A108" s="13"/>
      <c r="B108" s="13"/>
      <c r="C108" s="19"/>
      <c r="D108" s="13"/>
      <c r="E108" s="23">
        <f>IF($B108="","",IFERROR(INDEX(InsUnid,MATCH($B108,InsNome,0)),""))</f>
        <v>0</v>
      </c>
      <c r="F108" s="21">
        <f>IF($B108="","",IFERROR(INDEX(InsUtil,MATCH($B108,InsNome,0)),""))</f>
        <v>0</v>
      </c>
      <c r="G108" s="24">
        <f>IF(OR($A108="",$C108="",$F108=""),"",$C108*$F108)</f>
        <v>0</v>
      </c>
      <c r="H108" s="23">
        <f>IF($A108="","",IF($B108="","Escolha o insumo",IF($F108="","Insumo sem custo",IF(COUNTIF(PratoNome,$A108)=0,"Prato não cadastrado",IF($C108="","Falta quantidade","OK")))))</f>
        <v>0</v>
      </c>
    </row>
    <row r="109" spans="1:8">
      <c r="A109" s="13"/>
      <c r="B109" s="13"/>
      <c r="C109" s="19"/>
      <c r="D109" s="13"/>
      <c r="E109" s="23">
        <f>IF($B109="","",IFERROR(INDEX(InsUnid,MATCH($B109,InsNome,0)),""))</f>
        <v>0</v>
      </c>
      <c r="F109" s="21">
        <f>IF($B109="","",IFERROR(INDEX(InsUtil,MATCH($B109,InsNome,0)),""))</f>
        <v>0</v>
      </c>
      <c r="G109" s="24">
        <f>IF(OR($A109="",$C109="",$F109=""),"",$C109*$F109)</f>
        <v>0</v>
      </c>
      <c r="H109" s="23">
        <f>IF($A109="","",IF($B109="","Escolha o insumo",IF($F109="","Insumo sem custo",IF(COUNTIF(PratoNome,$A109)=0,"Prato não cadastrado",IF($C109="","Falta quantidade","OK")))))</f>
        <v>0</v>
      </c>
    </row>
    <row r="110" spans="1:8">
      <c r="A110" s="13"/>
      <c r="B110" s="13"/>
      <c r="C110" s="19"/>
      <c r="D110" s="13"/>
      <c r="E110" s="23">
        <f>IF($B110="","",IFERROR(INDEX(InsUnid,MATCH($B110,InsNome,0)),""))</f>
        <v>0</v>
      </c>
      <c r="F110" s="21">
        <f>IF($B110="","",IFERROR(INDEX(InsUtil,MATCH($B110,InsNome,0)),""))</f>
        <v>0</v>
      </c>
      <c r="G110" s="24">
        <f>IF(OR($A110="",$C110="",$F110=""),"",$C110*$F110)</f>
        <v>0</v>
      </c>
      <c r="H110" s="23">
        <f>IF($A110="","",IF($B110="","Escolha o insumo",IF($F110="","Insumo sem custo",IF(COUNTIF(PratoNome,$A110)=0,"Prato não cadastrado",IF($C110="","Falta quantidade","OK")))))</f>
        <v>0</v>
      </c>
    </row>
    <row r="111" spans="1:8">
      <c r="A111" s="13"/>
      <c r="B111" s="13"/>
      <c r="C111" s="19"/>
      <c r="D111" s="13"/>
      <c r="E111" s="23">
        <f>IF($B111="","",IFERROR(INDEX(InsUnid,MATCH($B111,InsNome,0)),""))</f>
        <v>0</v>
      </c>
      <c r="F111" s="21">
        <f>IF($B111="","",IFERROR(INDEX(InsUtil,MATCH($B111,InsNome,0)),""))</f>
        <v>0</v>
      </c>
      <c r="G111" s="24">
        <f>IF(OR($A111="",$C111="",$F111=""),"",$C111*$F111)</f>
        <v>0</v>
      </c>
      <c r="H111" s="23">
        <f>IF($A111="","",IF($B111="","Escolha o insumo",IF($F111="","Insumo sem custo",IF(COUNTIF(PratoNome,$A111)=0,"Prato não cadastrado",IF($C111="","Falta quantidade","OK")))))</f>
        <v>0</v>
      </c>
    </row>
    <row r="112" spans="1:8">
      <c r="A112" s="13"/>
      <c r="B112" s="13"/>
      <c r="C112" s="19"/>
      <c r="D112" s="13"/>
      <c r="E112" s="23">
        <f>IF($B112="","",IFERROR(INDEX(InsUnid,MATCH($B112,InsNome,0)),""))</f>
        <v>0</v>
      </c>
      <c r="F112" s="21">
        <f>IF($B112="","",IFERROR(INDEX(InsUtil,MATCH($B112,InsNome,0)),""))</f>
        <v>0</v>
      </c>
      <c r="G112" s="24">
        <f>IF(OR($A112="",$C112="",$F112=""),"",$C112*$F112)</f>
        <v>0</v>
      </c>
      <c r="H112" s="23">
        <f>IF($A112="","",IF($B112="","Escolha o insumo",IF($F112="","Insumo sem custo",IF(COUNTIF(PratoNome,$A112)=0,"Prato não cadastrado",IF($C112="","Falta quantidade","OK")))))</f>
        <v>0</v>
      </c>
    </row>
    <row r="113" spans="1:8">
      <c r="A113" s="13"/>
      <c r="B113" s="13"/>
      <c r="C113" s="19"/>
      <c r="D113" s="13"/>
      <c r="E113" s="23">
        <f>IF($B113="","",IFERROR(INDEX(InsUnid,MATCH($B113,InsNome,0)),""))</f>
        <v>0</v>
      </c>
      <c r="F113" s="21">
        <f>IF($B113="","",IFERROR(INDEX(InsUtil,MATCH($B113,InsNome,0)),""))</f>
        <v>0</v>
      </c>
      <c r="G113" s="24">
        <f>IF(OR($A113="",$C113="",$F113=""),"",$C113*$F113)</f>
        <v>0</v>
      </c>
      <c r="H113" s="23">
        <f>IF($A113="","",IF($B113="","Escolha o insumo",IF($F113="","Insumo sem custo",IF(COUNTIF(PratoNome,$A113)=0,"Prato não cadastrado",IF($C113="","Falta quantidade","OK")))))</f>
        <v>0</v>
      </c>
    </row>
    <row r="114" spans="1:8">
      <c r="A114" s="13"/>
      <c r="B114" s="13"/>
      <c r="C114" s="19"/>
      <c r="D114" s="13"/>
      <c r="E114" s="23">
        <f>IF($B114="","",IFERROR(INDEX(InsUnid,MATCH($B114,InsNome,0)),""))</f>
        <v>0</v>
      </c>
      <c r="F114" s="21">
        <f>IF($B114="","",IFERROR(INDEX(InsUtil,MATCH($B114,InsNome,0)),""))</f>
        <v>0</v>
      </c>
      <c r="G114" s="24">
        <f>IF(OR($A114="",$C114="",$F114=""),"",$C114*$F114)</f>
        <v>0</v>
      </c>
      <c r="H114" s="23">
        <f>IF($A114="","",IF($B114="","Escolha o insumo",IF($F114="","Insumo sem custo",IF(COUNTIF(PratoNome,$A114)=0,"Prato não cadastrado",IF($C114="","Falta quantidade","OK")))))</f>
        <v>0</v>
      </c>
    </row>
    <row r="115" spans="1:8">
      <c r="A115" s="13"/>
      <c r="B115" s="13"/>
      <c r="C115" s="19"/>
      <c r="D115" s="13"/>
      <c r="E115" s="23">
        <f>IF($B115="","",IFERROR(INDEX(InsUnid,MATCH($B115,InsNome,0)),""))</f>
        <v>0</v>
      </c>
      <c r="F115" s="21">
        <f>IF($B115="","",IFERROR(INDEX(InsUtil,MATCH($B115,InsNome,0)),""))</f>
        <v>0</v>
      </c>
      <c r="G115" s="24">
        <f>IF(OR($A115="",$C115="",$F115=""),"",$C115*$F115)</f>
        <v>0</v>
      </c>
      <c r="H115" s="23">
        <f>IF($A115="","",IF($B115="","Escolha o insumo",IF($F115="","Insumo sem custo",IF(COUNTIF(PratoNome,$A115)=0,"Prato não cadastrado",IF($C115="","Falta quantidade","OK")))))</f>
        <v>0</v>
      </c>
    </row>
    <row r="116" spans="1:8">
      <c r="A116" s="13"/>
      <c r="B116" s="13"/>
      <c r="C116" s="19"/>
      <c r="D116" s="13"/>
      <c r="E116" s="23">
        <f>IF($B116="","",IFERROR(INDEX(InsUnid,MATCH($B116,InsNome,0)),""))</f>
        <v>0</v>
      </c>
      <c r="F116" s="21">
        <f>IF($B116="","",IFERROR(INDEX(InsUtil,MATCH($B116,InsNome,0)),""))</f>
        <v>0</v>
      </c>
      <c r="G116" s="24">
        <f>IF(OR($A116="",$C116="",$F116=""),"",$C116*$F116)</f>
        <v>0</v>
      </c>
      <c r="H116" s="23">
        <f>IF($A116="","",IF($B116="","Escolha o insumo",IF($F116="","Insumo sem custo",IF(COUNTIF(PratoNome,$A116)=0,"Prato não cadastrado",IF($C116="","Falta quantidade","OK")))))</f>
        <v>0</v>
      </c>
    </row>
    <row r="117" spans="1:8">
      <c r="A117" s="13"/>
      <c r="B117" s="13"/>
      <c r="C117" s="19"/>
      <c r="D117" s="13"/>
      <c r="E117" s="23">
        <f>IF($B117="","",IFERROR(INDEX(InsUnid,MATCH($B117,InsNome,0)),""))</f>
        <v>0</v>
      </c>
      <c r="F117" s="21">
        <f>IF($B117="","",IFERROR(INDEX(InsUtil,MATCH($B117,InsNome,0)),""))</f>
        <v>0</v>
      </c>
      <c r="G117" s="24">
        <f>IF(OR($A117="",$C117="",$F117=""),"",$C117*$F117)</f>
        <v>0</v>
      </c>
      <c r="H117" s="23">
        <f>IF($A117="","",IF($B117="","Escolha o insumo",IF($F117="","Insumo sem custo",IF(COUNTIF(PratoNome,$A117)=0,"Prato não cadastrado",IF($C117="","Falta quantidade","OK")))))</f>
        <v>0</v>
      </c>
    </row>
    <row r="118" spans="1:8">
      <c r="A118" s="13"/>
      <c r="B118" s="13"/>
      <c r="C118" s="19"/>
      <c r="D118" s="13"/>
      <c r="E118" s="23">
        <f>IF($B118="","",IFERROR(INDEX(InsUnid,MATCH($B118,InsNome,0)),""))</f>
        <v>0</v>
      </c>
      <c r="F118" s="21">
        <f>IF($B118="","",IFERROR(INDEX(InsUtil,MATCH($B118,InsNome,0)),""))</f>
        <v>0</v>
      </c>
      <c r="G118" s="24">
        <f>IF(OR($A118="",$C118="",$F118=""),"",$C118*$F118)</f>
        <v>0</v>
      </c>
      <c r="H118" s="23">
        <f>IF($A118="","",IF($B118="","Escolha o insumo",IF($F118="","Insumo sem custo",IF(COUNTIF(PratoNome,$A118)=0,"Prato não cadastrado",IF($C118="","Falta quantidade","OK")))))</f>
        <v>0</v>
      </c>
    </row>
    <row r="119" spans="1:8">
      <c r="A119" s="13"/>
      <c r="B119" s="13"/>
      <c r="C119" s="19"/>
      <c r="D119" s="13"/>
      <c r="E119" s="23">
        <f>IF($B119="","",IFERROR(INDEX(InsUnid,MATCH($B119,InsNome,0)),""))</f>
        <v>0</v>
      </c>
      <c r="F119" s="21">
        <f>IF($B119="","",IFERROR(INDEX(InsUtil,MATCH($B119,InsNome,0)),""))</f>
        <v>0</v>
      </c>
      <c r="G119" s="24">
        <f>IF(OR($A119="",$C119="",$F119=""),"",$C119*$F119)</f>
        <v>0</v>
      </c>
      <c r="H119" s="23">
        <f>IF($A119="","",IF($B119="","Escolha o insumo",IF($F119="","Insumo sem custo",IF(COUNTIF(PratoNome,$A119)=0,"Prato não cadastrado",IF($C119="","Falta quantidade","OK")))))</f>
        <v>0</v>
      </c>
    </row>
    <row r="120" spans="1:8">
      <c r="A120" s="13"/>
      <c r="B120" s="13"/>
      <c r="C120" s="19"/>
      <c r="D120" s="13"/>
      <c r="E120" s="23">
        <f>IF($B120="","",IFERROR(INDEX(InsUnid,MATCH($B120,InsNome,0)),""))</f>
        <v>0</v>
      </c>
      <c r="F120" s="21">
        <f>IF($B120="","",IFERROR(INDEX(InsUtil,MATCH($B120,InsNome,0)),""))</f>
        <v>0</v>
      </c>
      <c r="G120" s="24">
        <f>IF(OR($A120="",$C120="",$F120=""),"",$C120*$F120)</f>
        <v>0</v>
      </c>
      <c r="H120" s="23">
        <f>IF($A120="","",IF($B120="","Escolha o insumo",IF($F120="","Insumo sem custo",IF(COUNTIF(PratoNome,$A120)=0,"Prato não cadastrado",IF($C120="","Falta quantidade","OK")))))</f>
        <v>0</v>
      </c>
    </row>
    <row r="121" spans="1:8">
      <c r="A121" s="13"/>
      <c r="B121" s="13"/>
      <c r="C121" s="19"/>
      <c r="D121" s="13"/>
      <c r="E121" s="23">
        <f>IF($B121="","",IFERROR(INDEX(InsUnid,MATCH($B121,InsNome,0)),""))</f>
        <v>0</v>
      </c>
      <c r="F121" s="21">
        <f>IF($B121="","",IFERROR(INDEX(InsUtil,MATCH($B121,InsNome,0)),""))</f>
        <v>0</v>
      </c>
      <c r="G121" s="24">
        <f>IF(OR($A121="",$C121="",$F121=""),"",$C121*$F121)</f>
        <v>0</v>
      </c>
      <c r="H121" s="23">
        <f>IF($A121="","",IF($B121="","Escolha o insumo",IF($F121="","Insumo sem custo",IF(COUNTIF(PratoNome,$A121)=0,"Prato não cadastrado",IF($C121="","Falta quantidade","OK")))))</f>
        <v>0</v>
      </c>
    </row>
    <row r="122" spans="1:8">
      <c r="A122" s="13"/>
      <c r="B122" s="13"/>
      <c r="C122" s="19"/>
      <c r="D122" s="13"/>
      <c r="E122" s="23">
        <f>IF($B122="","",IFERROR(INDEX(InsUnid,MATCH($B122,InsNome,0)),""))</f>
        <v>0</v>
      </c>
      <c r="F122" s="21">
        <f>IF($B122="","",IFERROR(INDEX(InsUtil,MATCH($B122,InsNome,0)),""))</f>
        <v>0</v>
      </c>
      <c r="G122" s="24">
        <f>IF(OR($A122="",$C122="",$F122=""),"",$C122*$F122)</f>
        <v>0</v>
      </c>
      <c r="H122" s="23">
        <f>IF($A122="","",IF($B122="","Escolha o insumo",IF($F122="","Insumo sem custo",IF(COUNTIF(PratoNome,$A122)=0,"Prato não cadastrado",IF($C122="","Falta quantidade","OK")))))</f>
        <v>0</v>
      </c>
    </row>
    <row r="123" spans="1:8">
      <c r="A123" s="13"/>
      <c r="B123" s="13"/>
      <c r="C123" s="19"/>
      <c r="D123" s="13"/>
      <c r="E123" s="23">
        <f>IF($B123="","",IFERROR(INDEX(InsUnid,MATCH($B123,InsNome,0)),""))</f>
        <v>0</v>
      </c>
      <c r="F123" s="21">
        <f>IF($B123="","",IFERROR(INDEX(InsUtil,MATCH($B123,InsNome,0)),""))</f>
        <v>0</v>
      </c>
      <c r="G123" s="24">
        <f>IF(OR($A123="",$C123="",$F123=""),"",$C123*$F123)</f>
        <v>0</v>
      </c>
      <c r="H123" s="23">
        <f>IF($A123="","",IF($B123="","Escolha o insumo",IF($F123="","Insumo sem custo",IF(COUNTIF(PratoNome,$A123)=0,"Prato não cadastrado",IF($C123="","Falta quantidade","OK")))))</f>
        <v>0</v>
      </c>
    </row>
    <row r="124" spans="1:8">
      <c r="A124" s="13"/>
      <c r="B124" s="13"/>
      <c r="C124" s="19"/>
      <c r="D124" s="13"/>
      <c r="E124" s="23">
        <f>IF($B124="","",IFERROR(INDEX(InsUnid,MATCH($B124,InsNome,0)),""))</f>
        <v>0</v>
      </c>
      <c r="F124" s="21">
        <f>IF($B124="","",IFERROR(INDEX(InsUtil,MATCH($B124,InsNome,0)),""))</f>
        <v>0</v>
      </c>
      <c r="G124" s="24">
        <f>IF(OR($A124="",$C124="",$F124=""),"",$C124*$F124)</f>
        <v>0</v>
      </c>
      <c r="H124" s="23">
        <f>IF($A124="","",IF($B124="","Escolha o insumo",IF($F124="","Insumo sem custo",IF(COUNTIF(PratoNome,$A124)=0,"Prato não cadastrado",IF($C124="","Falta quantidade","OK")))))</f>
        <v>0</v>
      </c>
    </row>
    <row r="125" spans="1:8">
      <c r="A125" s="13"/>
      <c r="B125" s="13"/>
      <c r="C125" s="19"/>
      <c r="D125" s="13"/>
      <c r="E125" s="23">
        <f>IF($B125="","",IFERROR(INDEX(InsUnid,MATCH($B125,InsNome,0)),""))</f>
        <v>0</v>
      </c>
      <c r="F125" s="21">
        <f>IF($B125="","",IFERROR(INDEX(InsUtil,MATCH($B125,InsNome,0)),""))</f>
        <v>0</v>
      </c>
      <c r="G125" s="24">
        <f>IF(OR($A125="",$C125="",$F125=""),"",$C125*$F125)</f>
        <v>0</v>
      </c>
      <c r="H125" s="23">
        <f>IF($A125="","",IF($B125="","Escolha o insumo",IF($F125="","Insumo sem custo",IF(COUNTIF(PratoNome,$A125)=0,"Prato não cadastrado",IF($C125="","Falta quantidade","OK")))))</f>
        <v>0</v>
      </c>
    </row>
    <row r="126" spans="1:8">
      <c r="A126" s="13"/>
      <c r="B126" s="13"/>
      <c r="C126" s="19"/>
      <c r="D126" s="13"/>
      <c r="E126" s="23">
        <f>IF($B126="","",IFERROR(INDEX(InsUnid,MATCH($B126,InsNome,0)),""))</f>
        <v>0</v>
      </c>
      <c r="F126" s="21">
        <f>IF($B126="","",IFERROR(INDEX(InsUtil,MATCH($B126,InsNome,0)),""))</f>
        <v>0</v>
      </c>
      <c r="G126" s="24">
        <f>IF(OR($A126="",$C126="",$F126=""),"",$C126*$F126)</f>
        <v>0</v>
      </c>
      <c r="H126" s="23">
        <f>IF($A126="","",IF($B126="","Escolha o insumo",IF($F126="","Insumo sem custo",IF(COUNTIF(PratoNome,$A126)=0,"Prato não cadastrado",IF($C126="","Falta quantidade","OK")))))</f>
        <v>0</v>
      </c>
    </row>
    <row r="127" spans="1:8">
      <c r="A127" s="13"/>
      <c r="B127" s="13"/>
      <c r="C127" s="19"/>
      <c r="D127" s="13"/>
      <c r="E127" s="23">
        <f>IF($B127="","",IFERROR(INDEX(InsUnid,MATCH($B127,InsNome,0)),""))</f>
        <v>0</v>
      </c>
      <c r="F127" s="21">
        <f>IF($B127="","",IFERROR(INDEX(InsUtil,MATCH($B127,InsNome,0)),""))</f>
        <v>0</v>
      </c>
      <c r="G127" s="24">
        <f>IF(OR($A127="",$C127="",$F127=""),"",$C127*$F127)</f>
        <v>0</v>
      </c>
      <c r="H127" s="23">
        <f>IF($A127="","",IF($B127="","Escolha o insumo",IF($F127="","Insumo sem custo",IF(COUNTIF(PratoNome,$A127)=0,"Prato não cadastrado",IF($C127="","Falta quantidade","OK")))))</f>
        <v>0</v>
      </c>
    </row>
    <row r="128" spans="1:8">
      <c r="A128" s="13"/>
      <c r="B128" s="13"/>
      <c r="C128" s="19"/>
      <c r="D128" s="13"/>
      <c r="E128" s="23">
        <f>IF($B128="","",IFERROR(INDEX(InsUnid,MATCH($B128,InsNome,0)),""))</f>
        <v>0</v>
      </c>
      <c r="F128" s="21">
        <f>IF($B128="","",IFERROR(INDEX(InsUtil,MATCH($B128,InsNome,0)),""))</f>
        <v>0</v>
      </c>
      <c r="G128" s="24">
        <f>IF(OR($A128="",$C128="",$F128=""),"",$C128*$F128)</f>
        <v>0</v>
      </c>
      <c r="H128" s="23">
        <f>IF($A128="","",IF($B128="","Escolha o insumo",IF($F128="","Insumo sem custo",IF(COUNTIF(PratoNome,$A128)=0,"Prato não cadastrado",IF($C128="","Falta quantidade","OK")))))</f>
        <v>0</v>
      </c>
    </row>
    <row r="129" spans="1:8">
      <c r="A129" s="13"/>
      <c r="B129" s="13"/>
      <c r="C129" s="19"/>
      <c r="D129" s="13"/>
      <c r="E129" s="23">
        <f>IF($B129="","",IFERROR(INDEX(InsUnid,MATCH($B129,InsNome,0)),""))</f>
        <v>0</v>
      </c>
      <c r="F129" s="21">
        <f>IF($B129="","",IFERROR(INDEX(InsUtil,MATCH($B129,InsNome,0)),""))</f>
        <v>0</v>
      </c>
      <c r="G129" s="24">
        <f>IF(OR($A129="",$C129="",$F129=""),"",$C129*$F129)</f>
        <v>0</v>
      </c>
      <c r="H129" s="23">
        <f>IF($A129="","",IF($B129="","Escolha o insumo",IF($F129="","Insumo sem custo",IF(COUNTIF(PratoNome,$A129)=0,"Prato não cadastrado",IF($C129="","Falta quantidade","OK")))))</f>
        <v>0</v>
      </c>
    </row>
    <row r="130" spans="1:8">
      <c r="A130" s="13"/>
      <c r="B130" s="13"/>
      <c r="C130" s="19"/>
      <c r="D130" s="13"/>
      <c r="E130" s="23">
        <f>IF($B130="","",IFERROR(INDEX(InsUnid,MATCH($B130,InsNome,0)),""))</f>
        <v>0</v>
      </c>
      <c r="F130" s="21">
        <f>IF($B130="","",IFERROR(INDEX(InsUtil,MATCH($B130,InsNome,0)),""))</f>
        <v>0</v>
      </c>
      <c r="G130" s="24">
        <f>IF(OR($A130="",$C130="",$F130=""),"",$C130*$F130)</f>
        <v>0</v>
      </c>
      <c r="H130" s="23">
        <f>IF($A130="","",IF($B130="","Escolha o insumo",IF($F130="","Insumo sem custo",IF(COUNTIF(PratoNome,$A130)=0,"Prato não cadastrado",IF($C130="","Falta quantidade","OK")))))</f>
        <v>0</v>
      </c>
    </row>
    <row r="131" spans="1:8">
      <c r="A131" s="13"/>
      <c r="B131" s="13"/>
      <c r="C131" s="19"/>
      <c r="D131" s="13"/>
      <c r="E131" s="23">
        <f>IF($B131="","",IFERROR(INDEX(InsUnid,MATCH($B131,InsNome,0)),""))</f>
        <v>0</v>
      </c>
      <c r="F131" s="21">
        <f>IF($B131="","",IFERROR(INDEX(InsUtil,MATCH($B131,InsNome,0)),""))</f>
        <v>0</v>
      </c>
      <c r="G131" s="24">
        <f>IF(OR($A131="",$C131="",$F131=""),"",$C131*$F131)</f>
        <v>0</v>
      </c>
      <c r="H131" s="23">
        <f>IF($A131="","",IF($B131="","Escolha o insumo",IF($F131="","Insumo sem custo",IF(COUNTIF(PratoNome,$A131)=0,"Prato não cadastrado",IF($C131="","Falta quantidade","OK")))))</f>
        <v>0</v>
      </c>
    </row>
    <row r="132" spans="1:8">
      <c r="A132" s="13"/>
      <c r="B132" s="13"/>
      <c r="C132" s="19"/>
      <c r="D132" s="13"/>
      <c r="E132" s="23">
        <f>IF($B132="","",IFERROR(INDEX(InsUnid,MATCH($B132,InsNome,0)),""))</f>
        <v>0</v>
      </c>
      <c r="F132" s="21">
        <f>IF($B132="","",IFERROR(INDEX(InsUtil,MATCH($B132,InsNome,0)),""))</f>
        <v>0</v>
      </c>
      <c r="G132" s="24">
        <f>IF(OR($A132="",$C132="",$F132=""),"",$C132*$F132)</f>
        <v>0</v>
      </c>
      <c r="H132" s="23">
        <f>IF($A132="","",IF($B132="","Escolha o insumo",IF($F132="","Insumo sem custo",IF(COUNTIF(PratoNome,$A132)=0,"Prato não cadastrado",IF($C132="","Falta quantidade","OK")))))</f>
        <v>0</v>
      </c>
    </row>
    <row r="133" spans="1:8">
      <c r="A133" s="13"/>
      <c r="B133" s="13"/>
      <c r="C133" s="19"/>
      <c r="D133" s="13"/>
      <c r="E133" s="23">
        <f>IF($B133="","",IFERROR(INDEX(InsUnid,MATCH($B133,InsNome,0)),""))</f>
        <v>0</v>
      </c>
      <c r="F133" s="21">
        <f>IF($B133="","",IFERROR(INDEX(InsUtil,MATCH($B133,InsNome,0)),""))</f>
        <v>0</v>
      </c>
      <c r="G133" s="24">
        <f>IF(OR($A133="",$C133="",$F133=""),"",$C133*$F133)</f>
        <v>0</v>
      </c>
      <c r="H133" s="23">
        <f>IF($A133="","",IF($B133="","Escolha o insumo",IF($F133="","Insumo sem custo",IF(COUNTIF(PratoNome,$A133)=0,"Prato não cadastrado",IF($C133="","Falta quantidade","OK")))))</f>
        <v>0</v>
      </c>
    </row>
    <row r="134" spans="1:8">
      <c r="A134" s="13"/>
      <c r="B134" s="13"/>
      <c r="C134" s="19"/>
      <c r="D134" s="13"/>
      <c r="E134" s="23">
        <f>IF($B134="","",IFERROR(INDEX(InsUnid,MATCH($B134,InsNome,0)),""))</f>
        <v>0</v>
      </c>
      <c r="F134" s="21">
        <f>IF($B134="","",IFERROR(INDEX(InsUtil,MATCH($B134,InsNome,0)),""))</f>
        <v>0</v>
      </c>
      <c r="G134" s="24">
        <f>IF(OR($A134="",$C134="",$F134=""),"",$C134*$F134)</f>
        <v>0</v>
      </c>
      <c r="H134" s="23">
        <f>IF($A134="","",IF($B134="","Escolha o insumo",IF($F134="","Insumo sem custo",IF(COUNTIF(PratoNome,$A134)=0,"Prato não cadastrado",IF($C134="","Falta quantidade","OK")))))</f>
        <v>0</v>
      </c>
    </row>
    <row r="135" spans="1:8">
      <c r="A135" s="13"/>
      <c r="B135" s="13"/>
      <c r="C135" s="19"/>
      <c r="D135" s="13"/>
      <c r="E135" s="23">
        <f>IF($B135="","",IFERROR(INDEX(InsUnid,MATCH($B135,InsNome,0)),""))</f>
        <v>0</v>
      </c>
      <c r="F135" s="21">
        <f>IF($B135="","",IFERROR(INDEX(InsUtil,MATCH($B135,InsNome,0)),""))</f>
        <v>0</v>
      </c>
      <c r="G135" s="24">
        <f>IF(OR($A135="",$C135="",$F135=""),"",$C135*$F135)</f>
        <v>0</v>
      </c>
      <c r="H135" s="23">
        <f>IF($A135="","",IF($B135="","Escolha o insumo",IF($F135="","Insumo sem custo",IF(COUNTIF(PratoNome,$A135)=0,"Prato não cadastrado",IF($C135="","Falta quantidade","OK")))))</f>
        <v>0</v>
      </c>
    </row>
    <row r="136" spans="1:8">
      <c r="A136" s="13"/>
      <c r="B136" s="13"/>
      <c r="C136" s="19"/>
      <c r="D136" s="13"/>
      <c r="E136" s="23">
        <f>IF($B136="","",IFERROR(INDEX(InsUnid,MATCH($B136,InsNome,0)),""))</f>
        <v>0</v>
      </c>
      <c r="F136" s="21">
        <f>IF($B136="","",IFERROR(INDEX(InsUtil,MATCH($B136,InsNome,0)),""))</f>
        <v>0</v>
      </c>
      <c r="G136" s="24">
        <f>IF(OR($A136="",$C136="",$F136=""),"",$C136*$F136)</f>
        <v>0</v>
      </c>
      <c r="H136" s="23">
        <f>IF($A136="","",IF($B136="","Escolha o insumo",IF($F136="","Insumo sem custo",IF(COUNTIF(PratoNome,$A136)=0,"Prato não cadastrado",IF($C136="","Falta quantidade","OK")))))</f>
        <v>0</v>
      </c>
    </row>
    <row r="137" spans="1:8">
      <c r="A137" s="13"/>
      <c r="B137" s="13"/>
      <c r="C137" s="19"/>
      <c r="D137" s="13"/>
      <c r="E137" s="23">
        <f>IF($B137="","",IFERROR(INDEX(InsUnid,MATCH($B137,InsNome,0)),""))</f>
        <v>0</v>
      </c>
      <c r="F137" s="21">
        <f>IF($B137="","",IFERROR(INDEX(InsUtil,MATCH($B137,InsNome,0)),""))</f>
        <v>0</v>
      </c>
      <c r="G137" s="24">
        <f>IF(OR($A137="",$C137="",$F137=""),"",$C137*$F137)</f>
        <v>0</v>
      </c>
      <c r="H137" s="23">
        <f>IF($A137="","",IF($B137="","Escolha o insumo",IF($F137="","Insumo sem custo",IF(COUNTIF(PratoNome,$A137)=0,"Prato não cadastrado",IF($C137="","Falta quantidade","OK")))))</f>
        <v>0</v>
      </c>
    </row>
    <row r="138" spans="1:8">
      <c r="A138" s="13"/>
      <c r="B138" s="13"/>
      <c r="C138" s="19"/>
      <c r="D138" s="13"/>
      <c r="E138" s="23">
        <f>IF($B138="","",IFERROR(INDEX(InsUnid,MATCH($B138,InsNome,0)),""))</f>
        <v>0</v>
      </c>
      <c r="F138" s="21">
        <f>IF($B138="","",IFERROR(INDEX(InsUtil,MATCH($B138,InsNome,0)),""))</f>
        <v>0</v>
      </c>
      <c r="G138" s="24">
        <f>IF(OR($A138="",$C138="",$F138=""),"",$C138*$F138)</f>
        <v>0</v>
      </c>
      <c r="H138" s="23">
        <f>IF($A138="","",IF($B138="","Escolha o insumo",IF($F138="","Insumo sem custo",IF(COUNTIF(PratoNome,$A138)=0,"Prato não cadastrado",IF($C138="","Falta quantidade","OK")))))</f>
        <v>0</v>
      </c>
    </row>
    <row r="139" spans="1:8">
      <c r="A139" s="13"/>
      <c r="B139" s="13"/>
      <c r="C139" s="19"/>
      <c r="D139" s="13"/>
      <c r="E139" s="23">
        <f>IF($B139="","",IFERROR(INDEX(InsUnid,MATCH($B139,InsNome,0)),""))</f>
        <v>0</v>
      </c>
      <c r="F139" s="21">
        <f>IF($B139="","",IFERROR(INDEX(InsUtil,MATCH($B139,InsNome,0)),""))</f>
        <v>0</v>
      </c>
      <c r="G139" s="24">
        <f>IF(OR($A139="",$C139="",$F139=""),"",$C139*$F139)</f>
        <v>0</v>
      </c>
      <c r="H139" s="23">
        <f>IF($A139="","",IF($B139="","Escolha o insumo",IF($F139="","Insumo sem custo",IF(COUNTIF(PratoNome,$A139)=0,"Prato não cadastrado",IF($C139="","Falta quantidade","OK")))))</f>
        <v>0</v>
      </c>
    </row>
    <row r="140" spans="1:8">
      <c r="A140" s="13"/>
      <c r="B140" s="13"/>
      <c r="C140" s="19"/>
      <c r="D140" s="13"/>
      <c r="E140" s="23">
        <f>IF($B140="","",IFERROR(INDEX(InsUnid,MATCH($B140,InsNome,0)),""))</f>
        <v>0</v>
      </c>
      <c r="F140" s="21">
        <f>IF($B140="","",IFERROR(INDEX(InsUtil,MATCH($B140,InsNome,0)),""))</f>
        <v>0</v>
      </c>
      <c r="G140" s="24">
        <f>IF(OR($A140="",$C140="",$F140=""),"",$C140*$F140)</f>
        <v>0</v>
      </c>
      <c r="H140" s="23">
        <f>IF($A140="","",IF($B140="","Escolha o insumo",IF($F140="","Insumo sem custo",IF(COUNTIF(PratoNome,$A140)=0,"Prato não cadastrado",IF($C140="","Falta quantidade","OK")))))</f>
        <v>0</v>
      </c>
    </row>
    <row r="141" spans="1:8">
      <c r="A141" s="13"/>
      <c r="B141" s="13"/>
      <c r="C141" s="19"/>
      <c r="D141" s="13"/>
      <c r="E141" s="23">
        <f>IF($B141="","",IFERROR(INDEX(InsUnid,MATCH($B141,InsNome,0)),""))</f>
        <v>0</v>
      </c>
      <c r="F141" s="21">
        <f>IF($B141="","",IFERROR(INDEX(InsUtil,MATCH($B141,InsNome,0)),""))</f>
        <v>0</v>
      </c>
      <c r="G141" s="24">
        <f>IF(OR($A141="",$C141="",$F141=""),"",$C141*$F141)</f>
        <v>0</v>
      </c>
      <c r="H141" s="23">
        <f>IF($A141="","",IF($B141="","Escolha o insumo",IF($F141="","Insumo sem custo",IF(COUNTIF(PratoNome,$A141)=0,"Prato não cadastrado",IF($C141="","Falta quantidade","OK")))))</f>
        <v>0</v>
      </c>
    </row>
    <row r="142" spans="1:8">
      <c r="A142" s="13"/>
      <c r="B142" s="13"/>
      <c r="C142" s="19"/>
      <c r="D142" s="13"/>
      <c r="E142" s="23">
        <f>IF($B142="","",IFERROR(INDEX(InsUnid,MATCH($B142,InsNome,0)),""))</f>
        <v>0</v>
      </c>
      <c r="F142" s="21">
        <f>IF($B142="","",IFERROR(INDEX(InsUtil,MATCH($B142,InsNome,0)),""))</f>
        <v>0</v>
      </c>
      <c r="G142" s="24">
        <f>IF(OR($A142="",$C142="",$F142=""),"",$C142*$F142)</f>
        <v>0</v>
      </c>
      <c r="H142" s="23">
        <f>IF($A142="","",IF($B142="","Escolha o insumo",IF($F142="","Insumo sem custo",IF(COUNTIF(PratoNome,$A142)=0,"Prato não cadastrado",IF($C142="","Falta quantidade","OK")))))</f>
        <v>0</v>
      </c>
    </row>
    <row r="143" spans="1:8">
      <c r="A143" s="13"/>
      <c r="B143" s="13"/>
      <c r="C143" s="19"/>
      <c r="D143" s="13"/>
      <c r="E143" s="23">
        <f>IF($B143="","",IFERROR(INDEX(InsUnid,MATCH($B143,InsNome,0)),""))</f>
        <v>0</v>
      </c>
      <c r="F143" s="21">
        <f>IF($B143="","",IFERROR(INDEX(InsUtil,MATCH($B143,InsNome,0)),""))</f>
        <v>0</v>
      </c>
      <c r="G143" s="24">
        <f>IF(OR($A143="",$C143="",$F143=""),"",$C143*$F143)</f>
        <v>0</v>
      </c>
      <c r="H143" s="23">
        <f>IF($A143="","",IF($B143="","Escolha o insumo",IF($F143="","Insumo sem custo",IF(COUNTIF(PratoNome,$A143)=0,"Prato não cadastrado",IF($C143="","Falta quantidade","OK")))))</f>
        <v>0</v>
      </c>
    </row>
    <row r="144" spans="1:8">
      <c r="A144" s="13"/>
      <c r="B144" s="13"/>
      <c r="C144" s="19"/>
      <c r="D144" s="13"/>
      <c r="E144" s="23">
        <f>IF($B144="","",IFERROR(INDEX(InsUnid,MATCH($B144,InsNome,0)),""))</f>
        <v>0</v>
      </c>
      <c r="F144" s="21">
        <f>IF($B144="","",IFERROR(INDEX(InsUtil,MATCH($B144,InsNome,0)),""))</f>
        <v>0</v>
      </c>
      <c r="G144" s="24">
        <f>IF(OR($A144="",$C144="",$F144=""),"",$C144*$F144)</f>
        <v>0</v>
      </c>
      <c r="H144" s="23">
        <f>IF($A144="","",IF($B144="","Escolha o insumo",IF($F144="","Insumo sem custo",IF(COUNTIF(PratoNome,$A144)=0,"Prato não cadastrado",IF($C144="","Falta quantidade","OK")))))</f>
        <v>0</v>
      </c>
    </row>
    <row r="145" spans="1:8">
      <c r="A145" s="13"/>
      <c r="B145" s="13"/>
      <c r="C145" s="19"/>
      <c r="D145" s="13"/>
      <c r="E145" s="23">
        <f>IF($B145="","",IFERROR(INDEX(InsUnid,MATCH($B145,InsNome,0)),""))</f>
        <v>0</v>
      </c>
      <c r="F145" s="21">
        <f>IF($B145="","",IFERROR(INDEX(InsUtil,MATCH($B145,InsNome,0)),""))</f>
        <v>0</v>
      </c>
      <c r="G145" s="24">
        <f>IF(OR($A145="",$C145="",$F145=""),"",$C145*$F145)</f>
        <v>0</v>
      </c>
      <c r="H145" s="23">
        <f>IF($A145="","",IF($B145="","Escolha o insumo",IF($F145="","Insumo sem custo",IF(COUNTIF(PratoNome,$A145)=0,"Prato não cadastrado",IF($C145="","Falta quantidade","OK")))))</f>
        <v>0</v>
      </c>
    </row>
    <row r="146" spans="1:8">
      <c r="A146" s="13"/>
      <c r="B146" s="13"/>
      <c r="C146" s="19"/>
      <c r="D146" s="13"/>
      <c r="E146" s="23">
        <f>IF($B146="","",IFERROR(INDEX(InsUnid,MATCH($B146,InsNome,0)),""))</f>
        <v>0</v>
      </c>
      <c r="F146" s="21">
        <f>IF($B146="","",IFERROR(INDEX(InsUtil,MATCH($B146,InsNome,0)),""))</f>
        <v>0</v>
      </c>
      <c r="G146" s="24">
        <f>IF(OR($A146="",$C146="",$F146=""),"",$C146*$F146)</f>
        <v>0</v>
      </c>
      <c r="H146" s="23">
        <f>IF($A146="","",IF($B146="","Escolha o insumo",IF($F146="","Insumo sem custo",IF(COUNTIF(PratoNome,$A146)=0,"Prato não cadastrado",IF($C146="","Falta quantidade","OK")))))</f>
        <v>0</v>
      </c>
    </row>
    <row r="147" spans="1:8">
      <c r="A147" s="13"/>
      <c r="B147" s="13"/>
      <c r="C147" s="19"/>
      <c r="D147" s="13"/>
      <c r="E147" s="23">
        <f>IF($B147="","",IFERROR(INDEX(InsUnid,MATCH($B147,InsNome,0)),""))</f>
        <v>0</v>
      </c>
      <c r="F147" s="21">
        <f>IF($B147="","",IFERROR(INDEX(InsUtil,MATCH($B147,InsNome,0)),""))</f>
        <v>0</v>
      </c>
      <c r="G147" s="24">
        <f>IF(OR($A147="",$C147="",$F147=""),"",$C147*$F147)</f>
        <v>0</v>
      </c>
      <c r="H147" s="23">
        <f>IF($A147="","",IF($B147="","Escolha o insumo",IF($F147="","Insumo sem custo",IF(COUNTIF(PratoNome,$A147)=0,"Prato não cadastrado",IF($C147="","Falta quantidade","OK")))))</f>
        <v>0</v>
      </c>
    </row>
    <row r="148" spans="1:8">
      <c r="A148" s="13"/>
      <c r="B148" s="13"/>
      <c r="C148" s="19"/>
      <c r="D148" s="13"/>
      <c r="E148" s="23">
        <f>IF($B148="","",IFERROR(INDEX(InsUnid,MATCH($B148,InsNome,0)),""))</f>
        <v>0</v>
      </c>
      <c r="F148" s="21">
        <f>IF($B148="","",IFERROR(INDEX(InsUtil,MATCH($B148,InsNome,0)),""))</f>
        <v>0</v>
      </c>
      <c r="G148" s="24">
        <f>IF(OR($A148="",$C148="",$F148=""),"",$C148*$F148)</f>
        <v>0</v>
      </c>
      <c r="H148" s="23">
        <f>IF($A148="","",IF($B148="","Escolha o insumo",IF($F148="","Insumo sem custo",IF(COUNTIF(PratoNome,$A148)=0,"Prato não cadastrado",IF($C148="","Falta quantidade","OK")))))</f>
        <v>0</v>
      </c>
    </row>
    <row r="149" spans="1:8">
      <c r="A149" s="13"/>
      <c r="B149" s="13"/>
      <c r="C149" s="19"/>
      <c r="D149" s="13"/>
      <c r="E149" s="23">
        <f>IF($B149="","",IFERROR(INDEX(InsUnid,MATCH($B149,InsNome,0)),""))</f>
        <v>0</v>
      </c>
      <c r="F149" s="21">
        <f>IF($B149="","",IFERROR(INDEX(InsUtil,MATCH($B149,InsNome,0)),""))</f>
        <v>0</v>
      </c>
      <c r="G149" s="24">
        <f>IF(OR($A149="",$C149="",$F149=""),"",$C149*$F149)</f>
        <v>0</v>
      </c>
      <c r="H149" s="23">
        <f>IF($A149="","",IF($B149="","Escolha o insumo",IF($F149="","Insumo sem custo",IF(COUNTIF(PratoNome,$A149)=0,"Prato não cadastrado",IF($C149="","Falta quantidade","OK")))))</f>
        <v>0</v>
      </c>
    </row>
    <row r="150" spans="1:8">
      <c r="A150" s="13"/>
      <c r="B150" s="13"/>
      <c r="C150" s="19"/>
      <c r="D150" s="13"/>
      <c r="E150" s="23">
        <f>IF($B150="","",IFERROR(INDEX(InsUnid,MATCH($B150,InsNome,0)),""))</f>
        <v>0</v>
      </c>
      <c r="F150" s="21">
        <f>IF($B150="","",IFERROR(INDEX(InsUtil,MATCH($B150,InsNome,0)),""))</f>
        <v>0</v>
      </c>
      <c r="G150" s="24">
        <f>IF(OR($A150="",$C150="",$F150=""),"",$C150*$F150)</f>
        <v>0</v>
      </c>
      <c r="H150" s="23">
        <f>IF($A150="","",IF($B150="","Escolha o insumo",IF($F150="","Insumo sem custo",IF(COUNTIF(PratoNome,$A150)=0,"Prato não cadastrado",IF($C150="","Falta quantidade","OK")))))</f>
        <v>0</v>
      </c>
    </row>
    <row r="151" spans="1:8">
      <c r="A151" s="13"/>
      <c r="B151" s="13"/>
      <c r="C151" s="19"/>
      <c r="D151" s="13"/>
      <c r="E151" s="23">
        <f>IF($B151="","",IFERROR(INDEX(InsUnid,MATCH($B151,InsNome,0)),""))</f>
        <v>0</v>
      </c>
      <c r="F151" s="21">
        <f>IF($B151="","",IFERROR(INDEX(InsUtil,MATCH($B151,InsNome,0)),""))</f>
        <v>0</v>
      </c>
      <c r="G151" s="24">
        <f>IF(OR($A151="",$C151="",$F151=""),"",$C151*$F151)</f>
        <v>0</v>
      </c>
      <c r="H151" s="23">
        <f>IF($A151="","",IF($B151="","Escolha o insumo",IF($F151="","Insumo sem custo",IF(COUNTIF(PratoNome,$A151)=0,"Prato não cadastrado",IF($C151="","Falta quantidade","OK")))))</f>
        <v>0</v>
      </c>
    </row>
    <row r="152" spans="1:8">
      <c r="A152" s="13"/>
      <c r="B152" s="13"/>
      <c r="C152" s="19"/>
      <c r="D152" s="13"/>
      <c r="E152" s="23">
        <f>IF($B152="","",IFERROR(INDEX(InsUnid,MATCH($B152,InsNome,0)),""))</f>
        <v>0</v>
      </c>
      <c r="F152" s="21">
        <f>IF($B152="","",IFERROR(INDEX(InsUtil,MATCH($B152,InsNome,0)),""))</f>
        <v>0</v>
      </c>
      <c r="G152" s="24">
        <f>IF(OR($A152="",$C152="",$F152=""),"",$C152*$F152)</f>
        <v>0</v>
      </c>
      <c r="H152" s="23">
        <f>IF($A152="","",IF($B152="","Escolha o insumo",IF($F152="","Insumo sem custo",IF(COUNTIF(PratoNome,$A152)=0,"Prato não cadastrado",IF($C152="","Falta quantidade","OK")))))</f>
        <v>0</v>
      </c>
    </row>
    <row r="153" spans="1:8">
      <c r="A153" s="13"/>
      <c r="B153" s="13"/>
      <c r="C153" s="19"/>
      <c r="D153" s="13"/>
      <c r="E153" s="23">
        <f>IF($B153="","",IFERROR(INDEX(InsUnid,MATCH($B153,InsNome,0)),""))</f>
        <v>0</v>
      </c>
      <c r="F153" s="21">
        <f>IF($B153="","",IFERROR(INDEX(InsUtil,MATCH($B153,InsNome,0)),""))</f>
        <v>0</v>
      </c>
      <c r="G153" s="24">
        <f>IF(OR($A153="",$C153="",$F153=""),"",$C153*$F153)</f>
        <v>0</v>
      </c>
      <c r="H153" s="23">
        <f>IF($A153="","",IF($B153="","Escolha o insumo",IF($F153="","Insumo sem custo",IF(COUNTIF(PratoNome,$A153)=0,"Prato não cadastrado",IF($C153="","Falta quantidade","OK")))))</f>
        <v>0</v>
      </c>
    </row>
    <row r="154" spans="1:8">
      <c r="A154" s="13"/>
      <c r="B154" s="13"/>
      <c r="C154" s="19"/>
      <c r="D154" s="13"/>
      <c r="E154" s="23">
        <f>IF($B154="","",IFERROR(INDEX(InsUnid,MATCH($B154,InsNome,0)),""))</f>
        <v>0</v>
      </c>
      <c r="F154" s="21">
        <f>IF($B154="","",IFERROR(INDEX(InsUtil,MATCH($B154,InsNome,0)),""))</f>
        <v>0</v>
      </c>
      <c r="G154" s="24">
        <f>IF(OR($A154="",$C154="",$F154=""),"",$C154*$F154)</f>
        <v>0</v>
      </c>
      <c r="H154" s="23">
        <f>IF($A154="","",IF($B154="","Escolha o insumo",IF($F154="","Insumo sem custo",IF(COUNTIF(PratoNome,$A154)=0,"Prato não cadastrado",IF($C154="","Falta quantidade","OK")))))</f>
        <v>0</v>
      </c>
    </row>
    <row r="155" spans="1:8">
      <c r="A155" s="13"/>
      <c r="B155" s="13"/>
      <c r="C155" s="19"/>
      <c r="D155" s="13"/>
      <c r="E155" s="23">
        <f>IF($B155="","",IFERROR(INDEX(InsUnid,MATCH($B155,InsNome,0)),""))</f>
        <v>0</v>
      </c>
      <c r="F155" s="21">
        <f>IF($B155="","",IFERROR(INDEX(InsUtil,MATCH($B155,InsNome,0)),""))</f>
        <v>0</v>
      </c>
      <c r="G155" s="24">
        <f>IF(OR($A155="",$C155="",$F155=""),"",$C155*$F155)</f>
        <v>0</v>
      </c>
      <c r="H155" s="23">
        <f>IF($A155="","",IF($B155="","Escolha o insumo",IF($F155="","Insumo sem custo",IF(COUNTIF(PratoNome,$A155)=0,"Prato não cadastrado",IF($C155="","Falta quantidade","OK")))))</f>
        <v>0</v>
      </c>
    </row>
    <row r="156" spans="1:8">
      <c r="A156" s="13"/>
      <c r="B156" s="13"/>
      <c r="C156" s="19"/>
      <c r="D156" s="13"/>
      <c r="E156" s="23">
        <f>IF($B156="","",IFERROR(INDEX(InsUnid,MATCH($B156,InsNome,0)),""))</f>
        <v>0</v>
      </c>
      <c r="F156" s="21">
        <f>IF($B156="","",IFERROR(INDEX(InsUtil,MATCH($B156,InsNome,0)),""))</f>
        <v>0</v>
      </c>
      <c r="G156" s="24">
        <f>IF(OR($A156="",$C156="",$F156=""),"",$C156*$F156)</f>
        <v>0</v>
      </c>
      <c r="H156" s="23">
        <f>IF($A156="","",IF($B156="","Escolha o insumo",IF($F156="","Insumo sem custo",IF(COUNTIF(PratoNome,$A156)=0,"Prato não cadastrado",IF($C156="","Falta quantidade","OK")))))</f>
        <v>0</v>
      </c>
    </row>
    <row r="157" spans="1:8">
      <c r="A157" s="13"/>
      <c r="B157" s="13"/>
      <c r="C157" s="19"/>
      <c r="D157" s="13"/>
      <c r="E157" s="23">
        <f>IF($B157="","",IFERROR(INDEX(InsUnid,MATCH($B157,InsNome,0)),""))</f>
        <v>0</v>
      </c>
      <c r="F157" s="21">
        <f>IF($B157="","",IFERROR(INDEX(InsUtil,MATCH($B157,InsNome,0)),""))</f>
        <v>0</v>
      </c>
      <c r="G157" s="24">
        <f>IF(OR($A157="",$C157="",$F157=""),"",$C157*$F157)</f>
        <v>0</v>
      </c>
      <c r="H157" s="23">
        <f>IF($A157="","",IF($B157="","Escolha o insumo",IF($F157="","Insumo sem custo",IF(COUNTIF(PratoNome,$A157)=0,"Prato não cadastrado",IF($C157="","Falta quantidade","OK")))))</f>
        <v>0</v>
      </c>
    </row>
    <row r="158" spans="1:8">
      <c r="A158" s="13"/>
      <c r="B158" s="13"/>
      <c r="C158" s="19"/>
      <c r="D158" s="13"/>
      <c r="E158" s="23">
        <f>IF($B158="","",IFERROR(INDEX(InsUnid,MATCH($B158,InsNome,0)),""))</f>
        <v>0</v>
      </c>
      <c r="F158" s="21">
        <f>IF($B158="","",IFERROR(INDEX(InsUtil,MATCH($B158,InsNome,0)),""))</f>
        <v>0</v>
      </c>
      <c r="G158" s="24">
        <f>IF(OR($A158="",$C158="",$F158=""),"",$C158*$F158)</f>
        <v>0</v>
      </c>
      <c r="H158" s="23">
        <f>IF($A158="","",IF($B158="","Escolha o insumo",IF($F158="","Insumo sem custo",IF(COUNTIF(PratoNome,$A158)=0,"Prato não cadastrado",IF($C158="","Falta quantidade","OK")))))</f>
        <v>0</v>
      </c>
    </row>
    <row r="159" spans="1:8">
      <c r="A159" s="13"/>
      <c r="B159" s="13"/>
      <c r="C159" s="19"/>
      <c r="D159" s="13"/>
      <c r="E159" s="23">
        <f>IF($B159="","",IFERROR(INDEX(InsUnid,MATCH($B159,InsNome,0)),""))</f>
        <v>0</v>
      </c>
      <c r="F159" s="21">
        <f>IF($B159="","",IFERROR(INDEX(InsUtil,MATCH($B159,InsNome,0)),""))</f>
        <v>0</v>
      </c>
      <c r="G159" s="24">
        <f>IF(OR($A159="",$C159="",$F159=""),"",$C159*$F159)</f>
        <v>0</v>
      </c>
      <c r="H159" s="23">
        <f>IF($A159="","",IF($B159="","Escolha o insumo",IF($F159="","Insumo sem custo",IF(COUNTIF(PratoNome,$A159)=0,"Prato não cadastrado",IF($C159="","Falta quantidade","OK")))))</f>
        <v>0</v>
      </c>
    </row>
    <row r="160" spans="1:8">
      <c r="A160" s="13"/>
      <c r="B160" s="13"/>
      <c r="C160" s="19"/>
      <c r="D160" s="13"/>
      <c r="E160" s="23">
        <f>IF($B160="","",IFERROR(INDEX(InsUnid,MATCH($B160,InsNome,0)),""))</f>
        <v>0</v>
      </c>
      <c r="F160" s="21">
        <f>IF($B160="","",IFERROR(INDEX(InsUtil,MATCH($B160,InsNome,0)),""))</f>
        <v>0</v>
      </c>
      <c r="G160" s="24">
        <f>IF(OR($A160="",$C160="",$F160=""),"",$C160*$F160)</f>
        <v>0</v>
      </c>
      <c r="H160" s="23">
        <f>IF($A160="","",IF($B160="","Escolha o insumo",IF($F160="","Insumo sem custo",IF(COUNTIF(PratoNome,$A160)=0,"Prato não cadastrado",IF($C160="","Falta quantidade","OK")))))</f>
        <v>0</v>
      </c>
    </row>
    <row r="161" spans="1:8">
      <c r="A161" s="13"/>
      <c r="B161" s="13"/>
      <c r="C161" s="19"/>
      <c r="D161" s="13"/>
      <c r="E161" s="23">
        <f>IF($B161="","",IFERROR(INDEX(InsUnid,MATCH($B161,InsNome,0)),""))</f>
        <v>0</v>
      </c>
      <c r="F161" s="21">
        <f>IF($B161="","",IFERROR(INDEX(InsUtil,MATCH($B161,InsNome,0)),""))</f>
        <v>0</v>
      </c>
      <c r="G161" s="24">
        <f>IF(OR($A161="",$C161="",$F161=""),"",$C161*$F161)</f>
        <v>0</v>
      </c>
      <c r="H161" s="23">
        <f>IF($A161="","",IF($B161="","Escolha o insumo",IF($F161="","Insumo sem custo",IF(COUNTIF(PratoNome,$A161)=0,"Prato não cadastrado",IF($C161="","Falta quantidade","OK")))))</f>
        <v>0</v>
      </c>
    </row>
    <row r="162" spans="1:8">
      <c r="A162" s="13"/>
      <c r="B162" s="13"/>
      <c r="C162" s="19"/>
      <c r="D162" s="13"/>
      <c r="E162" s="23">
        <f>IF($B162="","",IFERROR(INDEX(InsUnid,MATCH($B162,InsNome,0)),""))</f>
        <v>0</v>
      </c>
      <c r="F162" s="21">
        <f>IF($B162="","",IFERROR(INDEX(InsUtil,MATCH($B162,InsNome,0)),""))</f>
        <v>0</v>
      </c>
      <c r="G162" s="24">
        <f>IF(OR($A162="",$C162="",$F162=""),"",$C162*$F162)</f>
        <v>0</v>
      </c>
      <c r="H162" s="23">
        <f>IF($A162="","",IF($B162="","Escolha o insumo",IF($F162="","Insumo sem custo",IF(COUNTIF(PratoNome,$A162)=0,"Prato não cadastrado",IF($C162="","Falta quantidade","OK")))))</f>
        <v>0</v>
      </c>
    </row>
    <row r="163" spans="1:8">
      <c r="A163" s="13"/>
      <c r="B163" s="13"/>
      <c r="C163" s="19"/>
      <c r="D163" s="13"/>
      <c r="E163" s="23">
        <f>IF($B163="","",IFERROR(INDEX(InsUnid,MATCH($B163,InsNome,0)),""))</f>
        <v>0</v>
      </c>
      <c r="F163" s="21">
        <f>IF($B163="","",IFERROR(INDEX(InsUtil,MATCH($B163,InsNome,0)),""))</f>
        <v>0</v>
      </c>
      <c r="G163" s="24">
        <f>IF(OR($A163="",$C163="",$F163=""),"",$C163*$F163)</f>
        <v>0</v>
      </c>
      <c r="H163" s="23">
        <f>IF($A163="","",IF($B163="","Escolha o insumo",IF($F163="","Insumo sem custo",IF(COUNTIF(PratoNome,$A163)=0,"Prato não cadastrado",IF($C163="","Falta quantidade","OK")))))</f>
        <v>0</v>
      </c>
    </row>
    <row r="164" spans="1:8">
      <c r="A164" s="13"/>
      <c r="B164" s="13"/>
      <c r="C164" s="19"/>
      <c r="D164" s="13"/>
      <c r="E164" s="23">
        <f>IF($B164="","",IFERROR(INDEX(InsUnid,MATCH($B164,InsNome,0)),""))</f>
        <v>0</v>
      </c>
      <c r="F164" s="21">
        <f>IF($B164="","",IFERROR(INDEX(InsUtil,MATCH($B164,InsNome,0)),""))</f>
        <v>0</v>
      </c>
      <c r="G164" s="24">
        <f>IF(OR($A164="",$C164="",$F164=""),"",$C164*$F164)</f>
        <v>0</v>
      </c>
      <c r="H164" s="23">
        <f>IF($A164="","",IF($B164="","Escolha o insumo",IF($F164="","Insumo sem custo",IF(COUNTIF(PratoNome,$A164)=0,"Prato não cadastrado",IF($C164="","Falta quantidade","OK")))))</f>
        <v>0</v>
      </c>
    </row>
    <row r="165" spans="1:8">
      <c r="A165" s="13"/>
      <c r="B165" s="13"/>
      <c r="C165" s="19"/>
      <c r="D165" s="13"/>
      <c r="E165" s="23">
        <f>IF($B165="","",IFERROR(INDEX(InsUnid,MATCH($B165,InsNome,0)),""))</f>
        <v>0</v>
      </c>
      <c r="F165" s="21">
        <f>IF($B165="","",IFERROR(INDEX(InsUtil,MATCH($B165,InsNome,0)),""))</f>
        <v>0</v>
      </c>
      <c r="G165" s="24">
        <f>IF(OR($A165="",$C165="",$F165=""),"",$C165*$F165)</f>
        <v>0</v>
      </c>
      <c r="H165" s="23">
        <f>IF($A165="","",IF($B165="","Escolha o insumo",IF($F165="","Insumo sem custo",IF(COUNTIF(PratoNome,$A165)=0,"Prato não cadastrado",IF($C165="","Falta quantidade","OK")))))</f>
        <v>0</v>
      </c>
    </row>
    <row r="166" spans="1:8">
      <c r="A166" s="13"/>
      <c r="B166" s="13"/>
      <c r="C166" s="19"/>
      <c r="D166" s="13"/>
      <c r="E166" s="23">
        <f>IF($B166="","",IFERROR(INDEX(InsUnid,MATCH($B166,InsNome,0)),""))</f>
        <v>0</v>
      </c>
      <c r="F166" s="21">
        <f>IF($B166="","",IFERROR(INDEX(InsUtil,MATCH($B166,InsNome,0)),""))</f>
        <v>0</v>
      </c>
      <c r="G166" s="24">
        <f>IF(OR($A166="",$C166="",$F166=""),"",$C166*$F166)</f>
        <v>0</v>
      </c>
      <c r="H166" s="23">
        <f>IF($A166="","",IF($B166="","Escolha o insumo",IF($F166="","Insumo sem custo",IF(COUNTIF(PratoNome,$A166)=0,"Prato não cadastrado",IF($C166="","Falta quantidade","OK")))))</f>
        <v>0</v>
      </c>
    </row>
    <row r="167" spans="1:8">
      <c r="A167" s="13"/>
      <c r="B167" s="13"/>
      <c r="C167" s="19"/>
      <c r="D167" s="13"/>
      <c r="E167" s="23">
        <f>IF($B167="","",IFERROR(INDEX(InsUnid,MATCH($B167,InsNome,0)),""))</f>
        <v>0</v>
      </c>
      <c r="F167" s="21">
        <f>IF($B167="","",IFERROR(INDEX(InsUtil,MATCH($B167,InsNome,0)),""))</f>
        <v>0</v>
      </c>
      <c r="G167" s="24">
        <f>IF(OR($A167="",$C167="",$F167=""),"",$C167*$F167)</f>
        <v>0</v>
      </c>
      <c r="H167" s="23">
        <f>IF($A167="","",IF($B167="","Escolha o insumo",IF($F167="","Insumo sem custo",IF(COUNTIF(PratoNome,$A167)=0,"Prato não cadastrado",IF($C167="","Falta quantidade","OK")))))</f>
        <v>0</v>
      </c>
    </row>
    <row r="168" spans="1:8">
      <c r="A168" s="13"/>
      <c r="B168" s="13"/>
      <c r="C168" s="19"/>
      <c r="D168" s="13"/>
      <c r="E168" s="23">
        <f>IF($B168="","",IFERROR(INDEX(InsUnid,MATCH($B168,InsNome,0)),""))</f>
        <v>0</v>
      </c>
      <c r="F168" s="21">
        <f>IF($B168="","",IFERROR(INDEX(InsUtil,MATCH($B168,InsNome,0)),""))</f>
        <v>0</v>
      </c>
      <c r="G168" s="24">
        <f>IF(OR($A168="",$C168="",$F168=""),"",$C168*$F168)</f>
        <v>0</v>
      </c>
      <c r="H168" s="23">
        <f>IF($A168="","",IF($B168="","Escolha o insumo",IF($F168="","Insumo sem custo",IF(COUNTIF(PratoNome,$A168)=0,"Prato não cadastrado",IF($C168="","Falta quantidade","OK")))))</f>
        <v>0</v>
      </c>
    </row>
    <row r="169" spans="1:8">
      <c r="A169" s="13"/>
      <c r="B169" s="13"/>
      <c r="C169" s="19"/>
      <c r="D169" s="13"/>
      <c r="E169" s="23">
        <f>IF($B169="","",IFERROR(INDEX(InsUnid,MATCH($B169,InsNome,0)),""))</f>
        <v>0</v>
      </c>
      <c r="F169" s="21">
        <f>IF($B169="","",IFERROR(INDEX(InsUtil,MATCH($B169,InsNome,0)),""))</f>
        <v>0</v>
      </c>
      <c r="G169" s="24">
        <f>IF(OR($A169="",$C169="",$F169=""),"",$C169*$F169)</f>
        <v>0</v>
      </c>
      <c r="H169" s="23">
        <f>IF($A169="","",IF($B169="","Escolha o insumo",IF($F169="","Insumo sem custo",IF(COUNTIF(PratoNome,$A169)=0,"Prato não cadastrado",IF($C169="","Falta quantidade","OK")))))</f>
        <v>0</v>
      </c>
    </row>
    <row r="170" spans="1:8">
      <c r="A170" s="13"/>
      <c r="B170" s="13"/>
      <c r="C170" s="19"/>
      <c r="D170" s="13"/>
      <c r="E170" s="23">
        <f>IF($B170="","",IFERROR(INDEX(InsUnid,MATCH($B170,InsNome,0)),""))</f>
        <v>0</v>
      </c>
      <c r="F170" s="21">
        <f>IF($B170="","",IFERROR(INDEX(InsUtil,MATCH($B170,InsNome,0)),""))</f>
        <v>0</v>
      </c>
      <c r="G170" s="24">
        <f>IF(OR($A170="",$C170="",$F170=""),"",$C170*$F170)</f>
        <v>0</v>
      </c>
      <c r="H170" s="23">
        <f>IF($A170="","",IF($B170="","Escolha o insumo",IF($F170="","Insumo sem custo",IF(COUNTIF(PratoNome,$A170)=0,"Prato não cadastrado",IF($C170="","Falta quantidade","OK")))))</f>
        <v>0</v>
      </c>
    </row>
    <row r="171" spans="1:8">
      <c r="A171" s="13"/>
      <c r="B171" s="13"/>
      <c r="C171" s="19"/>
      <c r="D171" s="13"/>
      <c r="E171" s="23">
        <f>IF($B171="","",IFERROR(INDEX(InsUnid,MATCH($B171,InsNome,0)),""))</f>
        <v>0</v>
      </c>
      <c r="F171" s="21">
        <f>IF($B171="","",IFERROR(INDEX(InsUtil,MATCH($B171,InsNome,0)),""))</f>
        <v>0</v>
      </c>
      <c r="G171" s="24">
        <f>IF(OR($A171="",$C171="",$F171=""),"",$C171*$F171)</f>
        <v>0</v>
      </c>
      <c r="H171" s="23">
        <f>IF($A171="","",IF($B171="","Escolha o insumo",IF($F171="","Insumo sem custo",IF(COUNTIF(PratoNome,$A171)=0,"Prato não cadastrado",IF($C171="","Falta quantidade","OK")))))</f>
        <v>0</v>
      </c>
    </row>
    <row r="172" spans="1:8">
      <c r="A172" s="13"/>
      <c r="B172" s="13"/>
      <c r="C172" s="19"/>
      <c r="D172" s="13"/>
      <c r="E172" s="23">
        <f>IF($B172="","",IFERROR(INDEX(InsUnid,MATCH($B172,InsNome,0)),""))</f>
        <v>0</v>
      </c>
      <c r="F172" s="21">
        <f>IF($B172="","",IFERROR(INDEX(InsUtil,MATCH($B172,InsNome,0)),""))</f>
        <v>0</v>
      </c>
      <c r="G172" s="24">
        <f>IF(OR($A172="",$C172="",$F172=""),"",$C172*$F172)</f>
        <v>0</v>
      </c>
      <c r="H172" s="23">
        <f>IF($A172="","",IF($B172="","Escolha o insumo",IF($F172="","Insumo sem custo",IF(COUNTIF(PratoNome,$A172)=0,"Prato não cadastrado",IF($C172="","Falta quantidade","OK")))))</f>
        <v>0</v>
      </c>
    </row>
    <row r="173" spans="1:8">
      <c r="A173" s="13"/>
      <c r="B173" s="13"/>
      <c r="C173" s="19"/>
      <c r="D173" s="13"/>
      <c r="E173" s="23">
        <f>IF($B173="","",IFERROR(INDEX(InsUnid,MATCH($B173,InsNome,0)),""))</f>
        <v>0</v>
      </c>
      <c r="F173" s="21">
        <f>IF($B173="","",IFERROR(INDEX(InsUtil,MATCH($B173,InsNome,0)),""))</f>
        <v>0</v>
      </c>
      <c r="G173" s="24">
        <f>IF(OR($A173="",$C173="",$F173=""),"",$C173*$F173)</f>
        <v>0</v>
      </c>
      <c r="H173" s="23">
        <f>IF($A173="","",IF($B173="","Escolha o insumo",IF($F173="","Insumo sem custo",IF(COUNTIF(PratoNome,$A173)=0,"Prato não cadastrado",IF($C173="","Falta quantidade","OK")))))</f>
        <v>0</v>
      </c>
    </row>
    <row r="174" spans="1:8">
      <c r="A174" s="13"/>
      <c r="B174" s="13"/>
      <c r="C174" s="19"/>
      <c r="D174" s="13"/>
      <c r="E174" s="23">
        <f>IF($B174="","",IFERROR(INDEX(InsUnid,MATCH($B174,InsNome,0)),""))</f>
        <v>0</v>
      </c>
      <c r="F174" s="21">
        <f>IF($B174="","",IFERROR(INDEX(InsUtil,MATCH($B174,InsNome,0)),""))</f>
        <v>0</v>
      </c>
      <c r="G174" s="24">
        <f>IF(OR($A174="",$C174="",$F174=""),"",$C174*$F174)</f>
        <v>0</v>
      </c>
      <c r="H174" s="23">
        <f>IF($A174="","",IF($B174="","Escolha o insumo",IF($F174="","Insumo sem custo",IF(COUNTIF(PratoNome,$A174)=0,"Prato não cadastrado",IF($C174="","Falta quantidade","OK")))))</f>
        <v>0</v>
      </c>
    </row>
    <row r="175" spans="1:8">
      <c r="A175" s="13"/>
      <c r="B175" s="13"/>
      <c r="C175" s="19"/>
      <c r="D175" s="13"/>
      <c r="E175" s="23">
        <f>IF($B175="","",IFERROR(INDEX(InsUnid,MATCH($B175,InsNome,0)),""))</f>
        <v>0</v>
      </c>
      <c r="F175" s="21">
        <f>IF($B175="","",IFERROR(INDEX(InsUtil,MATCH($B175,InsNome,0)),""))</f>
        <v>0</v>
      </c>
      <c r="G175" s="24">
        <f>IF(OR($A175="",$C175="",$F175=""),"",$C175*$F175)</f>
        <v>0</v>
      </c>
      <c r="H175" s="23">
        <f>IF($A175="","",IF($B175="","Escolha o insumo",IF($F175="","Insumo sem custo",IF(COUNTIF(PratoNome,$A175)=0,"Prato não cadastrado",IF($C175="","Falta quantidade","OK")))))</f>
        <v>0</v>
      </c>
    </row>
    <row r="176" spans="1:8">
      <c r="A176" s="13"/>
      <c r="B176" s="13"/>
      <c r="C176" s="19"/>
      <c r="D176" s="13"/>
      <c r="E176" s="23">
        <f>IF($B176="","",IFERROR(INDEX(InsUnid,MATCH($B176,InsNome,0)),""))</f>
        <v>0</v>
      </c>
      <c r="F176" s="21">
        <f>IF($B176="","",IFERROR(INDEX(InsUtil,MATCH($B176,InsNome,0)),""))</f>
        <v>0</v>
      </c>
      <c r="G176" s="24">
        <f>IF(OR($A176="",$C176="",$F176=""),"",$C176*$F176)</f>
        <v>0</v>
      </c>
      <c r="H176" s="23">
        <f>IF($A176="","",IF($B176="","Escolha o insumo",IF($F176="","Insumo sem custo",IF(COUNTIF(PratoNome,$A176)=0,"Prato não cadastrado",IF($C176="","Falta quantidade","OK")))))</f>
        <v>0</v>
      </c>
    </row>
    <row r="177" spans="1:8">
      <c r="A177" s="13"/>
      <c r="B177" s="13"/>
      <c r="C177" s="19"/>
      <c r="D177" s="13"/>
      <c r="E177" s="23">
        <f>IF($B177="","",IFERROR(INDEX(InsUnid,MATCH($B177,InsNome,0)),""))</f>
        <v>0</v>
      </c>
      <c r="F177" s="21">
        <f>IF($B177="","",IFERROR(INDEX(InsUtil,MATCH($B177,InsNome,0)),""))</f>
        <v>0</v>
      </c>
      <c r="G177" s="24">
        <f>IF(OR($A177="",$C177="",$F177=""),"",$C177*$F177)</f>
        <v>0</v>
      </c>
      <c r="H177" s="23">
        <f>IF($A177="","",IF($B177="","Escolha o insumo",IF($F177="","Insumo sem custo",IF(COUNTIF(PratoNome,$A177)=0,"Prato não cadastrado",IF($C177="","Falta quantidade","OK")))))</f>
        <v>0</v>
      </c>
    </row>
    <row r="178" spans="1:8">
      <c r="A178" s="13"/>
      <c r="B178" s="13"/>
      <c r="C178" s="19"/>
      <c r="D178" s="13"/>
      <c r="E178" s="23">
        <f>IF($B178="","",IFERROR(INDEX(InsUnid,MATCH($B178,InsNome,0)),""))</f>
        <v>0</v>
      </c>
      <c r="F178" s="21">
        <f>IF($B178="","",IFERROR(INDEX(InsUtil,MATCH($B178,InsNome,0)),""))</f>
        <v>0</v>
      </c>
      <c r="G178" s="24">
        <f>IF(OR($A178="",$C178="",$F178=""),"",$C178*$F178)</f>
        <v>0</v>
      </c>
      <c r="H178" s="23">
        <f>IF($A178="","",IF($B178="","Escolha o insumo",IF($F178="","Insumo sem custo",IF(COUNTIF(PratoNome,$A178)=0,"Prato não cadastrado",IF($C178="","Falta quantidade","OK")))))</f>
        <v>0</v>
      </c>
    </row>
    <row r="179" spans="1:8">
      <c r="A179" s="13"/>
      <c r="B179" s="13"/>
      <c r="C179" s="19"/>
      <c r="D179" s="13"/>
      <c r="E179" s="23">
        <f>IF($B179="","",IFERROR(INDEX(InsUnid,MATCH($B179,InsNome,0)),""))</f>
        <v>0</v>
      </c>
      <c r="F179" s="21">
        <f>IF($B179="","",IFERROR(INDEX(InsUtil,MATCH($B179,InsNome,0)),""))</f>
        <v>0</v>
      </c>
      <c r="G179" s="24">
        <f>IF(OR($A179="",$C179="",$F179=""),"",$C179*$F179)</f>
        <v>0</v>
      </c>
      <c r="H179" s="23">
        <f>IF($A179="","",IF($B179="","Escolha o insumo",IF($F179="","Insumo sem custo",IF(COUNTIF(PratoNome,$A179)=0,"Prato não cadastrado",IF($C179="","Falta quantidade","OK")))))</f>
        <v>0</v>
      </c>
    </row>
    <row r="180" spans="1:8">
      <c r="A180" s="13"/>
      <c r="B180" s="13"/>
      <c r="C180" s="19"/>
      <c r="D180" s="13"/>
      <c r="E180" s="23">
        <f>IF($B180="","",IFERROR(INDEX(InsUnid,MATCH($B180,InsNome,0)),""))</f>
        <v>0</v>
      </c>
      <c r="F180" s="21">
        <f>IF($B180="","",IFERROR(INDEX(InsUtil,MATCH($B180,InsNome,0)),""))</f>
        <v>0</v>
      </c>
      <c r="G180" s="24">
        <f>IF(OR($A180="",$C180="",$F180=""),"",$C180*$F180)</f>
        <v>0</v>
      </c>
      <c r="H180" s="23">
        <f>IF($A180="","",IF($B180="","Escolha o insumo",IF($F180="","Insumo sem custo",IF(COUNTIF(PratoNome,$A180)=0,"Prato não cadastrado",IF($C180="","Falta quantidade","OK")))))</f>
        <v>0</v>
      </c>
    </row>
    <row r="181" spans="1:8">
      <c r="A181" s="13"/>
      <c r="B181" s="13"/>
      <c r="C181" s="19"/>
      <c r="D181" s="13"/>
      <c r="E181" s="23">
        <f>IF($B181="","",IFERROR(INDEX(InsUnid,MATCH($B181,InsNome,0)),""))</f>
        <v>0</v>
      </c>
      <c r="F181" s="21">
        <f>IF($B181="","",IFERROR(INDEX(InsUtil,MATCH($B181,InsNome,0)),""))</f>
        <v>0</v>
      </c>
      <c r="G181" s="24">
        <f>IF(OR($A181="",$C181="",$F181=""),"",$C181*$F181)</f>
        <v>0</v>
      </c>
      <c r="H181" s="23">
        <f>IF($A181="","",IF($B181="","Escolha o insumo",IF($F181="","Insumo sem custo",IF(COUNTIF(PratoNome,$A181)=0,"Prato não cadastrado",IF($C181="","Falta quantidade","OK")))))</f>
        <v>0</v>
      </c>
    </row>
    <row r="182" spans="1:8">
      <c r="A182" s="13"/>
      <c r="B182" s="13"/>
      <c r="C182" s="19"/>
      <c r="D182" s="13"/>
      <c r="E182" s="23">
        <f>IF($B182="","",IFERROR(INDEX(InsUnid,MATCH($B182,InsNome,0)),""))</f>
        <v>0</v>
      </c>
      <c r="F182" s="21">
        <f>IF($B182="","",IFERROR(INDEX(InsUtil,MATCH($B182,InsNome,0)),""))</f>
        <v>0</v>
      </c>
      <c r="G182" s="24">
        <f>IF(OR($A182="",$C182="",$F182=""),"",$C182*$F182)</f>
        <v>0</v>
      </c>
      <c r="H182" s="23">
        <f>IF($A182="","",IF($B182="","Escolha o insumo",IF($F182="","Insumo sem custo",IF(COUNTIF(PratoNome,$A182)=0,"Prato não cadastrado",IF($C182="","Falta quantidade","OK")))))</f>
        <v>0</v>
      </c>
    </row>
    <row r="183" spans="1:8">
      <c r="A183" s="13"/>
      <c r="B183" s="13"/>
      <c r="C183" s="19"/>
      <c r="D183" s="13"/>
      <c r="E183" s="23">
        <f>IF($B183="","",IFERROR(INDEX(InsUnid,MATCH($B183,InsNome,0)),""))</f>
        <v>0</v>
      </c>
      <c r="F183" s="21">
        <f>IF($B183="","",IFERROR(INDEX(InsUtil,MATCH($B183,InsNome,0)),""))</f>
        <v>0</v>
      </c>
      <c r="G183" s="24">
        <f>IF(OR($A183="",$C183="",$F183=""),"",$C183*$F183)</f>
        <v>0</v>
      </c>
      <c r="H183" s="23">
        <f>IF($A183="","",IF($B183="","Escolha o insumo",IF($F183="","Insumo sem custo",IF(COUNTIF(PratoNome,$A183)=0,"Prato não cadastrado",IF($C183="","Falta quantidade","OK")))))</f>
        <v>0</v>
      </c>
    </row>
    <row r="184" spans="1:8">
      <c r="A184" s="13"/>
      <c r="B184" s="13"/>
      <c r="C184" s="19"/>
      <c r="D184" s="13"/>
      <c r="E184" s="23">
        <f>IF($B184="","",IFERROR(INDEX(InsUnid,MATCH($B184,InsNome,0)),""))</f>
        <v>0</v>
      </c>
      <c r="F184" s="21">
        <f>IF($B184="","",IFERROR(INDEX(InsUtil,MATCH($B184,InsNome,0)),""))</f>
        <v>0</v>
      </c>
      <c r="G184" s="24">
        <f>IF(OR($A184="",$C184="",$F184=""),"",$C184*$F184)</f>
        <v>0</v>
      </c>
      <c r="H184" s="23">
        <f>IF($A184="","",IF($B184="","Escolha o insumo",IF($F184="","Insumo sem custo",IF(COUNTIF(PratoNome,$A184)=0,"Prato não cadastrado",IF($C184="","Falta quantidade","OK")))))</f>
        <v>0</v>
      </c>
    </row>
    <row r="185" spans="1:8">
      <c r="A185" s="13"/>
      <c r="B185" s="13"/>
      <c r="C185" s="19"/>
      <c r="D185" s="13"/>
      <c r="E185" s="23">
        <f>IF($B185="","",IFERROR(INDEX(InsUnid,MATCH($B185,InsNome,0)),""))</f>
        <v>0</v>
      </c>
      <c r="F185" s="21">
        <f>IF($B185="","",IFERROR(INDEX(InsUtil,MATCH($B185,InsNome,0)),""))</f>
        <v>0</v>
      </c>
      <c r="G185" s="24">
        <f>IF(OR($A185="",$C185="",$F185=""),"",$C185*$F185)</f>
        <v>0</v>
      </c>
      <c r="H185" s="23">
        <f>IF($A185="","",IF($B185="","Escolha o insumo",IF($F185="","Insumo sem custo",IF(COUNTIF(PratoNome,$A185)=0,"Prato não cadastrado",IF($C185="","Falta quantidade","OK")))))</f>
        <v>0</v>
      </c>
    </row>
    <row r="186" spans="1:8">
      <c r="A186" s="13"/>
      <c r="B186" s="13"/>
      <c r="C186" s="19"/>
      <c r="D186" s="13"/>
      <c r="E186" s="23">
        <f>IF($B186="","",IFERROR(INDEX(InsUnid,MATCH($B186,InsNome,0)),""))</f>
        <v>0</v>
      </c>
      <c r="F186" s="21">
        <f>IF($B186="","",IFERROR(INDEX(InsUtil,MATCH($B186,InsNome,0)),""))</f>
        <v>0</v>
      </c>
      <c r="G186" s="24">
        <f>IF(OR($A186="",$C186="",$F186=""),"",$C186*$F186)</f>
        <v>0</v>
      </c>
      <c r="H186" s="23">
        <f>IF($A186="","",IF($B186="","Escolha o insumo",IF($F186="","Insumo sem custo",IF(COUNTIF(PratoNome,$A186)=0,"Prato não cadastrado",IF($C186="","Falta quantidade","OK")))))</f>
        <v>0</v>
      </c>
    </row>
    <row r="187" spans="1:8">
      <c r="A187" s="13"/>
      <c r="B187" s="13"/>
      <c r="C187" s="19"/>
      <c r="D187" s="13"/>
      <c r="E187" s="23">
        <f>IF($B187="","",IFERROR(INDEX(InsUnid,MATCH($B187,InsNome,0)),""))</f>
        <v>0</v>
      </c>
      <c r="F187" s="21">
        <f>IF($B187="","",IFERROR(INDEX(InsUtil,MATCH($B187,InsNome,0)),""))</f>
        <v>0</v>
      </c>
      <c r="G187" s="24">
        <f>IF(OR($A187="",$C187="",$F187=""),"",$C187*$F187)</f>
        <v>0</v>
      </c>
      <c r="H187" s="23">
        <f>IF($A187="","",IF($B187="","Escolha o insumo",IF($F187="","Insumo sem custo",IF(COUNTIF(PratoNome,$A187)=0,"Prato não cadastrado",IF($C187="","Falta quantidade","OK")))))</f>
        <v>0</v>
      </c>
    </row>
    <row r="188" spans="1:8">
      <c r="A188" s="13"/>
      <c r="B188" s="13"/>
      <c r="C188" s="19"/>
      <c r="D188" s="13"/>
      <c r="E188" s="23">
        <f>IF($B188="","",IFERROR(INDEX(InsUnid,MATCH($B188,InsNome,0)),""))</f>
        <v>0</v>
      </c>
      <c r="F188" s="21">
        <f>IF($B188="","",IFERROR(INDEX(InsUtil,MATCH($B188,InsNome,0)),""))</f>
        <v>0</v>
      </c>
      <c r="G188" s="24">
        <f>IF(OR($A188="",$C188="",$F188=""),"",$C188*$F188)</f>
        <v>0</v>
      </c>
      <c r="H188" s="23">
        <f>IF($A188="","",IF($B188="","Escolha o insumo",IF($F188="","Insumo sem custo",IF(COUNTIF(PratoNome,$A188)=0,"Prato não cadastrado",IF($C188="","Falta quantidade","OK")))))</f>
        <v>0</v>
      </c>
    </row>
    <row r="189" spans="1:8">
      <c r="A189" s="13"/>
      <c r="B189" s="13"/>
      <c r="C189" s="19"/>
      <c r="D189" s="13"/>
      <c r="E189" s="23">
        <f>IF($B189="","",IFERROR(INDEX(InsUnid,MATCH($B189,InsNome,0)),""))</f>
        <v>0</v>
      </c>
      <c r="F189" s="21">
        <f>IF($B189="","",IFERROR(INDEX(InsUtil,MATCH($B189,InsNome,0)),""))</f>
        <v>0</v>
      </c>
      <c r="G189" s="24">
        <f>IF(OR($A189="",$C189="",$F189=""),"",$C189*$F189)</f>
        <v>0</v>
      </c>
      <c r="H189" s="23">
        <f>IF($A189="","",IF($B189="","Escolha o insumo",IF($F189="","Insumo sem custo",IF(COUNTIF(PratoNome,$A189)=0,"Prato não cadastrado",IF($C189="","Falta quantidade","OK")))))</f>
        <v>0</v>
      </c>
    </row>
    <row r="190" spans="1:8">
      <c r="A190" s="13"/>
      <c r="B190" s="13"/>
      <c r="C190" s="19"/>
      <c r="D190" s="13"/>
      <c r="E190" s="23">
        <f>IF($B190="","",IFERROR(INDEX(InsUnid,MATCH($B190,InsNome,0)),""))</f>
        <v>0</v>
      </c>
      <c r="F190" s="21">
        <f>IF($B190="","",IFERROR(INDEX(InsUtil,MATCH($B190,InsNome,0)),""))</f>
        <v>0</v>
      </c>
      <c r="G190" s="24">
        <f>IF(OR($A190="",$C190="",$F190=""),"",$C190*$F190)</f>
        <v>0</v>
      </c>
      <c r="H190" s="23">
        <f>IF($A190="","",IF($B190="","Escolha o insumo",IF($F190="","Insumo sem custo",IF(COUNTIF(PratoNome,$A190)=0,"Prato não cadastrado",IF($C190="","Falta quantidade","OK")))))</f>
        <v>0</v>
      </c>
    </row>
    <row r="191" spans="1:8">
      <c r="A191" s="13"/>
      <c r="B191" s="13"/>
      <c r="C191" s="19"/>
      <c r="D191" s="13"/>
      <c r="E191" s="23">
        <f>IF($B191="","",IFERROR(INDEX(InsUnid,MATCH($B191,InsNome,0)),""))</f>
        <v>0</v>
      </c>
      <c r="F191" s="21">
        <f>IF($B191="","",IFERROR(INDEX(InsUtil,MATCH($B191,InsNome,0)),""))</f>
        <v>0</v>
      </c>
      <c r="G191" s="24">
        <f>IF(OR($A191="",$C191="",$F191=""),"",$C191*$F191)</f>
        <v>0</v>
      </c>
      <c r="H191" s="23">
        <f>IF($A191="","",IF($B191="","Escolha o insumo",IF($F191="","Insumo sem custo",IF(COUNTIF(PratoNome,$A191)=0,"Prato não cadastrado",IF($C191="","Falta quantidade","OK")))))</f>
        <v>0</v>
      </c>
    </row>
    <row r="192" spans="1:8">
      <c r="A192" s="13"/>
      <c r="B192" s="13"/>
      <c r="C192" s="19"/>
      <c r="D192" s="13"/>
      <c r="E192" s="23">
        <f>IF($B192="","",IFERROR(INDEX(InsUnid,MATCH($B192,InsNome,0)),""))</f>
        <v>0</v>
      </c>
      <c r="F192" s="21">
        <f>IF($B192="","",IFERROR(INDEX(InsUtil,MATCH($B192,InsNome,0)),""))</f>
        <v>0</v>
      </c>
      <c r="G192" s="24">
        <f>IF(OR($A192="",$C192="",$F192=""),"",$C192*$F192)</f>
        <v>0</v>
      </c>
      <c r="H192" s="23">
        <f>IF($A192="","",IF($B192="","Escolha o insumo",IF($F192="","Insumo sem custo",IF(COUNTIF(PratoNome,$A192)=0,"Prato não cadastrado",IF($C192="","Falta quantidade","OK")))))</f>
        <v>0</v>
      </c>
    </row>
    <row r="193" spans="1:8">
      <c r="A193" s="13"/>
      <c r="B193" s="13"/>
      <c r="C193" s="19"/>
      <c r="D193" s="13"/>
      <c r="E193" s="23">
        <f>IF($B193="","",IFERROR(INDEX(InsUnid,MATCH($B193,InsNome,0)),""))</f>
        <v>0</v>
      </c>
      <c r="F193" s="21">
        <f>IF($B193="","",IFERROR(INDEX(InsUtil,MATCH($B193,InsNome,0)),""))</f>
        <v>0</v>
      </c>
      <c r="G193" s="24">
        <f>IF(OR($A193="",$C193="",$F193=""),"",$C193*$F193)</f>
        <v>0</v>
      </c>
      <c r="H193" s="23">
        <f>IF($A193="","",IF($B193="","Escolha o insumo",IF($F193="","Insumo sem custo",IF(COUNTIF(PratoNome,$A193)=0,"Prato não cadastrado",IF($C193="","Falta quantidade","OK")))))</f>
        <v>0</v>
      </c>
    </row>
    <row r="194" spans="1:8">
      <c r="A194" s="13"/>
      <c r="B194" s="13"/>
      <c r="C194" s="19"/>
      <c r="D194" s="13"/>
      <c r="E194" s="23">
        <f>IF($B194="","",IFERROR(INDEX(InsUnid,MATCH($B194,InsNome,0)),""))</f>
        <v>0</v>
      </c>
      <c r="F194" s="21">
        <f>IF($B194="","",IFERROR(INDEX(InsUtil,MATCH($B194,InsNome,0)),""))</f>
        <v>0</v>
      </c>
      <c r="G194" s="24">
        <f>IF(OR($A194="",$C194="",$F194=""),"",$C194*$F194)</f>
        <v>0</v>
      </c>
      <c r="H194" s="23">
        <f>IF($A194="","",IF($B194="","Escolha o insumo",IF($F194="","Insumo sem custo",IF(COUNTIF(PratoNome,$A194)=0,"Prato não cadastrado",IF($C194="","Falta quantidade","OK")))))</f>
        <v>0</v>
      </c>
    </row>
    <row r="195" spans="1:8">
      <c r="A195" s="13"/>
      <c r="B195" s="13"/>
      <c r="C195" s="19"/>
      <c r="D195" s="13"/>
      <c r="E195" s="23">
        <f>IF($B195="","",IFERROR(INDEX(InsUnid,MATCH($B195,InsNome,0)),""))</f>
        <v>0</v>
      </c>
      <c r="F195" s="21">
        <f>IF($B195="","",IFERROR(INDEX(InsUtil,MATCH($B195,InsNome,0)),""))</f>
        <v>0</v>
      </c>
      <c r="G195" s="24">
        <f>IF(OR($A195="",$C195="",$F195=""),"",$C195*$F195)</f>
        <v>0</v>
      </c>
      <c r="H195" s="23">
        <f>IF($A195="","",IF($B195="","Escolha o insumo",IF($F195="","Insumo sem custo",IF(COUNTIF(PratoNome,$A195)=0,"Prato não cadastrado",IF($C195="","Falta quantidade","OK")))))</f>
        <v>0</v>
      </c>
    </row>
    <row r="196" spans="1:8">
      <c r="A196" s="13"/>
      <c r="B196" s="13"/>
      <c r="C196" s="19"/>
      <c r="D196" s="13"/>
      <c r="E196" s="23">
        <f>IF($B196="","",IFERROR(INDEX(InsUnid,MATCH($B196,InsNome,0)),""))</f>
        <v>0</v>
      </c>
      <c r="F196" s="21">
        <f>IF($B196="","",IFERROR(INDEX(InsUtil,MATCH($B196,InsNome,0)),""))</f>
        <v>0</v>
      </c>
      <c r="G196" s="24">
        <f>IF(OR($A196="",$C196="",$F196=""),"",$C196*$F196)</f>
        <v>0</v>
      </c>
      <c r="H196" s="23">
        <f>IF($A196="","",IF($B196="","Escolha o insumo",IF($F196="","Insumo sem custo",IF(COUNTIF(PratoNome,$A196)=0,"Prato não cadastrado",IF($C196="","Falta quantidade","OK")))))</f>
        <v>0</v>
      </c>
    </row>
    <row r="197" spans="1:8">
      <c r="A197" s="13"/>
      <c r="B197" s="13"/>
      <c r="C197" s="19"/>
      <c r="D197" s="13"/>
      <c r="E197" s="23">
        <f>IF($B197="","",IFERROR(INDEX(InsUnid,MATCH($B197,InsNome,0)),""))</f>
        <v>0</v>
      </c>
      <c r="F197" s="21">
        <f>IF($B197="","",IFERROR(INDEX(InsUtil,MATCH($B197,InsNome,0)),""))</f>
        <v>0</v>
      </c>
      <c r="G197" s="24">
        <f>IF(OR($A197="",$C197="",$F197=""),"",$C197*$F197)</f>
        <v>0</v>
      </c>
      <c r="H197" s="23">
        <f>IF($A197="","",IF($B197="","Escolha o insumo",IF($F197="","Insumo sem custo",IF(COUNTIF(PratoNome,$A197)=0,"Prato não cadastrado",IF($C197="","Falta quantidade","OK")))))</f>
        <v>0</v>
      </c>
    </row>
    <row r="198" spans="1:8">
      <c r="A198" s="13"/>
      <c r="B198" s="13"/>
      <c r="C198" s="19"/>
      <c r="D198" s="13"/>
      <c r="E198" s="23">
        <f>IF($B198="","",IFERROR(INDEX(InsUnid,MATCH($B198,InsNome,0)),""))</f>
        <v>0</v>
      </c>
      <c r="F198" s="21">
        <f>IF($B198="","",IFERROR(INDEX(InsUtil,MATCH($B198,InsNome,0)),""))</f>
        <v>0</v>
      </c>
      <c r="G198" s="24">
        <f>IF(OR($A198="",$C198="",$F198=""),"",$C198*$F198)</f>
        <v>0</v>
      </c>
      <c r="H198" s="23">
        <f>IF($A198="","",IF($B198="","Escolha o insumo",IF($F198="","Insumo sem custo",IF(COUNTIF(PratoNome,$A198)=0,"Prato não cadastrado",IF($C198="","Falta quantidade","OK")))))</f>
        <v>0</v>
      </c>
    </row>
    <row r="199" spans="1:8">
      <c r="A199" s="13"/>
      <c r="B199" s="13"/>
      <c r="C199" s="19"/>
      <c r="D199" s="13"/>
      <c r="E199" s="23">
        <f>IF($B199="","",IFERROR(INDEX(InsUnid,MATCH($B199,InsNome,0)),""))</f>
        <v>0</v>
      </c>
      <c r="F199" s="21">
        <f>IF($B199="","",IFERROR(INDEX(InsUtil,MATCH($B199,InsNome,0)),""))</f>
        <v>0</v>
      </c>
      <c r="G199" s="24">
        <f>IF(OR($A199="",$C199="",$F199=""),"",$C199*$F199)</f>
        <v>0</v>
      </c>
      <c r="H199" s="23">
        <f>IF($A199="","",IF($B199="","Escolha o insumo",IF($F199="","Insumo sem custo",IF(COUNTIF(PratoNome,$A199)=0,"Prato não cadastrado",IF($C199="","Falta quantidade","OK")))))</f>
        <v>0</v>
      </c>
    </row>
    <row r="200" spans="1:8">
      <c r="A200" s="13"/>
      <c r="B200" s="13"/>
      <c r="C200" s="19"/>
      <c r="D200" s="13"/>
      <c r="E200" s="23">
        <f>IF($B200="","",IFERROR(INDEX(InsUnid,MATCH($B200,InsNome,0)),""))</f>
        <v>0</v>
      </c>
      <c r="F200" s="21">
        <f>IF($B200="","",IFERROR(INDEX(InsUtil,MATCH($B200,InsNome,0)),""))</f>
        <v>0</v>
      </c>
      <c r="G200" s="24">
        <f>IF(OR($A200="",$C200="",$F200=""),"",$C200*$F200)</f>
        <v>0</v>
      </c>
      <c r="H200" s="23">
        <f>IF($A200="","",IF($B200="","Escolha o insumo",IF($F200="","Insumo sem custo",IF(COUNTIF(PratoNome,$A200)=0,"Prato não cadastrado",IF($C200="","Falta quantidade","OK")))))</f>
        <v>0</v>
      </c>
    </row>
    <row r="201" spans="1:8">
      <c r="A201" s="13"/>
      <c r="B201" s="13"/>
      <c r="C201" s="19"/>
      <c r="D201" s="13"/>
      <c r="E201" s="23">
        <f>IF($B201="","",IFERROR(INDEX(InsUnid,MATCH($B201,InsNome,0)),""))</f>
        <v>0</v>
      </c>
      <c r="F201" s="21">
        <f>IF($B201="","",IFERROR(INDEX(InsUtil,MATCH($B201,InsNome,0)),""))</f>
        <v>0</v>
      </c>
      <c r="G201" s="24">
        <f>IF(OR($A201="",$C201="",$F201=""),"",$C201*$F201)</f>
        <v>0</v>
      </c>
      <c r="H201" s="23">
        <f>IF($A201="","",IF($B201="","Escolha o insumo",IF($F201="","Insumo sem custo",IF(COUNTIF(PratoNome,$A201)=0,"Prato não cadastrado",IF($C201="","Falta quantidade","OK")))))</f>
        <v>0</v>
      </c>
    </row>
    <row r="202" spans="1:8">
      <c r="A202" s="13"/>
      <c r="B202" s="13"/>
      <c r="C202" s="19"/>
      <c r="D202" s="13"/>
      <c r="E202" s="23">
        <f>IF($B202="","",IFERROR(INDEX(InsUnid,MATCH($B202,InsNome,0)),""))</f>
        <v>0</v>
      </c>
      <c r="F202" s="21">
        <f>IF($B202="","",IFERROR(INDEX(InsUtil,MATCH($B202,InsNome,0)),""))</f>
        <v>0</v>
      </c>
      <c r="G202" s="24">
        <f>IF(OR($A202="",$C202="",$F202=""),"",$C202*$F202)</f>
        <v>0</v>
      </c>
      <c r="H202" s="23">
        <f>IF($A202="","",IF($B202="","Escolha o insumo",IF($F202="","Insumo sem custo",IF(COUNTIF(PratoNome,$A202)=0,"Prato não cadastrado",IF($C202="","Falta quantidade","OK")))))</f>
        <v>0</v>
      </c>
    </row>
    <row r="203" spans="1:8">
      <c r="A203" s="13"/>
      <c r="B203" s="13"/>
      <c r="C203" s="19"/>
      <c r="D203" s="13"/>
      <c r="E203" s="23">
        <f>IF($B203="","",IFERROR(INDEX(InsUnid,MATCH($B203,InsNome,0)),""))</f>
        <v>0</v>
      </c>
      <c r="F203" s="21">
        <f>IF($B203="","",IFERROR(INDEX(InsUtil,MATCH($B203,InsNome,0)),""))</f>
        <v>0</v>
      </c>
      <c r="G203" s="24">
        <f>IF(OR($A203="",$C203="",$F203=""),"",$C203*$F203)</f>
        <v>0</v>
      </c>
      <c r="H203" s="23">
        <f>IF($A203="","",IF($B203="","Escolha o insumo",IF($F203="","Insumo sem custo",IF(COUNTIF(PratoNome,$A203)=0,"Prato não cadastrado",IF($C203="","Falta quantidade","OK")))))</f>
        <v>0</v>
      </c>
    </row>
    <row r="204" spans="1:8">
      <c r="A204" s="13"/>
      <c r="B204" s="13"/>
      <c r="C204" s="19"/>
      <c r="D204" s="13"/>
      <c r="E204" s="23">
        <f>IF($B204="","",IFERROR(INDEX(InsUnid,MATCH($B204,InsNome,0)),""))</f>
        <v>0</v>
      </c>
      <c r="F204" s="21">
        <f>IF($B204="","",IFERROR(INDEX(InsUtil,MATCH($B204,InsNome,0)),""))</f>
        <v>0</v>
      </c>
      <c r="G204" s="24">
        <f>IF(OR($A204="",$C204="",$F204=""),"",$C204*$F204)</f>
        <v>0</v>
      </c>
      <c r="H204" s="23">
        <f>IF($A204="","",IF($B204="","Escolha o insumo",IF($F204="","Insumo sem custo",IF(COUNTIF(PratoNome,$A204)=0,"Prato não cadastrado",IF($C204="","Falta quantidade","OK")))))</f>
        <v>0</v>
      </c>
    </row>
    <row r="205" spans="1:8">
      <c r="A205" s="13"/>
      <c r="B205" s="13"/>
      <c r="C205" s="19"/>
      <c r="D205" s="13"/>
      <c r="E205" s="23">
        <f>IF($B205="","",IFERROR(INDEX(InsUnid,MATCH($B205,InsNome,0)),""))</f>
        <v>0</v>
      </c>
      <c r="F205" s="21">
        <f>IF($B205="","",IFERROR(INDEX(InsUtil,MATCH($B205,InsNome,0)),""))</f>
        <v>0</v>
      </c>
      <c r="G205" s="24">
        <f>IF(OR($A205="",$C205="",$F205=""),"",$C205*$F205)</f>
        <v>0</v>
      </c>
      <c r="H205" s="23">
        <f>IF($A205="","",IF($B205="","Escolha o insumo",IF($F205="","Insumo sem custo",IF(COUNTIF(PratoNome,$A205)=0,"Prato não cadastrado",IF($C205="","Falta quantidade","OK")))))</f>
        <v>0</v>
      </c>
    </row>
    <row r="206" spans="1:8">
      <c r="A206" s="13"/>
      <c r="B206" s="13"/>
      <c r="C206" s="19"/>
      <c r="D206" s="13"/>
      <c r="E206" s="23">
        <f>IF($B206="","",IFERROR(INDEX(InsUnid,MATCH($B206,InsNome,0)),""))</f>
        <v>0</v>
      </c>
      <c r="F206" s="21">
        <f>IF($B206="","",IFERROR(INDEX(InsUtil,MATCH($B206,InsNome,0)),""))</f>
        <v>0</v>
      </c>
      <c r="G206" s="24">
        <f>IF(OR($A206="",$C206="",$F206=""),"",$C206*$F206)</f>
        <v>0</v>
      </c>
      <c r="H206" s="23">
        <f>IF($A206="","",IF($B206="","Escolha o insumo",IF($F206="","Insumo sem custo",IF(COUNTIF(PratoNome,$A206)=0,"Prato não cadastrado",IF($C206="","Falta quantidade","OK")))))</f>
        <v>0</v>
      </c>
    </row>
    <row r="207" spans="1:8">
      <c r="A207" s="13"/>
      <c r="B207" s="13"/>
      <c r="C207" s="19"/>
      <c r="D207" s="13"/>
      <c r="E207" s="23">
        <f>IF($B207="","",IFERROR(INDEX(InsUnid,MATCH($B207,InsNome,0)),""))</f>
        <v>0</v>
      </c>
      <c r="F207" s="21">
        <f>IF($B207="","",IFERROR(INDEX(InsUtil,MATCH($B207,InsNome,0)),""))</f>
        <v>0</v>
      </c>
      <c r="G207" s="24">
        <f>IF(OR($A207="",$C207="",$F207=""),"",$C207*$F207)</f>
        <v>0</v>
      </c>
      <c r="H207" s="23">
        <f>IF($A207="","",IF($B207="","Escolha o insumo",IF($F207="","Insumo sem custo",IF(COUNTIF(PratoNome,$A207)=0,"Prato não cadastrado",IF($C207="","Falta quantidade","OK")))))</f>
        <v>0</v>
      </c>
    </row>
    <row r="208" spans="1:8">
      <c r="A208" s="13"/>
      <c r="B208" s="13"/>
      <c r="C208" s="19"/>
      <c r="D208" s="13"/>
      <c r="E208" s="23">
        <f>IF($B208="","",IFERROR(INDEX(InsUnid,MATCH($B208,InsNome,0)),""))</f>
        <v>0</v>
      </c>
      <c r="F208" s="21">
        <f>IF($B208="","",IFERROR(INDEX(InsUtil,MATCH($B208,InsNome,0)),""))</f>
        <v>0</v>
      </c>
      <c r="G208" s="24">
        <f>IF(OR($A208="",$C208="",$F208=""),"",$C208*$F208)</f>
        <v>0</v>
      </c>
      <c r="H208" s="23">
        <f>IF($A208="","",IF($B208="","Escolha o insumo",IF($F208="","Insumo sem custo",IF(COUNTIF(PratoNome,$A208)=0,"Prato não cadastrado",IF($C208="","Falta quantidade","OK")))))</f>
        <v>0</v>
      </c>
    </row>
    <row r="209" spans="1:8">
      <c r="A209" s="13"/>
      <c r="B209" s="13"/>
      <c r="C209" s="19"/>
      <c r="D209" s="13"/>
      <c r="E209" s="23">
        <f>IF($B209="","",IFERROR(INDEX(InsUnid,MATCH($B209,InsNome,0)),""))</f>
        <v>0</v>
      </c>
      <c r="F209" s="21">
        <f>IF($B209="","",IFERROR(INDEX(InsUtil,MATCH($B209,InsNome,0)),""))</f>
        <v>0</v>
      </c>
      <c r="G209" s="24">
        <f>IF(OR($A209="",$C209="",$F209=""),"",$C209*$F209)</f>
        <v>0</v>
      </c>
      <c r="H209" s="23">
        <f>IF($A209="","",IF($B209="","Escolha o insumo",IF($F209="","Insumo sem custo",IF(COUNTIF(PratoNome,$A209)=0,"Prato não cadastrado",IF($C209="","Falta quantidade","OK")))))</f>
        <v>0</v>
      </c>
    </row>
    <row r="210" spans="1:8">
      <c r="A210" s="13"/>
      <c r="B210" s="13"/>
      <c r="C210" s="19"/>
      <c r="D210" s="13"/>
      <c r="E210" s="23">
        <f>IF($B210="","",IFERROR(INDEX(InsUnid,MATCH($B210,InsNome,0)),""))</f>
        <v>0</v>
      </c>
      <c r="F210" s="21">
        <f>IF($B210="","",IFERROR(INDEX(InsUtil,MATCH($B210,InsNome,0)),""))</f>
        <v>0</v>
      </c>
      <c r="G210" s="24">
        <f>IF(OR($A210="",$C210="",$F210=""),"",$C210*$F210)</f>
        <v>0</v>
      </c>
      <c r="H210" s="23">
        <f>IF($A210="","",IF($B210="","Escolha o insumo",IF($F210="","Insumo sem custo",IF(COUNTIF(PratoNome,$A210)=0,"Prato não cadastrado",IF($C210="","Falta quantidade","OK")))))</f>
        <v>0</v>
      </c>
    </row>
    <row r="211" spans="1:8">
      <c r="A211" s="13"/>
      <c r="B211" s="13"/>
      <c r="C211" s="19"/>
      <c r="D211" s="13"/>
      <c r="E211" s="23">
        <f>IF($B211="","",IFERROR(INDEX(InsUnid,MATCH($B211,InsNome,0)),""))</f>
        <v>0</v>
      </c>
      <c r="F211" s="21">
        <f>IF($B211="","",IFERROR(INDEX(InsUtil,MATCH($B211,InsNome,0)),""))</f>
        <v>0</v>
      </c>
      <c r="G211" s="24">
        <f>IF(OR($A211="",$C211="",$F211=""),"",$C211*$F211)</f>
        <v>0</v>
      </c>
      <c r="H211" s="23">
        <f>IF($A211="","",IF($B211="","Escolha o insumo",IF($F211="","Insumo sem custo",IF(COUNTIF(PratoNome,$A211)=0,"Prato não cadastrado",IF($C211="","Falta quantidade","OK")))))</f>
        <v>0</v>
      </c>
    </row>
    <row r="212" spans="1:8">
      <c r="A212" s="13"/>
      <c r="B212" s="13"/>
      <c r="C212" s="19"/>
      <c r="D212" s="13"/>
      <c r="E212" s="23">
        <f>IF($B212="","",IFERROR(INDEX(InsUnid,MATCH($B212,InsNome,0)),""))</f>
        <v>0</v>
      </c>
      <c r="F212" s="21">
        <f>IF($B212="","",IFERROR(INDEX(InsUtil,MATCH($B212,InsNome,0)),""))</f>
        <v>0</v>
      </c>
      <c r="G212" s="24">
        <f>IF(OR($A212="",$C212="",$F212=""),"",$C212*$F212)</f>
        <v>0</v>
      </c>
      <c r="H212" s="23">
        <f>IF($A212="","",IF($B212="","Escolha o insumo",IF($F212="","Insumo sem custo",IF(COUNTIF(PratoNome,$A212)=0,"Prato não cadastrado",IF($C212="","Falta quantidade","OK")))))</f>
        <v>0</v>
      </c>
    </row>
    <row r="213" spans="1:8">
      <c r="A213" s="13"/>
      <c r="B213" s="13"/>
      <c r="C213" s="19"/>
      <c r="D213" s="13"/>
      <c r="E213" s="23">
        <f>IF($B213="","",IFERROR(INDEX(InsUnid,MATCH($B213,InsNome,0)),""))</f>
        <v>0</v>
      </c>
      <c r="F213" s="21">
        <f>IF($B213="","",IFERROR(INDEX(InsUtil,MATCH($B213,InsNome,0)),""))</f>
        <v>0</v>
      </c>
      <c r="G213" s="24">
        <f>IF(OR($A213="",$C213="",$F213=""),"",$C213*$F213)</f>
        <v>0</v>
      </c>
      <c r="H213" s="23">
        <f>IF($A213="","",IF($B213="","Escolha o insumo",IF($F213="","Insumo sem custo",IF(COUNTIF(PratoNome,$A213)=0,"Prato não cadastrado",IF($C213="","Falta quantidade","OK")))))</f>
        <v>0</v>
      </c>
    </row>
    <row r="214" spans="1:8">
      <c r="A214" s="13"/>
      <c r="B214" s="13"/>
      <c r="C214" s="19"/>
      <c r="D214" s="13"/>
      <c r="E214" s="23">
        <f>IF($B214="","",IFERROR(INDEX(InsUnid,MATCH($B214,InsNome,0)),""))</f>
        <v>0</v>
      </c>
      <c r="F214" s="21">
        <f>IF($B214="","",IFERROR(INDEX(InsUtil,MATCH($B214,InsNome,0)),""))</f>
        <v>0</v>
      </c>
      <c r="G214" s="24">
        <f>IF(OR($A214="",$C214="",$F214=""),"",$C214*$F214)</f>
        <v>0</v>
      </c>
      <c r="H214" s="23">
        <f>IF($A214="","",IF($B214="","Escolha o insumo",IF($F214="","Insumo sem custo",IF(COUNTIF(PratoNome,$A214)=0,"Prato não cadastrado",IF($C214="","Falta quantidade","OK")))))</f>
        <v>0</v>
      </c>
    </row>
    <row r="215" spans="1:8">
      <c r="A215" s="13"/>
      <c r="B215" s="13"/>
      <c r="C215" s="19"/>
      <c r="D215" s="13"/>
      <c r="E215" s="23">
        <f>IF($B215="","",IFERROR(INDEX(InsUnid,MATCH($B215,InsNome,0)),""))</f>
        <v>0</v>
      </c>
      <c r="F215" s="21">
        <f>IF($B215="","",IFERROR(INDEX(InsUtil,MATCH($B215,InsNome,0)),""))</f>
        <v>0</v>
      </c>
      <c r="G215" s="24">
        <f>IF(OR($A215="",$C215="",$F215=""),"",$C215*$F215)</f>
        <v>0</v>
      </c>
      <c r="H215" s="23">
        <f>IF($A215="","",IF($B215="","Escolha o insumo",IF($F215="","Insumo sem custo",IF(COUNTIF(PratoNome,$A215)=0,"Prato não cadastrado",IF($C215="","Falta quantidade","OK")))))</f>
        <v>0</v>
      </c>
    </row>
    <row r="216" spans="1:8">
      <c r="A216" s="13"/>
      <c r="B216" s="13"/>
      <c r="C216" s="19"/>
      <c r="D216" s="13"/>
      <c r="E216" s="23">
        <f>IF($B216="","",IFERROR(INDEX(InsUnid,MATCH($B216,InsNome,0)),""))</f>
        <v>0</v>
      </c>
      <c r="F216" s="21">
        <f>IF($B216="","",IFERROR(INDEX(InsUtil,MATCH($B216,InsNome,0)),""))</f>
        <v>0</v>
      </c>
      <c r="G216" s="24">
        <f>IF(OR($A216="",$C216="",$F216=""),"",$C216*$F216)</f>
        <v>0</v>
      </c>
      <c r="H216" s="23">
        <f>IF($A216="","",IF($B216="","Escolha o insumo",IF($F216="","Insumo sem custo",IF(COUNTIF(PratoNome,$A216)=0,"Prato não cadastrado",IF($C216="","Falta quantidade","OK")))))</f>
        <v>0</v>
      </c>
    </row>
    <row r="217" spans="1:8">
      <c r="A217" s="13"/>
      <c r="B217" s="13"/>
      <c r="C217" s="19"/>
      <c r="D217" s="13"/>
      <c r="E217" s="23">
        <f>IF($B217="","",IFERROR(INDEX(InsUnid,MATCH($B217,InsNome,0)),""))</f>
        <v>0</v>
      </c>
      <c r="F217" s="21">
        <f>IF($B217="","",IFERROR(INDEX(InsUtil,MATCH($B217,InsNome,0)),""))</f>
        <v>0</v>
      </c>
      <c r="G217" s="24">
        <f>IF(OR($A217="",$C217="",$F217=""),"",$C217*$F217)</f>
        <v>0</v>
      </c>
      <c r="H217" s="23">
        <f>IF($A217="","",IF($B217="","Escolha o insumo",IF($F217="","Insumo sem custo",IF(COUNTIF(PratoNome,$A217)=0,"Prato não cadastrado",IF($C217="","Falta quantidade","OK")))))</f>
        <v>0</v>
      </c>
    </row>
    <row r="218" spans="1:8">
      <c r="A218" s="13"/>
      <c r="B218" s="13"/>
      <c r="C218" s="19"/>
      <c r="D218" s="13"/>
      <c r="E218" s="23">
        <f>IF($B218="","",IFERROR(INDEX(InsUnid,MATCH($B218,InsNome,0)),""))</f>
        <v>0</v>
      </c>
      <c r="F218" s="21">
        <f>IF($B218="","",IFERROR(INDEX(InsUtil,MATCH($B218,InsNome,0)),""))</f>
        <v>0</v>
      </c>
      <c r="G218" s="24">
        <f>IF(OR($A218="",$C218="",$F218=""),"",$C218*$F218)</f>
        <v>0</v>
      </c>
      <c r="H218" s="23">
        <f>IF($A218="","",IF($B218="","Escolha o insumo",IF($F218="","Insumo sem custo",IF(COUNTIF(PratoNome,$A218)=0,"Prato não cadastrado",IF($C218="","Falta quantidade","OK")))))</f>
        <v>0</v>
      </c>
    </row>
    <row r="219" spans="1:8">
      <c r="A219" s="13"/>
      <c r="B219" s="13"/>
      <c r="C219" s="19"/>
      <c r="D219" s="13"/>
      <c r="E219" s="23">
        <f>IF($B219="","",IFERROR(INDEX(InsUnid,MATCH($B219,InsNome,0)),""))</f>
        <v>0</v>
      </c>
      <c r="F219" s="21">
        <f>IF($B219="","",IFERROR(INDEX(InsUtil,MATCH($B219,InsNome,0)),""))</f>
        <v>0</v>
      </c>
      <c r="G219" s="24">
        <f>IF(OR($A219="",$C219="",$F219=""),"",$C219*$F219)</f>
        <v>0</v>
      </c>
      <c r="H219" s="23">
        <f>IF($A219="","",IF($B219="","Escolha o insumo",IF($F219="","Insumo sem custo",IF(COUNTIF(PratoNome,$A219)=0,"Prato não cadastrado",IF($C219="","Falta quantidade","OK")))))</f>
        <v>0</v>
      </c>
    </row>
    <row r="220" spans="1:8">
      <c r="A220" s="13"/>
      <c r="B220" s="13"/>
      <c r="C220" s="19"/>
      <c r="D220" s="13"/>
      <c r="E220" s="23">
        <f>IF($B220="","",IFERROR(INDEX(InsUnid,MATCH($B220,InsNome,0)),""))</f>
        <v>0</v>
      </c>
      <c r="F220" s="21">
        <f>IF($B220="","",IFERROR(INDEX(InsUtil,MATCH($B220,InsNome,0)),""))</f>
        <v>0</v>
      </c>
      <c r="G220" s="24">
        <f>IF(OR($A220="",$C220="",$F220=""),"",$C220*$F220)</f>
        <v>0</v>
      </c>
      <c r="H220" s="23">
        <f>IF($A220="","",IF($B220="","Escolha o insumo",IF($F220="","Insumo sem custo",IF(COUNTIF(PratoNome,$A220)=0,"Prato não cadastrado",IF($C220="","Falta quantidade","OK")))))</f>
        <v>0</v>
      </c>
    </row>
    <row r="221" spans="1:8">
      <c r="A221" s="13"/>
      <c r="B221" s="13"/>
      <c r="C221" s="19"/>
      <c r="D221" s="13"/>
      <c r="E221" s="23">
        <f>IF($B221="","",IFERROR(INDEX(InsUnid,MATCH($B221,InsNome,0)),""))</f>
        <v>0</v>
      </c>
      <c r="F221" s="21">
        <f>IF($B221="","",IFERROR(INDEX(InsUtil,MATCH($B221,InsNome,0)),""))</f>
        <v>0</v>
      </c>
      <c r="G221" s="24">
        <f>IF(OR($A221="",$C221="",$F221=""),"",$C221*$F221)</f>
        <v>0</v>
      </c>
      <c r="H221" s="23">
        <f>IF($A221="","",IF($B221="","Escolha o insumo",IF($F221="","Insumo sem custo",IF(COUNTIF(PratoNome,$A221)=0,"Prato não cadastrado",IF($C221="","Falta quantidade","OK")))))</f>
        <v>0</v>
      </c>
    </row>
    <row r="222" spans="1:8">
      <c r="A222" s="13"/>
      <c r="B222" s="13"/>
      <c r="C222" s="19"/>
      <c r="D222" s="13"/>
      <c r="E222" s="23">
        <f>IF($B222="","",IFERROR(INDEX(InsUnid,MATCH($B222,InsNome,0)),""))</f>
        <v>0</v>
      </c>
      <c r="F222" s="21">
        <f>IF($B222="","",IFERROR(INDEX(InsUtil,MATCH($B222,InsNome,0)),""))</f>
        <v>0</v>
      </c>
      <c r="G222" s="24">
        <f>IF(OR($A222="",$C222="",$F222=""),"",$C222*$F222)</f>
        <v>0</v>
      </c>
      <c r="H222" s="23">
        <f>IF($A222="","",IF($B222="","Escolha o insumo",IF($F222="","Insumo sem custo",IF(COUNTIF(PratoNome,$A222)=0,"Prato não cadastrado",IF($C222="","Falta quantidade","OK")))))</f>
        <v>0</v>
      </c>
    </row>
    <row r="223" spans="1:8">
      <c r="A223" s="13"/>
      <c r="B223" s="13"/>
      <c r="C223" s="19"/>
      <c r="D223" s="13"/>
      <c r="E223" s="23">
        <f>IF($B223="","",IFERROR(INDEX(InsUnid,MATCH($B223,InsNome,0)),""))</f>
        <v>0</v>
      </c>
      <c r="F223" s="21">
        <f>IF($B223="","",IFERROR(INDEX(InsUtil,MATCH($B223,InsNome,0)),""))</f>
        <v>0</v>
      </c>
      <c r="G223" s="24">
        <f>IF(OR($A223="",$C223="",$F223=""),"",$C223*$F223)</f>
        <v>0</v>
      </c>
      <c r="H223" s="23">
        <f>IF($A223="","",IF($B223="","Escolha o insumo",IF($F223="","Insumo sem custo",IF(COUNTIF(PratoNome,$A223)=0,"Prato não cadastrado",IF($C223="","Falta quantidade","OK")))))</f>
        <v>0</v>
      </c>
    </row>
    <row r="224" spans="1:8">
      <c r="A224" s="13"/>
      <c r="B224" s="13"/>
      <c r="C224" s="19"/>
      <c r="D224" s="13"/>
      <c r="E224" s="23">
        <f>IF($B224="","",IFERROR(INDEX(InsUnid,MATCH($B224,InsNome,0)),""))</f>
        <v>0</v>
      </c>
      <c r="F224" s="21">
        <f>IF($B224="","",IFERROR(INDEX(InsUtil,MATCH($B224,InsNome,0)),""))</f>
        <v>0</v>
      </c>
      <c r="G224" s="24">
        <f>IF(OR($A224="",$C224="",$F224=""),"",$C224*$F224)</f>
        <v>0</v>
      </c>
      <c r="H224" s="23">
        <f>IF($A224="","",IF($B224="","Escolha o insumo",IF($F224="","Insumo sem custo",IF(COUNTIF(PratoNome,$A224)=0,"Prato não cadastrado",IF($C224="","Falta quantidade","OK")))))</f>
        <v>0</v>
      </c>
    </row>
    <row r="225" spans="1:8">
      <c r="A225" s="13"/>
      <c r="B225" s="13"/>
      <c r="C225" s="19"/>
      <c r="D225" s="13"/>
      <c r="E225" s="23">
        <f>IF($B225="","",IFERROR(INDEX(InsUnid,MATCH($B225,InsNome,0)),""))</f>
        <v>0</v>
      </c>
      <c r="F225" s="21">
        <f>IF($B225="","",IFERROR(INDEX(InsUtil,MATCH($B225,InsNome,0)),""))</f>
        <v>0</v>
      </c>
      <c r="G225" s="24">
        <f>IF(OR($A225="",$C225="",$F225=""),"",$C225*$F225)</f>
        <v>0</v>
      </c>
      <c r="H225" s="23">
        <f>IF($A225="","",IF($B225="","Escolha o insumo",IF($F225="","Insumo sem custo",IF(COUNTIF(PratoNome,$A225)=0,"Prato não cadastrado",IF($C225="","Falta quantidade","OK")))))</f>
        <v>0</v>
      </c>
    </row>
    <row r="226" spans="1:8">
      <c r="A226" s="13"/>
      <c r="B226" s="13"/>
      <c r="C226" s="19"/>
      <c r="D226" s="13"/>
      <c r="E226" s="23">
        <f>IF($B226="","",IFERROR(INDEX(InsUnid,MATCH($B226,InsNome,0)),""))</f>
        <v>0</v>
      </c>
      <c r="F226" s="21">
        <f>IF($B226="","",IFERROR(INDEX(InsUtil,MATCH($B226,InsNome,0)),""))</f>
        <v>0</v>
      </c>
      <c r="G226" s="24">
        <f>IF(OR($A226="",$C226="",$F226=""),"",$C226*$F226)</f>
        <v>0</v>
      </c>
      <c r="H226" s="23">
        <f>IF($A226="","",IF($B226="","Escolha o insumo",IF($F226="","Insumo sem custo",IF(COUNTIF(PratoNome,$A226)=0,"Prato não cadastrado",IF($C226="","Falta quantidade","OK")))))</f>
        <v>0</v>
      </c>
    </row>
    <row r="227" spans="1:8">
      <c r="A227" s="13"/>
      <c r="B227" s="13"/>
      <c r="C227" s="19"/>
      <c r="D227" s="13"/>
      <c r="E227" s="23">
        <f>IF($B227="","",IFERROR(INDEX(InsUnid,MATCH($B227,InsNome,0)),""))</f>
        <v>0</v>
      </c>
      <c r="F227" s="21">
        <f>IF($B227="","",IFERROR(INDEX(InsUtil,MATCH($B227,InsNome,0)),""))</f>
        <v>0</v>
      </c>
      <c r="G227" s="24">
        <f>IF(OR($A227="",$C227="",$F227=""),"",$C227*$F227)</f>
        <v>0</v>
      </c>
      <c r="H227" s="23">
        <f>IF($A227="","",IF($B227="","Escolha o insumo",IF($F227="","Insumo sem custo",IF(COUNTIF(PratoNome,$A227)=0,"Prato não cadastrado",IF($C227="","Falta quantidade","OK")))))</f>
        <v>0</v>
      </c>
    </row>
    <row r="228" spans="1:8">
      <c r="A228" s="13"/>
      <c r="B228" s="13"/>
      <c r="C228" s="19"/>
      <c r="D228" s="13"/>
      <c r="E228" s="23">
        <f>IF($B228="","",IFERROR(INDEX(InsUnid,MATCH($B228,InsNome,0)),""))</f>
        <v>0</v>
      </c>
      <c r="F228" s="21">
        <f>IF($B228="","",IFERROR(INDEX(InsUtil,MATCH($B228,InsNome,0)),""))</f>
        <v>0</v>
      </c>
      <c r="G228" s="24">
        <f>IF(OR($A228="",$C228="",$F228=""),"",$C228*$F228)</f>
        <v>0</v>
      </c>
      <c r="H228" s="23">
        <f>IF($A228="","",IF($B228="","Escolha o insumo",IF($F228="","Insumo sem custo",IF(COUNTIF(PratoNome,$A228)=0,"Prato não cadastrado",IF($C228="","Falta quantidade","OK")))))</f>
        <v>0</v>
      </c>
    </row>
    <row r="229" spans="1:8">
      <c r="A229" s="13"/>
      <c r="B229" s="13"/>
      <c r="C229" s="19"/>
      <c r="D229" s="13"/>
      <c r="E229" s="23">
        <f>IF($B229="","",IFERROR(INDEX(InsUnid,MATCH($B229,InsNome,0)),""))</f>
        <v>0</v>
      </c>
      <c r="F229" s="21">
        <f>IF($B229="","",IFERROR(INDEX(InsUtil,MATCH($B229,InsNome,0)),""))</f>
        <v>0</v>
      </c>
      <c r="G229" s="24">
        <f>IF(OR($A229="",$C229="",$F229=""),"",$C229*$F229)</f>
        <v>0</v>
      </c>
      <c r="H229" s="23">
        <f>IF($A229="","",IF($B229="","Escolha o insumo",IF($F229="","Insumo sem custo",IF(COUNTIF(PratoNome,$A229)=0,"Prato não cadastrado",IF($C229="","Falta quantidade","OK")))))</f>
        <v>0</v>
      </c>
    </row>
    <row r="230" spans="1:8">
      <c r="A230" s="13"/>
      <c r="B230" s="13"/>
      <c r="C230" s="19"/>
      <c r="D230" s="13"/>
      <c r="E230" s="23">
        <f>IF($B230="","",IFERROR(INDEX(InsUnid,MATCH($B230,InsNome,0)),""))</f>
        <v>0</v>
      </c>
      <c r="F230" s="21">
        <f>IF($B230="","",IFERROR(INDEX(InsUtil,MATCH($B230,InsNome,0)),""))</f>
        <v>0</v>
      </c>
      <c r="G230" s="24">
        <f>IF(OR($A230="",$C230="",$F230=""),"",$C230*$F230)</f>
        <v>0</v>
      </c>
      <c r="H230" s="23">
        <f>IF($A230="","",IF($B230="","Escolha o insumo",IF($F230="","Insumo sem custo",IF(COUNTIF(PratoNome,$A230)=0,"Prato não cadastrado",IF($C230="","Falta quantidade","OK")))))</f>
        <v>0</v>
      </c>
    </row>
    <row r="231" spans="1:8">
      <c r="A231" s="13"/>
      <c r="B231" s="13"/>
      <c r="C231" s="19"/>
      <c r="D231" s="13"/>
      <c r="E231" s="23">
        <f>IF($B231="","",IFERROR(INDEX(InsUnid,MATCH($B231,InsNome,0)),""))</f>
        <v>0</v>
      </c>
      <c r="F231" s="21">
        <f>IF($B231="","",IFERROR(INDEX(InsUtil,MATCH($B231,InsNome,0)),""))</f>
        <v>0</v>
      </c>
      <c r="G231" s="24">
        <f>IF(OR($A231="",$C231="",$F231=""),"",$C231*$F231)</f>
        <v>0</v>
      </c>
      <c r="H231" s="23">
        <f>IF($A231="","",IF($B231="","Escolha o insumo",IF($F231="","Insumo sem custo",IF(COUNTIF(PratoNome,$A231)=0,"Prato não cadastrado",IF($C231="","Falta quantidade","OK")))))</f>
        <v>0</v>
      </c>
    </row>
    <row r="232" spans="1:8">
      <c r="A232" s="13"/>
      <c r="B232" s="13"/>
      <c r="C232" s="19"/>
      <c r="D232" s="13"/>
      <c r="E232" s="23">
        <f>IF($B232="","",IFERROR(INDEX(InsUnid,MATCH($B232,InsNome,0)),""))</f>
        <v>0</v>
      </c>
      <c r="F232" s="21">
        <f>IF($B232="","",IFERROR(INDEX(InsUtil,MATCH($B232,InsNome,0)),""))</f>
        <v>0</v>
      </c>
      <c r="G232" s="24">
        <f>IF(OR($A232="",$C232="",$F232=""),"",$C232*$F232)</f>
        <v>0</v>
      </c>
      <c r="H232" s="23">
        <f>IF($A232="","",IF($B232="","Escolha o insumo",IF($F232="","Insumo sem custo",IF(COUNTIF(PratoNome,$A232)=0,"Prato não cadastrado",IF($C232="","Falta quantidade","OK")))))</f>
        <v>0</v>
      </c>
    </row>
    <row r="233" spans="1:8">
      <c r="A233" s="13"/>
      <c r="B233" s="13"/>
      <c r="C233" s="19"/>
      <c r="D233" s="13"/>
      <c r="E233" s="23">
        <f>IF($B233="","",IFERROR(INDEX(InsUnid,MATCH($B233,InsNome,0)),""))</f>
        <v>0</v>
      </c>
      <c r="F233" s="21">
        <f>IF($B233="","",IFERROR(INDEX(InsUtil,MATCH($B233,InsNome,0)),""))</f>
        <v>0</v>
      </c>
      <c r="G233" s="24">
        <f>IF(OR($A233="",$C233="",$F233=""),"",$C233*$F233)</f>
        <v>0</v>
      </c>
      <c r="H233" s="23">
        <f>IF($A233="","",IF($B233="","Escolha o insumo",IF($F233="","Insumo sem custo",IF(COUNTIF(PratoNome,$A233)=0,"Prato não cadastrado",IF($C233="","Falta quantidade","OK")))))</f>
        <v>0</v>
      </c>
    </row>
    <row r="234" spans="1:8">
      <c r="A234" s="13"/>
      <c r="B234" s="13"/>
      <c r="C234" s="19"/>
      <c r="D234" s="13"/>
      <c r="E234" s="23">
        <f>IF($B234="","",IFERROR(INDEX(InsUnid,MATCH($B234,InsNome,0)),""))</f>
        <v>0</v>
      </c>
      <c r="F234" s="21">
        <f>IF($B234="","",IFERROR(INDEX(InsUtil,MATCH($B234,InsNome,0)),""))</f>
        <v>0</v>
      </c>
      <c r="G234" s="24">
        <f>IF(OR($A234="",$C234="",$F234=""),"",$C234*$F234)</f>
        <v>0</v>
      </c>
      <c r="H234" s="23">
        <f>IF($A234="","",IF($B234="","Escolha o insumo",IF($F234="","Insumo sem custo",IF(COUNTIF(PratoNome,$A234)=0,"Prato não cadastrado",IF($C234="","Falta quantidade","OK")))))</f>
        <v>0</v>
      </c>
    </row>
    <row r="235" spans="1:8">
      <c r="A235" s="13"/>
      <c r="B235" s="13"/>
      <c r="C235" s="19"/>
      <c r="D235" s="13"/>
      <c r="E235" s="23">
        <f>IF($B235="","",IFERROR(INDEX(InsUnid,MATCH($B235,InsNome,0)),""))</f>
        <v>0</v>
      </c>
      <c r="F235" s="21">
        <f>IF($B235="","",IFERROR(INDEX(InsUtil,MATCH($B235,InsNome,0)),""))</f>
        <v>0</v>
      </c>
      <c r="G235" s="24">
        <f>IF(OR($A235="",$C235="",$F235=""),"",$C235*$F235)</f>
        <v>0</v>
      </c>
      <c r="H235" s="23">
        <f>IF($A235="","",IF($B235="","Escolha o insumo",IF($F235="","Insumo sem custo",IF(COUNTIF(PratoNome,$A235)=0,"Prato não cadastrado",IF($C235="","Falta quantidade","OK")))))</f>
        <v>0</v>
      </c>
    </row>
    <row r="236" spans="1:8">
      <c r="A236" s="13"/>
      <c r="B236" s="13"/>
      <c r="C236" s="19"/>
      <c r="D236" s="13"/>
      <c r="E236" s="23">
        <f>IF($B236="","",IFERROR(INDEX(InsUnid,MATCH($B236,InsNome,0)),""))</f>
        <v>0</v>
      </c>
      <c r="F236" s="21">
        <f>IF($B236="","",IFERROR(INDEX(InsUtil,MATCH($B236,InsNome,0)),""))</f>
        <v>0</v>
      </c>
      <c r="G236" s="24">
        <f>IF(OR($A236="",$C236="",$F236=""),"",$C236*$F236)</f>
        <v>0</v>
      </c>
      <c r="H236" s="23">
        <f>IF($A236="","",IF($B236="","Escolha o insumo",IF($F236="","Insumo sem custo",IF(COUNTIF(PratoNome,$A236)=0,"Prato não cadastrado",IF($C236="","Falta quantidade","OK")))))</f>
        <v>0</v>
      </c>
    </row>
    <row r="237" spans="1:8">
      <c r="A237" s="13"/>
      <c r="B237" s="13"/>
      <c r="C237" s="19"/>
      <c r="D237" s="13"/>
      <c r="E237" s="23">
        <f>IF($B237="","",IFERROR(INDEX(InsUnid,MATCH($B237,InsNome,0)),""))</f>
        <v>0</v>
      </c>
      <c r="F237" s="21">
        <f>IF($B237="","",IFERROR(INDEX(InsUtil,MATCH($B237,InsNome,0)),""))</f>
        <v>0</v>
      </c>
      <c r="G237" s="24">
        <f>IF(OR($A237="",$C237="",$F237=""),"",$C237*$F237)</f>
        <v>0</v>
      </c>
      <c r="H237" s="23">
        <f>IF($A237="","",IF($B237="","Escolha o insumo",IF($F237="","Insumo sem custo",IF(COUNTIF(PratoNome,$A237)=0,"Prato não cadastrado",IF($C237="","Falta quantidade","OK")))))</f>
        <v>0</v>
      </c>
    </row>
    <row r="238" spans="1:8">
      <c r="A238" s="13"/>
      <c r="B238" s="13"/>
      <c r="C238" s="19"/>
      <c r="D238" s="13"/>
      <c r="E238" s="23">
        <f>IF($B238="","",IFERROR(INDEX(InsUnid,MATCH($B238,InsNome,0)),""))</f>
        <v>0</v>
      </c>
      <c r="F238" s="21">
        <f>IF($B238="","",IFERROR(INDEX(InsUtil,MATCH($B238,InsNome,0)),""))</f>
        <v>0</v>
      </c>
      <c r="G238" s="24">
        <f>IF(OR($A238="",$C238="",$F238=""),"",$C238*$F238)</f>
        <v>0</v>
      </c>
      <c r="H238" s="23">
        <f>IF($A238="","",IF($B238="","Escolha o insumo",IF($F238="","Insumo sem custo",IF(COUNTIF(PratoNome,$A238)=0,"Prato não cadastrado",IF($C238="","Falta quantidade","OK")))))</f>
        <v>0</v>
      </c>
    </row>
    <row r="239" spans="1:8">
      <c r="A239" s="13"/>
      <c r="B239" s="13"/>
      <c r="C239" s="19"/>
      <c r="D239" s="13"/>
      <c r="E239" s="23">
        <f>IF($B239="","",IFERROR(INDEX(InsUnid,MATCH($B239,InsNome,0)),""))</f>
        <v>0</v>
      </c>
      <c r="F239" s="21">
        <f>IF($B239="","",IFERROR(INDEX(InsUtil,MATCH($B239,InsNome,0)),""))</f>
        <v>0</v>
      </c>
      <c r="G239" s="24">
        <f>IF(OR($A239="",$C239="",$F239=""),"",$C239*$F239)</f>
        <v>0</v>
      </c>
      <c r="H239" s="23">
        <f>IF($A239="","",IF($B239="","Escolha o insumo",IF($F239="","Insumo sem custo",IF(COUNTIF(PratoNome,$A239)=0,"Prato não cadastrado",IF($C239="","Falta quantidade","OK")))))</f>
        <v>0</v>
      </c>
    </row>
    <row r="240" spans="1:8">
      <c r="A240" s="13"/>
      <c r="B240" s="13"/>
      <c r="C240" s="19"/>
      <c r="D240" s="13"/>
      <c r="E240" s="23">
        <f>IF($B240="","",IFERROR(INDEX(InsUnid,MATCH($B240,InsNome,0)),""))</f>
        <v>0</v>
      </c>
      <c r="F240" s="21">
        <f>IF($B240="","",IFERROR(INDEX(InsUtil,MATCH($B240,InsNome,0)),""))</f>
        <v>0</v>
      </c>
      <c r="G240" s="24">
        <f>IF(OR($A240="",$C240="",$F240=""),"",$C240*$F240)</f>
        <v>0</v>
      </c>
      <c r="H240" s="23">
        <f>IF($A240="","",IF($B240="","Escolha o insumo",IF($F240="","Insumo sem custo",IF(COUNTIF(PratoNome,$A240)=0,"Prato não cadastrado",IF($C240="","Falta quantidade","OK")))))</f>
        <v>0</v>
      </c>
    </row>
    <row r="241" spans="1:8">
      <c r="A241" s="13"/>
      <c r="B241" s="13"/>
      <c r="C241" s="19"/>
      <c r="D241" s="13"/>
      <c r="E241" s="23">
        <f>IF($B241="","",IFERROR(INDEX(InsUnid,MATCH($B241,InsNome,0)),""))</f>
        <v>0</v>
      </c>
      <c r="F241" s="21">
        <f>IF($B241="","",IFERROR(INDEX(InsUtil,MATCH($B241,InsNome,0)),""))</f>
        <v>0</v>
      </c>
      <c r="G241" s="24">
        <f>IF(OR($A241="",$C241="",$F241=""),"",$C241*$F241)</f>
        <v>0</v>
      </c>
      <c r="H241" s="23">
        <f>IF($A241="","",IF($B241="","Escolha o insumo",IF($F241="","Insumo sem custo",IF(COUNTIF(PratoNome,$A241)=0,"Prato não cadastrado",IF($C241="","Falta quantidade","OK")))))</f>
        <v>0</v>
      </c>
    </row>
    <row r="242" spans="1:8">
      <c r="A242" s="13"/>
      <c r="B242" s="13"/>
      <c r="C242" s="19"/>
      <c r="D242" s="13"/>
      <c r="E242" s="23">
        <f>IF($B242="","",IFERROR(INDEX(InsUnid,MATCH($B242,InsNome,0)),""))</f>
        <v>0</v>
      </c>
      <c r="F242" s="21">
        <f>IF($B242="","",IFERROR(INDEX(InsUtil,MATCH($B242,InsNome,0)),""))</f>
        <v>0</v>
      </c>
      <c r="G242" s="24">
        <f>IF(OR($A242="",$C242="",$F242=""),"",$C242*$F242)</f>
        <v>0</v>
      </c>
      <c r="H242" s="23">
        <f>IF($A242="","",IF($B242="","Escolha o insumo",IF($F242="","Insumo sem custo",IF(COUNTIF(PratoNome,$A242)=0,"Prato não cadastrado",IF($C242="","Falta quantidade","OK")))))</f>
        <v>0</v>
      </c>
    </row>
    <row r="243" spans="1:8">
      <c r="A243" s="13"/>
      <c r="B243" s="13"/>
      <c r="C243" s="19"/>
      <c r="D243" s="13"/>
      <c r="E243" s="23">
        <f>IF($B243="","",IFERROR(INDEX(InsUnid,MATCH($B243,InsNome,0)),""))</f>
        <v>0</v>
      </c>
      <c r="F243" s="21">
        <f>IF($B243="","",IFERROR(INDEX(InsUtil,MATCH($B243,InsNome,0)),""))</f>
        <v>0</v>
      </c>
      <c r="G243" s="24">
        <f>IF(OR($A243="",$C243="",$F243=""),"",$C243*$F243)</f>
        <v>0</v>
      </c>
      <c r="H243" s="23">
        <f>IF($A243="","",IF($B243="","Escolha o insumo",IF($F243="","Insumo sem custo",IF(COUNTIF(PratoNome,$A243)=0,"Prato não cadastrado",IF($C243="","Falta quantidade","OK")))))</f>
        <v>0</v>
      </c>
    </row>
    <row r="244" spans="1:8">
      <c r="A244" s="13"/>
      <c r="B244" s="13"/>
      <c r="C244" s="19"/>
      <c r="D244" s="13"/>
      <c r="E244" s="23">
        <f>IF($B244="","",IFERROR(INDEX(InsUnid,MATCH($B244,InsNome,0)),""))</f>
        <v>0</v>
      </c>
      <c r="F244" s="21">
        <f>IF($B244="","",IFERROR(INDEX(InsUtil,MATCH($B244,InsNome,0)),""))</f>
        <v>0</v>
      </c>
      <c r="G244" s="24">
        <f>IF(OR($A244="",$C244="",$F244=""),"",$C244*$F244)</f>
        <v>0</v>
      </c>
      <c r="H244" s="23">
        <f>IF($A244="","",IF($B244="","Escolha o insumo",IF($F244="","Insumo sem custo",IF(COUNTIF(PratoNome,$A244)=0,"Prato não cadastrado",IF($C244="","Falta quantidade","OK")))))</f>
        <v>0</v>
      </c>
    </row>
    <row r="245" spans="1:8">
      <c r="A245" s="13"/>
      <c r="B245" s="13"/>
      <c r="C245" s="19"/>
      <c r="D245" s="13"/>
      <c r="E245" s="23">
        <f>IF($B245="","",IFERROR(INDEX(InsUnid,MATCH($B245,InsNome,0)),""))</f>
        <v>0</v>
      </c>
      <c r="F245" s="21">
        <f>IF($B245="","",IFERROR(INDEX(InsUtil,MATCH($B245,InsNome,0)),""))</f>
        <v>0</v>
      </c>
      <c r="G245" s="24">
        <f>IF(OR($A245="",$C245="",$F245=""),"",$C245*$F245)</f>
        <v>0</v>
      </c>
      <c r="H245" s="23">
        <f>IF($A245="","",IF($B245="","Escolha o insumo",IF($F245="","Insumo sem custo",IF(COUNTIF(PratoNome,$A245)=0,"Prato não cadastrado",IF($C245="","Falta quantidade","OK")))))</f>
        <v>0</v>
      </c>
    </row>
    <row r="246" spans="1:8">
      <c r="A246" s="13"/>
      <c r="B246" s="13"/>
      <c r="C246" s="19"/>
      <c r="D246" s="13"/>
      <c r="E246" s="23">
        <f>IF($B246="","",IFERROR(INDEX(InsUnid,MATCH($B246,InsNome,0)),""))</f>
        <v>0</v>
      </c>
      <c r="F246" s="21">
        <f>IF($B246="","",IFERROR(INDEX(InsUtil,MATCH($B246,InsNome,0)),""))</f>
        <v>0</v>
      </c>
      <c r="G246" s="24">
        <f>IF(OR($A246="",$C246="",$F246=""),"",$C246*$F246)</f>
        <v>0</v>
      </c>
      <c r="H246" s="23">
        <f>IF($A246="","",IF($B246="","Escolha o insumo",IF($F246="","Insumo sem custo",IF(COUNTIF(PratoNome,$A246)=0,"Prato não cadastrado",IF($C246="","Falta quantidade","OK")))))</f>
        <v>0</v>
      </c>
    </row>
    <row r="247" spans="1:8">
      <c r="A247" s="13"/>
      <c r="B247" s="13"/>
      <c r="C247" s="19"/>
      <c r="D247" s="13"/>
      <c r="E247" s="23">
        <f>IF($B247="","",IFERROR(INDEX(InsUnid,MATCH($B247,InsNome,0)),""))</f>
        <v>0</v>
      </c>
      <c r="F247" s="21">
        <f>IF($B247="","",IFERROR(INDEX(InsUtil,MATCH($B247,InsNome,0)),""))</f>
        <v>0</v>
      </c>
      <c r="G247" s="24">
        <f>IF(OR($A247="",$C247="",$F247=""),"",$C247*$F247)</f>
        <v>0</v>
      </c>
      <c r="H247" s="23">
        <f>IF($A247="","",IF($B247="","Escolha o insumo",IF($F247="","Insumo sem custo",IF(COUNTIF(PratoNome,$A247)=0,"Prato não cadastrado",IF($C247="","Falta quantidade","OK")))))</f>
        <v>0</v>
      </c>
    </row>
    <row r="248" spans="1:8">
      <c r="A248" s="13"/>
      <c r="B248" s="13"/>
      <c r="C248" s="19"/>
      <c r="D248" s="13"/>
      <c r="E248" s="23">
        <f>IF($B248="","",IFERROR(INDEX(InsUnid,MATCH($B248,InsNome,0)),""))</f>
        <v>0</v>
      </c>
      <c r="F248" s="21">
        <f>IF($B248="","",IFERROR(INDEX(InsUtil,MATCH($B248,InsNome,0)),""))</f>
        <v>0</v>
      </c>
      <c r="G248" s="24">
        <f>IF(OR($A248="",$C248="",$F248=""),"",$C248*$F248)</f>
        <v>0</v>
      </c>
      <c r="H248" s="23">
        <f>IF($A248="","",IF($B248="","Escolha o insumo",IF($F248="","Insumo sem custo",IF(COUNTIF(PratoNome,$A248)=0,"Prato não cadastrado",IF($C248="","Falta quantidade","OK")))))</f>
        <v>0</v>
      </c>
    </row>
    <row r="249" spans="1:8">
      <c r="A249" s="13"/>
      <c r="B249" s="13"/>
      <c r="C249" s="19"/>
      <c r="D249" s="13"/>
      <c r="E249" s="23">
        <f>IF($B249="","",IFERROR(INDEX(InsUnid,MATCH($B249,InsNome,0)),""))</f>
        <v>0</v>
      </c>
      <c r="F249" s="21">
        <f>IF($B249="","",IFERROR(INDEX(InsUtil,MATCH($B249,InsNome,0)),""))</f>
        <v>0</v>
      </c>
      <c r="G249" s="24">
        <f>IF(OR($A249="",$C249="",$F249=""),"",$C249*$F249)</f>
        <v>0</v>
      </c>
      <c r="H249" s="23">
        <f>IF($A249="","",IF($B249="","Escolha o insumo",IF($F249="","Insumo sem custo",IF(COUNTIF(PratoNome,$A249)=0,"Prato não cadastrado",IF($C249="","Falta quantidade","OK")))))</f>
        <v>0</v>
      </c>
    </row>
    <row r="250" spans="1:8">
      <c r="A250" s="13"/>
      <c r="B250" s="13"/>
      <c r="C250" s="19"/>
      <c r="D250" s="13"/>
      <c r="E250" s="23">
        <f>IF($B250="","",IFERROR(INDEX(InsUnid,MATCH($B250,InsNome,0)),""))</f>
        <v>0</v>
      </c>
      <c r="F250" s="21">
        <f>IF($B250="","",IFERROR(INDEX(InsUtil,MATCH($B250,InsNome,0)),""))</f>
        <v>0</v>
      </c>
      <c r="G250" s="24">
        <f>IF(OR($A250="",$C250="",$F250=""),"",$C250*$F250)</f>
        <v>0</v>
      </c>
      <c r="H250" s="23">
        <f>IF($A250="","",IF($B250="","Escolha o insumo",IF($F250="","Insumo sem custo",IF(COUNTIF(PratoNome,$A250)=0,"Prato não cadastrado",IF($C250="","Falta quantidade","OK")))))</f>
        <v>0</v>
      </c>
    </row>
    <row r="251" spans="1:8">
      <c r="A251" s="13"/>
      <c r="B251" s="13"/>
      <c r="C251" s="19"/>
      <c r="D251" s="13"/>
      <c r="E251" s="23">
        <f>IF($B251="","",IFERROR(INDEX(InsUnid,MATCH($B251,InsNome,0)),""))</f>
        <v>0</v>
      </c>
      <c r="F251" s="21">
        <f>IF($B251="","",IFERROR(INDEX(InsUtil,MATCH($B251,InsNome,0)),""))</f>
        <v>0</v>
      </c>
      <c r="G251" s="24">
        <f>IF(OR($A251="",$C251="",$F251=""),"",$C251*$F251)</f>
        <v>0</v>
      </c>
      <c r="H251" s="23">
        <f>IF($A251="","",IF($B251="","Escolha o insumo",IF($F251="","Insumo sem custo",IF(COUNTIF(PratoNome,$A251)=0,"Prato não cadastrado",IF($C251="","Falta quantidade","OK")))))</f>
        <v>0</v>
      </c>
    </row>
    <row r="252" spans="1:8">
      <c r="A252" s="13"/>
      <c r="B252" s="13"/>
      <c r="C252" s="19"/>
      <c r="D252" s="13"/>
      <c r="E252" s="23">
        <f>IF($B252="","",IFERROR(INDEX(InsUnid,MATCH($B252,InsNome,0)),""))</f>
        <v>0</v>
      </c>
      <c r="F252" s="21">
        <f>IF($B252="","",IFERROR(INDEX(InsUtil,MATCH($B252,InsNome,0)),""))</f>
        <v>0</v>
      </c>
      <c r="G252" s="24">
        <f>IF(OR($A252="",$C252="",$F252=""),"",$C252*$F252)</f>
        <v>0</v>
      </c>
      <c r="H252" s="23">
        <f>IF($A252="","",IF($B252="","Escolha o insumo",IF($F252="","Insumo sem custo",IF(COUNTIF(PratoNome,$A252)=0,"Prato não cadastrado",IF($C252="","Falta quantidade","OK")))))</f>
        <v>0</v>
      </c>
    </row>
    <row r="253" spans="1:8">
      <c r="A253" s="13"/>
      <c r="B253" s="13"/>
      <c r="C253" s="19"/>
      <c r="D253" s="13"/>
      <c r="E253" s="23">
        <f>IF($B253="","",IFERROR(INDEX(InsUnid,MATCH($B253,InsNome,0)),""))</f>
        <v>0</v>
      </c>
      <c r="F253" s="21">
        <f>IF($B253="","",IFERROR(INDEX(InsUtil,MATCH($B253,InsNome,0)),""))</f>
        <v>0</v>
      </c>
      <c r="G253" s="24">
        <f>IF(OR($A253="",$C253="",$F253=""),"",$C253*$F253)</f>
        <v>0</v>
      </c>
      <c r="H253" s="23">
        <f>IF($A253="","",IF($B253="","Escolha o insumo",IF($F253="","Insumo sem custo",IF(COUNTIF(PratoNome,$A253)=0,"Prato não cadastrado",IF($C253="","Falta quantidade","OK")))))</f>
        <v>0</v>
      </c>
    </row>
    <row r="254" spans="1:8">
      <c r="A254" s="13"/>
      <c r="B254" s="13"/>
      <c r="C254" s="19"/>
      <c r="D254" s="13"/>
      <c r="E254" s="23">
        <f>IF($B254="","",IFERROR(INDEX(InsUnid,MATCH($B254,InsNome,0)),""))</f>
        <v>0</v>
      </c>
      <c r="F254" s="21">
        <f>IF($B254="","",IFERROR(INDEX(InsUtil,MATCH($B254,InsNome,0)),""))</f>
        <v>0</v>
      </c>
      <c r="G254" s="24">
        <f>IF(OR($A254="",$C254="",$F254=""),"",$C254*$F254)</f>
        <v>0</v>
      </c>
      <c r="H254" s="23">
        <f>IF($A254="","",IF($B254="","Escolha o insumo",IF($F254="","Insumo sem custo",IF(COUNTIF(PratoNome,$A254)=0,"Prato não cadastrado",IF($C254="","Falta quantidade","OK")))))</f>
        <v>0</v>
      </c>
    </row>
    <row r="255" spans="1:8">
      <c r="A255" s="13"/>
      <c r="B255" s="13"/>
      <c r="C255" s="19"/>
      <c r="D255" s="13"/>
      <c r="E255" s="23">
        <f>IF($B255="","",IFERROR(INDEX(InsUnid,MATCH($B255,InsNome,0)),""))</f>
        <v>0</v>
      </c>
      <c r="F255" s="21">
        <f>IF($B255="","",IFERROR(INDEX(InsUtil,MATCH($B255,InsNome,0)),""))</f>
        <v>0</v>
      </c>
      <c r="G255" s="24">
        <f>IF(OR($A255="",$C255="",$F255=""),"",$C255*$F255)</f>
        <v>0</v>
      </c>
      <c r="H255" s="23">
        <f>IF($A255="","",IF($B255="","Escolha o insumo",IF($F255="","Insumo sem custo",IF(COUNTIF(PratoNome,$A255)=0,"Prato não cadastrado",IF($C255="","Falta quantidade","OK")))))</f>
        <v>0</v>
      </c>
    </row>
    <row r="256" spans="1:8">
      <c r="A256" s="13"/>
      <c r="B256" s="13"/>
      <c r="C256" s="19"/>
      <c r="D256" s="13"/>
      <c r="E256" s="23">
        <f>IF($B256="","",IFERROR(INDEX(InsUnid,MATCH($B256,InsNome,0)),""))</f>
        <v>0</v>
      </c>
      <c r="F256" s="21">
        <f>IF($B256="","",IFERROR(INDEX(InsUtil,MATCH($B256,InsNome,0)),""))</f>
        <v>0</v>
      </c>
      <c r="G256" s="24">
        <f>IF(OR($A256="",$C256="",$F256=""),"",$C256*$F256)</f>
        <v>0</v>
      </c>
      <c r="H256" s="23">
        <f>IF($A256="","",IF($B256="","Escolha o insumo",IF($F256="","Insumo sem custo",IF(COUNTIF(PratoNome,$A256)=0,"Prato não cadastrado",IF($C256="","Falta quantidade","OK")))))</f>
        <v>0</v>
      </c>
    </row>
    <row r="257" spans="1:8">
      <c r="A257" s="13"/>
      <c r="B257" s="13"/>
      <c r="C257" s="19"/>
      <c r="D257" s="13"/>
      <c r="E257" s="23">
        <f>IF($B257="","",IFERROR(INDEX(InsUnid,MATCH($B257,InsNome,0)),""))</f>
        <v>0</v>
      </c>
      <c r="F257" s="21">
        <f>IF($B257="","",IFERROR(INDEX(InsUtil,MATCH($B257,InsNome,0)),""))</f>
        <v>0</v>
      </c>
      <c r="G257" s="24">
        <f>IF(OR($A257="",$C257="",$F257=""),"",$C257*$F257)</f>
        <v>0</v>
      </c>
      <c r="H257" s="23">
        <f>IF($A257="","",IF($B257="","Escolha o insumo",IF($F257="","Insumo sem custo",IF(COUNTIF(PratoNome,$A257)=0,"Prato não cadastrado",IF($C257="","Falta quantidade","OK")))))</f>
        <v>0</v>
      </c>
    </row>
    <row r="258" spans="1:8">
      <c r="A258" s="13"/>
      <c r="B258" s="13"/>
      <c r="C258" s="19"/>
      <c r="D258" s="13"/>
      <c r="E258" s="23">
        <f>IF($B258="","",IFERROR(INDEX(InsUnid,MATCH($B258,InsNome,0)),""))</f>
        <v>0</v>
      </c>
      <c r="F258" s="21">
        <f>IF($B258="","",IFERROR(INDEX(InsUtil,MATCH($B258,InsNome,0)),""))</f>
        <v>0</v>
      </c>
      <c r="G258" s="24">
        <f>IF(OR($A258="",$C258="",$F258=""),"",$C258*$F258)</f>
        <v>0</v>
      </c>
      <c r="H258" s="23">
        <f>IF($A258="","",IF($B258="","Escolha o insumo",IF($F258="","Insumo sem custo",IF(COUNTIF(PratoNome,$A258)=0,"Prato não cadastrado",IF($C258="","Falta quantidade","OK")))))</f>
        <v>0</v>
      </c>
    </row>
    <row r="259" spans="1:8">
      <c r="A259" s="13"/>
      <c r="B259" s="13"/>
      <c r="C259" s="19"/>
      <c r="D259" s="13"/>
      <c r="E259" s="23">
        <f>IF($B259="","",IFERROR(INDEX(InsUnid,MATCH($B259,InsNome,0)),""))</f>
        <v>0</v>
      </c>
      <c r="F259" s="21">
        <f>IF($B259="","",IFERROR(INDEX(InsUtil,MATCH($B259,InsNome,0)),""))</f>
        <v>0</v>
      </c>
      <c r="G259" s="24">
        <f>IF(OR($A259="",$C259="",$F259=""),"",$C259*$F259)</f>
        <v>0</v>
      </c>
      <c r="H259" s="23">
        <f>IF($A259="","",IF($B259="","Escolha o insumo",IF($F259="","Insumo sem custo",IF(COUNTIF(PratoNome,$A259)=0,"Prato não cadastrado",IF($C259="","Falta quantidade","OK")))))</f>
        <v>0</v>
      </c>
    </row>
    <row r="260" spans="1:8">
      <c r="A260" s="13"/>
      <c r="B260" s="13"/>
      <c r="C260" s="19"/>
      <c r="D260" s="13"/>
      <c r="E260" s="23">
        <f>IF($B260="","",IFERROR(INDEX(InsUnid,MATCH($B260,InsNome,0)),""))</f>
        <v>0</v>
      </c>
      <c r="F260" s="21">
        <f>IF($B260="","",IFERROR(INDEX(InsUtil,MATCH($B260,InsNome,0)),""))</f>
        <v>0</v>
      </c>
      <c r="G260" s="24">
        <f>IF(OR($A260="",$C260="",$F260=""),"",$C260*$F260)</f>
        <v>0</v>
      </c>
      <c r="H260" s="23">
        <f>IF($A260="","",IF($B260="","Escolha o insumo",IF($F260="","Insumo sem custo",IF(COUNTIF(PratoNome,$A260)=0,"Prato não cadastrado",IF($C260="","Falta quantidade","OK")))))</f>
        <v>0</v>
      </c>
    </row>
    <row r="261" spans="1:8">
      <c r="A261" s="13"/>
      <c r="B261" s="13"/>
      <c r="C261" s="19"/>
      <c r="D261" s="13"/>
      <c r="E261" s="23">
        <f>IF($B261="","",IFERROR(INDEX(InsUnid,MATCH($B261,InsNome,0)),""))</f>
        <v>0</v>
      </c>
      <c r="F261" s="21">
        <f>IF($B261="","",IFERROR(INDEX(InsUtil,MATCH($B261,InsNome,0)),""))</f>
        <v>0</v>
      </c>
      <c r="G261" s="24">
        <f>IF(OR($A261="",$C261="",$F261=""),"",$C261*$F261)</f>
        <v>0</v>
      </c>
      <c r="H261" s="23">
        <f>IF($A261="","",IF($B261="","Escolha o insumo",IF($F261="","Insumo sem custo",IF(COUNTIF(PratoNome,$A261)=0,"Prato não cadastrado",IF($C261="","Falta quantidade","OK")))))</f>
        <v>0</v>
      </c>
    </row>
    <row r="262" spans="1:8">
      <c r="A262" s="13"/>
      <c r="B262" s="13"/>
      <c r="C262" s="19"/>
      <c r="D262" s="13"/>
      <c r="E262" s="23">
        <f>IF($B262="","",IFERROR(INDEX(InsUnid,MATCH($B262,InsNome,0)),""))</f>
        <v>0</v>
      </c>
      <c r="F262" s="21">
        <f>IF($B262="","",IFERROR(INDEX(InsUtil,MATCH($B262,InsNome,0)),""))</f>
        <v>0</v>
      </c>
      <c r="G262" s="24">
        <f>IF(OR($A262="",$C262="",$F262=""),"",$C262*$F262)</f>
        <v>0</v>
      </c>
      <c r="H262" s="23">
        <f>IF($A262="","",IF($B262="","Escolha o insumo",IF($F262="","Insumo sem custo",IF(COUNTIF(PratoNome,$A262)=0,"Prato não cadastrado",IF($C262="","Falta quantidade","OK")))))</f>
        <v>0</v>
      </c>
    </row>
    <row r="263" spans="1:8">
      <c r="A263" s="13"/>
      <c r="B263" s="13"/>
      <c r="C263" s="19"/>
      <c r="D263" s="13"/>
      <c r="E263" s="23">
        <f>IF($B263="","",IFERROR(INDEX(InsUnid,MATCH($B263,InsNome,0)),""))</f>
        <v>0</v>
      </c>
      <c r="F263" s="21">
        <f>IF($B263="","",IFERROR(INDEX(InsUtil,MATCH($B263,InsNome,0)),""))</f>
        <v>0</v>
      </c>
      <c r="G263" s="24">
        <f>IF(OR($A263="",$C263="",$F263=""),"",$C263*$F263)</f>
        <v>0</v>
      </c>
      <c r="H263" s="23">
        <f>IF($A263="","",IF($B263="","Escolha o insumo",IF($F263="","Insumo sem custo",IF(COUNTIF(PratoNome,$A263)=0,"Prato não cadastrado",IF($C263="","Falta quantidade","OK")))))</f>
        <v>0</v>
      </c>
    </row>
    <row r="264" spans="1:8">
      <c r="A264" s="13"/>
      <c r="B264" s="13"/>
      <c r="C264" s="19"/>
      <c r="D264" s="13"/>
      <c r="E264" s="23">
        <f>IF($B264="","",IFERROR(INDEX(InsUnid,MATCH($B264,InsNome,0)),""))</f>
        <v>0</v>
      </c>
      <c r="F264" s="21">
        <f>IF($B264="","",IFERROR(INDEX(InsUtil,MATCH($B264,InsNome,0)),""))</f>
        <v>0</v>
      </c>
      <c r="G264" s="24">
        <f>IF(OR($A264="",$C264="",$F264=""),"",$C264*$F264)</f>
        <v>0</v>
      </c>
      <c r="H264" s="23">
        <f>IF($A264="","",IF($B264="","Escolha o insumo",IF($F264="","Insumo sem custo",IF(COUNTIF(PratoNome,$A264)=0,"Prato não cadastrado",IF($C264="","Falta quantidade","OK")))))</f>
        <v>0</v>
      </c>
    </row>
    <row r="265" spans="1:8">
      <c r="A265" s="13"/>
      <c r="B265" s="13"/>
      <c r="C265" s="19"/>
      <c r="D265" s="13"/>
      <c r="E265" s="23">
        <f>IF($B265="","",IFERROR(INDEX(InsUnid,MATCH($B265,InsNome,0)),""))</f>
        <v>0</v>
      </c>
      <c r="F265" s="21">
        <f>IF($B265="","",IFERROR(INDEX(InsUtil,MATCH($B265,InsNome,0)),""))</f>
        <v>0</v>
      </c>
      <c r="G265" s="24">
        <f>IF(OR($A265="",$C265="",$F265=""),"",$C265*$F265)</f>
        <v>0</v>
      </c>
      <c r="H265" s="23">
        <f>IF($A265="","",IF($B265="","Escolha o insumo",IF($F265="","Insumo sem custo",IF(COUNTIF(PratoNome,$A265)=0,"Prato não cadastrado",IF($C265="","Falta quantidade","OK")))))</f>
        <v>0</v>
      </c>
    </row>
    <row r="266" spans="1:8">
      <c r="A266" s="13"/>
      <c r="B266" s="13"/>
      <c r="C266" s="19"/>
      <c r="D266" s="13"/>
      <c r="E266" s="23">
        <f>IF($B266="","",IFERROR(INDEX(InsUnid,MATCH($B266,InsNome,0)),""))</f>
        <v>0</v>
      </c>
      <c r="F266" s="21">
        <f>IF($B266="","",IFERROR(INDEX(InsUtil,MATCH($B266,InsNome,0)),""))</f>
        <v>0</v>
      </c>
      <c r="G266" s="24">
        <f>IF(OR($A266="",$C266="",$F266=""),"",$C266*$F266)</f>
        <v>0</v>
      </c>
      <c r="H266" s="23">
        <f>IF($A266="","",IF($B266="","Escolha o insumo",IF($F266="","Insumo sem custo",IF(COUNTIF(PratoNome,$A266)=0,"Prato não cadastrado",IF($C266="","Falta quantidade","OK")))))</f>
        <v>0</v>
      </c>
    </row>
    <row r="267" spans="1:8">
      <c r="A267" s="13"/>
      <c r="B267" s="13"/>
      <c r="C267" s="19"/>
      <c r="D267" s="13"/>
      <c r="E267" s="23">
        <f>IF($B267="","",IFERROR(INDEX(InsUnid,MATCH($B267,InsNome,0)),""))</f>
        <v>0</v>
      </c>
      <c r="F267" s="21">
        <f>IF($B267="","",IFERROR(INDEX(InsUtil,MATCH($B267,InsNome,0)),""))</f>
        <v>0</v>
      </c>
      <c r="G267" s="24">
        <f>IF(OR($A267="",$C267="",$F267=""),"",$C267*$F267)</f>
        <v>0</v>
      </c>
      <c r="H267" s="23">
        <f>IF($A267="","",IF($B267="","Escolha o insumo",IF($F267="","Insumo sem custo",IF(COUNTIF(PratoNome,$A267)=0,"Prato não cadastrado",IF($C267="","Falta quantidade","OK")))))</f>
        <v>0</v>
      </c>
    </row>
    <row r="268" spans="1:8">
      <c r="A268" s="13"/>
      <c r="B268" s="13"/>
      <c r="C268" s="19"/>
      <c r="D268" s="13"/>
      <c r="E268" s="23">
        <f>IF($B268="","",IFERROR(INDEX(InsUnid,MATCH($B268,InsNome,0)),""))</f>
        <v>0</v>
      </c>
      <c r="F268" s="21">
        <f>IF($B268="","",IFERROR(INDEX(InsUtil,MATCH($B268,InsNome,0)),""))</f>
        <v>0</v>
      </c>
      <c r="G268" s="24">
        <f>IF(OR($A268="",$C268="",$F268=""),"",$C268*$F268)</f>
        <v>0</v>
      </c>
      <c r="H268" s="23">
        <f>IF($A268="","",IF($B268="","Escolha o insumo",IF($F268="","Insumo sem custo",IF(COUNTIF(PratoNome,$A268)=0,"Prato não cadastrado",IF($C268="","Falta quantidade","OK")))))</f>
        <v>0</v>
      </c>
    </row>
    <row r="269" spans="1:8">
      <c r="A269" s="13"/>
      <c r="B269" s="13"/>
      <c r="C269" s="19"/>
      <c r="D269" s="13"/>
      <c r="E269" s="23">
        <f>IF($B269="","",IFERROR(INDEX(InsUnid,MATCH($B269,InsNome,0)),""))</f>
        <v>0</v>
      </c>
      <c r="F269" s="21">
        <f>IF($B269="","",IFERROR(INDEX(InsUtil,MATCH($B269,InsNome,0)),""))</f>
        <v>0</v>
      </c>
      <c r="G269" s="24">
        <f>IF(OR($A269="",$C269="",$F269=""),"",$C269*$F269)</f>
        <v>0</v>
      </c>
      <c r="H269" s="23">
        <f>IF($A269="","",IF($B269="","Escolha o insumo",IF($F269="","Insumo sem custo",IF(COUNTIF(PratoNome,$A269)=0,"Prato não cadastrado",IF($C269="","Falta quantidade","OK")))))</f>
        <v>0</v>
      </c>
    </row>
    <row r="270" spans="1:8">
      <c r="A270" s="13"/>
      <c r="B270" s="13"/>
      <c r="C270" s="19"/>
      <c r="D270" s="13"/>
      <c r="E270" s="23">
        <f>IF($B270="","",IFERROR(INDEX(InsUnid,MATCH($B270,InsNome,0)),""))</f>
        <v>0</v>
      </c>
      <c r="F270" s="21">
        <f>IF($B270="","",IFERROR(INDEX(InsUtil,MATCH($B270,InsNome,0)),""))</f>
        <v>0</v>
      </c>
      <c r="G270" s="24">
        <f>IF(OR($A270="",$C270="",$F270=""),"",$C270*$F270)</f>
        <v>0</v>
      </c>
      <c r="H270" s="23">
        <f>IF($A270="","",IF($B270="","Escolha o insumo",IF($F270="","Insumo sem custo",IF(COUNTIF(PratoNome,$A270)=0,"Prato não cadastrado",IF($C270="","Falta quantidade","OK")))))</f>
        <v>0</v>
      </c>
    </row>
    <row r="271" spans="1:8">
      <c r="A271" s="13"/>
      <c r="B271" s="13"/>
      <c r="C271" s="19"/>
      <c r="D271" s="13"/>
      <c r="E271" s="23">
        <f>IF($B271="","",IFERROR(INDEX(InsUnid,MATCH($B271,InsNome,0)),""))</f>
        <v>0</v>
      </c>
      <c r="F271" s="21">
        <f>IF($B271="","",IFERROR(INDEX(InsUtil,MATCH($B271,InsNome,0)),""))</f>
        <v>0</v>
      </c>
      <c r="G271" s="24">
        <f>IF(OR($A271="",$C271="",$F271=""),"",$C271*$F271)</f>
        <v>0</v>
      </c>
      <c r="H271" s="23">
        <f>IF($A271="","",IF($B271="","Escolha o insumo",IF($F271="","Insumo sem custo",IF(COUNTIF(PratoNome,$A271)=0,"Prato não cadastrado",IF($C271="","Falta quantidade","OK")))))</f>
        <v>0</v>
      </c>
    </row>
    <row r="272" spans="1:8">
      <c r="A272" s="13"/>
      <c r="B272" s="13"/>
      <c r="C272" s="19"/>
      <c r="D272" s="13"/>
      <c r="E272" s="23">
        <f>IF($B272="","",IFERROR(INDEX(InsUnid,MATCH($B272,InsNome,0)),""))</f>
        <v>0</v>
      </c>
      <c r="F272" s="21">
        <f>IF($B272="","",IFERROR(INDEX(InsUtil,MATCH($B272,InsNome,0)),""))</f>
        <v>0</v>
      </c>
      <c r="G272" s="24">
        <f>IF(OR($A272="",$C272="",$F272=""),"",$C272*$F272)</f>
        <v>0</v>
      </c>
      <c r="H272" s="23">
        <f>IF($A272="","",IF($B272="","Escolha o insumo",IF($F272="","Insumo sem custo",IF(COUNTIF(PratoNome,$A272)=0,"Prato não cadastrado",IF($C272="","Falta quantidade","OK")))))</f>
        <v>0</v>
      </c>
    </row>
    <row r="273" spans="1:8">
      <c r="A273" s="13"/>
      <c r="B273" s="13"/>
      <c r="C273" s="19"/>
      <c r="D273" s="13"/>
      <c r="E273" s="23">
        <f>IF($B273="","",IFERROR(INDEX(InsUnid,MATCH($B273,InsNome,0)),""))</f>
        <v>0</v>
      </c>
      <c r="F273" s="21">
        <f>IF($B273="","",IFERROR(INDEX(InsUtil,MATCH($B273,InsNome,0)),""))</f>
        <v>0</v>
      </c>
      <c r="G273" s="24">
        <f>IF(OR($A273="",$C273="",$F273=""),"",$C273*$F273)</f>
        <v>0</v>
      </c>
      <c r="H273" s="23">
        <f>IF($A273="","",IF($B273="","Escolha o insumo",IF($F273="","Insumo sem custo",IF(COUNTIF(PratoNome,$A273)=0,"Prato não cadastrado",IF($C273="","Falta quantidade","OK")))))</f>
        <v>0</v>
      </c>
    </row>
    <row r="274" spans="1:8">
      <c r="A274" s="13"/>
      <c r="B274" s="13"/>
      <c r="C274" s="19"/>
      <c r="D274" s="13"/>
      <c r="E274" s="23">
        <f>IF($B274="","",IFERROR(INDEX(InsUnid,MATCH($B274,InsNome,0)),""))</f>
        <v>0</v>
      </c>
      <c r="F274" s="21">
        <f>IF($B274="","",IFERROR(INDEX(InsUtil,MATCH($B274,InsNome,0)),""))</f>
        <v>0</v>
      </c>
      <c r="G274" s="24">
        <f>IF(OR($A274="",$C274="",$F274=""),"",$C274*$F274)</f>
        <v>0</v>
      </c>
      <c r="H274" s="23">
        <f>IF($A274="","",IF($B274="","Escolha o insumo",IF($F274="","Insumo sem custo",IF(COUNTIF(PratoNome,$A274)=0,"Prato não cadastrado",IF($C274="","Falta quantidade","OK")))))</f>
        <v>0</v>
      </c>
    </row>
    <row r="275" spans="1:8">
      <c r="A275" s="13"/>
      <c r="B275" s="13"/>
      <c r="C275" s="19"/>
      <c r="D275" s="13"/>
      <c r="E275" s="23">
        <f>IF($B275="","",IFERROR(INDEX(InsUnid,MATCH($B275,InsNome,0)),""))</f>
        <v>0</v>
      </c>
      <c r="F275" s="21">
        <f>IF($B275="","",IFERROR(INDEX(InsUtil,MATCH($B275,InsNome,0)),""))</f>
        <v>0</v>
      </c>
      <c r="G275" s="24">
        <f>IF(OR($A275="",$C275="",$F275=""),"",$C275*$F275)</f>
        <v>0</v>
      </c>
      <c r="H275" s="23">
        <f>IF($A275="","",IF($B275="","Escolha o insumo",IF($F275="","Insumo sem custo",IF(COUNTIF(PratoNome,$A275)=0,"Prato não cadastrado",IF($C275="","Falta quantidade","OK")))))</f>
        <v>0</v>
      </c>
    </row>
    <row r="276" spans="1:8">
      <c r="A276" s="13"/>
      <c r="B276" s="13"/>
      <c r="C276" s="19"/>
      <c r="D276" s="13"/>
      <c r="E276" s="23">
        <f>IF($B276="","",IFERROR(INDEX(InsUnid,MATCH($B276,InsNome,0)),""))</f>
        <v>0</v>
      </c>
      <c r="F276" s="21">
        <f>IF($B276="","",IFERROR(INDEX(InsUtil,MATCH($B276,InsNome,0)),""))</f>
        <v>0</v>
      </c>
      <c r="G276" s="24">
        <f>IF(OR($A276="",$C276="",$F276=""),"",$C276*$F276)</f>
        <v>0</v>
      </c>
      <c r="H276" s="23">
        <f>IF($A276="","",IF($B276="","Escolha o insumo",IF($F276="","Insumo sem custo",IF(COUNTIF(PratoNome,$A276)=0,"Prato não cadastrado",IF($C276="","Falta quantidade","OK")))))</f>
        <v>0</v>
      </c>
    </row>
    <row r="277" spans="1:8">
      <c r="A277" s="13"/>
      <c r="B277" s="13"/>
      <c r="C277" s="19"/>
      <c r="D277" s="13"/>
      <c r="E277" s="23">
        <f>IF($B277="","",IFERROR(INDEX(InsUnid,MATCH($B277,InsNome,0)),""))</f>
        <v>0</v>
      </c>
      <c r="F277" s="21">
        <f>IF($B277="","",IFERROR(INDEX(InsUtil,MATCH($B277,InsNome,0)),""))</f>
        <v>0</v>
      </c>
      <c r="G277" s="24">
        <f>IF(OR($A277="",$C277="",$F277=""),"",$C277*$F277)</f>
        <v>0</v>
      </c>
      <c r="H277" s="23">
        <f>IF($A277="","",IF($B277="","Escolha o insumo",IF($F277="","Insumo sem custo",IF(COUNTIF(PratoNome,$A277)=0,"Prato não cadastrado",IF($C277="","Falta quantidade","OK")))))</f>
        <v>0</v>
      </c>
    </row>
    <row r="278" spans="1:8">
      <c r="A278" s="13"/>
      <c r="B278" s="13"/>
      <c r="C278" s="19"/>
      <c r="D278" s="13"/>
      <c r="E278" s="23">
        <f>IF($B278="","",IFERROR(INDEX(InsUnid,MATCH($B278,InsNome,0)),""))</f>
        <v>0</v>
      </c>
      <c r="F278" s="21">
        <f>IF($B278="","",IFERROR(INDEX(InsUtil,MATCH($B278,InsNome,0)),""))</f>
        <v>0</v>
      </c>
      <c r="G278" s="24">
        <f>IF(OR($A278="",$C278="",$F278=""),"",$C278*$F278)</f>
        <v>0</v>
      </c>
      <c r="H278" s="23">
        <f>IF($A278="","",IF($B278="","Escolha o insumo",IF($F278="","Insumo sem custo",IF(COUNTIF(PratoNome,$A278)=0,"Prato não cadastrado",IF($C278="","Falta quantidade","OK")))))</f>
        <v>0</v>
      </c>
    </row>
    <row r="279" spans="1:8">
      <c r="A279" s="13"/>
      <c r="B279" s="13"/>
      <c r="C279" s="19"/>
      <c r="D279" s="13"/>
      <c r="E279" s="23">
        <f>IF($B279="","",IFERROR(INDEX(InsUnid,MATCH($B279,InsNome,0)),""))</f>
        <v>0</v>
      </c>
      <c r="F279" s="21">
        <f>IF($B279="","",IFERROR(INDEX(InsUtil,MATCH($B279,InsNome,0)),""))</f>
        <v>0</v>
      </c>
      <c r="G279" s="24">
        <f>IF(OR($A279="",$C279="",$F279=""),"",$C279*$F279)</f>
        <v>0</v>
      </c>
      <c r="H279" s="23">
        <f>IF($A279="","",IF($B279="","Escolha o insumo",IF($F279="","Insumo sem custo",IF(COUNTIF(PratoNome,$A279)=0,"Prato não cadastrado",IF($C279="","Falta quantidade","OK")))))</f>
        <v>0</v>
      </c>
    </row>
    <row r="280" spans="1:8">
      <c r="A280" s="13"/>
      <c r="B280" s="13"/>
      <c r="C280" s="19"/>
      <c r="D280" s="13"/>
      <c r="E280" s="23">
        <f>IF($B280="","",IFERROR(INDEX(InsUnid,MATCH($B280,InsNome,0)),""))</f>
        <v>0</v>
      </c>
      <c r="F280" s="21">
        <f>IF($B280="","",IFERROR(INDEX(InsUtil,MATCH($B280,InsNome,0)),""))</f>
        <v>0</v>
      </c>
      <c r="G280" s="24">
        <f>IF(OR($A280="",$C280="",$F280=""),"",$C280*$F280)</f>
        <v>0</v>
      </c>
      <c r="H280" s="23">
        <f>IF($A280="","",IF($B280="","Escolha o insumo",IF($F280="","Insumo sem custo",IF(COUNTIF(PratoNome,$A280)=0,"Prato não cadastrado",IF($C280="","Falta quantidade","OK")))))</f>
        <v>0</v>
      </c>
    </row>
    <row r="281" spans="1:8">
      <c r="A281" s="13"/>
      <c r="B281" s="13"/>
      <c r="C281" s="19"/>
      <c r="D281" s="13"/>
      <c r="E281" s="23">
        <f>IF($B281="","",IFERROR(INDEX(InsUnid,MATCH($B281,InsNome,0)),""))</f>
        <v>0</v>
      </c>
      <c r="F281" s="21">
        <f>IF($B281="","",IFERROR(INDEX(InsUtil,MATCH($B281,InsNome,0)),""))</f>
        <v>0</v>
      </c>
      <c r="G281" s="24">
        <f>IF(OR($A281="",$C281="",$F281=""),"",$C281*$F281)</f>
        <v>0</v>
      </c>
      <c r="H281" s="23">
        <f>IF($A281="","",IF($B281="","Escolha o insumo",IF($F281="","Insumo sem custo",IF(COUNTIF(PratoNome,$A281)=0,"Prato não cadastrado",IF($C281="","Falta quantidade","OK")))))</f>
        <v>0</v>
      </c>
    </row>
    <row r="282" spans="1:8">
      <c r="A282" s="13"/>
      <c r="B282" s="13"/>
      <c r="C282" s="19"/>
      <c r="D282" s="13"/>
      <c r="E282" s="23">
        <f>IF($B282="","",IFERROR(INDEX(InsUnid,MATCH($B282,InsNome,0)),""))</f>
        <v>0</v>
      </c>
      <c r="F282" s="21">
        <f>IF($B282="","",IFERROR(INDEX(InsUtil,MATCH($B282,InsNome,0)),""))</f>
        <v>0</v>
      </c>
      <c r="G282" s="24">
        <f>IF(OR($A282="",$C282="",$F282=""),"",$C282*$F282)</f>
        <v>0</v>
      </c>
      <c r="H282" s="23">
        <f>IF($A282="","",IF($B282="","Escolha o insumo",IF($F282="","Insumo sem custo",IF(COUNTIF(PratoNome,$A282)=0,"Prato não cadastrado",IF($C282="","Falta quantidade","OK")))))</f>
        <v>0</v>
      </c>
    </row>
    <row r="283" spans="1:8">
      <c r="A283" s="13"/>
      <c r="B283" s="13"/>
      <c r="C283" s="19"/>
      <c r="D283" s="13"/>
      <c r="E283" s="23">
        <f>IF($B283="","",IFERROR(INDEX(InsUnid,MATCH($B283,InsNome,0)),""))</f>
        <v>0</v>
      </c>
      <c r="F283" s="21">
        <f>IF($B283="","",IFERROR(INDEX(InsUtil,MATCH($B283,InsNome,0)),""))</f>
        <v>0</v>
      </c>
      <c r="G283" s="24">
        <f>IF(OR($A283="",$C283="",$F283=""),"",$C283*$F283)</f>
        <v>0</v>
      </c>
      <c r="H283" s="23">
        <f>IF($A283="","",IF($B283="","Escolha o insumo",IF($F283="","Insumo sem custo",IF(COUNTIF(PratoNome,$A283)=0,"Prato não cadastrado",IF($C283="","Falta quantidade","OK")))))</f>
        <v>0</v>
      </c>
    </row>
    <row r="284" spans="1:8">
      <c r="A284" s="13"/>
      <c r="B284" s="13"/>
      <c r="C284" s="19"/>
      <c r="D284" s="13"/>
      <c r="E284" s="23">
        <f>IF($B284="","",IFERROR(INDEX(InsUnid,MATCH($B284,InsNome,0)),""))</f>
        <v>0</v>
      </c>
      <c r="F284" s="21">
        <f>IF($B284="","",IFERROR(INDEX(InsUtil,MATCH($B284,InsNome,0)),""))</f>
        <v>0</v>
      </c>
      <c r="G284" s="24">
        <f>IF(OR($A284="",$C284="",$F284=""),"",$C284*$F284)</f>
        <v>0</v>
      </c>
      <c r="H284" s="23">
        <f>IF($A284="","",IF($B284="","Escolha o insumo",IF($F284="","Insumo sem custo",IF(COUNTIF(PratoNome,$A284)=0,"Prato não cadastrado",IF($C284="","Falta quantidade","OK")))))</f>
        <v>0</v>
      </c>
    </row>
    <row r="285" spans="1:8">
      <c r="A285" s="13"/>
      <c r="B285" s="13"/>
      <c r="C285" s="19"/>
      <c r="D285" s="13"/>
      <c r="E285" s="23">
        <f>IF($B285="","",IFERROR(INDEX(InsUnid,MATCH($B285,InsNome,0)),""))</f>
        <v>0</v>
      </c>
      <c r="F285" s="21">
        <f>IF($B285="","",IFERROR(INDEX(InsUtil,MATCH($B285,InsNome,0)),""))</f>
        <v>0</v>
      </c>
      <c r="G285" s="24">
        <f>IF(OR($A285="",$C285="",$F285=""),"",$C285*$F285)</f>
        <v>0</v>
      </c>
      <c r="H285" s="23">
        <f>IF($A285="","",IF($B285="","Escolha o insumo",IF($F285="","Insumo sem custo",IF(COUNTIF(PratoNome,$A285)=0,"Prato não cadastrado",IF($C285="","Falta quantidade","OK")))))</f>
        <v>0</v>
      </c>
    </row>
    <row r="286" spans="1:8">
      <c r="A286" s="13"/>
      <c r="B286" s="13"/>
      <c r="C286" s="19"/>
      <c r="D286" s="13"/>
      <c r="E286" s="23">
        <f>IF($B286="","",IFERROR(INDEX(InsUnid,MATCH($B286,InsNome,0)),""))</f>
        <v>0</v>
      </c>
      <c r="F286" s="21">
        <f>IF($B286="","",IFERROR(INDEX(InsUtil,MATCH($B286,InsNome,0)),""))</f>
        <v>0</v>
      </c>
      <c r="G286" s="24">
        <f>IF(OR($A286="",$C286="",$F286=""),"",$C286*$F286)</f>
        <v>0</v>
      </c>
      <c r="H286" s="23">
        <f>IF($A286="","",IF($B286="","Escolha o insumo",IF($F286="","Insumo sem custo",IF(COUNTIF(PratoNome,$A286)=0,"Prato não cadastrado",IF($C286="","Falta quantidade","OK")))))</f>
        <v>0</v>
      </c>
    </row>
    <row r="287" spans="1:8">
      <c r="A287" s="13"/>
      <c r="B287" s="13"/>
      <c r="C287" s="19"/>
      <c r="D287" s="13"/>
      <c r="E287" s="23">
        <f>IF($B287="","",IFERROR(INDEX(InsUnid,MATCH($B287,InsNome,0)),""))</f>
        <v>0</v>
      </c>
      <c r="F287" s="21">
        <f>IF($B287="","",IFERROR(INDEX(InsUtil,MATCH($B287,InsNome,0)),""))</f>
        <v>0</v>
      </c>
      <c r="G287" s="24">
        <f>IF(OR($A287="",$C287="",$F287=""),"",$C287*$F287)</f>
        <v>0</v>
      </c>
      <c r="H287" s="23">
        <f>IF($A287="","",IF($B287="","Escolha o insumo",IF($F287="","Insumo sem custo",IF(COUNTIF(PratoNome,$A287)=0,"Prato não cadastrado",IF($C287="","Falta quantidade","OK")))))</f>
        <v>0</v>
      </c>
    </row>
    <row r="288" spans="1:8">
      <c r="A288" s="13"/>
      <c r="B288" s="13"/>
      <c r="C288" s="19"/>
      <c r="D288" s="13"/>
      <c r="E288" s="23">
        <f>IF($B288="","",IFERROR(INDEX(InsUnid,MATCH($B288,InsNome,0)),""))</f>
        <v>0</v>
      </c>
      <c r="F288" s="21">
        <f>IF($B288="","",IFERROR(INDEX(InsUtil,MATCH($B288,InsNome,0)),""))</f>
        <v>0</v>
      </c>
      <c r="G288" s="24">
        <f>IF(OR($A288="",$C288="",$F288=""),"",$C288*$F288)</f>
        <v>0</v>
      </c>
      <c r="H288" s="23">
        <f>IF($A288="","",IF($B288="","Escolha o insumo",IF($F288="","Insumo sem custo",IF(COUNTIF(PratoNome,$A288)=0,"Prato não cadastrado",IF($C288="","Falta quantidade","OK")))))</f>
        <v>0</v>
      </c>
    </row>
    <row r="289" spans="1:8">
      <c r="A289" s="13"/>
      <c r="B289" s="13"/>
      <c r="C289" s="19"/>
      <c r="D289" s="13"/>
      <c r="E289" s="23">
        <f>IF($B289="","",IFERROR(INDEX(InsUnid,MATCH($B289,InsNome,0)),""))</f>
        <v>0</v>
      </c>
      <c r="F289" s="21">
        <f>IF($B289="","",IFERROR(INDEX(InsUtil,MATCH($B289,InsNome,0)),""))</f>
        <v>0</v>
      </c>
      <c r="G289" s="24">
        <f>IF(OR($A289="",$C289="",$F289=""),"",$C289*$F289)</f>
        <v>0</v>
      </c>
      <c r="H289" s="23">
        <f>IF($A289="","",IF($B289="","Escolha o insumo",IF($F289="","Insumo sem custo",IF(COUNTIF(PratoNome,$A289)=0,"Prato não cadastrado",IF($C289="","Falta quantidade","OK")))))</f>
        <v>0</v>
      </c>
    </row>
    <row r="290" spans="1:8">
      <c r="A290" s="13"/>
      <c r="B290" s="13"/>
      <c r="C290" s="19"/>
      <c r="D290" s="13"/>
      <c r="E290" s="23">
        <f>IF($B290="","",IFERROR(INDEX(InsUnid,MATCH($B290,InsNome,0)),""))</f>
        <v>0</v>
      </c>
      <c r="F290" s="21">
        <f>IF($B290="","",IFERROR(INDEX(InsUtil,MATCH($B290,InsNome,0)),""))</f>
        <v>0</v>
      </c>
      <c r="G290" s="24">
        <f>IF(OR($A290="",$C290="",$F290=""),"",$C290*$F290)</f>
        <v>0</v>
      </c>
      <c r="H290" s="23">
        <f>IF($A290="","",IF($B290="","Escolha o insumo",IF($F290="","Insumo sem custo",IF(COUNTIF(PratoNome,$A290)=0,"Prato não cadastrado",IF($C290="","Falta quantidade","OK")))))</f>
        <v>0</v>
      </c>
    </row>
    <row r="291" spans="1:8">
      <c r="A291" s="13"/>
      <c r="B291" s="13"/>
      <c r="C291" s="19"/>
      <c r="D291" s="13"/>
      <c r="E291" s="23">
        <f>IF($B291="","",IFERROR(INDEX(InsUnid,MATCH($B291,InsNome,0)),""))</f>
        <v>0</v>
      </c>
      <c r="F291" s="21">
        <f>IF($B291="","",IFERROR(INDEX(InsUtil,MATCH($B291,InsNome,0)),""))</f>
        <v>0</v>
      </c>
      <c r="G291" s="24">
        <f>IF(OR($A291="",$C291="",$F291=""),"",$C291*$F291)</f>
        <v>0</v>
      </c>
      <c r="H291" s="23">
        <f>IF($A291="","",IF($B291="","Escolha o insumo",IF($F291="","Insumo sem custo",IF(COUNTIF(PratoNome,$A291)=0,"Prato não cadastrado",IF($C291="","Falta quantidade","OK")))))</f>
        <v>0</v>
      </c>
    </row>
    <row r="292" spans="1:8">
      <c r="A292" s="13"/>
      <c r="B292" s="13"/>
      <c r="C292" s="19"/>
      <c r="D292" s="13"/>
      <c r="E292" s="23">
        <f>IF($B292="","",IFERROR(INDEX(InsUnid,MATCH($B292,InsNome,0)),""))</f>
        <v>0</v>
      </c>
      <c r="F292" s="21">
        <f>IF($B292="","",IFERROR(INDEX(InsUtil,MATCH($B292,InsNome,0)),""))</f>
        <v>0</v>
      </c>
      <c r="G292" s="24">
        <f>IF(OR($A292="",$C292="",$F292=""),"",$C292*$F292)</f>
        <v>0</v>
      </c>
      <c r="H292" s="23">
        <f>IF($A292="","",IF($B292="","Escolha o insumo",IF($F292="","Insumo sem custo",IF(COUNTIF(PratoNome,$A292)=0,"Prato não cadastrado",IF($C292="","Falta quantidade","OK")))))</f>
        <v>0</v>
      </c>
    </row>
    <row r="293" spans="1:8">
      <c r="A293" s="13"/>
      <c r="B293" s="13"/>
      <c r="C293" s="19"/>
      <c r="D293" s="13"/>
      <c r="E293" s="23">
        <f>IF($B293="","",IFERROR(INDEX(InsUnid,MATCH($B293,InsNome,0)),""))</f>
        <v>0</v>
      </c>
      <c r="F293" s="21">
        <f>IF($B293="","",IFERROR(INDEX(InsUtil,MATCH($B293,InsNome,0)),""))</f>
        <v>0</v>
      </c>
      <c r="G293" s="24">
        <f>IF(OR($A293="",$C293="",$F293=""),"",$C293*$F293)</f>
        <v>0</v>
      </c>
      <c r="H293" s="23">
        <f>IF($A293="","",IF($B293="","Escolha o insumo",IF($F293="","Insumo sem custo",IF(COUNTIF(PratoNome,$A293)=0,"Prato não cadastrado",IF($C293="","Falta quantidade","OK")))))</f>
        <v>0</v>
      </c>
    </row>
    <row r="294" spans="1:8">
      <c r="A294" s="13"/>
      <c r="B294" s="13"/>
      <c r="C294" s="19"/>
      <c r="D294" s="13"/>
      <c r="E294" s="23">
        <f>IF($B294="","",IFERROR(INDEX(InsUnid,MATCH($B294,InsNome,0)),""))</f>
        <v>0</v>
      </c>
      <c r="F294" s="21">
        <f>IF($B294="","",IFERROR(INDEX(InsUtil,MATCH($B294,InsNome,0)),""))</f>
        <v>0</v>
      </c>
      <c r="G294" s="24">
        <f>IF(OR($A294="",$C294="",$F294=""),"",$C294*$F294)</f>
        <v>0</v>
      </c>
      <c r="H294" s="23">
        <f>IF($A294="","",IF($B294="","Escolha o insumo",IF($F294="","Insumo sem custo",IF(COUNTIF(PratoNome,$A294)=0,"Prato não cadastrado",IF($C294="","Falta quantidade","OK")))))</f>
        <v>0</v>
      </c>
    </row>
    <row r="295" spans="1:8">
      <c r="A295" s="13"/>
      <c r="B295" s="13"/>
      <c r="C295" s="19"/>
      <c r="D295" s="13"/>
      <c r="E295" s="23">
        <f>IF($B295="","",IFERROR(INDEX(InsUnid,MATCH($B295,InsNome,0)),""))</f>
        <v>0</v>
      </c>
      <c r="F295" s="21">
        <f>IF($B295="","",IFERROR(INDEX(InsUtil,MATCH($B295,InsNome,0)),""))</f>
        <v>0</v>
      </c>
      <c r="G295" s="24">
        <f>IF(OR($A295="",$C295="",$F295=""),"",$C295*$F295)</f>
        <v>0</v>
      </c>
      <c r="H295" s="23">
        <f>IF($A295="","",IF($B295="","Escolha o insumo",IF($F295="","Insumo sem custo",IF(COUNTIF(PratoNome,$A295)=0,"Prato não cadastrado",IF($C295="","Falta quantidade","OK")))))</f>
        <v>0</v>
      </c>
    </row>
    <row r="296" spans="1:8">
      <c r="A296" s="13"/>
      <c r="B296" s="13"/>
      <c r="C296" s="19"/>
      <c r="D296" s="13"/>
      <c r="E296" s="23">
        <f>IF($B296="","",IFERROR(INDEX(InsUnid,MATCH($B296,InsNome,0)),""))</f>
        <v>0</v>
      </c>
      <c r="F296" s="21">
        <f>IF($B296="","",IFERROR(INDEX(InsUtil,MATCH($B296,InsNome,0)),""))</f>
        <v>0</v>
      </c>
      <c r="G296" s="24">
        <f>IF(OR($A296="",$C296="",$F296=""),"",$C296*$F296)</f>
        <v>0</v>
      </c>
      <c r="H296" s="23">
        <f>IF($A296="","",IF($B296="","Escolha o insumo",IF($F296="","Insumo sem custo",IF(COUNTIF(PratoNome,$A296)=0,"Prato não cadastrado",IF($C296="","Falta quantidade","OK")))))</f>
        <v>0</v>
      </c>
    </row>
    <row r="297" spans="1:8">
      <c r="A297" s="13"/>
      <c r="B297" s="13"/>
      <c r="C297" s="19"/>
      <c r="D297" s="13"/>
      <c r="E297" s="23">
        <f>IF($B297="","",IFERROR(INDEX(InsUnid,MATCH($B297,InsNome,0)),""))</f>
        <v>0</v>
      </c>
      <c r="F297" s="21">
        <f>IF($B297="","",IFERROR(INDEX(InsUtil,MATCH($B297,InsNome,0)),""))</f>
        <v>0</v>
      </c>
      <c r="G297" s="24">
        <f>IF(OR($A297="",$C297="",$F297=""),"",$C297*$F297)</f>
        <v>0</v>
      </c>
      <c r="H297" s="23">
        <f>IF($A297="","",IF($B297="","Escolha o insumo",IF($F297="","Insumo sem custo",IF(COUNTIF(PratoNome,$A297)=0,"Prato não cadastrado",IF($C297="","Falta quantidade","OK")))))</f>
        <v>0</v>
      </c>
    </row>
    <row r="298" spans="1:8">
      <c r="A298" s="13"/>
      <c r="B298" s="13"/>
      <c r="C298" s="19"/>
      <c r="D298" s="13"/>
      <c r="E298" s="23">
        <f>IF($B298="","",IFERROR(INDEX(InsUnid,MATCH($B298,InsNome,0)),""))</f>
        <v>0</v>
      </c>
      <c r="F298" s="21">
        <f>IF($B298="","",IFERROR(INDEX(InsUtil,MATCH($B298,InsNome,0)),""))</f>
        <v>0</v>
      </c>
      <c r="G298" s="24">
        <f>IF(OR($A298="",$C298="",$F298=""),"",$C298*$F298)</f>
        <v>0</v>
      </c>
      <c r="H298" s="23">
        <f>IF($A298="","",IF($B298="","Escolha o insumo",IF($F298="","Insumo sem custo",IF(COUNTIF(PratoNome,$A298)=0,"Prato não cadastrado",IF($C298="","Falta quantidade","OK")))))</f>
        <v>0</v>
      </c>
    </row>
    <row r="299" spans="1:8">
      <c r="A299" s="13"/>
      <c r="B299" s="13"/>
      <c r="C299" s="19"/>
      <c r="D299" s="13"/>
      <c r="E299" s="23">
        <f>IF($B299="","",IFERROR(INDEX(InsUnid,MATCH($B299,InsNome,0)),""))</f>
        <v>0</v>
      </c>
      <c r="F299" s="21">
        <f>IF($B299="","",IFERROR(INDEX(InsUtil,MATCH($B299,InsNome,0)),""))</f>
        <v>0</v>
      </c>
      <c r="G299" s="24">
        <f>IF(OR($A299="",$C299="",$F299=""),"",$C299*$F299)</f>
        <v>0</v>
      </c>
      <c r="H299" s="23">
        <f>IF($A299="","",IF($B299="","Escolha o insumo",IF($F299="","Insumo sem custo",IF(COUNTIF(PratoNome,$A299)=0,"Prato não cadastrado",IF($C299="","Falta quantidade","OK")))))</f>
        <v>0</v>
      </c>
    </row>
    <row r="300" spans="1:8">
      <c r="A300" s="13"/>
      <c r="B300" s="13"/>
      <c r="C300" s="19"/>
      <c r="D300" s="13"/>
      <c r="E300" s="23">
        <f>IF($B300="","",IFERROR(INDEX(InsUnid,MATCH($B300,InsNome,0)),""))</f>
        <v>0</v>
      </c>
      <c r="F300" s="21">
        <f>IF($B300="","",IFERROR(INDEX(InsUtil,MATCH($B300,InsNome,0)),""))</f>
        <v>0</v>
      </c>
      <c r="G300" s="24">
        <f>IF(OR($A300="",$C300="",$F300=""),"",$C300*$F300)</f>
        <v>0</v>
      </c>
      <c r="H300" s="23">
        <f>IF($A300="","",IF($B300="","Escolha o insumo",IF($F300="","Insumo sem custo",IF(COUNTIF(PratoNome,$A300)=0,"Prato não cadastrado",IF($C300="","Falta quantidade","OK")))))</f>
        <v>0</v>
      </c>
    </row>
    <row r="301" spans="1:8">
      <c r="A301" s="13"/>
      <c r="B301" s="13"/>
      <c r="C301" s="19"/>
      <c r="D301" s="13"/>
      <c r="E301" s="23">
        <f>IF($B301="","",IFERROR(INDEX(InsUnid,MATCH($B301,InsNome,0)),""))</f>
        <v>0</v>
      </c>
      <c r="F301" s="21">
        <f>IF($B301="","",IFERROR(INDEX(InsUtil,MATCH($B301,InsNome,0)),""))</f>
        <v>0</v>
      </c>
      <c r="G301" s="24">
        <f>IF(OR($A301="",$C301="",$F301=""),"",$C301*$F301)</f>
        <v>0</v>
      </c>
      <c r="H301" s="23">
        <f>IF($A301="","",IF($B301="","Escolha o insumo",IF($F301="","Insumo sem custo",IF(COUNTIF(PratoNome,$A301)=0,"Prato não cadastrado",IF($C301="","Falta quantidade","OK")))))</f>
        <v>0</v>
      </c>
    </row>
    <row r="302" spans="1:8">
      <c r="A302" s="13"/>
      <c r="B302" s="13"/>
      <c r="C302" s="19"/>
      <c r="D302" s="13"/>
      <c r="E302" s="23">
        <f>IF($B302="","",IFERROR(INDEX(InsUnid,MATCH($B302,InsNome,0)),""))</f>
        <v>0</v>
      </c>
      <c r="F302" s="21">
        <f>IF($B302="","",IFERROR(INDEX(InsUtil,MATCH($B302,InsNome,0)),""))</f>
        <v>0</v>
      </c>
      <c r="G302" s="24">
        <f>IF(OR($A302="",$C302="",$F302=""),"",$C302*$F302)</f>
        <v>0</v>
      </c>
      <c r="H302" s="23">
        <f>IF($A302="","",IF($B302="","Escolha o insumo",IF($F302="","Insumo sem custo",IF(COUNTIF(PratoNome,$A302)=0,"Prato não cadastrado",IF($C302="","Falta quantidade","OK")))))</f>
        <v>0</v>
      </c>
    </row>
    <row r="303" spans="1:8">
      <c r="A303" s="13"/>
      <c r="B303" s="13"/>
      <c r="C303" s="19"/>
      <c r="D303" s="13"/>
      <c r="E303" s="23">
        <f>IF($B303="","",IFERROR(INDEX(InsUnid,MATCH($B303,InsNome,0)),""))</f>
        <v>0</v>
      </c>
      <c r="F303" s="21">
        <f>IF($B303="","",IFERROR(INDEX(InsUtil,MATCH($B303,InsNome,0)),""))</f>
        <v>0</v>
      </c>
      <c r="G303" s="24">
        <f>IF(OR($A303="",$C303="",$F303=""),"",$C303*$F303)</f>
        <v>0</v>
      </c>
      <c r="H303" s="23">
        <f>IF($A303="","",IF($B303="","Escolha o insumo",IF($F303="","Insumo sem custo",IF(COUNTIF(PratoNome,$A303)=0,"Prato não cadastrado",IF($C303="","Falta quantidade","OK")))))</f>
        <v>0</v>
      </c>
    </row>
    <row r="304" spans="1:8">
      <c r="A304" s="13"/>
      <c r="B304" s="13"/>
      <c r="C304" s="19"/>
      <c r="D304" s="13"/>
      <c r="E304" s="23">
        <f>IF($B304="","",IFERROR(INDEX(InsUnid,MATCH($B304,InsNome,0)),""))</f>
        <v>0</v>
      </c>
      <c r="F304" s="21">
        <f>IF($B304="","",IFERROR(INDEX(InsUtil,MATCH($B304,InsNome,0)),""))</f>
        <v>0</v>
      </c>
      <c r="G304" s="24">
        <f>IF(OR($A304="",$C304="",$F304=""),"",$C304*$F304)</f>
        <v>0</v>
      </c>
      <c r="H304" s="23">
        <f>IF($A304="","",IF($B304="","Escolha o insumo",IF($F304="","Insumo sem custo",IF(COUNTIF(PratoNome,$A304)=0,"Prato não cadastrado",IF($C304="","Falta quantidade","OK")))))</f>
        <v>0</v>
      </c>
    </row>
    <row r="305" spans="1:8">
      <c r="A305" s="13"/>
      <c r="B305" s="13"/>
      <c r="C305" s="19"/>
      <c r="D305" s="13"/>
      <c r="E305" s="23">
        <f>IF($B305="","",IFERROR(INDEX(InsUnid,MATCH($B305,InsNome,0)),""))</f>
        <v>0</v>
      </c>
      <c r="F305" s="21">
        <f>IF($B305="","",IFERROR(INDEX(InsUtil,MATCH($B305,InsNome,0)),""))</f>
        <v>0</v>
      </c>
      <c r="G305" s="24">
        <f>IF(OR($A305="",$C305="",$F305=""),"",$C305*$F305)</f>
        <v>0</v>
      </c>
      <c r="H305" s="23">
        <f>IF($A305="","",IF($B305="","Escolha o insumo",IF($F305="","Insumo sem custo",IF(COUNTIF(PratoNome,$A305)=0,"Prato não cadastrado",IF($C305="","Falta quantidade","OK")))))</f>
        <v>0</v>
      </c>
    </row>
    <row r="306" spans="1:8">
      <c r="A306" s="13"/>
      <c r="B306" s="13"/>
      <c r="C306" s="19"/>
      <c r="D306" s="13"/>
      <c r="E306" s="23">
        <f>IF($B306="","",IFERROR(INDEX(InsUnid,MATCH($B306,InsNome,0)),""))</f>
        <v>0</v>
      </c>
      <c r="F306" s="21">
        <f>IF($B306="","",IFERROR(INDEX(InsUtil,MATCH($B306,InsNome,0)),""))</f>
        <v>0</v>
      </c>
      <c r="G306" s="24">
        <f>IF(OR($A306="",$C306="",$F306=""),"",$C306*$F306)</f>
        <v>0</v>
      </c>
      <c r="H306" s="23">
        <f>IF($A306="","",IF($B306="","Escolha o insumo",IF($F306="","Insumo sem custo",IF(COUNTIF(PratoNome,$A306)=0,"Prato não cadastrado",IF($C306="","Falta quantidade","OK")))))</f>
        <v>0</v>
      </c>
    </row>
    <row r="307" spans="1:8">
      <c r="A307" s="13"/>
      <c r="B307" s="13"/>
      <c r="C307" s="19"/>
      <c r="D307" s="13"/>
      <c r="E307" s="23">
        <f>IF($B307="","",IFERROR(INDEX(InsUnid,MATCH($B307,InsNome,0)),""))</f>
        <v>0</v>
      </c>
      <c r="F307" s="21">
        <f>IF($B307="","",IFERROR(INDEX(InsUtil,MATCH($B307,InsNome,0)),""))</f>
        <v>0</v>
      </c>
      <c r="G307" s="24">
        <f>IF(OR($A307="",$C307="",$F307=""),"",$C307*$F307)</f>
        <v>0</v>
      </c>
      <c r="H307" s="23">
        <f>IF($A307="","",IF($B307="","Escolha o insumo",IF($F307="","Insumo sem custo",IF(COUNTIF(PratoNome,$A307)=0,"Prato não cadastrado",IF($C307="","Falta quantidade","OK")))))</f>
        <v>0</v>
      </c>
    </row>
    <row r="308" spans="1:8">
      <c r="A308" s="13"/>
      <c r="B308" s="13"/>
      <c r="C308" s="19"/>
      <c r="D308" s="13"/>
      <c r="E308" s="23">
        <f>IF($B308="","",IFERROR(INDEX(InsUnid,MATCH($B308,InsNome,0)),""))</f>
        <v>0</v>
      </c>
      <c r="F308" s="21">
        <f>IF($B308="","",IFERROR(INDEX(InsUtil,MATCH($B308,InsNome,0)),""))</f>
        <v>0</v>
      </c>
      <c r="G308" s="24">
        <f>IF(OR($A308="",$C308="",$F308=""),"",$C308*$F308)</f>
        <v>0</v>
      </c>
      <c r="H308" s="23">
        <f>IF($A308="","",IF($B308="","Escolha o insumo",IF($F308="","Insumo sem custo",IF(COUNTIF(PratoNome,$A308)=0,"Prato não cadastrado",IF($C308="","Falta quantidade","OK")))))</f>
        <v>0</v>
      </c>
    </row>
    <row r="309" spans="1:8">
      <c r="A309" s="13"/>
      <c r="B309" s="13"/>
      <c r="C309" s="19"/>
      <c r="D309" s="13"/>
      <c r="E309" s="23">
        <f>IF($B309="","",IFERROR(INDEX(InsUnid,MATCH($B309,InsNome,0)),""))</f>
        <v>0</v>
      </c>
      <c r="F309" s="21">
        <f>IF($B309="","",IFERROR(INDEX(InsUtil,MATCH($B309,InsNome,0)),""))</f>
        <v>0</v>
      </c>
      <c r="G309" s="24">
        <f>IF(OR($A309="",$C309="",$F309=""),"",$C309*$F309)</f>
        <v>0</v>
      </c>
      <c r="H309" s="23">
        <f>IF($A309="","",IF($B309="","Escolha o insumo",IF($F309="","Insumo sem custo",IF(COUNTIF(PratoNome,$A309)=0,"Prato não cadastrado",IF($C309="","Falta quantidade","OK")))))</f>
        <v>0</v>
      </c>
    </row>
    <row r="310" spans="1:8">
      <c r="A310" s="13"/>
      <c r="B310" s="13"/>
      <c r="C310" s="19"/>
      <c r="D310" s="13"/>
      <c r="E310" s="23">
        <f>IF($B310="","",IFERROR(INDEX(InsUnid,MATCH($B310,InsNome,0)),""))</f>
        <v>0</v>
      </c>
      <c r="F310" s="21">
        <f>IF($B310="","",IFERROR(INDEX(InsUtil,MATCH($B310,InsNome,0)),""))</f>
        <v>0</v>
      </c>
      <c r="G310" s="24">
        <f>IF(OR($A310="",$C310="",$F310=""),"",$C310*$F310)</f>
        <v>0</v>
      </c>
      <c r="H310" s="23">
        <f>IF($A310="","",IF($B310="","Escolha o insumo",IF($F310="","Insumo sem custo",IF(COUNTIF(PratoNome,$A310)=0,"Prato não cadastrado",IF($C310="","Falta quantidade","OK")))))</f>
        <v>0</v>
      </c>
    </row>
    <row r="311" spans="1:8">
      <c r="A311" s="13"/>
      <c r="B311" s="13"/>
      <c r="C311" s="19"/>
      <c r="D311" s="13"/>
      <c r="E311" s="23">
        <f>IF($B311="","",IFERROR(INDEX(InsUnid,MATCH($B311,InsNome,0)),""))</f>
        <v>0</v>
      </c>
      <c r="F311" s="21">
        <f>IF($B311="","",IFERROR(INDEX(InsUtil,MATCH($B311,InsNome,0)),""))</f>
        <v>0</v>
      </c>
      <c r="G311" s="24">
        <f>IF(OR($A311="",$C311="",$F311=""),"",$C311*$F311)</f>
        <v>0</v>
      </c>
      <c r="H311" s="23">
        <f>IF($A311="","",IF($B311="","Escolha o insumo",IF($F311="","Insumo sem custo",IF(COUNTIF(PratoNome,$A311)=0,"Prato não cadastrado",IF($C311="","Falta quantidade","OK")))))</f>
        <v>0</v>
      </c>
    </row>
    <row r="312" spans="1:8">
      <c r="A312" s="13"/>
      <c r="B312" s="13"/>
      <c r="C312" s="19"/>
      <c r="D312" s="13"/>
      <c r="E312" s="23">
        <f>IF($B312="","",IFERROR(INDEX(InsUnid,MATCH($B312,InsNome,0)),""))</f>
        <v>0</v>
      </c>
      <c r="F312" s="21">
        <f>IF($B312="","",IFERROR(INDEX(InsUtil,MATCH($B312,InsNome,0)),""))</f>
        <v>0</v>
      </c>
      <c r="G312" s="24">
        <f>IF(OR($A312="",$C312="",$F312=""),"",$C312*$F312)</f>
        <v>0</v>
      </c>
      <c r="H312" s="23">
        <f>IF($A312="","",IF($B312="","Escolha o insumo",IF($F312="","Insumo sem custo",IF(COUNTIF(PratoNome,$A312)=0,"Prato não cadastrado",IF($C312="","Falta quantidade","OK")))))</f>
        <v>0</v>
      </c>
    </row>
    <row r="313" spans="1:8">
      <c r="A313" s="13"/>
      <c r="B313" s="13"/>
      <c r="C313" s="19"/>
      <c r="D313" s="13"/>
      <c r="E313" s="23">
        <f>IF($B313="","",IFERROR(INDEX(InsUnid,MATCH($B313,InsNome,0)),""))</f>
        <v>0</v>
      </c>
      <c r="F313" s="21">
        <f>IF($B313="","",IFERROR(INDEX(InsUtil,MATCH($B313,InsNome,0)),""))</f>
        <v>0</v>
      </c>
      <c r="G313" s="24">
        <f>IF(OR($A313="",$C313="",$F313=""),"",$C313*$F313)</f>
        <v>0</v>
      </c>
      <c r="H313" s="23">
        <f>IF($A313="","",IF($B313="","Escolha o insumo",IF($F313="","Insumo sem custo",IF(COUNTIF(PratoNome,$A313)=0,"Prato não cadastrado",IF($C313="","Falta quantidade","OK")))))</f>
        <v>0</v>
      </c>
    </row>
    <row r="314" spans="1:8">
      <c r="A314" s="13"/>
      <c r="B314" s="13"/>
      <c r="C314" s="19"/>
      <c r="D314" s="13"/>
      <c r="E314" s="23">
        <f>IF($B314="","",IFERROR(INDEX(InsUnid,MATCH($B314,InsNome,0)),""))</f>
        <v>0</v>
      </c>
      <c r="F314" s="21">
        <f>IF($B314="","",IFERROR(INDEX(InsUtil,MATCH($B314,InsNome,0)),""))</f>
        <v>0</v>
      </c>
      <c r="G314" s="24">
        <f>IF(OR($A314="",$C314="",$F314=""),"",$C314*$F314)</f>
        <v>0</v>
      </c>
      <c r="H314" s="23">
        <f>IF($A314="","",IF($B314="","Escolha o insumo",IF($F314="","Insumo sem custo",IF(COUNTIF(PratoNome,$A314)=0,"Prato não cadastrado",IF($C314="","Falta quantidade","OK")))))</f>
        <v>0</v>
      </c>
    </row>
    <row r="315" spans="1:8">
      <c r="A315" s="13"/>
      <c r="B315" s="13"/>
      <c r="C315" s="19"/>
      <c r="D315" s="13"/>
      <c r="E315" s="23">
        <f>IF($B315="","",IFERROR(INDEX(InsUnid,MATCH($B315,InsNome,0)),""))</f>
        <v>0</v>
      </c>
      <c r="F315" s="21">
        <f>IF($B315="","",IFERROR(INDEX(InsUtil,MATCH($B315,InsNome,0)),""))</f>
        <v>0</v>
      </c>
      <c r="G315" s="24">
        <f>IF(OR($A315="",$C315="",$F315=""),"",$C315*$F315)</f>
        <v>0</v>
      </c>
      <c r="H315" s="23">
        <f>IF($A315="","",IF($B315="","Escolha o insumo",IF($F315="","Insumo sem custo",IF(COUNTIF(PratoNome,$A315)=0,"Prato não cadastrado",IF($C315="","Falta quantidade","OK")))))</f>
        <v>0</v>
      </c>
    </row>
    <row r="316" spans="1:8">
      <c r="A316" s="13"/>
      <c r="B316" s="13"/>
      <c r="C316" s="19"/>
      <c r="D316" s="13"/>
      <c r="E316" s="23">
        <f>IF($B316="","",IFERROR(INDEX(InsUnid,MATCH($B316,InsNome,0)),""))</f>
        <v>0</v>
      </c>
      <c r="F316" s="21">
        <f>IF($B316="","",IFERROR(INDEX(InsUtil,MATCH($B316,InsNome,0)),""))</f>
        <v>0</v>
      </c>
      <c r="G316" s="24">
        <f>IF(OR($A316="",$C316="",$F316=""),"",$C316*$F316)</f>
        <v>0</v>
      </c>
      <c r="H316" s="23">
        <f>IF($A316="","",IF($B316="","Escolha o insumo",IF($F316="","Insumo sem custo",IF(COUNTIF(PratoNome,$A316)=0,"Prato não cadastrado",IF($C316="","Falta quantidade","OK")))))</f>
        <v>0</v>
      </c>
    </row>
    <row r="317" spans="1:8">
      <c r="A317" s="13"/>
      <c r="B317" s="13"/>
      <c r="C317" s="19"/>
      <c r="D317" s="13"/>
      <c r="E317" s="23">
        <f>IF($B317="","",IFERROR(INDEX(InsUnid,MATCH($B317,InsNome,0)),""))</f>
        <v>0</v>
      </c>
      <c r="F317" s="21">
        <f>IF($B317="","",IFERROR(INDEX(InsUtil,MATCH($B317,InsNome,0)),""))</f>
        <v>0</v>
      </c>
      <c r="G317" s="24">
        <f>IF(OR($A317="",$C317="",$F317=""),"",$C317*$F317)</f>
        <v>0</v>
      </c>
      <c r="H317" s="23">
        <f>IF($A317="","",IF($B317="","Escolha o insumo",IF($F317="","Insumo sem custo",IF(COUNTIF(PratoNome,$A317)=0,"Prato não cadastrado",IF($C317="","Falta quantidade","OK")))))</f>
        <v>0</v>
      </c>
    </row>
    <row r="318" spans="1:8">
      <c r="A318" s="13"/>
      <c r="B318" s="13"/>
      <c r="C318" s="19"/>
      <c r="D318" s="13"/>
      <c r="E318" s="23">
        <f>IF($B318="","",IFERROR(INDEX(InsUnid,MATCH($B318,InsNome,0)),""))</f>
        <v>0</v>
      </c>
      <c r="F318" s="21">
        <f>IF($B318="","",IFERROR(INDEX(InsUtil,MATCH($B318,InsNome,0)),""))</f>
        <v>0</v>
      </c>
      <c r="G318" s="24">
        <f>IF(OR($A318="",$C318="",$F318=""),"",$C318*$F318)</f>
        <v>0</v>
      </c>
      <c r="H318" s="23">
        <f>IF($A318="","",IF($B318="","Escolha o insumo",IF($F318="","Insumo sem custo",IF(COUNTIF(PratoNome,$A318)=0,"Prato não cadastrado",IF($C318="","Falta quantidade","OK")))))</f>
        <v>0</v>
      </c>
    </row>
    <row r="319" spans="1:8">
      <c r="A319" s="13"/>
      <c r="B319" s="13"/>
      <c r="C319" s="19"/>
      <c r="D319" s="13"/>
      <c r="E319" s="23">
        <f>IF($B319="","",IFERROR(INDEX(InsUnid,MATCH($B319,InsNome,0)),""))</f>
        <v>0</v>
      </c>
      <c r="F319" s="21">
        <f>IF($B319="","",IFERROR(INDEX(InsUtil,MATCH($B319,InsNome,0)),""))</f>
        <v>0</v>
      </c>
      <c r="G319" s="24">
        <f>IF(OR($A319="",$C319="",$F319=""),"",$C319*$F319)</f>
        <v>0</v>
      </c>
      <c r="H319" s="23">
        <f>IF($A319="","",IF($B319="","Escolha o insumo",IF($F319="","Insumo sem custo",IF(COUNTIF(PratoNome,$A319)=0,"Prato não cadastrado",IF($C319="","Falta quantidade","OK")))))</f>
        <v>0</v>
      </c>
    </row>
    <row r="320" spans="1:8">
      <c r="A320" s="13"/>
      <c r="B320" s="13"/>
      <c r="C320" s="19"/>
      <c r="D320" s="13"/>
      <c r="E320" s="23">
        <f>IF($B320="","",IFERROR(INDEX(InsUnid,MATCH($B320,InsNome,0)),""))</f>
        <v>0</v>
      </c>
      <c r="F320" s="21">
        <f>IF($B320="","",IFERROR(INDEX(InsUtil,MATCH($B320,InsNome,0)),""))</f>
        <v>0</v>
      </c>
      <c r="G320" s="24">
        <f>IF(OR($A320="",$C320="",$F320=""),"",$C320*$F320)</f>
        <v>0</v>
      </c>
      <c r="H320" s="23">
        <f>IF($A320="","",IF($B320="","Escolha o insumo",IF($F320="","Insumo sem custo",IF(COUNTIF(PratoNome,$A320)=0,"Prato não cadastrado",IF($C320="","Falta quantidade","OK")))))</f>
        <v>0</v>
      </c>
    </row>
    <row r="321" spans="1:8">
      <c r="A321" s="13"/>
      <c r="B321" s="13"/>
      <c r="C321" s="19"/>
      <c r="D321" s="13"/>
      <c r="E321" s="23">
        <f>IF($B321="","",IFERROR(INDEX(InsUnid,MATCH($B321,InsNome,0)),""))</f>
        <v>0</v>
      </c>
      <c r="F321" s="21">
        <f>IF($B321="","",IFERROR(INDEX(InsUtil,MATCH($B321,InsNome,0)),""))</f>
        <v>0</v>
      </c>
      <c r="G321" s="24">
        <f>IF(OR($A321="",$C321="",$F321=""),"",$C321*$F321)</f>
        <v>0</v>
      </c>
      <c r="H321" s="23">
        <f>IF($A321="","",IF($B321="","Escolha o insumo",IF($F321="","Insumo sem custo",IF(COUNTIF(PratoNome,$A321)=0,"Prato não cadastrado",IF($C321="","Falta quantidade","OK")))))</f>
        <v>0</v>
      </c>
    </row>
    <row r="322" spans="1:8">
      <c r="A322" s="13"/>
      <c r="B322" s="13"/>
      <c r="C322" s="19"/>
      <c r="D322" s="13"/>
      <c r="E322" s="23">
        <f>IF($B322="","",IFERROR(INDEX(InsUnid,MATCH($B322,InsNome,0)),""))</f>
        <v>0</v>
      </c>
      <c r="F322" s="21">
        <f>IF($B322="","",IFERROR(INDEX(InsUtil,MATCH($B322,InsNome,0)),""))</f>
        <v>0</v>
      </c>
      <c r="G322" s="24">
        <f>IF(OR($A322="",$C322="",$F322=""),"",$C322*$F322)</f>
        <v>0</v>
      </c>
      <c r="H322" s="23">
        <f>IF($A322="","",IF($B322="","Escolha o insumo",IF($F322="","Insumo sem custo",IF(COUNTIF(PratoNome,$A322)=0,"Prato não cadastrado",IF($C322="","Falta quantidade","OK")))))</f>
        <v>0</v>
      </c>
    </row>
    <row r="323" spans="1:8">
      <c r="A323" s="13"/>
      <c r="B323" s="13"/>
      <c r="C323" s="19"/>
      <c r="D323" s="13"/>
      <c r="E323" s="23">
        <f>IF($B323="","",IFERROR(INDEX(InsUnid,MATCH($B323,InsNome,0)),""))</f>
        <v>0</v>
      </c>
      <c r="F323" s="21">
        <f>IF($B323="","",IFERROR(INDEX(InsUtil,MATCH($B323,InsNome,0)),""))</f>
        <v>0</v>
      </c>
      <c r="G323" s="24">
        <f>IF(OR($A323="",$C323="",$F323=""),"",$C323*$F323)</f>
        <v>0</v>
      </c>
      <c r="H323" s="23">
        <f>IF($A323="","",IF($B323="","Escolha o insumo",IF($F323="","Insumo sem custo",IF(COUNTIF(PratoNome,$A323)=0,"Prato não cadastrado",IF($C323="","Falta quantidade","OK")))))</f>
        <v>0</v>
      </c>
    </row>
    <row r="324" spans="1:8">
      <c r="A324" s="13"/>
      <c r="B324" s="13"/>
      <c r="C324" s="19"/>
      <c r="D324" s="13"/>
      <c r="E324" s="23">
        <f>IF($B324="","",IFERROR(INDEX(InsUnid,MATCH($B324,InsNome,0)),""))</f>
        <v>0</v>
      </c>
      <c r="F324" s="21">
        <f>IF($B324="","",IFERROR(INDEX(InsUtil,MATCH($B324,InsNome,0)),""))</f>
        <v>0</v>
      </c>
      <c r="G324" s="24">
        <f>IF(OR($A324="",$C324="",$F324=""),"",$C324*$F324)</f>
        <v>0</v>
      </c>
      <c r="H324" s="23">
        <f>IF($A324="","",IF($B324="","Escolha o insumo",IF($F324="","Insumo sem custo",IF(COUNTIF(PratoNome,$A324)=0,"Prato não cadastrado",IF($C324="","Falta quantidade","OK")))))</f>
        <v>0</v>
      </c>
    </row>
    <row r="325" spans="1:8">
      <c r="A325" s="13"/>
      <c r="B325" s="13"/>
      <c r="C325" s="19"/>
      <c r="D325" s="13"/>
      <c r="E325" s="23">
        <f>IF($B325="","",IFERROR(INDEX(InsUnid,MATCH($B325,InsNome,0)),""))</f>
        <v>0</v>
      </c>
      <c r="F325" s="21">
        <f>IF($B325="","",IFERROR(INDEX(InsUtil,MATCH($B325,InsNome,0)),""))</f>
        <v>0</v>
      </c>
      <c r="G325" s="24">
        <f>IF(OR($A325="",$C325="",$F325=""),"",$C325*$F325)</f>
        <v>0</v>
      </c>
      <c r="H325" s="23">
        <f>IF($A325="","",IF($B325="","Escolha o insumo",IF($F325="","Insumo sem custo",IF(COUNTIF(PratoNome,$A325)=0,"Prato não cadastrado",IF($C325="","Falta quantidade","OK")))))</f>
        <v>0</v>
      </c>
    </row>
    <row r="326" spans="1:8">
      <c r="A326" s="13"/>
      <c r="B326" s="13"/>
      <c r="C326" s="19"/>
      <c r="D326" s="13"/>
      <c r="E326" s="23">
        <f>IF($B326="","",IFERROR(INDEX(InsUnid,MATCH($B326,InsNome,0)),""))</f>
        <v>0</v>
      </c>
      <c r="F326" s="21">
        <f>IF($B326="","",IFERROR(INDEX(InsUtil,MATCH($B326,InsNome,0)),""))</f>
        <v>0</v>
      </c>
      <c r="G326" s="24">
        <f>IF(OR($A326="",$C326="",$F326=""),"",$C326*$F326)</f>
        <v>0</v>
      </c>
      <c r="H326" s="23">
        <f>IF($A326="","",IF($B326="","Escolha o insumo",IF($F326="","Insumo sem custo",IF(COUNTIF(PratoNome,$A326)=0,"Prato não cadastrado",IF($C326="","Falta quantidade","OK")))))</f>
        <v>0</v>
      </c>
    </row>
    <row r="327" spans="1:8">
      <c r="A327" s="13"/>
      <c r="B327" s="13"/>
      <c r="C327" s="19"/>
      <c r="D327" s="13"/>
      <c r="E327" s="23">
        <f>IF($B327="","",IFERROR(INDEX(InsUnid,MATCH($B327,InsNome,0)),""))</f>
        <v>0</v>
      </c>
      <c r="F327" s="21">
        <f>IF($B327="","",IFERROR(INDEX(InsUtil,MATCH($B327,InsNome,0)),""))</f>
        <v>0</v>
      </c>
      <c r="G327" s="24">
        <f>IF(OR($A327="",$C327="",$F327=""),"",$C327*$F327)</f>
        <v>0</v>
      </c>
      <c r="H327" s="23">
        <f>IF($A327="","",IF($B327="","Escolha o insumo",IF($F327="","Insumo sem custo",IF(COUNTIF(PratoNome,$A327)=0,"Prato não cadastrado",IF($C327="","Falta quantidade","OK")))))</f>
        <v>0</v>
      </c>
    </row>
    <row r="328" spans="1:8">
      <c r="A328" s="13"/>
      <c r="B328" s="13"/>
      <c r="C328" s="19"/>
      <c r="D328" s="13"/>
      <c r="E328" s="23">
        <f>IF($B328="","",IFERROR(INDEX(InsUnid,MATCH($B328,InsNome,0)),""))</f>
        <v>0</v>
      </c>
      <c r="F328" s="21">
        <f>IF($B328="","",IFERROR(INDEX(InsUtil,MATCH($B328,InsNome,0)),""))</f>
        <v>0</v>
      </c>
      <c r="G328" s="24">
        <f>IF(OR($A328="",$C328="",$F328=""),"",$C328*$F328)</f>
        <v>0</v>
      </c>
      <c r="H328" s="23">
        <f>IF($A328="","",IF($B328="","Escolha o insumo",IF($F328="","Insumo sem custo",IF(COUNTIF(PratoNome,$A328)=0,"Prato não cadastrado",IF($C328="","Falta quantidade","OK")))))</f>
        <v>0</v>
      </c>
    </row>
    <row r="329" spans="1:8">
      <c r="A329" s="13"/>
      <c r="B329" s="13"/>
      <c r="C329" s="19"/>
      <c r="D329" s="13"/>
      <c r="E329" s="23">
        <f>IF($B329="","",IFERROR(INDEX(InsUnid,MATCH($B329,InsNome,0)),""))</f>
        <v>0</v>
      </c>
      <c r="F329" s="21">
        <f>IF($B329="","",IFERROR(INDEX(InsUtil,MATCH($B329,InsNome,0)),""))</f>
        <v>0</v>
      </c>
      <c r="G329" s="24">
        <f>IF(OR($A329="",$C329="",$F329=""),"",$C329*$F329)</f>
        <v>0</v>
      </c>
      <c r="H329" s="23">
        <f>IF($A329="","",IF($B329="","Escolha o insumo",IF($F329="","Insumo sem custo",IF(COUNTIF(PratoNome,$A329)=0,"Prato não cadastrado",IF($C329="","Falta quantidade","OK")))))</f>
        <v>0</v>
      </c>
    </row>
    <row r="330" spans="1:8">
      <c r="A330" s="13"/>
      <c r="B330" s="13"/>
      <c r="C330" s="19"/>
      <c r="D330" s="13"/>
      <c r="E330" s="23">
        <f>IF($B330="","",IFERROR(INDEX(InsUnid,MATCH($B330,InsNome,0)),""))</f>
        <v>0</v>
      </c>
      <c r="F330" s="21">
        <f>IF($B330="","",IFERROR(INDEX(InsUtil,MATCH($B330,InsNome,0)),""))</f>
        <v>0</v>
      </c>
      <c r="G330" s="24">
        <f>IF(OR($A330="",$C330="",$F330=""),"",$C330*$F330)</f>
        <v>0</v>
      </c>
      <c r="H330" s="23">
        <f>IF($A330="","",IF($B330="","Escolha o insumo",IF($F330="","Insumo sem custo",IF(COUNTIF(PratoNome,$A330)=0,"Prato não cadastrado",IF($C330="","Falta quantidade","OK")))))</f>
        <v>0</v>
      </c>
    </row>
    <row r="331" spans="1:8">
      <c r="A331" s="13"/>
      <c r="B331" s="13"/>
      <c r="C331" s="19"/>
      <c r="D331" s="13"/>
      <c r="E331" s="23">
        <f>IF($B331="","",IFERROR(INDEX(InsUnid,MATCH($B331,InsNome,0)),""))</f>
        <v>0</v>
      </c>
      <c r="F331" s="21">
        <f>IF($B331="","",IFERROR(INDEX(InsUtil,MATCH($B331,InsNome,0)),""))</f>
        <v>0</v>
      </c>
      <c r="G331" s="24">
        <f>IF(OR($A331="",$C331="",$F331=""),"",$C331*$F331)</f>
        <v>0</v>
      </c>
      <c r="H331" s="23">
        <f>IF($A331="","",IF($B331="","Escolha o insumo",IF($F331="","Insumo sem custo",IF(COUNTIF(PratoNome,$A331)=0,"Prato não cadastrado",IF($C331="","Falta quantidade","OK")))))</f>
        <v>0</v>
      </c>
    </row>
    <row r="332" spans="1:8">
      <c r="A332" s="13"/>
      <c r="B332" s="13"/>
      <c r="C332" s="19"/>
      <c r="D332" s="13"/>
      <c r="E332" s="23">
        <f>IF($B332="","",IFERROR(INDEX(InsUnid,MATCH($B332,InsNome,0)),""))</f>
        <v>0</v>
      </c>
      <c r="F332" s="21">
        <f>IF($B332="","",IFERROR(INDEX(InsUtil,MATCH($B332,InsNome,0)),""))</f>
        <v>0</v>
      </c>
      <c r="G332" s="24">
        <f>IF(OR($A332="",$C332="",$F332=""),"",$C332*$F332)</f>
        <v>0</v>
      </c>
      <c r="H332" s="23">
        <f>IF($A332="","",IF($B332="","Escolha o insumo",IF($F332="","Insumo sem custo",IF(COUNTIF(PratoNome,$A332)=0,"Prato não cadastrado",IF($C332="","Falta quantidade","OK")))))</f>
        <v>0</v>
      </c>
    </row>
    <row r="333" spans="1:8">
      <c r="A333" s="13"/>
      <c r="B333" s="13"/>
      <c r="C333" s="19"/>
      <c r="D333" s="13"/>
      <c r="E333" s="23">
        <f>IF($B333="","",IFERROR(INDEX(InsUnid,MATCH($B333,InsNome,0)),""))</f>
        <v>0</v>
      </c>
      <c r="F333" s="21">
        <f>IF($B333="","",IFERROR(INDEX(InsUtil,MATCH($B333,InsNome,0)),""))</f>
        <v>0</v>
      </c>
      <c r="G333" s="24">
        <f>IF(OR($A333="",$C333="",$F333=""),"",$C333*$F333)</f>
        <v>0</v>
      </c>
      <c r="H333" s="23">
        <f>IF($A333="","",IF($B333="","Escolha o insumo",IF($F333="","Insumo sem custo",IF(COUNTIF(PratoNome,$A333)=0,"Prato não cadastrado",IF($C333="","Falta quantidade","OK")))))</f>
        <v>0</v>
      </c>
    </row>
    <row r="334" spans="1:8">
      <c r="A334" s="13"/>
      <c r="B334" s="13"/>
      <c r="C334" s="19"/>
      <c r="D334" s="13"/>
      <c r="E334" s="23">
        <f>IF($B334="","",IFERROR(INDEX(InsUnid,MATCH($B334,InsNome,0)),""))</f>
        <v>0</v>
      </c>
      <c r="F334" s="21">
        <f>IF($B334="","",IFERROR(INDEX(InsUtil,MATCH($B334,InsNome,0)),""))</f>
        <v>0</v>
      </c>
      <c r="G334" s="24">
        <f>IF(OR($A334="",$C334="",$F334=""),"",$C334*$F334)</f>
        <v>0</v>
      </c>
      <c r="H334" s="23">
        <f>IF($A334="","",IF($B334="","Escolha o insumo",IF($F334="","Insumo sem custo",IF(COUNTIF(PratoNome,$A334)=0,"Prato não cadastrado",IF($C334="","Falta quantidade","OK")))))</f>
        <v>0</v>
      </c>
    </row>
    <row r="335" spans="1:8">
      <c r="A335" s="13"/>
      <c r="B335" s="13"/>
      <c r="C335" s="19"/>
      <c r="D335" s="13"/>
      <c r="E335" s="23">
        <f>IF($B335="","",IFERROR(INDEX(InsUnid,MATCH($B335,InsNome,0)),""))</f>
        <v>0</v>
      </c>
      <c r="F335" s="21">
        <f>IF($B335="","",IFERROR(INDEX(InsUtil,MATCH($B335,InsNome,0)),""))</f>
        <v>0</v>
      </c>
      <c r="G335" s="24">
        <f>IF(OR($A335="",$C335="",$F335=""),"",$C335*$F335)</f>
        <v>0</v>
      </c>
      <c r="H335" s="23">
        <f>IF($A335="","",IF($B335="","Escolha o insumo",IF($F335="","Insumo sem custo",IF(COUNTIF(PratoNome,$A335)=0,"Prato não cadastrado",IF($C335="","Falta quantidade","OK")))))</f>
        <v>0</v>
      </c>
    </row>
    <row r="336" spans="1:8">
      <c r="A336" s="13"/>
      <c r="B336" s="13"/>
      <c r="C336" s="19"/>
      <c r="D336" s="13"/>
      <c r="E336" s="23">
        <f>IF($B336="","",IFERROR(INDEX(InsUnid,MATCH($B336,InsNome,0)),""))</f>
        <v>0</v>
      </c>
      <c r="F336" s="21">
        <f>IF($B336="","",IFERROR(INDEX(InsUtil,MATCH($B336,InsNome,0)),""))</f>
        <v>0</v>
      </c>
      <c r="G336" s="24">
        <f>IF(OR($A336="",$C336="",$F336=""),"",$C336*$F336)</f>
        <v>0</v>
      </c>
      <c r="H336" s="23">
        <f>IF($A336="","",IF($B336="","Escolha o insumo",IF($F336="","Insumo sem custo",IF(COUNTIF(PratoNome,$A336)=0,"Prato não cadastrado",IF($C336="","Falta quantidade","OK")))))</f>
        <v>0</v>
      </c>
    </row>
    <row r="337" spans="1:8">
      <c r="A337" s="13"/>
      <c r="B337" s="13"/>
      <c r="C337" s="19"/>
      <c r="D337" s="13"/>
      <c r="E337" s="23">
        <f>IF($B337="","",IFERROR(INDEX(InsUnid,MATCH($B337,InsNome,0)),""))</f>
        <v>0</v>
      </c>
      <c r="F337" s="21">
        <f>IF($B337="","",IFERROR(INDEX(InsUtil,MATCH($B337,InsNome,0)),""))</f>
        <v>0</v>
      </c>
      <c r="G337" s="24">
        <f>IF(OR($A337="",$C337="",$F337=""),"",$C337*$F337)</f>
        <v>0</v>
      </c>
      <c r="H337" s="23">
        <f>IF($A337="","",IF($B337="","Escolha o insumo",IF($F337="","Insumo sem custo",IF(COUNTIF(PratoNome,$A337)=0,"Prato não cadastrado",IF($C337="","Falta quantidade","OK")))))</f>
        <v>0</v>
      </c>
    </row>
    <row r="338" spans="1:8">
      <c r="A338" s="13"/>
      <c r="B338" s="13"/>
      <c r="C338" s="19"/>
      <c r="D338" s="13"/>
      <c r="E338" s="23">
        <f>IF($B338="","",IFERROR(INDEX(InsUnid,MATCH($B338,InsNome,0)),""))</f>
        <v>0</v>
      </c>
      <c r="F338" s="21">
        <f>IF($B338="","",IFERROR(INDEX(InsUtil,MATCH($B338,InsNome,0)),""))</f>
        <v>0</v>
      </c>
      <c r="G338" s="24">
        <f>IF(OR($A338="",$C338="",$F338=""),"",$C338*$F338)</f>
        <v>0</v>
      </c>
      <c r="H338" s="23">
        <f>IF($A338="","",IF($B338="","Escolha o insumo",IF($F338="","Insumo sem custo",IF(COUNTIF(PratoNome,$A338)=0,"Prato não cadastrado",IF($C338="","Falta quantidade","OK")))))</f>
        <v>0</v>
      </c>
    </row>
    <row r="339" spans="1:8">
      <c r="A339" s="13"/>
      <c r="B339" s="13"/>
      <c r="C339" s="19"/>
      <c r="D339" s="13"/>
      <c r="E339" s="23">
        <f>IF($B339="","",IFERROR(INDEX(InsUnid,MATCH($B339,InsNome,0)),""))</f>
        <v>0</v>
      </c>
      <c r="F339" s="21">
        <f>IF($B339="","",IFERROR(INDEX(InsUtil,MATCH($B339,InsNome,0)),""))</f>
        <v>0</v>
      </c>
      <c r="G339" s="24">
        <f>IF(OR($A339="",$C339="",$F339=""),"",$C339*$F339)</f>
        <v>0</v>
      </c>
      <c r="H339" s="23">
        <f>IF($A339="","",IF($B339="","Escolha o insumo",IF($F339="","Insumo sem custo",IF(COUNTIF(PratoNome,$A339)=0,"Prato não cadastrado",IF($C339="","Falta quantidade","OK")))))</f>
        <v>0</v>
      </c>
    </row>
    <row r="340" spans="1:8">
      <c r="A340" s="13"/>
      <c r="B340" s="13"/>
      <c r="C340" s="19"/>
      <c r="D340" s="13"/>
      <c r="E340" s="23">
        <f>IF($B340="","",IFERROR(INDEX(InsUnid,MATCH($B340,InsNome,0)),""))</f>
        <v>0</v>
      </c>
      <c r="F340" s="21">
        <f>IF($B340="","",IFERROR(INDEX(InsUtil,MATCH($B340,InsNome,0)),""))</f>
        <v>0</v>
      </c>
      <c r="G340" s="24">
        <f>IF(OR($A340="",$C340="",$F340=""),"",$C340*$F340)</f>
        <v>0</v>
      </c>
      <c r="H340" s="23">
        <f>IF($A340="","",IF($B340="","Escolha o insumo",IF($F340="","Insumo sem custo",IF(COUNTIF(PratoNome,$A340)=0,"Prato não cadastrado",IF($C340="","Falta quantidade","OK")))))</f>
        <v>0</v>
      </c>
    </row>
    <row r="341" spans="1:8">
      <c r="A341" s="13"/>
      <c r="B341" s="13"/>
      <c r="C341" s="19"/>
      <c r="D341" s="13"/>
      <c r="E341" s="23">
        <f>IF($B341="","",IFERROR(INDEX(InsUnid,MATCH($B341,InsNome,0)),""))</f>
        <v>0</v>
      </c>
      <c r="F341" s="21">
        <f>IF($B341="","",IFERROR(INDEX(InsUtil,MATCH($B341,InsNome,0)),""))</f>
        <v>0</v>
      </c>
      <c r="G341" s="24">
        <f>IF(OR($A341="",$C341="",$F341=""),"",$C341*$F341)</f>
        <v>0</v>
      </c>
      <c r="H341" s="23">
        <f>IF($A341="","",IF($B341="","Escolha o insumo",IF($F341="","Insumo sem custo",IF(COUNTIF(PratoNome,$A341)=0,"Prato não cadastrado",IF($C341="","Falta quantidade","OK")))))</f>
        <v>0</v>
      </c>
    </row>
    <row r="342" spans="1:8">
      <c r="A342" s="13"/>
      <c r="B342" s="13"/>
      <c r="C342" s="19"/>
      <c r="D342" s="13"/>
      <c r="E342" s="23">
        <f>IF($B342="","",IFERROR(INDEX(InsUnid,MATCH($B342,InsNome,0)),""))</f>
        <v>0</v>
      </c>
      <c r="F342" s="21">
        <f>IF($B342="","",IFERROR(INDEX(InsUtil,MATCH($B342,InsNome,0)),""))</f>
        <v>0</v>
      </c>
      <c r="G342" s="24">
        <f>IF(OR($A342="",$C342="",$F342=""),"",$C342*$F342)</f>
        <v>0</v>
      </c>
      <c r="H342" s="23">
        <f>IF($A342="","",IF($B342="","Escolha o insumo",IF($F342="","Insumo sem custo",IF(COUNTIF(PratoNome,$A342)=0,"Prato não cadastrado",IF($C342="","Falta quantidade","OK")))))</f>
        <v>0</v>
      </c>
    </row>
    <row r="343" spans="1:8">
      <c r="A343" s="13"/>
      <c r="B343" s="13"/>
      <c r="C343" s="19"/>
      <c r="D343" s="13"/>
      <c r="E343" s="23">
        <f>IF($B343="","",IFERROR(INDEX(InsUnid,MATCH($B343,InsNome,0)),""))</f>
        <v>0</v>
      </c>
      <c r="F343" s="21">
        <f>IF($B343="","",IFERROR(INDEX(InsUtil,MATCH($B343,InsNome,0)),""))</f>
        <v>0</v>
      </c>
      <c r="G343" s="24">
        <f>IF(OR($A343="",$C343="",$F343=""),"",$C343*$F343)</f>
        <v>0</v>
      </c>
      <c r="H343" s="23">
        <f>IF($A343="","",IF($B343="","Escolha o insumo",IF($F343="","Insumo sem custo",IF(COUNTIF(PratoNome,$A343)=0,"Prato não cadastrado",IF($C343="","Falta quantidade","OK")))))</f>
        <v>0</v>
      </c>
    </row>
    <row r="344" spans="1:8">
      <c r="A344" s="13"/>
      <c r="B344" s="13"/>
      <c r="C344" s="19"/>
      <c r="D344" s="13"/>
      <c r="E344" s="23">
        <f>IF($B344="","",IFERROR(INDEX(InsUnid,MATCH($B344,InsNome,0)),""))</f>
        <v>0</v>
      </c>
      <c r="F344" s="21">
        <f>IF($B344="","",IFERROR(INDEX(InsUtil,MATCH($B344,InsNome,0)),""))</f>
        <v>0</v>
      </c>
      <c r="G344" s="24">
        <f>IF(OR($A344="",$C344="",$F344=""),"",$C344*$F344)</f>
        <v>0</v>
      </c>
      <c r="H344" s="23">
        <f>IF($A344="","",IF($B344="","Escolha o insumo",IF($F344="","Insumo sem custo",IF(COUNTIF(PratoNome,$A344)=0,"Prato não cadastrado",IF($C344="","Falta quantidade","OK")))))</f>
        <v>0</v>
      </c>
    </row>
    <row r="345" spans="1:8">
      <c r="A345" s="13"/>
      <c r="B345" s="13"/>
      <c r="C345" s="19"/>
      <c r="D345" s="13"/>
      <c r="E345" s="23">
        <f>IF($B345="","",IFERROR(INDEX(InsUnid,MATCH($B345,InsNome,0)),""))</f>
        <v>0</v>
      </c>
      <c r="F345" s="21">
        <f>IF($B345="","",IFERROR(INDEX(InsUtil,MATCH($B345,InsNome,0)),""))</f>
        <v>0</v>
      </c>
      <c r="G345" s="24">
        <f>IF(OR($A345="",$C345="",$F345=""),"",$C345*$F345)</f>
        <v>0</v>
      </c>
      <c r="H345" s="23">
        <f>IF($A345="","",IF($B345="","Escolha o insumo",IF($F345="","Insumo sem custo",IF(COUNTIF(PratoNome,$A345)=0,"Prato não cadastrado",IF($C345="","Falta quantidade","OK")))))</f>
        <v>0</v>
      </c>
    </row>
    <row r="346" spans="1:8">
      <c r="A346" s="13"/>
      <c r="B346" s="13"/>
      <c r="C346" s="19"/>
      <c r="D346" s="13"/>
      <c r="E346" s="23">
        <f>IF($B346="","",IFERROR(INDEX(InsUnid,MATCH($B346,InsNome,0)),""))</f>
        <v>0</v>
      </c>
      <c r="F346" s="21">
        <f>IF($B346="","",IFERROR(INDEX(InsUtil,MATCH($B346,InsNome,0)),""))</f>
        <v>0</v>
      </c>
      <c r="G346" s="24">
        <f>IF(OR($A346="",$C346="",$F346=""),"",$C346*$F346)</f>
        <v>0</v>
      </c>
      <c r="H346" s="23">
        <f>IF($A346="","",IF($B346="","Escolha o insumo",IF($F346="","Insumo sem custo",IF(COUNTIF(PratoNome,$A346)=0,"Prato não cadastrado",IF($C346="","Falta quantidade","OK")))))</f>
        <v>0</v>
      </c>
    </row>
    <row r="347" spans="1:8">
      <c r="A347" s="13"/>
      <c r="B347" s="13"/>
      <c r="C347" s="19"/>
      <c r="D347" s="13"/>
      <c r="E347" s="23">
        <f>IF($B347="","",IFERROR(INDEX(InsUnid,MATCH($B347,InsNome,0)),""))</f>
        <v>0</v>
      </c>
      <c r="F347" s="21">
        <f>IF($B347="","",IFERROR(INDEX(InsUtil,MATCH($B347,InsNome,0)),""))</f>
        <v>0</v>
      </c>
      <c r="G347" s="24">
        <f>IF(OR($A347="",$C347="",$F347=""),"",$C347*$F347)</f>
        <v>0</v>
      </c>
      <c r="H347" s="23">
        <f>IF($A347="","",IF($B347="","Escolha o insumo",IF($F347="","Insumo sem custo",IF(COUNTIF(PratoNome,$A347)=0,"Prato não cadastrado",IF($C347="","Falta quantidade","OK")))))</f>
        <v>0</v>
      </c>
    </row>
    <row r="348" spans="1:8">
      <c r="A348" s="13"/>
      <c r="B348" s="13"/>
      <c r="C348" s="19"/>
      <c r="D348" s="13"/>
      <c r="E348" s="23">
        <f>IF($B348="","",IFERROR(INDEX(InsUnid,MATCH($B348,InsNome,0)),""))</f>
        <v>0</v>
      </c>
      <c r="F348" s="21">
        <f>IF($B348="","",IFERROR(INDEX(InsUtil,MATCH($B348,InsNome,0)),""))</f>
        <v>0</v>
      </c>
      <c r="G348" s="24">
        <f>IF(OR($A348="",$C348="",$F348=""),"",$C348*$F348)</f>
        <v>0</v>
      </c>
      <c r="H348" s="23">
        <f>IF($A348="","",IF($B348="","Escolha o insumo",IF($F348="","Insumo sem custo",IF(COUNTIF(PratoNome,$A348)=0,"Prato não cadastrado",IF($C348="","Falta quantidade","OK")))))</f>
        <v>0</v>
      </c>
    </row>
    <row r="349" spans="1:8">
      <c r="A349" s="13"/>
      <c r="B349" s="13"/>
      <c r="C349" s="19"/>
      <c r="D349" s="13"/>
      <c r="E349" s="23">
        <f>IF($B349="","",IFERROR(INDEX(InsUnid,MATCH($B349,InsNome,0)),""))</f>
        <v>0</v>
      </c>
      <c r="F349" s="21">
        <f>IF($B349="","",IFERROR(INDEX(InsUtil,MATCH($B349,InsNome,0)),""))</f>
        <v>0</v>
      </c>
      <c r="G349" s="24">
        <f>IF(OR($A349="",$C349="",$F349=""),"",$C349*$F349)</f>
        <v>0</v>
      </c>
      <c r="H349" s="23">
        <f>IF($A349="","",IF($B349="","Escolha o insumo",IF($F349="","Insumo sem custo",IF(COUNTIF(PratoNome,$A349)=0,"Prato não cadastrado",IF($C349="","Falta quantidade","OK")))))</f>
        <v>0</v>
      </c>
    </row>
    <row r="350" spans="1:8">
      <c r="A350" s="13"/>
      <c r="B350" s="13"/>
      <c r="C350" s="19"/>
      <c r="D350" s="13"/>
      <c r="E350" s="23">
        <f>IF($B350="","",IFERROR(INDEX(InsUnid,MATCH($B350,InsNome,0)),""))</f>
        <v>0</v>
      </c>
      <c r="F350" s="21">
        <f>IF($B350="","",IFERROR(INDEX(InsUtil,MATCH($B350,InsNome,0)),""))</f>
        <v>0</v>
      </c>
      <c r="G350" s="24">
        <f>IF(OR($A350="",$C350="",$F350=""),"",$C350*$F350)</f>
        <v>0</v>
      </c>
      <c r="H350" s="23">
        <f>IF($A350="","",IF($B350="","Escolha o insumo",IF($F350="","Insumo sem custo",IF(COUNTIF(PratoNome,$A350)=0,"Prato não cadastrado",IF($C350="","Falta quantidade","OK")))))</f>
        <v>0</v>
      </c>
    </row>
    <row r="351" spans="1:8">
      <c r="A351" s="13"/>
      <c r="B351" s="13"/>
      <c r="C351" s="19"/>
      <c r="D351" s="13"/>
      <c r="E351" s="23">
        <f>IF($B351="","",IFERROR(INDEX(InsUnid,MATCH($B351,InsNome,0)),""))</f>
        <v>0</v>
      </c>
      <c r="F351" s="21">
        <f>IF($B351="","",IFERROR(INDEX(InsUtil,MATCH($B351,InsNome,0)),""))</f>
        <v>0</v>
      </c>
      <c r="G351" s="24">
        <f>IF(OR($A351="",$C351="",$F351=""),"",$C351*$F351)</f>
        <v>0</v>
      </c>
      <c r="H351" s="23">
        <f>IF($A351="","",IF($B351="","Escolha o insumo",IF($F351="","Insumo sem custo",IF(COUNTIF(PratoNome,$A351)=0,"Prato não cadastrado",IF($C351="","Falta quantidade","OK")))))</f>
        <v>0</v>
      </c>
    </row>
    <row r="352" spans="1:8">
      <c r="A352" s="13"/>
      <c r="B352" s="13"/>
      <c r="C352" s="19"/>
      <c r="D352" s="13"/>
      <c r="E352" s="23">
        <f>IF($B352="","",IFERROR(INDEX(InsUnid,MATCH($B352,InsNome,0)),""))</f>
        <v>0</v>
      </c>
      <c r="F352" s="21">
        <f>IF($B352="","",IFERROR(INDEX(InsUtil,MATCH($B352,InsNome,0)),""))</f>
        <v>0</v>
      </c>
      <c r="G352" s="24">
        <f>IF(OR($A352="",$C352="",$F352=""),"",$C352*$F352)</f>
        <v>0</v>
      </c>
      <c r="H352" s="23">
        <f>IF($A352="","",IF($B352="","Escolha o insumo",IF($F352="","Insumo sem custo",IF(COUNTIF(PratoNome,$A352)=0,"Prato não cadastrado",IF($C352="","Falta quantidade","OK")))))</f>
        <v>0</v>
      </c>
    </row>
    <row r="353" spans="1:8">
      <c r="A353" s="13"/>
      <c r="B353" s="13"/>
      <c r="C353" s="19"/>
      <c r="D353" s="13"/>
      <c r="E353" s="23">
        <f>IF($B353="","",IFERROR(INDEX(InsUnid,MATCH($B353,InsNome,0)),""))</f>
        <v>0</v>
      </c>
      <c r="F353" s="21">
        <f>IF($B353="","",IFERROR(INDEX(InsUtil,MATCH($B353,InsNome,0)),""))</f>
        <v>0</v>
      </c>
      <c r="G353" s="24">
        <f>IF(OR($A353="",$C353="",$F353=""),"",$C353*$F353)</f>
        <v>0</v>
      </c>
      <c r="H353" s="23">
        <f>IF($A353="","",IF($B353="","Escolha o insumo",IF($F353="","Insumo sem custo",IF(COUNTIF(PratoNome,$A353)=0,"Prato não cadastrado",IF($C353="","Falta quantidade","OK")))))</f>
        <v>0</v>
      </c>
    </row>
    <row r="354" spans="1:8">
      <c r="A354" s="13"/>
      <c r="B354" s="13"/>
      <c r="C354" s="19"/>
      <c r="D354" s="13"/>
      <c r="E354" s="23">
        <f>IF($B354="","",IFERROR(INDEX(InsUnid,MATCH($B354,InsNome,0)),""))</f>
        <v>0</v>
      </c>
      <c r="F354" s="21">
        <f>IF($B354="","",IFERROR(INDEX(InsUtil,MATCH($B354,InsNome,0)),""))</f>
        <v>0</v>
      </c>
      <c r="G354" s="24">
        <f>IF(OR($A354="",$C354="",$F354=""),"",$C354*$F354)</f>
        <v>0</v>
      </c>
      <c r="H354" s="23">
        <f>IF($A354="","",IF($B354="","Escolha o insumo",IF($F354="","Insumo sem custo",IF(COUNTIF(PratoNome,$A354)=0,"Prato não cadastrado",IF($C354="","Falta quantidade","OK")))))</f>
        <v>0</v>
      </c>
    </row>
    <row r="355" spans="1:8">
      <c r="A355" s="13"/>
      <c r="B355" s="13"/>
      <c r="C355" s="19"/>
      <c r="D355" s="13"/>
      <c r="E355" s="23">
        <f>IF($B355="","",IFERROR(INDEX(InsUnid,MATCH($B355,InsNome,0)),""))</f>
        <v>0</v>
      </c>
      <c r="F355" s="21">
        <f>IF($B355="","",IFERROR(INDEX(InsUtil,MATCH($B355,InsNome,0)),""))</f>
        <v>0</v>
      </c>
      <c r="G355" s="24">
        <f>IF(OR($A355="",$C355="",$F355=""),"",$C355*$F355)</f>
        <v>0</v>
      </c>
      <c r="H355" s="23">
        <f>IF($A355="","",IF($B355="","Escolha o insumo",IF($F355="","Insumo sem custo",IF(COUNTIF(PratoNome,$A355)=0,"Prato não cadastrado",IF($C355="","Falta quantidade","OK")))))</f>
        <v>0</v>
      </c>
    </row>
    <row r="356" spans="1:8">
      <c r="A356" s="13"/>
      <c r="B356" s="13"/>
      <c r="C356" s="19"/>
      <c r="D356" s="13"/>
      <c r="E356" s="23">
        <f>IF($B356="","",IFERROR(INDEX(InsUnid,MATCH($B356,InsNome,0)),""))</f>
        <v>0</v>
      </c>
      <c r="F356" s="21">
        <f>IF($B356="","",IFERROR(INDEX(InsUtil,MATCH($B356,InsNome,0)),""))</f>
        <v>0</v>
      </c>
      <c r="G356" s="24">
        <f>IF(OR($A356="",$C356="",$F356=""),"",$C356*$F356)</f>
        <v>0</v>
      </c>
      <c r="H356" s="23">
        <f>IF($A356="","",IF($B356="","Escolha o insumo",IF($F356="","Insumo sem custo",IF(COUNTIF(PratoNome,$A356)=0,"Prato não cadastrado",IF($C356="","Falta quantidade","OK")))))</f>
        <v>0</v>
      </c>
    </row>
    <row r="357" spans="1:8">
      <c r="A357" s="13"/>
      <c r="B357" s="13"/>
      <c r="C357" s="19"/>
      <c r="D357" s="13"/>
      <c r="E357" s="23">
        <f>IF($B357="","",IFERROR(INDEX(InsUnid,MATCH($B357,InsNome,0)),""))</f>
        <v>0</v>
      </c>
      <c r="F357" s="21">
        <f>IF($B357="","",IFERROR(INDEX(InsUtil,MATCH($B357,InsNome,0)),""))</f>
        <v>0</v>
      </c>
      <c r="G357" s="24">
        <f>IF(OR($A357="",$C357="",$F357=""),"",$C357*$F357)</f>
        <v>0</v>
      </c>
      <c r="H357" s="23">
        <f>IF($A357="","",IF($B357="","Escolha o insumo",IF($F357="","Insumo sem custo",IF(COUNTIF(PratoNome,$A357)=0,"Prato não cadastrado",IF($C357="","Falta quantidade","OK")))))</f>
        <v>0</v>
      </c>
    </row>
    <row r="358" spans="1:8">
      <c r="A358" s="13"/>
      <c r="B358" s="13"/>
      <c r="C358" s="19"/>
      <c r="D358" s="13"/>
      <c r="E358" s="23">
        <f>IF($B358="","",IFERROR(INDEX(InsUnid,MATCH($B358,InsNome,0)),""))</f>
        <v>0</v>
      </c>
      <c r="F358" s="21">
        <f>IF($B358="","",IFERROR(INDEX(InsUtil,MATCH($B358,InsNome,0)),""))</f>
        <v>0</v>
      </c>
      <c r="G358" s="24">
        <f>IF(OR($A358="",$C358="",$F358=""),"",$C358*$F358)</f>
        <v>0</v>
      </c>
      <c r="H358" s="23">
        <f>IF($A358="","",IF($B358="","Escolha o insumo",IF($F358="","Insumo sem custo",IF(COUNTIF(PratoNome,$A358)=0,"Prato não cadastrado",IF($C358="","Falta quantidade","OK")))))</f>
        <v>0</v>
      </c>
    </row>
    <row r="359" spans="1:8">
      <c r="A359" s="13"/>
      <c r="B359" s="13"/>
      <c r="C359" s="19"/>
      <c r="D359" s="13"/>
      <c r="E359" s="23">
        <f>IF($B359="","",IFERROR(INDEX(InsUnid,MATCH($B359,InsNome,0)),""))</f>
        <v>0</v>
      </c>
      <c r="F359" s="21">
        <f>IF($B359="","",IFERROR(INDEX(InsUtil,MATCH($B359,InsNome,0)),""))</f>
        <v>0</v>
      </c>
      <c r="G359" s="24">
        <f>IF(OR($A359="",$C359="",$F359=""),"",$C359*$F359)</f>
        <v>0</v>
      </c>
      <c r="H359" s="23">
        <f>IF($A359="","",IF($B359="","Escolha o insumo",IF($F359="","Insumo sem custo",IF(COUNTIF(PratoNome,$A359)=0,"Prato não cadastrado",IF($C359="","Falta quantidade","OK")))))</f>
        <v>0</v>
      </c>
    </row>
    <row r="360" spans="1:8">
      <c r="A360" s="13"/>
      <c r="B360" s="13"/>
      <c r="C360" s="19"/>
      <c r="D360" s="13"/>
      <c r="E360" s="23">
        <f>IF($B360="","",IFERROR(INDEX(InsUnid,MATCH($B360,InsNome,0)),""))</f>
        <v>0</v>
      </c>
      <c r="F360" s="21">
        <f>IF($B360="","",IFERROR(INDEX(InsUtil,MATCH($B360,InsNome,0)),""))</f>
        <v>0</v>
      </c>
      <c r="G360" s="24">
        <f>IF(OR($A360="",$C360="",$F360=""),"",$C360*$F360)</f>
        <v>0</v>
      </c>
      <c r="H360" s="23">
        <f>IF($A360="","",IF($B360="","Escolha o insumo",IF($F360="","Insumo sem custo",IF(COUNTIF(PratoNome,$A360)=0,"Prato não cadastrado",IF($C360="","Falta quantidade","OK")))))</f>
        <v>0</v>
      </c>
    </row>
    <row r="361" spans="1:8">
      <c r="A361" s="13"/>
      <c r="B361" s="13"/>
      <c r="C361" s="19"/>
      <c r="D361" s="13"/>
      <c r="E361" s="23">
        <f>IF($B361="","",IFERROR(INDEX(InsUnid,MATCH($B361,InsNome,0)),""))</f>
        <v>0</v>
      </c>
      <c r="F361" s="21">
        <f>IF($B361="","",IFERROR(INDEX(InsUtil,MATCH($B361,InsNome,0)),""))</f>
        <v>0</v>
      </c>
      <c r="G361" s="24">
        <f>IF(OR($A361="",$C361="",$F361=""),"",$C361*$F361)</f>
        <v>0</v>
      </c>
      <c r="H361" s="23">
        <f>IF($A361="","",IF($B361="","Escolha o insumo",IF($F361="","Insumo sem custo",IF(COUNTIF(PratoNome,$A361)=0,"Prato não cadastrado",IF($C361="","Falta quantidade","OK")))))</f>
        <v>0</v>
      </c>
    </row>
    <row r="362" spans="1:8">
      <c r="A362" s="13"/>
      <c r="B362" s="13"/>
      <c r="C362" s="19"/>
      <c r="D362" s="13"/>
      <c r="E362" s="23">
        <f>IF($B362="","",IFERROR(INDEX(InsUnid,MATCH($B362,InsNome,0)),""))</f>
        <v>0</v>
      </c>
      <c r="F362" s="21">
        <f>IF($B362="","",IFERROR(INDEX(InsUtil,MATCH($B362,InsNome,0)),""))</f>
        <v>0</v>
      </c>
      <c r="G362" s="24">
        <f>IF(OR($A362="",$C362="",$F362=""),"",$C362*$F362)</f>
        <v>0</v>
      </c>
      <c r="H362" s="23">
        <f>IF($A362="","",IF($B362="","Escolha o insumo",IF($F362="","Insumo sem custo",IF(COUNTIF(PratoNome,$A362)=0,"Prato não cadastrado",IF($C362="","Falta quantidade","OK")))))</f>
        <v>0</v>
      </c>
    </row>
    <row r="363" spans="1:8">
      <c r="A363" s="13"/>
      <c r="B363" s="13"/>
      <c r="C363" s="19"/>
      <c r="D363" s="13"/>
      <c r="E363" s="23">
        <f>IF($B363="","",IFERROR(INDEX(InsUnid,MATCH($B363,InsNome,0)),""))</f>
        <v>0</v>
      </c>
      <c r="F363" s="21">
        <f>IF($B363="","",IFERROR(INDEX(InsUtil,MATCH($B363,InsNome,0)),""))</f>
        <v>0</v>
      </c>
      <c r="G363" s="24">
        <f>IF(OR($A363="",$C363="",$F363=""),"",$C363*$F363)</f>
        <v>0</v>
      </c>
      <c r="H363" s="23">
        <f>IF($A363="","",IF($B363="","Escolha o insumo",IF($F363="","Insumo sem custo",IF(COUNTIF(PratoNome,$A363)=0,"Prato não cadastrado",IF($C363="","Falta quantidade","OK")))))</f>
        <v>0</v>
      </c>
    </row>
    <row r="364" spans="1:8">
      <c r="A364" s="13"/>
      <c r="B364" s="13"/>
      <c r="C364" s="19"/>
      <c r="D364" s="13"/>
      <c r="E364" s="23">
        <f>IF($B364="","",IFERROR(INDEX(InsUnid,MATCH($B364,InsNome,0)),""))</f>
        <v>0</v>
      </c>
      <c r="F364" s="21">
        <f>IF($B364="","",IFERROR(INDEX(InsUtil,MATCH($B364,InsNome,0)),""))</f>
        <v>0</v>
      </c>
      <c r="G364" s="24">
        <f>IF(OR($A364="",$C364="",$F364=""),"",$C364*$F364)</f>
        <v>0</v>
      </c>
      <c r="H364" s="23">
        <f>IF($A364="","",IF($B364="","Escolha o insumo",IF($F364="","Insumo sem custo",IF(COUNTIF(PratoNome,$A364)=0,"Prato não cadastrado",IF($C364="","Falta quantidade","OK")))))</f>
        <v>0</v>
      </c>
    </row>
    <row r="365" spans="1:8">
      <c r="A365" s="13"/>
      <c r="B365" s="13"/>
      <c r="C365" s="19"/>
      <c r="D365" s="13"/>
      <c r="E365" s="23">
        <f>IF($B365="","",IFERROR(INDEX(InsUnid,MATCH($B365,InsNome,0)),""))</f>
        <v>0</v>
      </c>
      <c r="F365" s="21">
        <f>IF($B365="","",IFERROR(INDEX(InsUtil,MATCH($B365,InsNome,0)),""))</f>
        <v>0</v>
      </c>
      <c r="G365" s="24">
        <f>IF(OR($A365="",$C365="",$F365=""),"",$C365*$F365)</f>
        <v>0</v>
      </c>
      <c r="H365" s="23">
        <f>IF($A365="","",IF($B365="","Escolha o insumo",IF($F365="","Insumo sem custo",IF(COUNTIF(PratoNome,$A365)=0,"Prato não cadastrado",IF($C365="","Falta quantidade","OK")))))</f>
        <v>0</v>
      </c>
    </row>
    <row r="366" spans="1:8">
      <c r="A366" s="13"/>
      <c r="B366" s="13"/>
      <c r="C366" s="19"/>
      <c r="D366" s="13"/>
      <c r="E366" s="23">
        <f>IF($B366="","",IFERROR(INDEX(InsUnid,MATCH($B366,InsNome,0)),""))</f>
        <v>0</v>
      </c>
      <c r="F366" s="21">
        <f>IF($B366="","",IFERROR(INDEX(InsUtil,MATCH($B366,InsNome,0)),""))</f>
        <v>0</v>
      </c>
      <c r="G366" s="24">
        <f>IF(OR($A366="",$C366="",$F366=""),"",$C366*$F366)</f>
        <v>0</v>
      </c>
      <c r="H366" s="23">
        <f>IF($A366="","",IF($B366="","Escolha o insumo",IF($F366="","Insumo sem custo",IF(COUNTIF(PratoNome,$A366)=0,"Prato não cadastrado",IF($C366="","Falta quantidade","OK")))))</f>
        <v>0</v>
      </c>
    </row>
    <row r="367" spans="1:8">
      <c r="A367" s="13"/>
      <c r="B367" s="13"/>
      <c r="C367" s="19"/>
      <c r="D367" s="13"/>
      <c r="E367" s="23">
        <f>IF($B367="","",IFERROR(INDEX(InsUnid,MATCH($B367,InsNome,0)),""))</f>
        <v>0</v>
      </c>
      <c r="F367" s="21">
        <f>IF($B367="","",IFERROR(INDEX(InsUtil,MATCH($B367,InsNome,0)),""))</f>
        <v>0</v>
      </c>
      <c r="G367" s="24">
        <f>IF(OR($A367="",$C367="",$F367=""),"",$C367*$F367)</f>
        <v>0</v>
      </c>
      <c r="H367" s="23">
        <f>IF($A367="","",IF($B367="","Escolha o insumo",IF($F367="","Insumo sem custo",IF(COUNTIF(PratoNome,$A367)=0,"Prato não cadastrado",IF($C367="","Falta quantidade","OK")))))</f>
        <v>0</v>
      </c>
    </row>
    <row r="368" spans="1:8">
      <c r="A368" s="13"/>
      <c r="B368" s="13"/>
      <c r="C368" s="19"/>
      <c r="D368" s="13"/>
      <c r="E368" s="23">
        <f>IF($B368="","",IFERROR(INDEX(InsUnid,MATCH($B368,InsNome,0)),""))</f>
        <v>0</v>
      </c>
      <c r="F368" s="21">
        <f>IF($B368="","",IFERROR(INDEX(InsUtil,MATCH($B368,InsNome,0)),""))</f>
        <v>0</v>
      </c>
      <c r="G368" s="24">
        <f>IF(OR($A368="",$C368="",$F368=""),"",$C368*$F368)</f>
        <v>0</v>
      </c>
      <c r="H368" s="23">
        <f>IF($A368="","",IF($B368="","Escolha o insumo",IF($F368="","Insumo sem custo",IF(COUNTIF(PratoNome,$A368)=0,"Prato não cadastrado",IF($C368="","Falta quantidade","OK")))))</f>
        <v>0</v>
      </c>
    </row>
    <row r="369" spans="1:8">
      <c r="A369" s="13"/>
      <c r="B369" s="13"/>
      <c r="C369" s="19"/>
      <c r="D369" s="13"/>
      <c r="E369" s="23">
        <f>IF($B369="","",IFERROR(INDEX(InsUnid,MATCH($B369,InsNome,0)),""))</f>
        <v>0</v>
      </c>
      <c r="F369" s="21">
        <f>IF($B369="","",IFERROR(INDEX(InsUtil,MATCH($B369,InsNome,0)),""))</f>
        <v>0</v>
      </c>
      <c r="G369" s="24">
        <f>IF(OR($A369="",$C369="",$F369=""),"",$C369*$F369)</f>
        <v>0</v>
      </c>
      <c r="H369" s="23">
        <f>IF($A369="","",IF($B369="","Escolha o insumo",IF($F369="","Insumo sem custo",IF(COUNTIF(PratoNome,$A369)=0,"Prato não cadastrado",IF($C369="","Falta quantidade","OK")))))</f>
        <v>0</v>
      </c>
    </row>
    <row r="370" spans="1:8">
      <c r="A370" s="13"/>
      <c r="B370" s="13"/>
      <c r="C370" s="19"/>
      <c r="D370" s="13"/>
      <c r="E370" s="23">
        <f>IF($B370="","",IFERROR(INDEX(InsUnid,MATCH($B370,InsNome,0)),""))</f>
        <v>0</v>
      </c>
      <c r="F370" s="21">
        <f>IF($B370="","",IFERROR(INDEX(InsUtil,MATCH($B370,InsNome,0)),""))</f>
        <v>0</v>
      </c>
      <c r="G370" s="24">
        <f>IF(OR($A370="",$C370="",$F370=""),"",$C370*$F370)</f>
        <v>0</v>
      </c>
      <c r="H370" s="23">
        <f>IF($A370="","",IF($B370="","Escolha o insumo",IF($F370="","Insumo sem custo",IF(COUNTIF(PratoNome,$A370)=0,"Prato não cadastrado",IF($C370="","Falta quantidade","OK")))))</f>
        <v>0</v>
      </c>
    </row>
    <row r="371" spans="1:8">
      <c r="A371" s="13"/>
      <c r="B371" s="13"/>
      <c r="C371" s="19"/>
      <c r="D371" s="13"/>
      <c r="E371" s="23">
        <f>IF($B371="","",IFERROR(INDEX(InsUnid,MATCH($B371,InsNome,0)),""))</f>
        <v>0</v>
      </c>
      <c r="F371" s="21">
        <f>IF($B371="","",IFERROR(INDEX(InsUtil,MATCH($B371,InsNome,0)),""))</f>
        <v>0</v>
      </c>
      <c r="G371" s="24">
        <f>IF(OR($A371="",$C371="",$F371=""),"",$C371*$F371)</f>
        <v>0</v>
      </c>
      <c r="H371" s="23">
        <f>IF($A371="","",IF($B371="","Escolha o insumo",IF($F371="","Insumo sem custo",IF(COUNTIF(PratoNome,$A371)=0,"Prato não cadastrado",IF($C371="","Falta quantidade","OK")))))</f>
        <v>0</v>
      </c>
    </row>
    <row r="372" spans="1:8">
      <c r="A372" s="13"/>
      <c r="B372" s="13"/>
      <c r="C372" s="19"/>
      <c r="D372" s="13"/>
      <c r="E372" s="23">
        <f>IF($B372="","",IFERROR(INDEX(InsUnid,MATCH($B372,InsNome,0)),""))</f>
        <v>0</v>
      </c>
      <c r="F372" s="21">
        <f>IF($B372="","",IFERROR(INDEX(InsUtil,MATCH($B372,InsNome,0)),""))</f>
        <v>0</v>
      </c>
      <c r="G372" s="24">
        <f>IF(OR($A372="",$C372="",$F372=""),"",$C372*$F372)</f>
        <v>0</v>
      </c>
      <c r="H372" s="23">
        <f>IF($A372="","",IF($B372="","Escolha o insumo",IF($F372="","Insumo sem custo",IF(COUNTIF(PratoNome,$A372)=0,"Prato não cadastrado",IF($C372="","Falta quantidade","OK")))))</f>
        <v>0</v>
      </c>
    </row>
    <row r="373" spans="1:8">
      <c r="A373" s="13"/>
      <c r="B373" s="13"/>
      <c r="C373" s="19"/>
      <c r="D373" s="13"/>
      <c r="E373" s="23">
        <f>IF($B373="","",IFERROR(INDEX(InsUnid,MATCH($B373,InsNome,0)),""))</f>
        <v>0</v>
      </c>
      <c r="F373" s="21">
        <f>IF($B373="","",IFERROR(INDEX(InsUtil,MATCH($B373,InsNome,0)),""))</f>
        <v>0</v>
      </c>
      <c r="G373" s="24">
        <f>IF(OR($A373="",$C373="",$F373=""),"",$C373*$F373)</f>
        <v>0</v>
      </c>
      <c r="H373" s="23">
        <f>IF($A373="","",IF($B373="","Escolha o insumo",IF($F373="","Insumo sem custo",IF(COUNTIF(PratoNome,$A373)=0,"Prato não cadastrado",IF($C373="","Falta quantidade","OK")))))</f>
        <v>0</v>
      </c>
    </row>
    <row r="374" spans="1:8">
      <c r="A374" s="13"/>
      <c r="B374" s="13"/>
      <c r="C374" s="19"/>
      <c r="D374" s="13"/>
      <c r="E374" s="23">
        <f>IF($B374="","",IFERROR(INDEX(InsUnid,MATCH($B374,InsNome,0)),""))</f>
        <v>0</v>
      </c>
      <c r="F374" s="21">
        <f>IF($B374="","",IFERROR(INDEX(InsUtil,MATCH($B374,InsNome,0)),""))</f>
        <v>0</v>
      </c>
      <c r="G374" s="24">
        <f>IF(OR($A374="",$C374="",$F374=""),"",$C374*$F374)</f>
        <v>0</v>
      </c>
      <c r="H374" s="23">
        <f>IF($A374="","",IF($B374="","Escolha o insumo",IF($F374="","Insumo sem custo",IF(COUNTIF(PratoNome,$A374)=0,"Prato não cadastrado",IF($C374="","Falta quantidade","OK")))))</f>
        <v>0</v>
      </c>
    </row>
    <row r="375" spans="1:8">
      <c r="A375" s="13"/>
      <c r="B375" s="13"/>
      <c r="C375" s="19"/>
      <c r="D375" s="13"/>
      <c r="E375" s="23">
        <f>IF($B375="","",IFERROR(INDEX(InsUnid,MATCH($B375,InsNome,0)),""))</f>
        <v>0</v>
      </c>
      <c r="F375" s="21">
        <f>IF($B375="","",IFERROR(INDEX(InsUtil,MATCH($B375,InsNome,0)),""))</f>
        <v>0</v>
      </c>
      <c r="G375" s="24">
        <f>IF(OR($A375="",$C375="",$F375=""),"",$C375*$F375)</f>
        <v>0</v>
      </c>
      <c r="H375" s="23">
        <f>IF($A375="","",IF($B375="","Escolha o insumo",IF($F375="","Insumo sem custo",IF(COUNTIF(PratoNome,$A375)=0,"Prato não cadastrado",IF($C375="","Falta quantidade","OK")))))</f>
        <v>0</v>
      </c>
    </row>
    <row r="376" spans="1:8">
      <c r="A376" s="13"/>
      <c r="B376" s="13"/>
      <c r="C376" s="19"/>
      <c r="D376" s="13"/>
      <c r="E376" s="23">
        <f>IF($B376="","",IFERROR(INDEX(InsUnid,MATCH($B376,InsNome,0)),""))</f>
        <v>0</v>
      </c>
      <c r="F376" s="21">
        <f>IF($B376="","",IFERROR(INDEX(InsUtil,MATCH($B376,InsNome,0)),""))</f>
        <v>0</v>
      </c>
      <c r="G376" s="24">
        <f>IF(OR($A376="",$C376="",$F376=""),"",$C376*$F376)</f>
        <v>0</v>
      </c>
      <c r="H376" s="23">
        <f>IF($A376="","",IF($B376="","Escolha o insumo",IF($F376="","Insumo sem custo",IF(COUNTIF(PratoNome,$A376)=0,"Prato não cadastrado",IF($C376="","Falta quantidade","OK")))))</f>
        <v>0</v>
      </c>
    </row>
    <row r="377" spans="1:8">
      <c r="A377" s="13"/>
      <c r="B377" s="13"/>
      <c r="C377" s="19"/>
      <c r="D377" s="13"/>
      <c r="E377" s="23">
        <f>IF($B377="","",IFERROR(INDEX(InsUnid,MATCH($B377,InsNome,0)),""))</f>
        <v>0</v>
      </c>
      <c r="F377" s="21">
        <f>IF($B377="","",IFERROR(INDEX(InsUtil,MATCH($B377,InsNome,0)),""))</f>
        <v>0</v>
      </c>
      <c r="G377" s="24">
        <f>IF(OR($A377="",$C377="",$F377=""),"",$C377*$F377)</f>
        <v>0</v>
      </c>
      <c r="H377" s="23">
        <f>IF($A377="","",IF($B377="","Escolha o insumo",IF($F377="","Insumo sem custo",IF(COUNTIF(PratoNome,$A377)=0,"Prato não cadastrado",IF($C377="","Falta quantidade","OK")))))</f>
        <v>0</v>
      </c>
    </row>
    <row r="378" spans="1:8">
      <c r="A378" s="13"/>
      <c r="B378" s="13"/>
      <c r="C378" s="19"/>
      <c r="D378" s="13"/>
      <c r="E378" s="23">
        <f>IF($B378="","",IFERROR(INDEX(InsUnid,MATCH($B378,InsNome,0)),""))</f>
        <v>0</v>
      </c>
      <c r="F378" s="21">
        <f>IF($B378="","",IFERROR(INDEX(InsUtil,MATCH($B378,InsNome,0)),""))</f>
        <v>0</v>
      </c>
      <c r="G378" s="24">
        <f>IF(OR($A378="",$C378="",$F378=""),"",$C378*$F378)</f>
        <v>0</v>
      </c>
      <c r="H378" s="23">
        <f>IF($A378="","",IF($B378="","Escolha o insumo",IF($F378="","Insumo sem custo",IF(COUNTIF(PratoNome,$A378)=0,"Prato não cadastrado",IF($C378="","Falta quantidade","OK")))))</f>
        <v>0</v>
      </c>
    </row>
    <row r="379" spans="1:8">
      <c r="A379" s="13"/>
      <c r="B379" s="13"/>
      <c r="C379" s="19"/>
      <c r="D379" s="13"/>
      <c r="E379" s="23">
        <f>IF($B379="","",IFERROR(INDEX(InsUnid,MATCH($B379,InsNome,0)),""))</f>
        <v>0</v>
      </c>
      <c r="F379" s="21">
        <f>IF($B379="","",IFERROR(INDEX(InsUtil,MATCH($B379,InsNome,0)),""))</f>
        <v>0</v>
      </c>
      <c r="G379" s="24">
        <f>IF(OR($A379="",$C379="",$F379=""),"",$C379*$F379)</f>
        <v>0</v>
      </c>
      <c r="H379" s="23">
        <f>IF($A379="","",IF($B379="","Escolha o insumo",IF($F379="","Insumo sem custo",IF(COUNTIF(PratoNome,$A379)=0,"Prato não cadastrado",IF($C379="","Falta quantidade","OK")))))</f>
        <v>0</v>
      </c>
    </row>
    <row r="380" spans="1:8">
      <c r="A380" s="13"/>
      <c r="B380" s="13"/>
      <c r="C380" s="19"/>
      <c r="D380" s="13"/>
      <c r="E380" s="23">
        <f>IF($B380="","",IFERROR(INDEX(InsUnid,MATCH($B380,InsNome,0)),""))</f>
        <v>0</v>
      </c>
      <c r="F380" s="21">
        <f>IF($B380="","",IFERROR(INDEX(InsUtil,MATCH($B380,InsNome,0)),""))</f>
        <v>0</v>
      </c>
      <c r="G380" s="24">
        <f>IF(OR($A380="",$C380="",$F380=""),"",$C380*$F380)</f>
        <v>0</v>
      </c>
      <c r="H380" s="23">
        <f>IF($A380="","",IF($B380="","Escolha o insumo",IF($F380="","Insumo sem custo",IF(COUNTIF(PratoNome,$A380)=0,"Prato não cadastrado",IF($C380="","Falta quantidade","OK")))))</f>
        <v>0</v>
      </c>
    </row>
    <row r="381" spans="1:8">
      <c r="A381" s="13"/>
      <c r="B381" s="13"/>
      <c r="C381" s="19"/>
      <c r="D381" s="13"/>
      <c r="E381" s="23">
        <f>IF($B381="","",IFERROR(INDEX(InsUnid,MATCH($B381,InsNome,0)),""))</f>
        <v>0</v>
      </c>
      <c r="F381" s="21">
        <f>IF($B381="","",IFERROR(INDEX(InsUtil,MATCH($B381,InsNome,0)),""))</f>
        <v>0</v>
      </c>
      <c r="G381" s="24">
        <f>IF(OR($A381="",$C381="",$F381=""),"",$C381*$F381)</f>
        <v>0</v>
      </c>
      <c r="H381" s="23">
        <f>IF($A381="","",IF($B381="","Escolha o insumo",IF($F381="","Insumo sem custo",IF(COUNTIF(PratoNome,$A381)=0,"Prato não cadastrado",IF($C381="","Falta quantidade","OK")))))</f>
        <v>0</v>
      </c>
    </row>
    <row r="382" spans="1:8">
      <c r="A382" s="13"/>
      <c r="B382" s="13"/>
      <c r="C382" s="19"/>
      <c r="D382" s="13"/>
      <c r="E382" s="23">
        <f>IF($B382="","",IFERROR(INDEX(InsUnid,MATCH($B382,InsNome,0)),""))</f>
        <v>0</v>
      </c>
      <c r="F382" s="21">
        <f>IF($B382="","",IFERROR(INDEX(InsUtil,MATCH($B382,InsNome,0)),""))</f>
        <v>0</v>
      </c>
      <c r="G382" s="24">
        <f>IF(OR($A382="",$C382="",$F382=""),"",$C382*$F382)</f>
        <v>0</v>
      </c>
      <c r="H382" s="23">
        <f>IF($A382="","",IF($B382="","Escolha o insumo",IF($F382="","Insumo sem custo",IF(COUNTIF(PratoNome,$A382)=0,"Prato não cadastrado",IF($C382="","Falta quantidade","OK")))))</f>
        <v>0</v>
      </c>
    </row>
    <row r="383" spans="1:8">
      <c r="A383" s="13"/>
      <c r="B383" s="13"/>
      <c r="C383" s="19"/>
      <c r="D383" s="13"/>
      <c r="E383" s="23">
        <f>IF($B383="","",IFERROR(INDEX(InsUnid,MATCH($B383,InsNome,0)),""))</f>
        <v>0</v>
      </c>
      <c r="F383" s="21">
        <f>IF($B383="","",IFERROR(INDEX(InsUtil,MATCH($B383,InsNome,0)),""))</f>
        <v>0</v>
      </c>
      <c r="G383" s="24">
        <f>IF(OR($A383="",$C383="",$F383=""),"",$C383*$F383)</f>
        <v>0</v>
      </c>
      <c r="H383" s="23">
        <f>IF($A383="","",IF($B383="","Escolha o insumo",IF($F383="","Insumo sem custo",IF(COUNTIF(PratoNome,$A383)=0,"Prato não cadastrado",IF($C383="","Falta quantidade","OK")))))</f>
        <v>0</v>
      </c>
    </row>
    <row r="384" spans="1:8">
      <c r="A384" s="13"/>
      <c r="B384" s="13"/>
      <c r="C384" s="19"/>
      <c r="D384" s="13"/>
      <c r="E384" s="23">
        <f>IF($B384="","",IFERROR(INDEX(InsUnid,MATCH($B384,InsNome,0)),""))</f>
        <v>0</v>
      </c>
      <c r="F384" s="21">
        <f>IF($B384="","",IFERROR(INDEX(InsUtil,MATCH($B384,InsNome,0)),""))</f>
        <v>0</v>
      </c>
      <c r="G384" s="24">
        <f>IF(OR($A384="",$C384="",$F384=""),"",$C384*$F384)</f>
        <v>0</v>
      </c>
      <c r="H384" s="23">
        <f>IF($A384="","",IF($B384="","Escolha o insumo",IF($F384="","Insumo sem custo",IF(COUNTIF(PratoNome,$A384)=0,"Prato não cadastrado",IF($C384="","Falta quantidade","OK")))))</f>
        <v>0</v>
      </c>
    </row>
    <row r="385" spans="1:8">
      <c r="A385" s="13"/>
      <c r="B385" s="13"/>
      <c r="C385" s="19"/>
      <c r="D385" s="13"/>
      <c r="E385" s="23">
        <f>IF($B385="","",IFERROR(INDEX(InsUnid,MATCH($B385,InsNome,0)),""))</f>
        <v>0</v>
      </c>
      <c r="F385" s="21">
        <f>IF($B385="","",IFERROR(INDEX(InsUtil,MATCH($B385,InsNome,0)),""))</f>
        <v>0</v>
      </c>
      <c r="G385" s="24">
        <f>IF(OR($A385="",$C385="",$F385=""),"",$C385*$F385)</f>
        <v>0</v>
      </c>
      <c r="H385" s="23">
        <f>IF($A385="","",IF($B385="","Escolha o insumo",IF($F385="","Insumo sem custo",IF(COUNTIF(PratoNome,$A385)=0,"Prato não cadastrado",IF($C385="","Falta quantidade","OK")))))</f>
        <v>0</v>
      </c>
    </row>
    <row r="386" spans="1:8">
      <c r="A386" s="13"/>
      <c r="B386" s="13"/>
      <c r="C386" s="19"/>
      <c r="D386" s="13"/>
      <c r="E386" s="23">
        <f>IF($B386="","",IFERROR(INDEX(InsUnid,MATCH($B386,InsNome,0)),""))</f>
        <v>0</v>
      </c>
      <c r="F386" s="21">
        <f>IF($B386="","",IFERROR(INDEX(InsUtil,MATCH($B386,InsNome,0)),""))</f>
        <v>0</v>
      </c>
      <c r="G386" s="24">
        <f>IF(OR($A386="",$C386="",$F386=""),"",$C386*$F386)</f>
        <v>0</v>
      </c>
      <c r="H386" s="23">
        <f>IF($A386="","",IF($B386="","Escolha o insumo",IF($F386="","Insumo sem custo",IF(COUNTIF(PratoNome,$A386)=0,"Prato não cadastrado",IF($C386="","Falta quantidade","OK")))))</f>
        <v>0</v>
      </c>
    </row>
    <row r="387" spans="1:8">
      <c r="A387" s="13"/>
      <c r="B387" s="13"/>
      <c r="C387" s="19"/>
      <c r="D387" s="13"/>
      <c r="E387" s="23">
        <f>IF($B387="","",IFERROR(INDEX(InsUnid,MATCH($B387,InsNome,0)),""))</f>
        <v>0</v>
      </c>
      <c r="F387" s="21">
        <f>IF($B387="","",IFERROR(INDEX(InsUtil,MATCH($B387,InsNome,0)),""))</f>
        <v>0</v>
      </c>
      <c r="G387" s="24">
        <f>IF(OR($A387="",$C387="",$F387=""),"",$C387*$F387)</f>
        <v>0</v>
      </c>
      <c r="H387" s="23">
        <f>IF($A387="","",IF($B387="","Escolha o insumo",IF($F387="","Insumo sem custo",IF(COUNTIF(PratoNome,$A387)=0,"Prato não cadastrado",IF($C387="","Falta quantidade","OK")))))</f>
        <v>0</v>
      </c>
    </row>
    <row r="388" spans="1:8">
      <c r="A388" s="13"/>
      <c r="B388" s="13"/>
      <c r="C388" s="19"/>
      <c r="D388" s="13"/>
      <c r="E388" s="23">
        <f>IF($B388="","",IFERROR(INDEX(InsUnid,MATCH($B388,InsNome,0)),""))</f>
        <v>0</v>
      </c>
      <c r="F388" s="21">
        <f>IF($B388="","",IFERROR(INDEX(InsUtil,MATCH($B388,InsNome,0)),""))</f>
        <v>0</v>
      </c>
      <c r="G388" s="24">
        <f>IF(OR($A388="",$C388="",$F388=""),"",$C388*$F388)</f>
        <v>0</v>
      </c>
      <c r="H388" s="23">
        <f>IF($A388="","",IF($B388="","Escolha o insumo",IF($F388="","Insumo sem custo",IF(COUNTIF(PratoNome,$A388)=0,"Prato não cadastrado",IF($C388="","Falta quantidade","OK")))))</f>
        <v>0</v>
      </c>
    </row>
    <row r="389" spans="1:8">
      <c r="A389" s="13"/>
      <c r="B389" s="13"/>
      <c r="C389" s="19"/>
      <c r="D389" s="13"/>
      <c r="E389" s="23">
        <f>IF($B389="","",IFERROR(INDEX(InsUnid,MATCH($B389,InsNome,0)),""))</f>
        <v>0</v>
      </c>
      <c r="F389" s="21">
        <f>IF($B389="","",IFERROR(INDEX(InsUtil,MATCH($B389,InsNome,0)),""))</f>
        <v>0</v>
      </c>
      <c r="G389" s="24">
        <f>IF(OR($A389="",$C389="",$F389=""),"",$C389*$F389)</f>
        <v>0</v>
      </c>
      <c r="H389" s="23">
        <f>IF($A389="","",IF($B389="","Escolha o insumo",IF($F389="","Insumo sem custo",IF(COUNTIF(PratoNome,$A389)=0,"Prato não cadastrado",IF($C389="","Falta quantidade","OK")))))</f>
        <v>0</v>
      </c>
    </row>
    <row r="390" spans="1:8">
      <c r="A390" s="13"/>
      <c r="B390" s="13"/>
      <c r="C390" s="19"/>
      <c r="D390" s="13"/>
      <c r="E390" s="23">
        <f>IF($B390="","",IFERROR(INDEX(InsUnid,MATCH($B390,InsNome,0)),""))</f>
        <v>0</v>
      </c>
      <c r="F390" s="21">
        <f>IF($B390="","",IFERROR(INDEX(InsUtil,MATCH($B390,InsNome,0)),""))</f>
        <v>0</v>
      </c>
      <c r="G390" s="24">
        <f>IF(OR($A390="",$C390="",$F390=""),"",$C390*$F390)</f>
        <v>0</v>
      </c>
      <c r="H390" s="23">
        <f>IF($A390="","",IF($B390="","Escolha o insumo",IF($F390="","Insumo sem custo",IF(COUNTIF(PratoNome,$A390)=0,"Prato não cadastrado",IF($C390="","Falta quantidade","OK")))))</f>
        <v>0</v>
      </c>
    </row>
    <row r="391" spans="1:8">
      <c r="A391" s="13"/>
      <c r="B391" s="13"/>
      <c r="C391" s="19"/>
      <c r="D391" s="13"/>
      <c r="E391" s="23">
        <f>IF($B391="","",IFERROR(INDEX(InsUnid,MATCH($B391,InsNome,0)),""))</f>
        <v>0</v>
      </c>
      <c r="F391" s="21">
        <f>IF($B391="","",IFERROR(INDEX(InsUtil,MATCH($B391,InsNome,0)),""))</f>
        <v>0</v>
      </c>
      <c r="G391" s="24">
        <f>IF(OR($A391="",$C391="",$F391=""),"",$C391*$F391)</f>
        <v>0</v>
      </c>
      <c r="H391" s="23">
        <f>IF($A391="","",IF($B391="","Escolha o insumo",IF($F391="","Insumo sem custo",IF(COUNTIF(PratoNome,$A391)=0,"Prato não cadastrado",IF($C391="","Falta quantidade","OK")))))</f>
        <v>0</v>
      </c>
    </row>
    <row r="392" spans="1:8">
      <c r="A392" s="13"/>
      <c r="B392" s="13"/>
      <c r="C392" s="19"/>
      <c r="D392" s="13"/>
      <c r="E392" s="23">
        <f>IF($B392="","",IFERROR(INDEX(InsUnid,MATCH($B392,InsNome,0)),""))</f>
        <v>0</v>
      </c>
      <c r="F392" s="21">
        <f>IF($B392="","",IFERROR(INDEX(InsUtil,MATCH($B392,InsNome,0)),""))</f>
        <v>0</v>
      </c>
      <c r="G392" s="24">
        <f>IF(OR($A392="",$C392="",$F392=""),"",$C392*$F392)</f>
        <v>0</v>
      </c>
      <c r="H392" s="23">
        <f>IF($A392="","",IF($B392="","Escolha o insumo",IF($F392="","Insumo sem custo",IF(COUNTIF(PratoNome,$A392)=0,"Prato não cadastrado",IF($C392="","Falta quantidade","OK")))))</f>
        <v>0</v>
      </c>
    </row>
    <row r="393" spans="1:8">
      <c r="A393" s="13"/>
      <c r="B393" s="13"/>
      <c r="C393" s="19"/>
      <c r="D393" s="13"/>
      <c r="E393" s="23">
        <f>IF($B393="","",IFERROR(INDEX(InsUnid,MATCH($B393,InsNome,0)),""))</f>
        <v>0</v>
      </c>
      <c r="F393" s="21">
        <f>IF($B393="","",IFERROR(INDEX(InsUtil,MATCH($B393,InsNome,0)),""))</f>
        <v>0</v>
      </c>
      <c r="G393" s="24">
        <f>IF(OR($A393="",$C393="",$F393=""),"",$C393*$F393)</f>
        <v>0</v>
      </c>
      <c r="H393" s="23">
        <f>IF($A393="","",IF($B393="","Escolha o insumo",IF($F393="","Insumo sem custo",IF(COUNTIF(PratoNome,$A393)=0,"Prato não cadastrado",IF($C393="","Falta quantidade","OK")))))</f>
        <v>0</v>
      </c>
    </row>
    <row r="394" spans="1:8">
      <c r="A394" s="13"/>
      <c r="B394" s="13"/>
      <c r="C394" s="19"/>
      <c r="D394" s="13"/>
      <c r="E394" s="23">
        <f>IF($B394="","",IFERROR(INDEX(InsUnid,MATCH($B394,InsNome,0)),""))</f>
        <v>0</v>
      </c>
      <c r="F394" s="21">
        <f>IF($B394="","",IFERROR(INDEX(InsUtil,MATCH($B394,InsNome,0)),""))</f>
        <v>0</v>
      </c>
      <c r="G394" s="24">
        <f>IF(OR($A394="",$C394="",$F394=""),"",$C394*$F394)</f>
        <v>0</v>
      </c>
      <c r="H394" s="23">
        <f>IF($A394="","",IF($B394="","Escolha o insumo",IF($F394="","Insumo sem custo",IF(COUNTIF(PratoNome,$A394)=0,"Prato não cadastrado",IF($C394="","Falta quantidade","OK")))))</f>
        <v>0</v>
      </c>
    </row>
    <row r="395" spans="1:8">
      <c r="A395" s="13"/>
      <c r="B395" s="13"/>
      <c r="C395" s="19"/>
      <c r="D395" s="13"/>
      <c r="E395" s="23">
        <f>IF($B395="","",IFERROR(INDEX(InsUnid,MATCH($B395,InsNome,0)),""))</f>
        <v>0</v>
      </c>
      <c r="F395" s="21">
        <f>IF($B395="","",IFERROR(INDEX(InsUtil,MATCH($B395,InsNome,0)),""))</f>
        <v>0</v>
      </c>
      <c r="G395" s="24">
        <f>IF(OR($A395="",$C395="",$F395=""),"",$C395*$F395)</f>
        <v>0</v>
      </c>
      <c r="H395" s="23">
        <f>IF($A395="","",IF($B395="","Escolha o insumo",IF($F395="","Insumo sem custo",IF(COUNTIF(PratoNome,$A395)=0,"Prato não cadastrado",IF($C395="","Falta quantidade","OK")))))</f>
        <v>0</v>
      </c>
    </row>
    <row r="396" spans="1:8">
      <c r="A396" s="13"/>
      <c r="B396" s="13"/>
      <c r="C396" s="19"/>
      <c r="D396" s="13"/>
      <c r="E396" s="23">
        <f>IF($B396="","",IFERROR(INDEX(InsUnid,MATCH($B396,InsNome,0)),""))</f>
        <v>0</v>
      </c>
      <c r="F396" s="21">
        <f>IF($B396="","",IFERROR(INDEX(InsUtil,MATCH($B396,InsNome,0)),""))</f>
        <v>0</v>
      </c>
      <c r="G396" s="24">
        <f>IF(OR($A396="",$C396="",$F396=""),"",$C396*$F396)</f>
        <v>0</v>
      </c>
      <c r="H396" s="23">
        <f>IF($A396="","",IF($B396="","Escolha o insumo",IF($F396="","Insumo sem custo",IF(COUNTIF(PratoNome,$A396)=0,"Prato não cadastrado",IF($C396="","Falta quantidade","OK")))))</f>
        <v>0</v>
      </c>
    </row>
    <row r="397" spans="1:8">
      <c r="A397" s="13"/>
      <c r="B397" s="13"/>
      <c r="C397" s="19"/>
      <c r="D397" s="13"/>
      <c r="E397" s="23">
        <f>IF($B397="","",IFERROR(INDEX(InsUnid,MATCH($B397,InsNome,0)),""))</f>
        <v>0</v>
      </c>
      <c r="F397" s="21">
        <f>IF($B397="","",IFERROR(INDEX(InsUtil,MATCH($B397,InsNome,0)),""))</f>
        <v>0</v>
      </c>
      <c r="G397" s="24">
        <f>IF(OR($A397="",$C397="",$F397=""),"",$C397*$F397)</f>
        <v>0</v>
      </c>
      <c r="H397" s="23">
        <f>IF($A397="","",IF($B397="","Escolha o insumo",IF($F397="","Insumo sem custo",IF(COUNTIF(PratoNome,$A397)=0,"Prato não cadastrado",IF($C397="","Falta quantidade","OK")))))</f>
        <v>0</v>
      </c>
    </row>
    <row r="398" spans="1:8">
      <c r="A398" s="13"/>
      <c r="B398" s="13"/>
      <c r="C398" s="19"/>
      <c r="D398" s="13"/>
      <c r="E398" s="23">
        <f>IF($B398="","",IFERROR(INDEX(InsUnid,MATCH($B398,InsNome,0)),""))</f>
        <v>0</v>
      </c>
      <c r="F398" s="21">
        <f>IF($B398="","",IFERROR(INDEX(InsUtil,MATCH($B398,InsNome,0)),""))</f>
        <v>0</v>
      </c>
      <c r="G398" s="24">
        <f>IF(OR($A398="",$C398="",$F398=""),"",$C398*$F398)</f>
        <v>0</v>
      </c>
      <c r="H398" s="23">
        <f>IF($A398="","",IF($B398="","Escolha o insumo",IF($F398="","Insumo sem custo",IF(COUNTIF(PratoNome,$A398)=0,"Prato não cadastrado",IF($C398="","Falta quantidade","OK")))))</f>
        <v>0</v>
      </c>
    </row>
    <row r="399" spans="1:8">
      <c r="A399" s="13"/>
      <c r="B399" s="13"/>
      <c r="C399" s="19"/>
      <c r="D399" s="13"/>
      <c r="E399" s="23">
        <f>IF($B399="","",IFERROR(INDEX(InsUnid,MATCH($B399,InsNome,0)),""))</f>
        <v>0</v>
      </c>
      <c r="F399" s="21">
        <f>IF($B399="","",IFERROR(INDEX(InsUtil,MATCH($B399,InsNome,0)),""))</f>
        <v>0</v>
      </c>
      <c r="G399" s="24">
        <f>IF(OR($A399="",$C399="",$F399=""),"",$C399*$F399)</f>
        <v>0</v>
      </c>
      <c r="H399" s="23">
        <f>IF($A399="","",IF($B399="","Escolha o insumo",IF($F399="","Insumo sem custo",IF(COUNTIF(PratoNome,$A399)=0,"Prato não cadastrado",IF($C399="","Falta quantidade","OK")))))</f>
        <v>0</v>
      </c>
    </row>
    <row r="400" spans="1:8">
      <c r="A400" s="13"/>
      <c r="B400" s="13"/>
      <c r="C400" s="19"/>
      <c r="D400" s="13"/>
      <c r="E400" s="23">
        <f>IF($B400="","",IFERROR(INDEX(InsUnid,MATCH($B400,InsNome,0)),""))</f>
        <v>0</v>
      </c>
      <c r="F400" s="21">
        <f>IF($B400="","",IFERROR(INDEX(InsUtil,MATCH($B400,InsNome,0)),""))</f>
        <v>0</v>
      </c>
      <c r="G400" s="24">
        <f>IF(OR($A400="",$C400="",$F400=""),"",$C400*$F400)</f>
        <v>0</v>
      </c>
      <c r="H400" s="23">
        <f>IF($A400="","",IF($B400="","Escolha o insumo",IF($F400="","Insumo sem custo",IF(COUNTIF(PratoNome,$A400)=0,"Prato não cadastrado",IF($C400="","Falta quantidade","OK")))))</f>
        <v>0</v>
      </c>
    </row>
    <row r="401" spans="1:8">
      <c r="A401" s="13"/>
      <c r="B401" s="13"/>
      <c r="C401" s="19"/>
      <c r="D401" s="13"/>
      <c r="E401" s="23">
        <f>IF($B401="","",IFERROR(INDEX(InsUnid,MATCH($B401,InsNome,0)),""))</f>
        <v>0</v>
      </c>
      <c r="F401" s="21">
        <f>IF($B401="","",IFERROR(INDEX(InsUtil,MATCH($B401,InsNome,0)),""))</f>
        <v>0</v>
      </c>
      <c r="G401" s="24">
        <f>IF(OR($A401="",$C401="",$F401=""),"",$C401*$F401)</f>
        <v>0</v>
      </c>
      <c r="H401" s="23">
        <f>IF($A401="","",IF($B401="","Escolha o insumo",IF($F401="","Insumo sem custo",IF(COUNTIF(PratoNome,$A401)=0,"Prato não cadastrado",IF($C401="","Falta quantidade","OK")))))</f>
        <v>0</v>
      </c>
    </row>
    <row r="402" spans="1:8">
      <c r="A402" s="13"/>
      <c r="B402" s="13"/>
      <c r="C402" s="19"/>
      <c r="D402" s="13"/>
      <c r="E402" s="23">
        <f>IF($B402="","",IFERROR(INDEX(InsUnid,MATCH($B402,InsNome,0)),""))</f>
        <v>0</v>
      </c>
      <c r="F402" s="21">
        <f>IF($B402="","",IFERROR(INDEX(InsUtil,MATCH($B402,InsNome,0)),""))</f>
        <v>0</v>
      </c>
      <c r="G402" s="24">
        <f>IF(OR($A402="",$C402="",$F402=""),"",$C402*$F402)</f>
        <v>0</v>
      </c>
      <c r="H402" s="23">
        <f>IF($A402="","",IF($B402="","Escolha o insumo",IF($F402="","Insumo sem custo",IF(COUNTIF(PratoNome,$A402)=0,"Prato não cadastrado",IF($C402="","Falta quantidade","OK")))))</f>
        <v>0</v>
      </c>
    </row>
    <row r="403" spans="1:8">
      <c r="A403" s="13"/>
      <c r="B403" s="13"/>
      <c r="C403" s="19"/>
      <c r="D403" s="13"/>
      <c r="E403" s="23">
        <f>IF($B403="","",IFERROR(INDEX(InsUnid,MATCH($B403,InsNome,0)),""))</f>
        <v>0</v>
      </c>
      <c r="F403" s="21">
        <f>IF($B403="","",IFERROR(INDEX(InsUtil,MATCH($B403,InsNome,0)),""))</f>
        <v>0</v>
      </c>
      <c r="G403" s="24">
        <f>IF(OR($A403="",$C403="",$F403=""),"",$C403*$F403)</f>
        <v>0</v>
      </c>
      <c r="H403" s="23">
        <f>IF($A403="","",IF($B403="","Escolha o insumo",IF($F403="","Insumo sem custo",IF(COUNTIF(PratoNome,$A403)=0,"Prato não cadastrado",IF($C403="","Falta quantidade","OK")))))</f>
        <v>0</v>
      </c>
    </row>
    <row r="404" spans="1:8">
      <c r="A404" s="13"/>
      <c r="B404" s="13"/>
      <c r="C404" s="19"/>
      <c r="D404" s="13"/>
      <c r="E404" s="23">
        <f>IF($B404="","",IFERROR(INDEX(InsUnid,MATCH($B404,InsNome,0)),""))</f>
        <v>0</v>
      </c>
      <c r="F404" s="21">
        <f>IF($B404="","",IFERROR(INDEX(InsUtil,MATCH($B404,InsNome,0)),""))</f>
        <v>0</v>
      </c>
      <c r="G404" s="24">
        <f>IF(OR($A404="",$C404="",$F404=""),"",$C404*$F404)</f>
        <v>0</v>
      </c>
      <c r="H404" s="23">
        <f>IF($A404="","",IF($B404="","Escolha o insumo",IF($F404="","Insumo sem custo",IF(COUNTIF(PratoNome,$A404)=0,"Prato não cadastrado",IF($C404="","Falta quantidade","OK")))))</f>
        <v>0</v>
      </c>
    </row>
    <row r="405" spans="1:8">
      <c r="A405" s="13"/>
      <c r="B405" s="13"/>
      <c r="C405" s="19"/>
      <c r="D405" s="13"/>
      <c r="E405" s="23">
        <f>IF($B405="","",IFERROR(INDEX(InsUnid,MATCH($B405,InsNome,0)),""))</f>
        <v>0</v>
      </c>
      <c r="F405" s="21">
        <f>IF($B405="","",IFERROR(INDEX(InsUtil,MATCH($B405,InsNome,0)),""))</f>
        <v>0</v>
      </c>
      <c r="G405" s="24">
        <f>IF(OR($A405="",$C405="",$F405=""),"",$C405*$F405)</f>
        <v>0</v>
      </c>
      <c r="H405" s="23">
        <f>IF($A405="","",IF($B405="","Escolha o insumo",IF($F405="","Insumo sem custo",IF(COUNTIF(PratoNome,$A405)=0,"Prato não cadastrado",IF($C405="","Falta quantidade","OK")))))</f>
        <v>0</v>
      </c>
    </row>
    <row r="406" spans="1:8">
      <c r="A406" s="13"/>
      <c r="B406" s="13"/>
      <c r="C406" s="19"/>
      <c r="D406" s="13"/>
      <c r="E406" s="23">
        <f>IF($B406="","",IFERROR(INDEX(InsUnid,MATCH($B406,InsNome,0)),""))</f>
        <v>0</v>
      </c>
      <c r="F406" s="21">
        <f>IF($B406="","",IFERROR(INDEX(InsUtil,MATCH($B406,InsNome,0)),""))</f>
        <v>0</v>
      </c>
      <c r="G406" s="24">
        <f>IF(OR($A406="",$C406="",$F406=""),"",$C406*$F406)</f>
        <v>0</v>
      </c>
      <c r="H406" s="23">
        <f>IF($A406="","",IF($B406="","Escolha o insumo",IF($F406="","Insumo sem custo",IF(COUNTIF(PratoNome,$A406)=0,"Prato não cadastrado",IF($C406="","Falta quantidade","OK")))))</f>
        <v>0</v>
      </c>
    </row>
    <row r="407" spans="1:8">
      <c r="A407" s="13"/>
      <c r="B407" s="13"/>
      <c r="C407" s="19"/>
      <c r="D407" s="13"/>
      <c r="E407" s="23">
        <f>IF($B407="","",IFERROR(INDEX(InsUnid,MATCH($B407,InsNome,0)),""))</f>
        <v>0</v>
      </c>
      <c r="F407" s="21">
        <f>IF($B407="","",IFERROR(INDEX(InsUtil,MATCH($B407,InsNome,0)),""))</f>
        <v>0</v>
      </c>
      <c r="G407" s="24">
        <f>IF(OR($A407="",$C407="",$F407=""),"",$C407*$F407)</f>
        <v>0</v>
      </c>
      <c r="H407" s="23">
        <f>IF($A407="","",IF($B407="","Escolha o insumo",IF($F407="","Insumo sem custo",IF(COUNTIF(PratoNome,$A407)=0,"Prato não cadastrado",IF($C407="","Falta quantidade","OK")))))</f>
        <v>0</v>
      </c>
    </row>
    <row r="408" spans="1:8">
      <c r="A408" s="13"/>
      <c r="B408" s="13"/>
      <c r="C408" s="19"/>
      <c r="D408" s="13"/>
      <c r="E408" s="23">
        <f>IF($B408="","",IFERROR(INDEX(InsUnid,MATCH($B408,InsNome,0)),""))</f>
        <v>0</v>
      </c>
      <c r="F408" s="21">
        <f>IF($B408="","",IFERROR(INDEX(InsUtil,MATCH($B408,InsNome,0)),""))</f>
        <v>0</v>
      </c>
      <c r="G408" s="24">
        <f>IF(OR($A408="",$C408="",$F408=""),"",$C408*$F408)</f>
        <v>0</v>
      </c>
      <c r="H408" s="23">
        <f>IF($A408="","",IF($B408="","Escolha o insumo",IF($F408="","Insumo sem custo",IF(COUNTIF(PratoNome,$A408)=0,"Prato não cadastrado",IF($C408="","Falta quantidade","OK")))))</f>
        <v>0</v>
      </c>
    </row>
    <row r="409" spans="1:8">
      <c r="A409" s="13"/>
      <c r="B409" s="13"/>
      <c r="C409" s="19"/>
      <c r="D409" s="13"/>
      <c r="E409" s="23">
        <f>IF($B409="","",IFERROR(INDEX(InsUnid,MATCH($B409,InsNome,0)),""))</f>
        <v>0</v>
      </c>
      <c r="F409" s="21">
        <f>IF($B409="","",IFERROR(INDEX(InsUtil,MATCH($B409,InsNome,0)),""))</f>
        <v>0</v>
      </c>
      <c r="G409" s="24">
        <f>IF(OR($A409="",$C409="",$F409=""),"",$C409*$F409)</f>
        <v>0</v>
      </c>
      <c r="H409" s="23">
        <f>IF($A409="","",IF($B409="","Escolha o insumo",IF($F409="","Insumo sem custo",IF(COUNTIF(PratoNome,$A409)=0,"Prato não cadastrado",IF($C409="","Falta quantidade","OK")))))</f>
        <v>0</v>
      </c>
    </row>
    <row r="410" spans="1:8">
      <c r="A410" s="13"/>
      <c r="B410" s="13"/>
      <c r="C410" s="19"/>
      <c r="D410" s="13"/>
      <c r="E410" s="23">
        <f>IF($B410="","",IFERROR(INDEX(InsUnid,MATCH($B410,InsNome,0)),""))</f>
        <v>0</v>
      </c>
      <c r="F410" s="21">
        <f>IF($B410="","",IFERROR(INDEX(InsUtil,MATCH($B410,InsNome,0)),""))</f>
        <v>0</v>
      </c>
      <c r="G410" s="24">
        <f>IF(OR($A410="",$C410="",$F410=""),"",$C410*$F410)</f>
        <v>0</v>
      </c>
      <c r="H410" s="23">
        <f>IF($A410="","",IF($B410="","Escolha o insumo",IF($F410="","Insumo sem custo",IF(COUNTIF(PratoNome,$A410)=0,"Prato não cadastrado",IF($C410="","Falta quantidade","OK")))))</f>
        <v>0</v>
      </c>
    </row>
    <row r="411" spans="1:8">
      <c r="A411" s="13"/>
      <c r="B411" s="13"/>
      <c r="C411" s="19"/>
      <c r="D411" s="13"/>
      <c r="E411" s="23">
        <f>IF($B411="","",IFERROR(INDEX(InsUnid,MATCH($B411,InsNome,0)),""))</f>
        <v>0</v>
      </c>
      <c r="F411" s="21">
        <f>IF($B411="","",IFERROR(INDEX(InsUtil,MATCH($B411,InsNome,0)),""))</f>
        <v>0</v>
      </c>
      <c r="G411" s="24">
        <f>IF(OR($A411="",$C411="",$F411=""),"",$C411*$F411)</f>
        <v>0</v>
      </c>
      <c r="H411" s="23">
        <f>IF($A411="","",IF($B411="","Escolha o insumo",IF($F411="","Insumo sem custo",IF(COUNTIF(PratoNome,$A411)=0,"Prato não cadastrado",IF($C411="","Falta quantidade","OK")))))</f>
        <v>0</v>
      </c>
    </row>
    <row r="412" spans="1:8">
      <c r="A412" s="13"/>
      <c r="B412" s="13"/>
      <c r="C412" s="19"/>
      <c r="D412" s="13"/>
      <c r="E412" s="23">
        <f>IF($B412="","",IFERROR(INDEX(InsUnid,MATCH($B412,InsNome,0)),""))</f>
        <v>0</v>
      </c>
      <c r="F412" s="21">
        <f>IF($B412="","",IFERROR(INDEX(InsUtil,MATCH($B412,InsNome,0)),""))</f>
        <v>0</v>
      </c>
      <c r="G412" s="24">
        <f>IF(OR($A412="",$C412="",$F412=""),"",$C412*$F412)</f>
        <v>0</v>
      </c>
      <c r="H412" s="23">
        <f>IF($A412="","",IF($B412="","Escolha o insumo",IF($F412="","Insumo sem custo",IF(COUNTIF(PratoNome,$A412)=0,"Prato não cadastrado",IF($C412="","Falta quantidade","OK")))))</f>
        <v>0</v>
      </c>
    </row>
    <row r="413" spans="1:8">
      <c r="A413" s="13"/>
      <c r="B413" s="13"/>
      <c r="C413" s="19"/>
      <c r="D413" s="13"/>
      <c r="E413" s="23">
        <f>IF($B413="","",IFERROR(INDEX(InsUnid,MATCH($B413,InsNome,0)),""))</f>
        <v>0</v>
      </c>
      <c r="F413" s="21">
        <f>IF($B413="","",IFERROR(INDEX(InsUtil,MATCH($B413,InsNome,0)),""))</f>
        <v>0</v>
      </c>
      <c r="G413" s="24">
        <f>IF(OR($A413="",$C413="",$F413=""),"",$C413*$F413)</f>
        <v>0</v>
      </c>
      <c r="H413" s="23">
        <f>IF($A413="","",IF($B413="","Escolha o insumo",IF($F413="","Insumo sem custo",IF(COUNTIF(PratoNome,$A413)=0,"Prato não cadastrado",IF($C413="","Falta quantidade","OK")))))</f>
        <v>0</v>
      </c>
    </row>
    <row r="414" spans="1:8">
      <c r="A414" s="13"/>
      <c r="B414" s="13"/>
      <c r="C414" s="19"/>
      <c r="D414" s="13"/>
      <c r="E414" s="23">
        <f>IF($B414="","",IFERROR(INDEX(InsUnid,MATCH($B414,InsNome,0)),""))</f>
        <v>0</v>
      </c>
      <c r="F414" s="21">
        <f>IF($B414="","",IFERROR(INDEX(InsUtil,MATCH($B414,InsNome,0)),""))</f>
        <v>0</v>
      </c>
      <c r="G414" s="24">
        <f>IF(OR($A414="",$C414="",$F414=""),"",$C414*$F414)</f>
        <v>0</v>
      </c>
      <c r="H414" s="23">
        <f>IF($A414="","",IF($B414="","Escolha o insumo",IF($F414="","Insumo sem custo",IF(COUNTIF(PratoNome,$A414)=0,"Prato não cadastrado",IF($C414="","Falta quantidade","OK")))))</f>
        <v>0</v>
      </c>
    </row>
    <row r="415" spans="1:8">
      <c r="A415" s="13"/>
      <c r="B415" s="13"/>
      <c r="C415" s="19"/>
      <c r="D415" s="13"/>
      <c r="E415" s="23">
        <f>IF($B415="","",IFERROR(INDEX(InsUnid,MATCH($B415,InsNome,0)),""))</f>
        <v>0</v>
      </c>
      <c r="F415" s="21">
        <f>IF($B415="","",IFERROR(INDEX(InsUtil,MATCH($B415,InsNome,0)),""))</f>
        <v>0</v>
      </c>
      <c r="G415" s="24">
        <f>IF(OR($A415="",$C415="",$F415=""),"",$C415*$F415)</f>
        <v>0</v>
      </c>
      <c r="H415" s="23">
        <f>IF($A415="","",IF($B415="","Escolha o insumo",IF($F415="","Insumo sem custo",IF(COUNTIF(PratoNome,$A415)=0,"Prato não cadastrado",IF($C415="","Falta quantidade","OK")))))</f>
        <v>0</v>
      </c>
    </row>
    <row r="416" spans="1:8">
      <c r="A416" s="13"/>
      <c r="B416" s="13"/>
      <c r="C416" s="19"/>
      <c r="D416" s="13"/>
      <c r="E416" s="23">
        <f>IF($B416="","",IFERROR(INDEX(InsUnid,MATCH($B416,InsNome,0)),""))</f>
        <v>0</v>
      </c>
      <c r="F416" s="21">
        <f>IF($B416="","",IFERROR(INDEX(InsUtil,MATCH($B416,InsNome,0)),""))</f>
        <v>0</v>
      </c>
      <c r="G416" s="24">
        <f>IF(OR($A416="",$C416="",$F416=""),"",$C416*$F416)</f>
        <v>0</v>
      </c>
      <c r="H416" s="23">
        <f>IF($A416="","",IF($B416="","Escolha o insumo",IF($F416="","Insumo sem custo",IF(COUNTIF(PratoNome,$A416)=0,"Prato não cadastrado",IF($C416="","Falta quantidade","OK")))))</f>
        <v>0</v>
      </c>
    </row>
    <row r="417" spans="1:8">
      <c r="A417" s="13"/>
      <c r="B417" s="13"/>
      <c r="C417" s="19"/>
      <c r="D417" s="13"/>
      <c r="E417" s="23">
        <f>IF($B417="","",IFERROR(INDEX(InsUnid,MATCH($B417,InsNome,0)),""))</f>
        <v>0</v>
      </c>
      <c r="F417" s="21">
        <f>IF($B417="","",IFERROR(INDEX(InsUtil,MATCH($B417,InsNome,0)),""))</f>
        <v>0</v>
      </c>
      <c r="G417" s="24">
        <f>IF(OR($A417="",$C417="",$F417=""),"",$C417*$F417)</f>
        <v>0</v>
      </c>
      <c r="H417" s="23">
        <f>IF($A417="","",IF($B417="","Escolha o insumo",IF($F417="","Insumo sem custo",IF(COUNTIF(PratoNome,$A417)=0,"Prato não cadastrado",IF($C417="","Falta quantidade","OK")))))</f>
        <v>0</v>
      </c>
    </row>
    <row r="418" spans="1:8">
      <c r="A418" s="13"/>
      <c r="B418" s="13"/>
      <c r="C418" s="19"/>
      <c r="D418" s="13"/>
      <c r="E418" s="23">
        <f>IF($B418="","",IFERROR(INDEX(InsUnid,MATCH($B418,InsNome,0)),""))</f>
        <v>0</v>
      </c>
      <c r="F418" s="21">
        <f>IF($B418="","",IFERROR(INDEX(InsUtil,MATCH($B418,InsNome,0)),""))</f>
        <v>0</v>
      </c>
      <c r="G418" s="24">
        <f>IF(OR($A418="",$C418="",$F418=""),"",$C418*$F418)</f>
        <v>0</v>
      </c>
      <c r="H418" s="23">
        <f>IF($A418="","",IF($B418="","Escolha o insumo",IF($F418="","Insumo sem custo",IF(COUNTIF(PratoNome,$A418)=0,"Prato não cadastrado",IF($C418="","Falta quantidade","OK")))))</f>
        <v>0</v>
      </c>
    </row>
    <row r="419" spans="1:8">
      <c r="A419" s="13"/>
      <c r="B419" s="13"/>
      <c r="C419" s="19"/>
      <c r="D419" s="13"/>
      <c r="E419" s="23">
        <f>IF($B419="","",IFERROR(INDEX(InsUnid,MATCH($B419,InsNome,0)),""))</f>
        <v>0</v>
      </c>
      <c r="F419" s="21">
        <f>IF($B419="","",IFERROR(INDEX(InsUtil,MATCH($B419,InsNome,0)),""))</f>
        <v>0</v>
      </c>
      <c r="G419" s="24">
        <f>IF(OR($A419="",$C419="",$F419=""),"",$C419*$F419)</f>
        <v>0</v>
      </c>
      <c r="H419" s="23">
        <f>IF($A419="","",IF($B419="","Escolha o insumo",IF($F419="","Insumo sem custo",IF(COUNTIF(PratoNome,$A419)=0,"Prato não cadastrado",IF($C419="","Falta quantidade","OK")))))</f>
        <v>0</v>
      </c>
    </row>
    <row r="420" spans="1:8">
      <c r="A420" s="13"/>
      <c r="B420" s="13"/>
      <c r="C420" s="19"/>
      <c r="D420" s="13"/>
      <c r="E420" s="23">
        <f>IF($B420="","",IFERROR(INDEX(InsUnid,MATCH($B420,InsNome,0)),""))</f>
        <v>0</v>
      </c>
      <c r="F420" s="21">
        <f>IF($B420="","",IFERROR(INDEX(InsUtil,MATCH($B420,InsNome,0)),""))</f>
        <v>0</v>
      </c>
      <c r="G420" s="24">
        <f>IF(OR($A420="",$C420="",$F420=""),"",$C420*$F420)</f>
        <v>0</v>
      </c>
      <c r="H420" s="23">
        <f>IF($A420="","",IF($B420="","Escolha o insumo",IF($F420="","Insumo sem custo",IF(COUNTIF(PratoNome,$A420)=0,"Prato não cadastrado",IF($C420="","Falta quantidade","OK")))))</f>
        <v>0</v>
      </c>
    </row>
    <row r="421" spans="1:8">
      <c r="A421" s="13"/>
      <c r="B421" s="13"/>
      <c r="C421" s="19"/>
      <c r="D421" s="13"/>
      <c r="E421" s="23">
        <f>IF($B421="","",IFERROR(INDEX(InsUnid,MATCH($B421,InsNome,0)),""))</f>
        <v>0</v>
      </c>
      <c r="F421" s="21">
        <f>IF($B421="","",IFERROR(INDEX(InsUtil,MATCH($B421,InsNome,0)),""))</f>
        <v>0</v>
      </c>
      <c r="G421" s="24">
        <f>IF(OR($A421="",$C421="",$F421=""),"",$C421*$F421)</f>
        <v>0</v>
      </c>
      <c r="H421" s="23">
        <f>IF($A421="","",IF($B421="","Escolha o insumo",IF($F421="","Insumo sem custo",IF(COUNTIF(PratoNome,$A421)=0,"Prato não cadastrado",IF($C421="","Falta quantidade","OK")))))</f>
        <v>0</v>
      </c>
    </row>
    <row r="422" spans="1:8">
      <c r="A422" s="13"/>
      <c r="B422" s="13"/>
      <c r="C422" s="19"/>
      <c r="D422" s="13"/>
      <c r="E422" s="23">
        <f>IF($B422="","",IFERROR(INDEX(InsUnid,MATCH($B422,InsNome,0)),""))</f>
        <v>0</v>
      </c>
      <c r="F422" s="21">
        <f>IF($B422="","",IFERROR(INDEX(InsUtil,MATCH($B422,InsNome,0)),""))</f>
        <v>0</v>
      </c>
      <c r="G422" s="24">
        <f>IF(OR($A422="",$C422="",$F422=""),"",$C422*$F422)</f>
        <v>0</v>
      </c>
      <c r="H422" s="23">
        <f>IF($A422="","",IF($B422="","Escolha o insumo",IF($F422="","Insumo sem custo",IF(COUNTIF(PratoNome,$A422)=0,"Prato não cadastrado",IF($C422="","Falta quantidade","OK")))))</f>
        <v>0</v>
      </c>
    </row>
    <row r="423" spans="1:8">
      <c r="A423" s="13"/>
      <c r="B423" s="13"/>
      <c r="C423" s="19"/>
      <c r="D423" s="13"/>
      <c r="E423" s="23">
        <f>IF($B423="","",IFERROR(INDEX(InsUnid,MATCH($B423,InsNome,0)),""))</f>
        <v>0</v>
      </c>
      <c r="F423" s="21">
        <f>IF($B423="","",IFERROR(INDEX(InsUtil,MATCH($B423,InsNome,0)),""))</f>
        <v>0</v>
      </c>
      <c r="G423" s="24">
        <f>IF(OR($A423="",$C423="",$F423=""),"",$C423*$F423)</f>
        <v>0</v>
      </c>
      <c r="H423" s="23">
        <f>IF($A423="","",IF($B423="","Escolha o insumo",IF($F423="","Insumo sem custo",IF(COUNTIF(PratoNome,$A423)=0,"Prato não cadastrado",IF($C423="","Falta quantidade","OK")))))</f>
        <v>0</v>
      </c>
    </row>
    <row r="424" spans="1:8">
      <c r="A424" s="13"/>
      <c r="B424" s="13"/>
      <c r="C424" s="19"/>
      <c r="D424" s="13"/>
      <c r="E424" s="23">
        <f>IF($B424="","",IFERROR(INDEX(InsUnid,MATCH($B424,InsNome,0)),""))</f>
        <v>0</v>
      </c>
      <c r="F424" s="21">
        <f>IF($B424="","",IFERROR(INDEX(InsUtil,MATCH($B424,InsNome,0)),""))</f>
        <v>0</v>
      </c>
      <c r="G424" s="24">
        <f>IF(OR($A424="",$C424="",$F424=""),"",$C424*$F424)</f>
        <v>0</v>
      </c>
      <c r="H424" s="23">
        <f>IF($A424="","",IF($B424="","Escolha o insumo",IF($F424="","Insumo sem custo",IF(COUNTIF(PratoNome,$A424)=0,"Prato não cadastrado",IF($C424="","Falta quantidade","OK")))))</f>
        <v>0</v>
      </c>
    </row>
    <row r="425" spans="1:8">
      <c r="A425" s="13"/>
      <c r="B425" s="13"/>
      <c r="C425" s="19"/>
      <c r="D425" s="13"/>
      <c r="E425" s="23">
        <f>IF($B425="","",IFERROR(INDEX(InsUnid,MATCH($B425,InsNome,0)),""))</f>
        <v>0</v>
      </c>
      <c r="F425" s="21">
        <f>IF($B425="","",IFERROR(INDEX(InsUtil,MATCH($B425,InsNome,0)),""))</f>
        <v>0</v>
      </c>
      <c r="G425" s="24">
        <f>IF(OR($A425="",$C425="",$F425=""),"",$C425*$F425)</f>
        <v>0</v>
      </c>
      <c r="H425" s="23">
        <f>IF($A425="","",IF($B425="","Escolha o insumo",IF($F425="","Insumo sem custo",IF(COUNTIF(PratoNome,$A425)=0,"Prato não cadastrado",IF($C425="","Falta quantidade","OK")))))</f>
        <v>0</v>
      </c>
    </row>
    <row r="426" spans="1:8">
      <c r="A426" s="13"/>
      <c r="B426" s="13"/>
      <c r="C426" s="19"/>
      <c r="D426" s="13"/>
      <c r="E426" s="23">
        <f>IF($B426="","",IFERROR(INDEX(InsUnid,MATCH($B426,InsNome,0)),""))</f>
        <v>0</v>
      </c>
      <c r="F426" s="21">
        <f>IF($B426="","",IFERROR(INDEX(InsUtil,MATCH($B426,InsNome,0)),""))</f>
        <v>0</v>
      </c>
      <c r="G426" s="24">
        <f>IF(OR($A426="",$C426="",$F426=""),"",$C426*$F426)</f>
        <v>0</v>
      </c>
      <c r="H426" s="23">
        <f>IF($A426="","",IF($B426="","Escolha o insumo",IF($F426="","Insumo sem custo",IF(COUNTIF(PratoNome,$A426)=0,"Prato não cadastrado",IF($C426="","Falta quantidade","OK")))))</f>
        <v>0</v>
      </c>
    </row>
    <row r="427" spans="1:8">
      <c r="A427" s="13"/>
      <c r="B427" s="13"/>
      <c r="C427" s="19"/>
      <c r="D427" s="13"/>
      <c r="E427" s="23">
        <f>IF($B427="","",IFERROR(INDEX(InsUnid,MATCH($B427,InsNome,0)),""))</f>
        <v>0</v>
      </c>
      <c r="F427" s="21">
        <f>IF($B427="","",IFERROR(INDEX(InsUtil,MATCH($B427,InsNome,0)),""))</f>
        <v>0</v>
      </c>
      <c r="G427" s="24">
        <f>IF(OR($A427="",$C427="",$F427=""),"",$C427*$F427)</f>
        <v>0</v>
      </c>
      <c r="H427" s="23">
        <f>IF($A427="","",IF($B427="","Escolha o insumo",IF($F427="","Insumo sem custo",IF(COUNTIF(PratoNome,$A427)=0,"Prato não cadastrado",IF($C427="","Falta quantidade","OK")))))</f>
        <v>0</v>
      </c>
    </row>
    <row r="428" spans="1:8">
      <c r="A428" s="13"/>
      <c r="B428" s="13"/>
      <c r="C428" s="19"/>
      <c r="D428" s="13"/>
      <c r="E428" s="23">
        <f>IF($B428="","",IFERROR(INDEX(InsUnid,MATCH($B428,InsNome,0)),""))</f>
        <v>0</v>
      </c>
      <c r="F428" s="21">
        <f>IF($B428="","",IFERROR(INDEX(InsUtil,MATCH($B428,InsNome,0)),""))</f>
        <v>0</v>
      </c>
      <c r="G428" s="24">
        <f>IF(OR($A428="",$C428="",$F428=""),"",$C428*$F428)</f>
        <v>0</v>
      </c>
      <c r="H428" s="23">
        <f>IF($A428="","",IF($B428="","Escolha o insumo",IF($F428="","Insumo sem custo",IF(COUNTIF(PratoNome,$A428)=0,"Prato não cadastrado",IF($C428="","Falta quantidade","OK")))))</f>
        <v>0</v>
      </c>
    </row>
    <row r="429" spans="1:8">
      <c r="A429" s="13"/>
      <c r="B429" s="13"/>
      <c r="C429" s="19"/>
      <c r="D429" s="13"/>
      <c r="E429" s="23">
        <f>IF($B429="","",IFERROR(INDEX(InsUnid,MATCH($B429,InsNome,0)),""))</f>
        <v>0</v>
      </c>
      <c r="F429" s="21">
        <f>IF($B429="","",IFERROR(INDEX(InsUtil,MATCH($B429,InsNome,0)),""))</f>
        <v>0</v>
      </c>
      <c r="G429" s="24">
        <f>IF(OR($A429="",$C429="",$F429=""),"",$C429*$F429)</f>
        <v>0</v>
      </c>
      <c r="H429" s="23">
        <f>IF($A429="","",IF($B429="","Escolha o insumo",IF($F429="","Insumo sem custo",IF(COUNTIF(PratoNome,$A429)=0,"Prato não cadastrado",IF($C429="","Falta quantidade","OK")))))</f>
        <v>0</v>
      </c>
    </row>
    <row r="430" spans="1:8">
      <c r="A430" s="13"/>
      <c r="B430" s="13"/>
      <c r="C430" s="19"/>
      <c r="D430" s="13"/>
      <c r="E430" s="23">
        <f>IF($B430="","",IFERROR(INDEX(InsUnid,MATCH($B430,InsNome,0)),""))</f>
        <v>0</v>
      </c>
      <c r="F430" s="21">
        <f>IF($B430="","",IFERROR(INDEX(InsUtil,MATCH($B430,InsNome,0)),""))</f>
        <v>0</v>
      </c>
      <c r="G430" s="24">
        <f>IF(OR($A430="",$C430="",$F430=""),"",$C430*$F430)</f>
        <v>0</v>
      </c>
      <c r="H430" s="23">
        <f>IF($A430="","",IF($B430="","Escolha o insumo",IF($F430="","Insumo sem custo",IF(COUNTIF(PratoNome,$A430)=0,"Prato não cadastrado",IF($C430="","Falta quantidade","OK")))))</f>
        <v>0</v>
      </c>
    </row>
    <row r="431" spans="1:8">
      <c r="A431" s="13"/>
      <c r="B431" s="13"/>
      <c r="C431" s="19"/>
      <c r="D431" s="13"/>
      <c r="E431" s="23">
        <f>IF($B431="","",IFERROR(INDEX(InsUnid,MATCH($B431,InsNome,0)),""))</f>
        <v>0</v>
      </c>
      <c r="F431" s="21">
        <f>IF($B431="","",IFERROR(INDEX(InsUtil,MATCH($B431,InsNome,0)),""))</f>
        <v>0</v>
      </c>
      <c r="G431" s="24">
        <f>IF(OR($A431="",$C431="",$F431=""),"",$C431*$F431)</f>
        <v>0</v>
      </c>
      <c r="H431" s="23">
        <f>IF($A431="","",IF($B431="","Escolha o insumo",IF($F431="","Insumo sem custo",IF(COUNTIF(PratoNome,$A431)=0,"Prato não cadastrado",IF($C431="","Falta quantidade","OK")))))</f>
        <v>0</v>
      </c>
    </row>
    <row r="432" spans="1:8">
      <c r="A432" s="13"/>
      <c r="B432" s="13"/>
      <c r="C432" s="19"/>
      <c r="D432" s="13"/>
      <c r="E432" s="23">
        <f>IF($B432="","",IFERROR(INDEX(InsUnid,MATCH($B432,InsNome,0)),""))</f>
        <v>0</v>
      </c>
      <c r="F432" s="21">
        <f>IF($B432="","",IFERROR(INDEX(InsUtil,MATCH($B432,InsNome,0)),""))</f>
        <v>0</v>
      </c>
      <c r="G432" s="24">
        <f>IF(OR($A432="",$C432="",$F432=""),"",$C432*$F432)</f>
        <v>0</v>
      </c>
      <c r="H432" s="23">
        <f>IF($A432="","",IF($B432="","Escolha o insumo",IF($F432="","Insumo sem custo",IF(COUNTIF(PratoNome,$A432)=0,"Prato não cadastrado",IF($C432="","Falta quantidade","OK")))))</f>
        <v>0</v>
      </c>
    </row>
    <row r="433" spans="1:8">
      <c r="A433" s="13"/>
      <c r="B433" s="13"/>
      <c r="C433" s="19"/>
      <c r="D433" s="13"/>
      <c r="E433" s="23">
        <f>IF($B433="","",IFERROR(INDEX(InsUnid,MATCH($B433,InsNome,0)),""))</f>
        <v>0</v>
      </c>
      <c r="F433" s="21">
        <f>IF($B433="","",IFERROR(INDEX(InsUtil,MATCH($B433,InsNome,0)),""))</f>
        <v>0</v>
      </c>
      <c r="G433" s="24">
        <f>IF(OR($A433="",$C433="",$F433=""),"",$C433*$F433)</f>
        <v>0</v>
      </c>
      <c r="H433" s="23">
        <f>IF($A433="","",IF($B433="","Escolha o insumo",IF($F433="","Insumo sem custo",IF(COUNTIF(PratoNome,$A433)=0,"Prato não cadastrado",IF($C433="","Falta quantidade","OK")))))</f>
        <v>0</v>
      </c>
    </row>
    <row r="434" spans="1:8">
      <c r="A434" s="13"/>
      <c r="B434" s="13"/>
      <c r="C434" s="19"/>
      <c r="D434" s="13"/>
      <c r="E434" s="23">
        <f>IF($B434="","",IFERROR(INDEX(InsUnid,MATCH($B434,InsNome,0)),""))</f>
        <v>0</v>
      </c>
      <c r="F434" s="21">
        <f>IF($B434="","",IFERROR(INDEX(InsUtil,MATCH($B434,InsNome,0)),""))</f>
        <v>0</v>
      </c>
      <c r="G434" s="24">
        <f>IF(OR($A434="",$C434="",$F434=""),"",$C434*$F434)</f>
        <v>0</v>
      </c>
      <c r="H434" s="23">
        <f>IF($A434="","",IF($B434="","Escolha o insumo",IF($F434="","Insumo sem custo",IF(COUNTIF(PratoNome,$A434)=0,"Prato não cadastrado",IF($C434="","Falta quantidade","OK")))))</f>
        <v>0</v>
      </c>
    </row>
    <row r="435" spans="1:8">
      <c r="A435" s="13"/>
      <c r="B435" s="13"/>
      <c r="C435" s="19"/>
      <c r="D435" s="13"/>
      <c r="E435" s="23">
        <f>IF($B435="","",IFERROR(INDEX(InsUnid,MATCH($B435,InsNome,0)),""))</f>
        <v>0</v>
      </c>
      <c r="F435" s="21">
        <f>IF($B435="","",IFERROR(INDEX(InsUtil,MATCH($B435,InsNome,0)),""))</f>
        <v>0</v>
      </c>
      <c r="G435" s="24">
        <f>IF(OR($A435="",$C435="",$F435=""),"",$C435*$F435)</f>
        <v>0</v>
      </c>
      <c r="H435" s="23">
        <f>IF($A435="","",IF($B435="","Escolha o insumo",IF($F435="","Insumo sem custo",IF(COUNTIF(PratoNome,$A435)=0,"Prato não cadastrado",IF($C435="","Falta quantidade","OK")))))</f>
        <v>0</v>
      </c>
    </row>
    <row r="436" spans="1:8">
      <c r="A436" s="13"/>
      <c r="B436" s="13"/>
      <c r="C436" s="19"/>
      <c r="D436" s="13"/>
      <c r="E436" s="23">
        <f>IF($B436="","",IFERROR(INDEX(InsUnid,MATCH($B436,InsNome,0)),""))</f>
        <v>0</v>
      </c>
      <c r="F436" s="21">
        <f>IF($B436="","",IFERROR(INDEX(InsUtil,MATCH($B436,InsNome,0)),""))</f>
        <v>0</v>
      </c>
      <c r="G436" s="24">
        <f>IF(OR($A436="",$C436="",$F436=""),"",$C436*$F436)</f>
        <v>0</v>
      </c>
      <c r="H436" s="23">
        <f>IF($A436="","",IF($B436="","Escolha o insumo",IF($F436="","Insumo sem custo",IF(COUNTIF(PratoNome,$A436)=0,"Prato não cadastrado",IF($C436="","Falta quantidade","OK")))))</f>
        <v>0</v>
      </c>
    </row>
    <row r="437" spans="1:8">
      <c r="A437" s="13"/>
      <c r="B437" s="13"/>
      <c r="C437" s="19"/>
      <c r="D437" s="13"/>
      <c r="E437" s="23">
        <f>IF($B437="","",IFERROR(INDEX(InsUnid,MATCH($B437,InsNome,0)),""))</f>
        <v>0</v>
      </c>
      <c r="F437" s="21">
        <f>IF($B437="","",IFERROR(INDEX(InsUtil,MATCH($B437,InsNome,0)),""))</f>
        <v>0</v>
      </c>
      <c r="G437" s="24">
        <f>IF(OR($A437="",$C437="",$F437=""),"",$C437*$F437)</f>
        <v>0</v>
      </c>
      <c r="H437" s="23">
        <f>IF($A437="","",IF($B437="","Escolha o insumo",IF($F437="","Insumo sem custo",IF(COUNTIF(PratoNome,$A437)=0,"Prato não cadastrado",IF($C437="","Falta quantidade","OK")))))</f>
        <v>0</v>
      </c>
    </row>
    <row r="438" spans="1:8">
      <c r="A438" s="13"/>
      <c r="B438" s="13"/>
      <c r="C438" s="19"/>
      <c r="D438" s="13"/>
      <c r="E438" s="23">
        <f>IF($B438="","",IFERROR(INDEX(InsUnid,MATCH($B438,InsNome,0)),""))</f>
        <v>0</v>
      </c>
      <c r="F438" s="21">
        <f>IF($B438="","",IFERROR(INDEX(InsUtil,MATCH($B438,InsNome,0)),""))</f>
        <v>0</v>
      </c>
      <c r="G438" s="24">
        <f>IF(OR($A438="",$C438="",$F438=""),"",$C438*$F438)</f>
        <v>0</v>
      </c>
      <c r="H438" s="23">
        <f>IF($A438="","",IF($B438="","Escolha o insumo",IF($F438="","Insumo sem custo",IF(COUNTIF(PratoNome,$A438)=0,"Prato não cadastrado",IF($C438="","Falta quantidade","OK")))))</f>
        <v>0</v>
      </c>
    </row>
    <row r="439" spans="1:8">
      <c r="A439" s="13"/>
      <c r="B439" s="13"/>
      <c r="C439" s="19"/>
      <c r="D439" s="13"/>
      <c r="E439" s="23">
        <f>IF($B439="","",IFERROR(INDEX(InsUnid,MATCH($B439,InsNome,0)),""))</f>
        <v>0</v>
      </c>
      <c r="F439" s="21">
        <f>IF($B439="","",IFERROR(INDEX(InsUtil,MATCH($B439,InsNome,0)),""))</f>
        <v>0</v>
      </c>
      <c r="G439" s="24">
        <f>IF(OR($A439="",$C439="",$F439=""),"",$C439*$F439)</f>
        <v>0</v>
      </c>
      <c r="H439" s="23">
        <f>IF($A439="","",IF($B439="","Escolha o insumo",IF($F439="","Insumo sem custo",IF(COUNTIF(PratoNome,$A439)=0,"Prato não cadastrado",IF($C439="","Falta quantidade","OK")))))</f>
        <v>0</v>
      </c>
    </row>
    <row r="440" spans="1:8">
      <c r="A440" s="13"/>
      <c r="B440" s="13"/>
      <c r="C440" s="19"/>
      <c r="D440" s="13"/>
      <c r="E440" s="23">
        <f>IF($B440="","",IFERROR(INDEX(InsUnid,MATCH($B440,InsNome,0)),""))</f>
        <v>0</v>
      </c>
      <c r="F440" s="21">
        <f>IF($B440="","",IFERROR(INDEX(InsUtil,MATCH($B440,InsNome,0)),""))</f>
        <v>0</v>
      </c>
      <c r="G440" s="24">
        <f>IF(OR($A440="",$C440="",$F440=""),"",$C440*$F440)</f>
        <v>0</v>
      </c>
      <c r="H440" s="23">
        <f>IF($A440="","",IF($B440="","Escolha o insumo",IF($F440="","Insumo sem custo",IF(COUNTIF(PratoNome,$A440)=0,"Prato não cadastrado",IF($C440="","Falta quantidade","OK")))))</f>
        <v>0</v>
      </c>
    </row>
    <row r="441" spans="1:8">
      <c r="A441" s="13"/>
      <c r="B441" s="13"/>
      <c r="C441" s="19"/>
      <c r="D441" s="13"/>
      <c r="E441" s="23">
        <f>IF($B441="","",IFERROR(INDEX(InsUnid,MATCH($B441,InsNome,0)),""))</f>
        <v>0</v>
      </c>
      <c r="F441" s="21">
        <f>IF($B441="","",IFERROR(INDEX(InsUtil,MATCH($B441,InsNome,0)),""))</f>
        <v>0</v>
      </c>
      <c r="G441" s="24">
        <f>IF(OR($A441="",$C441="",$F441=""),"",$C441*$F441)</f>
        <v>0</v>
      </c>
      <c r="H441" s="23">
        <f>IF($A441="","",IF($B441="","Escolha o insumo",IF($F441="","Insumo sem custo",IF(COUNTIF(PratoNome,$A441)=0,"Prato não cadastrado",IF($C441="","Falta quantidade","OK")))))</f>
        <v>0</v>
      </c>
    </row>
    <row r="442" spans="1:8">
      <c r="A442" s="13"/>
      <c r="B442" s="13"/>
      <c r="C442" s="19"/>
      <c r="D442" s="13"/>
      <c r="E442" s="23">
        <f>IF($B442="","",IFERROR(INDEX(InsUnid,MATCH($B442,InsNome,0)),""))</f>
        <v>0</v>
      </c>
      <c r="F442" s="21">
        <f>IF($B442="","",IFERROR(INDEX(InsUtil,MATCH($B442,InsNome,0)),""))</f>
        <v>0</v>
      </c>
      <c r="G442" s="24">
        <f>IF(OR($A442="",$C442="",$F442=""),"",$C442*$F442)</f>
        <v>0</v>
      </c>
      <c r="H442" s="23">
        <f>IF($A442="","",IF($B442="","Escolha o insumo",IF($F442="","Insumo sem custo",IF(COUNTIF(PratoNome,$A442)=0,"Prato não cadastrado",IF($C442="","Falta quantidade","OK")))))</f>
        <v>0</v>
      </c>
    </row>
    <row r="443" spans="1:8">
      <c r="A443" s="13"/>
      <c r="B443" s="13"/>
      <c r="C443" s="19"/>
      <c r="D443" s="13"/>
      <c r="E443" s="23">
        <f>IF($B443="","",IFERROR(INDEX(InsUnid,MATCH($B443,InsNome,0)),""))</f>
        <v>0</v>
      </c>
      <c r="F443" s="21">
        <f>IF($B443="","",IFERROR(INDEX(InsUtil,MATCH($B443,InsNome,0)),""))</f>
        <v>0</v>
      </c>
      <c r="G443" s="24">
        <f>IF(OR($A443="",$C443="",$F443=""),"",$C443*$F443)</f>
        <v>0</v>
      </c>
      <c r="H443" s="23">
        <f>IF($A443="","",IF($B443="","Escolha o insumo",IF($F443="","Insumo sem custo",IF(COUNTIF(PratoNome,$A443)=0,"Prato não cadastrado",IF($C443="","Falta quantidade","OK")))))</f>
        <v>0</v>
      </c>
    </row>
    <row r="444" spans="1:8">
      <c r="A444" s="13"/>
      <c r="B444" s="13"/>
      <c r="C444" s="19"/>
      <c r="D444" s="13"/>
      <c r="E444" s="23">
        <f>IF($B444="","",IFERROR(INDEX(InsUnid,MATCH($B444,InsNome,0)),""))</f>
        <v>0</v>
      </c>
      <c r="F444" s="21">
        <f>IF($B444="","",IFERROR(INDEX(InsUtil,MATCH($B444,InsNome,0)),""))</f>
        <v>0</v>
      </c>
      <c r="G444" s="24">
        <f>IF(OR($A444="",$C444="",$F444=""),"",$C444*$F444)</f>
        <v>0</v>
      </c>
      <c r="H444" s="23">
        <f>IF($A444="","",IF($B444="","Escolha o insumo",IF($F444="","Insumo sem custo",IF(COUNTIF(PratoNome,$A444)=0,"Prato não cadastrado",IF($C444="","Falta quantidade","OK")))))</f>
        <v>0</v>
      </c>
    </row>
    <row r="445" spans="1:8">
      <c r="A445" s="13"/>
      <c r="B445" s="13"/>
      <c r="C445" s="19"/>
      <c r="D445" s="13"/>
      <c r="E445" s="23">
        <f>IF($B445="","",IFERROR(INDEX(InsUnid,MATCH($B445,InsNome,0)),""))</f>
        <v>0</v>
      </c>
      <c r="F445" s="21">
        <f>IF($B445="","",IFERROR(INDEX(InsUtil,MATCH($B445,InsNome,0)),""))</f>
        <v>0</v>
      </c>
      <c r="G445" s="24">
        <f>IF(OR($A445="",$C445="",$F445=""),"",$C445*$F445)</f>
        <v>0</v>
      </c>
      <c r="H445" s="23">
        <f>IF($A445="","",IF($B445="","Escolha o insumo",IF($F445="","Insumo sem custo",IF(COUNTIF(PratoNome,$A445)=0,"Prato não cadastrado",IF($C445="","Falta quantidade","OK")))))</f>
        <v>0</v>
      </c>
    </row>
    <row r="446" spans="1:8">
      <c r="A446" s="13"/>
      <c r="B446" s="13"/>
      <c r="C446" s="19"/>
      <c r="D446" s="13"/>
      <c r="E446" s="23">
        <f>IF($B446="","",IFERROR(INDEX(InsUnid,MATCH($B446,InsNome,0)),""))</f>
        <v>0</v>
      </c>
      <c r="F446" s="21">
        <f>IF($B446="","",IFERROR(INDEX(InsUtil,MATCH($B446,InsNome,0)),""))</f>
        <v>0</v>
      </c>
      <c r="G446" s="24">
        <f>IF(OR($A446="",$C446="",$F446=""),"",$C446*$F446)</f>
        <v>0</v>
      </c>
      <c r="H446" s="23">
        <f>IF($A446="","",IF($B446="","Escolha o insumo",IF($F446="","Insumo sem custo",IF(COUNTIF(PratoNome,$A446)=0,"Prato não cadastrado",IF($C446="","Falta quantidade","OK")))))</f>
        <v>0</v>
      </c>
    </row>
    <row r="447" spans="1:8">
      <c r="A447" s="13"/>
      <c r="B447" s="13"/>
      <c r="C447" s="19"/>
      <c r="D447" s="13"/>
      <c r="E447" s="23">
        <f>IF($B447="","",IFERROR(INDEX(InsUnid,MATCH($B447,InsNome,0)),""))</f>
        <v>0</v>
      </c>
      <c r="F447" s="21">
        <f>IF($B447="","",IFERROR(INDEX(InsUtil,MATCH($B447,InsNome,0)),""))</f>
        <v>0</v>
      </c>
      <c r="G447" s="24">
        <f>IF(OR($A447="",$C447="",$F447=""),"",$C447*$F447)</f>
        <v>0</v>
      </c>
      <c r="H447" s="23">
        <f>IF($A447="","",IF($B447="","Escolha o insumo",IF($F447="","Insumo sem custo",IF(COUNTIF(PratoNome,$A447)=0,"Prato não cadastrado",IF($C447="","Falta quantidade","OK")))))</f>
        <v>0</v>
      </c>
    </row>
    <row r="448" spans="1:8">
      <c r="A448" s="13"/>
      <c r="B448" s="13"/>
      <c r="C448" s="19"/>
      <c r="D448" s="13"/>
      <c r="E448" s="23">
        <f>IF($B448="","",IFERROR(INDEX(InsUnid,MATCH($B448,InsNome,0)),""))</f>
        <v>0</v>
      </c>
      <c r="F448" s="21">
        <f>IF($B448="","",IFERROR(INDEX(InsUtil,MATCH($B448,InsNome,0)),""))</f>
        <v>0</v>
      </c>
      <c r="G448" s="24">
        <f>IF(OR($A448="",$C448="",$F448=""),"",$C448*$F448)</f>
        <v>0</v>
      </c>
      <c r="H448" s="23">
        <f>IF($A448="","",IF($B448="","Escolha o insumo",IF($F448="","Insumo sem custo",IF(COUNTIF(PratoNome,$A448)=0,"Prato não cadastrado",IF($C448="","Falta quantidade","OK")))))</f>
        <v>0</v>
      </c>
    </row>
    <row r="449" spans="1:8">
      <c r="A449" s="13"/>
      <c r="B449" s="13"/>
      <c r="C449" s="19"/>
      <c r="D449" s="13"/>
      <c r="E449" s="23">
        <f>IF($B449="","",IFERROR(INDEX(InsUnid,MATCH($B449,InsNome,0)),""))</f>
        <v>0</v>
      </c>
      <c r="F449" s="21">
        <f>IF($B449="","",IFERROR(INDEX(InsUtil,MATCH($B449,InsNome,0)),""))</f>
        <v>0</v>
      </c>
      <c r="G449" s="24">
        <f>IF(OR($A449="",$C449="",$F449=""),"",$C449*$F449)</f>
        <v>0</v>
      </c>
      <c r="H449" s="23">
        <f>IF($A449="","",IF($B449="","Escolha o insumo",IF($F449="","Insumo sem custo",IF(COUNTIF(PratoNome,$A449)=0,"Prato não cadastrado",IF($C449="","Falta quantidade","OK")))))</f>
        <v>0</v>
      </c>
    </row>
    <row r="450" spans="1:8">
      <c r="A450" s="13"/>
      <c r="B450" s="13"/>
      <c r="C450" s="19"/>
      <c r="D450" s="13"/>
      <c r="E450" s="23">
        <f>IF($B450="","",IFERROR(INDEX(InsUnid,MATCH($B450,InsNome,0)),""))</f>
        <v>0</v>
      </c>
      <c r="F450" s="21">
        <f>IF($B450="","",IFERROR(INDEX(InsUtil,MATCH($B450,InsNome,0)),""))</f>
        <v>0</v>
      </c>
      <c r="G450" s="24">
        <f>IF(OR($A450="",$C450="",$F450=""),"",$C450*$F450)</f>
        <v>0</v>
      </c>
      <c r="H450" s="23">
        <f>IF($A450="","",IF($B450="","Escolha o insumo",IF($F450="","Insumo sem custo",IF(COUNTIF(PratoNome,$A450)=0,"Prato não cadastrado",IF($C450="","Falta quantidade","OK")))))</f>
        <v>0</v>
      </c>
    </row>
    <row r="451" spans="1:8">
      <c r="A451" s="13"/>
      <c r="B451" s="13"/>
      <c r="C451" s="19"/>
      <c r="D451" s="13"/>
      <c r="E451" s="23">
        <f>IF($B451="","",IFERROR(INDEX(InsUnid,MATCH($B451,InsNome,0)),""))</f>
        <v>0</v>
      </c>
      <c r="F451" s="21">
        <f>IF($B451="","",IFERROR(INDEX(InsUtil,MATCH($B451,InsNome,0)),""))</f>
        <v>0</v>
      </c>
      <c r="G451" s="24">
        <f>IF(OR($A451="",$C451="",$F451=""),"",$C451*$F451)</f>
        <v>0</v>
      </c>
      <c r="H451" s="23">
        <f>IF($A451="","",IF($B451="","Escolha o insumo",IF($F451="","Insumo sem custo",IF(COUNTIF(PratoNome,$A451)=0,"Prato não cadastrado",IF($C451="","Falta quantidade","OK")))))</f>
        <v>0</v>
      </c>
    </row>
    <row r="452" spans="1:8">
      <c r="A452" s="13"/>
      <c r="B452" s="13"/>
      <c r="C452" s="19"/>
      <c r="D452" s="13"/>
      <c r="E452" s="23">
        <f>IF($B452="","",IFERROR(INDEX(InsUnid,MATCH($B452,InsNome,0)),""))</f>
        <v>0</v>
      </c>
      <c r="F452" s="21">
        <f>IF($B452="","",IFERROR(INDEX(InsUtil,MATCH($B452,InsNome,0)),""))</f>
        <v>0</v>
      </c>
      <c r="G452" s="24">
        <f>IF(OR($A452="",$C452="",$F452=""),"",$C452*$F452)</f>
        <v>0</v>
      </c>
      <c r="H452" s="23">
        <f>IF($A452="","",IF($B452="","Escolha o insumo",IF($F452="","Insumo sem custo",IF(COUNTIF(PratoNome,$A452)=0,"Prato não cadastrado",IF($C452="","Falta quantidade","OK")))))</f>
        <v>0</v>
      </c>
    </row>
    <row r="453" spans="1:8">
      <c r="A453" s="13"/>
      <c r="B453" s="13"/>
      <c r="C453" s="19"/>
      <c r="D453" s="13"/>
      <c r="E453" s="23">
        <f>IF($B453="","",IFERROR(INDEX(InsUnid,MATCH($B453,InsNome,0)),""))</f>
        <v>0</v>
      </c>
      <c r="F453" s="21">
        <f>IF($B453="","",IFERROR(INDEX(InsUtil,MATCH($B453,InsNome,0)),""))</f>
        <v>0</v>
      </c>
      <c r="G453" s="24">
        <f>IF(OR($A453="",$C453="",$F453=""),"",$C453*$F453)</f>
        <v>0</v>
      </c>
      <c r="H453" s="23">
        <f>IF($A453="","",IF($B453="","Escolha o insumo",IF($F453="","Insumo sem custo",IF(COUNTIF(PratoNome,$A453)=0,"Prato não cadastrado",IF($C453="","Falta quantidade","OK")))))</f>
        <v>0</v>
      </c>
    </row>
    <row r="454" spans="1:8">
      <c r="A454" s="13"/>
      <c r="B454" s="13"/>
      <c r="C454" s="19"/>
      <c r="D454" s="13"/>
      <c r="E454" s="23">
        <f>IF($B454="","",IFERROR(INDEX(InsUnid,MATCH($B454,InsNome,0)),""))</f>
        <v>0</v>
      </c>
      <c r="F454" s="21">
        <f>IF($B454="","",IFERROR(INDEX(InsUtil,MATCH($B454,InsNome,0)),""))</f>
        <v>0</v>
      </c>
      <c r="G454" s="24">
        <f>IF(OR($A454="",$C454="",$F454=""),"",$C454*$F454)</f>
        <v>0</v>
      </c>
      <c r="H454" s="23">
        <f>IF($A454="","",IF($B454="","Escolha o insumo",IF($F454="","Insumo sem custo",IF(COUNTIF(PratoNome,$A454)=0,"Prato não cadastrado",IF($C454="","Falta quantidade","OK")))))</f>
        <v>0</v>
      </c>
    </row>
    <row r="455" spans="1:8">
      <c r="A455" s="13"/>
      <c r="B455" s="13"/>
      <c r="C455" s="19"/>
      <c r="D455" s="13"/>
      <c r="E455" s="23">
        <f>IF($B455="","",IFERROR(INDEX(InsUnid,MATCH($B455,InsNome,0)),""))</f>
        <v>0</v>
      </c>
      <c r="F455" s="21">
        <f>IF($B455="","",IFERROR(INDEX(InsUtil,MATCH($B455,InsNome,0)),""))</f>
        <v>0</v>
      </c>
      <c r="G455" s="24">
        <f>IF(OR($A455="",$C455="",$F455=""),"",$C455*$F455)</f>
        <v>0</v>
      </c>
      <c r="H455" s="23">
        <f>IF($A455="","",IF($B455="","Escolha o insumo",IF($F455="","Insumo sem custo",IF(COUNTIF(PratoNome,$A455)=0,"Prato não cadastrado",IF($C455="","Falta quantidade","OK")))))</f>
        <v>0</v>
      </c>
    </row>
    <row r="456" spans="1:8">
      <c r="A456" s="13"/>
      <c r="B456" s="13"/>
      <c r="C456" s="19"/>
      <c r="D456" s="13"/>
      <c r="E456" s="23">
        <f>IF($B456="","",IFERROR(INDEX(InsUnid,MATCH($B456,InsNome,0)),""))</f>
        <v>0</v>
      </c>
      <c r="F456" s="21">
        <f>IF($B456="","",IFERROR(INDEX(InsUtil,MATCH($B456,InsNome,0)),""))</f>
        <v>0</v>
      </c>
      <c r="G456" s="24">
        <f>IF(OR($A456="",$C456="",$F456=""),"",$C456*$F456)</f>
        <v>0</v>
      </c>
      <c r="H456" s="23">
        <f>IF($A456="","",IF($B456="","Escolha o insumo",IF($F456="","Insumo sem custo",IF(COUNTIF(PratoNome,$A456)=0,"Prato não cadastrado",IF($C456="","Falta quantidade","OK")))))</f>
        <v>0</v>
      </c>
    </row>
    <row r="457" spans="1:8">
      <c r="A457" s="13"/>
      <c r="B457" s="13"/>
      <c r="C457" s="19"/>
      <c r="D457" s="13"/>
      <c r="E457" s="23">
        <f>IF($B457="","",IFERROR(INDEX(InsUnid,MATCH($B457,InsNome,0)),""))</f>
        <v>0</v>
      </c>
      <c r="F457" s="21">
        <f>IF($B457="","",IFERROR(INDEX(InsUtil,MATCH($B457,InsNome,0)),""))</f>
        <v>0</v>
      </c>
      <c r="G457" s="24">
        <f>IF(OR($A457="",$C457="",$F457=""),"",$C457*$F457)</f>
        <v>0</v>
      </c>
      <c r="H457" s="23">
        <f>IF($A457="","",IF($B457="","Escolha o insumo",IF($F457="","Insumo sem custo",IF(COUNTIF(PratoNome,$A457)=0,"Prato não cadastrado",IF($C457="","Falta quantidade","OK")))))</f>
        <v>0</v>
      </c>
    </row>
    <row r="458" spans="1:8">
      <c r="A458" s="13"/>
      <c r="B458" s="13"/>
      <c r="C458" s="19"/>
      <c r="D458" s="13"/>
      <c r="E458" s="23">
        <f>IF($B458="","",IFERROR(INDEX(InsUnid,MATCH($B458,InsNome,0)),""))</f>
        <v>0</v>
      </c>
      <c r="F458" s="21">
        <f>IF($B458="","",IFERROR(INDEX(InsUtil,MATCH($B458,InsNome,0)),""))</f>
        <v>0</v>
      </c>
      <c r="G458" s="24">
        <f>IF(OR($A458="",$C458="",$F458=""),"",$C458*$F458)</f>
        <v>0</v>
      </c>
      <c r="H458" s="23">
        <f>IF($A458="","",IF($B458="","Escolha o insumo",IF($F458="","Insumo sem custo",IF(COUNTIF(PratoNome,$A458)=0,"Prato não cadastrado",IF($C458="","Falta quantidade","OK")))))</f>
        <v>0</v>
      </c>
    </row>
    <row r="459" spans="1:8">
      <c r="A459" s="13"/>
      <c r="B459" s="13"/>
      <c r="C459" s="19"/>
      <c r="D459" s="13"/>
      <c r="E459" s="23">
        <f>IF($B459="","",IFERROR(INDEX(InsUnid,MATCH($B459,InsNome,0)),""))</f>
        <v>0</v>
      </c>
      <c r="F459" s="21">
        <f>IF($B459="","",IFERROR(INDEX(InsUtil,MATCH($B459,InsNome,0)),""))</f>
        <v>0</v>
      </c>
      <c r="G459" s="24">
        <f>IF(OR($A459="",$C459="",$F459=""),"",$C459*$F459)</f>
        <v>0</v>
      </c>
      <c r="H459" s="23">
        <f>IF($A459="","",IF($B459="","Escolha o insumo",IF($F459="","Insumo sem custo",IF(COUNTIF(PratoNome,$A459)=0,"Prato não cadastrado",IF($C459="","Falta quantidade","OK")))))</f>
        <v>0</v>
      </c>
    </row>
    <row r="460" spans="1:8">
      <c r="A460" s="13"/>
      <c r="B460" s="13"/>
      <c r="C460" s="19"/>
      <c r="D460" s="13"/>
      <c r="E460" s="23">
        <f>IF($B460="","",IFERROR(INDEX(InsUnid,MATCH($B460,InsNome,0)),""))</f>
        <v>0</v>
      </c>
      <c r="F460" s="21">
        <f>IF($B460="","",IFERROR(INDEX(InsUtil,MATCH($B460,InsNome,0)),""))</f>
        <v>0</v>
      </c>
      <c r="G460" s="24">
        <f>IF(OR($A460="",$C460="",$F460=""),"",$C460*$F460)</f>
        <v>0</v>
      </c>
      <c r="H460" s="23">
        <f>IF($A460="","",IF($B460="","Escolha o insumo",IF($F460="","Insumo sem custo",IF(COUNTIF(PratoNome,$A460)=0,"Prato não cadastrado",IF($C460="","Falta quantidade","OK")))))</f>
        <v>0</v>
      </c>
    </row>
    <row r="461" spans="1:8">
      <c r="A461" s="13"/>
      <c r="B461" s="13"/>
      <c r="C461" s="19"/>
      <c r="D461" s="13"/>
      <c r="E461" s="23">
        <f>IF($B461="","",IFERROR(INDEX(InsUnid,MATCH($B461,InsNome,0)),""))</f>
        <v>0</v>
      </c>
      <c r="F461" s="21">
        <f>IF($B461="","",IFERROR(INDEX(InsUtil,MATCH($B461,InsNome,0)),""))</f>
        <v>0</v>
      </c>
      <c r="G461" s="24">
        <f>IF(OR($A461="",$C461="",$F461=""),"",$C461*$F461)</f>
        <v>0</v>
      </c>
      <c r="H461" s="23">
        <f>IF($A461="","",IF($B461="","Escolha o insumo",IF($F461="","Insumo sem custo",IF(COUNTIF(PratoNome,$A461)=0,"Prato não cadastrado",IF($C461="","Falta quantidade","OK")))))</f>
        <v>0</v>
      </c>
    </row>
    <row r="462" spans="1:8">
      <c r="A462" s="13"/>
      <c r="B462" s="13"/>
      <c r="C462" s="19"/>
      <c r="D462" s="13"/>
      <c r="E462" s="23">
        <f>IF($B462="","",IFERROR(INDEX(InsUnid,MATCH($B462,InsNome,0)),""))</f>
        <v>0</v>
      </c>
      <c r="F462" s="21">
        <f>IF($B462="","",IFERROR(INDEX(InsUtil,MATCH($B462,InsNome,0)),""))</f>
        <v>0</v>
      </c>
      <c r="G462" s="24">
        <f>IF(OR($A462="",$C462="",$F462=""),"",$C462*$F462)</f>
        <v>0</v>
      </c>
      <c r="H462" s="23">
        <f>IF($A462="","",IF($B462="","Escolha o insumo",IF($F462="","Insumo sem custo",IF(COUNTIF(PratoNome,$A462)=0,"Prato não cadastrado",IF($C462="","Falta quantidade","OK")))))</f>
        <v>0</v>
      </c>
    </row>
    <row r="463" spans="1:8">
      <c r="A463" s="13"/>
      <c r="B463" s="13"/>
      <c r="C463" s="19"/>
      <c r="D463" s="13"/>
      <c r="E463" s="23">
        <f>IF($B463="","",IFERROR(INDEX(InsUnid,MATCH($B463,InsNome,0)),""))</f>
        <v>0</v>
      </c>
      <c r="F463" s="21">
        <f>IF($B463="","",IFERROR(INDEX(InsUtil,MATCH($B463,InsNome,0)),""))</f>
        <v>0</v>
      </c>
      <c r="G463" s="24">
        <f>IF(OR($A463="",$C463="",$F463=""),"",$C463*$F463)</f>
        <v>0</v>
      </c>
      <c r="H463" s="23">
        <f>IF($A463="","",IF($B463="","Escolha o insumo",IF($F463="","Insumo sem custo",IF(COUNTIF(PratoNome,$A463)=0,"Prato não cadastrado",IF($C463="","Falta quantidade","OK")))))</f>
        <v>0</v>
      </c>
    </row>
    <row r="464" spans="1:8">
      <c r="A464" s="13"/>
      <c r="B464" s="13"/>
      <c r="C464" s="19"/>
      <c r="D464" s="13"/>
      <c r="E464" s="23">
        <f>IF($B464="","",IFERROR(INDEX(InsUnid,MATCH($B464,InsNome,0)),""))</f>
        <v>0</v>
      </c>
      <c r="F464" s="21">
        <f>IF($B464="","",IFERROR(INDEX(InsUtil,MATCH($B464,InsNome,0)),""))</f>
        <v>0</v>
      </c>
      <c r="G464" s="24">
        <f>IF(OR($A464="",$C464="",$F464=""),"",$C464*$F464)</f>
        <v>0</v>
      </c>
      <c r="H464" s="23">
        <f>IF($A464="","",IF($B464="","Escolha o insumo",IF($F464="","Insumo sem custo",IF(COUNTIF(PratoNome,$A464)=0,"Prato não cadastrado",IF($C464="","Falta quantidade","OK")))))</f>
        <v>0</v>
      </c>
    </row>
    <row r="465" spans="1:8">
      <c r="A465" s="13"/>
      <c r="B465" s="13"/>
      <c r="C465" s="19"/>
      <c r="D465" s="13"/>
      <c r="E465" s="23">
        <f>IF($B465="","",IFERROR(INDEX(InsUnid,MATCH($B465,InsNome,0)),""))</f>
        <v>0</v>
      </c>
      <c r="F465" s="21">
        <f>IF($B465="","",IFERROR(INDEX(InsUtil,MATCH($B465,InsNome,0)),""))</f>
        <v>0</v>
      </c>
      <c r="G465" s="24">
        <f>IF(OR($A465="",$C465="",$F465=""),"",$C465*$F465)</f>
        <v>0</v>
      </c>
      <c r="H465" s="23">
        <f>IF($A465="","",IF($B465="","Escolha o insumo",IF($F465="","Insumo sem custo",IF(COUNTIF(PratoNome,$A465)=0,"Prato não cadastrado",IF($C465="","Falta quantidade","OK")))))</f>
        <v>0</v>
      </c>
    </row>
    <row r="466" spans="1:8">
      <c r="A466" s="13"/>
      <c r="B466" s="13"/>
      <c r="C466" s="19"/>
      <c r="D466" s="13"/>
      <c r="E466" s="23">
        <f>IF($B466="","",IFERROR(INDEX(InsUnid,MATCH($B466,InsNome,0)),""))</f>
        <v>0</v>
      </c>
      <c r="F466" s="21">
        <f>IF($B466="","",IFERROR(INDEX(InsUtil,MATCH($B466,InsNome,0)),""))</f>
        <v>0</v>
      </c>
      <c r="G466" s="24">
        <f>IF(OR($A466="",$C466="",$F466=""),"",$C466*$F466)</f>
        <v>0</v>
      </c>
      <c r="H466" s="23">
        <f>IF($A466="","",IF($B466="","Escolha o insumo",IF($F466="","Insumo sem custo",IF(COUNTIF(PratoNome,$A466)=0,"Prato não cadastrado",IF($C466="","Falta quantidade","OK")))))</f>
        <v>0</v>
      </c>
    </row>
    <row r="467" spans="1:8">
      <c r="A467" s="13"/>
      <c r="B467" s="13"/>
      <c r="C467" s="19"/>
      <c r="D467" s="13"/>
      <c r="E467" s="23">
        <f>IF($B467="","",IFERROR(INDEX(InsUnid,MATCH($B467,InsNome,0)),""))</f>
        <v>0</v>
      </c>
      <c r="F467" s="21">
        <f>IF($B467="","",IFERROR(INDEX(InsUtil,MATCH($B467,InsNome,0)),""))</f>
        <v>0</v>
      </c>
      <c r="G467" s="24">
        <f>IF(OR($A467="",$C467="",$F467=""),"",$C467*$F467)</f>
        <v>0</v>
      </c>
      <c r="H467" s="23">
        <f>IF($A467="","",IF($B467="","Escolha o insumo",IF($F467="","Insumo sem custo",IF(COUNTIF(PratoNome,$A467)=0,"Prato não cadastrado",IF($C467="","Falta quantidade","OK")))))</f>
        <v>0</v>
      </c>
    </row>
    <row r="468" spans="1:8">
      <c r="A468" s="13"/>
      <c r="B468" s="13"/>
      <c r="C468" s="19"/>
      <c r="D468" s="13"/>
      <c r="E468" s="23">
        <f>IF($B468="","",IFERROR(INDEX(InsUnid,MATCH($B468,InsNome,0)),""))</f>
        <v>0</v>
      </c>
      <c r="F468" s="21">
        <f>IF($B468="","",IFERROR(INDEX(InsUtil,MATCH($B468,InsNome,0)),""))</f>
        <v>0</v>
      </c>
      <c r="G468" s="24">
        <f>IF(OR($A468="",$C468="",$F468=""),"",$C468*$F468)</f>
        <v>0</v>
      </c>
      <c r="H468" s="23">
        <f>IF($A468="","",IF($B468="","Escolha o insumo",IF($F468="","Insumo sem custo",IF(COUNTIF(PratoNome,$A468)=0,"Prato não cadastrado",IF($C468="","Falta quantidade","OK")))))</f>
        <v>0</v>
      </c>
    </row>
    <row r="469" spans="1:8">
      <c r="A469" s="13"/>
      <c r="B469" s="13"/>
      <c r="C469" s="19"/>
      <c r="D469" s="13"/>
      <c r="E469" s="23">
        <f>IF($B469="","",IFERROR(INDEX(InsUnid,MATCH($B469,InsNome,0)),""))</f>
        <v>0</v>
      </c>
      <c r="F469" s="21">
        <f>IF($B469="","",IFERROR(INDEX(InsUtil,MATCH($B469,InsNome,0)),""))</f>
        <v>0</v>
      </c>
      <c r="G469" s="24">
        <f>IF(OR($A469="",$C469="",$F469=""),"",$C469*$F469)</f>
        <v>0</v>
      </c>
      <c r="H469" s="23">
        <f>IF($A469="","",IF($B469="","Escolha o insumo",IF($F469="","Insumo sem custo",IF(COUNTIF(PratoNome,$A469)=0,"Prato não cadastrado",IF($C469="","Falta quantidade","OK")))))</f>
        <v>0</v>
      </c>
    </row>
    <row r="470" spans="1:8">
      <c r="A470" s="13"/>
      <c r="B470" s="13"/>
      <c r="C470" s="19"/>
      <c r="D470" s="13"/>
      <c r="E470" s="23">
        <f>IF($B470="","",IFERROR(INDEX(InsUnid,MATCH($B470,InsNome,0)),""))</f>
        <v>0</v>
      </c>
      <c r="F470" s="21">
        <f>IF($B470="","",IFERROR(INDEX(InsUtil,MATCH($B470,InsNome,0)),""))</f>
        <v>0</v>
      </c>
      <c r="G470" s="24">
        <f>IF(OR($A470="",$C470="",$F470=""),"",$C470*$F470)</f>
        <v>0</v>
      </c>
      <c r="H470" s="23">
        <f>IF($A470="","",IF($B470="","Escolha o insumo",IF($F470="","Insumo sem custo",IF(COUNTIF(PratoNome,$A470)=0,"Prato não cadastrado",IF($C470="","Falta quantidade","OK")))))</f>
        <v>0</v>
      </c>
    </row>
    <row r="471" spans="1:8">
      <c r="A471" s="13"/>
      <c r="B471" s="13"/>
      <c r="C471" s="19"/>
      <c r="D471" s="13"/>
      <c r="E471" s="23">
        <f>IF($B471="","",IFERROR(INDEX(InsUnid,MATCH($B471,InsNome,0)),""))</f>
        <v>0</v>
      </c>
      <c r="F471" s="21">
        <f>IF($B471="","",IFERROR(INDEX(InsUtil,MATCH($B471,InsNome,0)),""))</f>
        <v>0</v>
      </c>
      <c r="G471" s="24">
        <f>IF(OR($A471="",$C471="",$F471=""),"",$C471*$F471)</f>
        <v>0</v>
      </c>
      <c r="H471" s="23">
        <f>IF($A471="","",IF($B471="","Escolha o insumo",IF($F471="","Insumo sem custo",IF(COUNTIF(PratoNome,$A471)=0,"Prato não cadastrado",IF($C471="","Falta quantidade","OK")))))</f>
        <v>0</v>
      </c>
    </row>
    <row r="472" spans="1:8">
      <c r="A472" s="13"/>
      <c r="B472" s="13"/>
      <c r="C472" s="19"/>
      <c r="D472" s="13"/>
      <c r="E472" s="23">
        <f>IF($B472="","",IFERROR(INDEX(InsUnid,MATCH($B472,InsNome,0)),""))</f>
        <v>0</v>
      </c>
      <c r="F472" s="21">
        <f>IF($B472="","",IFERROR(INDEX(InsUtil,MATCH($B472,InsNome,0)),""))</f>
        <v>0</v>
      </c>
      <c r="G472" s="24">
        <f>IF(OR($A472="",$C472="",$F472=""),"",$C472*$F472)</f>
        <v>0</v>
      </c>
      <c r="H472" s="23">
        <f>IF($A472="","",IF($B472="","Escolha o insumo",IF($F472="","Insumo sem custo",IF(COUNTIF(PratoNome,$A472)=0,"Prato não cadastrado",IF($C472="","Falta quantidade","OK")))))</f>
        <v>0</v>
      </c>
    </row>
    <row r="473" spans="1:8">
      <c r="A473" s="13"/>
      <c r="B473" s="13"/>
      <c r="C473" s="19"/>
      <c r="D473" s="13"/>
      <c r="E473" s="23">
        <f>IF($B473="","",IFERROR(INDEX(InsUnid,MATCH($B473,InsNome,0)),""))</f>
        <v>0</v>
      </c>
      <c r="F473" s="21">
        <f>IF($B473="","",IFERROR(INDEX(InsUtil,MATCH($B473,InsNome,0)),""))</f>
        <v>0</v>
      </c>
      <c r="G473" s="24">
        <f>IF(OR($A473="",$C473="",$F473=""),"",$C473*$F473)</f>
        <v>0</v>
      </c>
      <c r="H473" s="23">
        <f>IF($A473="","",IF($B473="","Escolha o insumo",IF($F473="","Insumo sem custo",IF(COUNTIF(PratoNome,$A473)=0,"Prato não cadastrado",IF($C473="","Falta quantidade","OK")))))</f>
        <v>0</v>
      </c>
    </row>
    <row r="474" spans="1:8">
      <c r="A474" s="13"/>
      <c r="B474" s="13"/>
      <c r="C474" s="19"/>
      <c r="D474" s="13"/>
      <c r="E474" s="23">
        <f>IF($B474="","",IFERROR(INDEX(InsUnid,MATCH($B474,InsNome,0)),""))</f>
        <v>0</v>
      </c>
      <c r="F474" s="21">
        <f>IF($B474="","",IFERROR(INDEX(InsUtil,MATCH($B474,InsNome,0)),""))</f>
        <v>0</v>
      </c>
      <c r="G474" s="24">
        <f>IF(OR($A474="",$C474="",$F474=""),"",$C474*$F474)</f>
        <v>0</v>
      </c>
      <c r="H474" s="23">
        <f>IF($A474="","",IF($B474="","Escolha o insumo",IF($F474="","Insumo sem custo",IF(COUNTIF(PratoNome,$A474)=0,"Prato não cadastrado",IF($C474="","Falta quantidade","OK")))))</f>
        <v>0</v>
      </c>
    </row>
    <row r="475" spans="1:8">
      <c r="A475" s="13"/>
      <c r="B475" s="13"/>
      <c r="C475" s="19"/>
      <c r="D475" s="13"/>
      <c r="E475" s="23">
        <f>IF($B475="","",IFERROR(INDEX(InsUnid,MATCH($B475,InsNome,0)),""))</f>
        <v>0</v>
      </c>
      <c r="F475" s="21">
        <f>IF($B475="","",IFERROR(INDEX(InsUtil,MATCH($B475,InsNome,0)),""))</f>
        <v>0</v>
      </c>
      <c r="G475" s="24">
        <f>IF(OR($A475="",$C475="",$F475=""),"",$C475*$F475)</f>
        <v>0</v>
      </c>
      <c r="H475" s="23">
        <f>IF($A475="","",IF($B475="","Escolha o insumo",IF($F475="","Insumo sem custo",IF(COUNTIF(PratoNome,$A475)=0,"Prato não cadastrado",IF($C475="","Falta quantidade","OK")))))</f>
        <v>0</v>
      </c>
    </row>
    <row r="476" spans="1:8">
      <c r="A476" s="13"/>
      <c r="B476" s="13"/>
      <c r="C476" s="19"/>
      <c r="D476" s="13"/>
      <c r="E476" s="23">
        <f>IF($B476="","",IFERROR(INDEX(InsUnid,MATCH($B476,InsNome,0)),""))</f>
        <v>0</v>
      </c>
      <c r="F476" s="21">
        <f>IF($B476="","",IFERROR(INDEX(InsUtil,MATCH($B476,InsNome,0)),""))</f>
        <v>0</v>
      </c>
      <c r="G476" s="24">
        <f>IF(OR($A476="",$C476="",$F476=""),"",$C476*$F476)</f>
        <v>0</v>
      </c>
      <c r="H476" s="23">
        <f>IF($A476="","",IF($B476="","Escolha o insumo",IF($F476="","Insumo sem custo",IF(COUNTIF(PratoNome,$A476)=0,"Prato não cadastrado",IF($C476="","Falta quantidade","OK")))))</f>
        <v>0</v>
      </c>
    </row>
    <row r="477" spans="1:8">
      <c r="A477" s="13"/>
      <c r="B477" s="13"/>
      <c r="C477" s="19"/>
      <c r="D477" s="13"/>
      <c r="E477" s="23">
        <f>IF($B477="","",IFERROR(INDEX(InsUnid,MATCH($B477,InsNome,0)),""))</f>
        <v>0</v>
      </c>
      <c r="F477" s="21">
        <f>IF($B477="","",IFERROR(INDEX(InsUtil,MATCH($B477,InsNome,0)),""))</f>
        <v>0</v>
      </c>
      <c r="G477" s="24">
        <f>IF(OR($A477="",$C477="",$F477=""),"",$C477*$F477)</f>
        <v>0</v>
      </c>
      <c r="H477" s="23">
        <f>IF($A477="","",IF($B477="","Escolha o insumo",IF($F477="","Insumo sem custo",IF(COUNTIF(PratoNome,$A477)=0,"Prato não cadastrado",IF($C477="","Falta quantidade","OK")))))</f>
        <v>0</v>
      </c>
    </row>
    <row r="478" spans="1:8">
      <c r="A478" s="13"/>
      <c r="B478" s="13"/>
      <c r="C478" s="19"/>
      <c r="D478" s="13"/>
      <c r="E478" s="23">
        <f>IF($B478="","",IFERROR(INDEX(InsUnid,MATCH($B478,InsNome,0)),""))</f>
        <v>0</v>
      </c>
      <c r="F478" s="21">
        <f>IF($B478="","",IFERROR(INDEX(InsUtil,MATCH($B478,InsNome,0)),""))</f>
        <v>0</v>
      </c>
      <c r="G478" s="24">
        <f>IF(OR($A478="",$C478="",$F478=""),"",$C478*$F478)</f>
        <v>0</v>
      </c>
      <c r="H478" s="23">
        <f>IF($A478="","",IF($B478="","Escolha o insumo",IF($F478="","Insumo sem custo",IF(COUNTIF(PratoNome,$A478)=0,"Prato não cadastrado",IF($C478="","Falta quantidade","OK")))))</f>
        <v>0</v>
      </c>
    </row>
    <row r="479" spans="1:8">
      <c r="A479" s="13"/>
      <c r="B479" s="13"/>
      <c r="C479" s="19"/>
      <c r="D479" s="13"/>
      <c r="E479" s="23">
        <f>IF($B479="","",IFERROR(INDEX(InsUnid,MATCH($B479,InsNome,0)),""))</f>
        <v>0</v>
      </c>
      <c r="F479" s="21">
        <f>IF($B479="","",IFERROR(INDEX(InsUtil,MATCH($B479,InsNome,0)),""))</f>
        <v>0</v>
      </c>
      <c r="G479" s="24">
        <f>IF(OR($A479="",$C479="",$F479=""),"",$C479*$F479)</f>
        <v>0</v>
      </c>
      <c r="H479" s="23">
        <f>IF($A479="","",IF($B479="","Escolha o insumo",IF($F479="","Insumo sem custo",IF(COUNTIF(PratoNome,$A479)=0,"Prato não cadastrado",IF($C479="","Falta quantidade","OK")))))</f>
        <v>0</v>
      </c>
    </row>
    <row r="480" spans="1:8">
      <c r="A480" s="13"/>
      <c r="B480" s="13"/>
      <c r="C480" s="19"/>
      <c r="D480" s="13"/>
      <c r="E480" s="23">
        <f>IF($B480="","",IFERROR(INDEX(InsUnid,MATCH($B480,InsNome,0)),""))</f>
        <v>0</v>
      </c>
      <c r="F480" s="21">
        <f>IF($B480="","",IFERROR(INDEX(InsUtil,MATCH($B480,InsNome,0)),""))</f>
        <v>0</v>
      </c>
      <c r="G480" s="24">
        <f>IF(OR($A480="",$C480="",$F480=""),"",$C480*$F480)</f>
        <v>0</v>
      </c>
      <c r="H480" s="23">
        <f>IF($A480="","",IF($B480="","Escolha o insumo",IF($F480="","Insumo sem custo",IF(COUNTIF(PratoNome,$A480)=0,"Prato não cadastrado",IF($C480="","Falta quantidade","OK")))))</f>
        <v>0</v>
      </c>
    </row>
    <row r="481" spans="1:8">
      <c r="A481" s="13"/>
      <c r="B481" s="13"/>
      <c r="C481" s="19"/>
      <c r="D481" s="13"/>
      <c r="E481" s="23">
        <f>IF($B481="","",IFERROR(INDEX(InsUnid,MATCH($B481,InsNome,0)),""))</f>
        <v>0</v>
      </c>
      <c r="F481" s="21">
        <f>IF($B481="","",IFERROR(INDEX(InsUtil,MATCH($B481,InsNome,0)),""))</f>
        <v>0</v>
      </c>
      <c r="G481" s="24">
        <f>IF(OR($A481="",$C481="",$F481=""),"",$C481*$F481)</f>
        <v>0</v>
      </c>
      <c r="H481" s="23">
        <f>IF($A481="","",IF($B481="","Escolha o insumo",IF($F481="","Insumo sem custo",IF(COUNTIF(PratoNome,$A481)=0,"Prato não cadastrado",IF($C481="","Falta quantidade","OK")))))</f>
        <v>0</v>
      </c>
    </row>
    <row r="482" spans="1:8">
      <c r="A482" s="13"/>
      <c r="B482" s="13"/>
      <c r="C482" s="19"/>
      <c r="D482" s="13"/>
      <c r="E482" s="23">
        <f>IF($B482="","",IFERROR(INDEX(InsUnid,MATCH($B482,InsNome,0)),""))</f>
        <v>0</v>
      </c>
      <c r="F482" s="21">
        <f>IF($B482="","",IFERROR(INDEX(InsUtil,MATCH($B482,InsNome,0)),""))</f>
        <v>0</v>
      </c>
      <c r="G482" s="24">
        <f>IF(OR($A482="",$C482="",$F482=""),"",$C482*$F482)</f>
        <v>0</v>
      </c>
      <c r="H482" s="23">
        <f>IF($A482="","",IF($B482="","Escolha o insumo",IF($F482="","Insumo sem custo",IF(COUNTIF(PratoNome,$A482)=0,"Prato não cadastrado",IF($C482="","Falta quantidade","OK")))))</f>
        <v>0</v>
      </c>
    </row>
    <row r="483" spans="1:8">
      <c r="A483" s="13"/>
      <c r="B483" s="13"/>
      <c r="C483" s="19"/>
      <c r="D483" s="13"/>
      <c r="E483" s="23">
        <f>IF($B483="","",IFERROR(INDEX(InsUnid,MATCH($B483,InsNome,0)),""))</f>
        <v>0</v>
      </c>
      <c r="F483" s="21">
        <f>IF($B483="","",IFERROR(INDEX(InsUtil,MATCH($B483,InsNome,0)),""))</f>
        <v>0</v>
      </c>
      <c r="G483" s="24">
        <f>IF(OR($A483="",$C483="",$F483=""),"",$C483*$F483)</f>
        <v>0</v>
      </c>
      <c r="H483" s="23">
        <f>IF($A483="","",IF($B483="","Escolha o insumo",IF($F483="","Insumo sem custo",IF(COUNTIF(PratoNome,$A483)=0,"Prato não cadastrado",IF($C483="","Falta quantidade","OK")))))</f>
        <v>0</v>
      </c>
    </row>
    <row r="484" spans="1:8">
      <c r="A484" s="13"/>
      <c r="B484" s="13"/>
      <c r="C484" s="19"/>
      <c r="D484" s="13"/>
      <c r="E484" s="23">
        <f>IF($B484="","",IFERROR(INDEX(InsUnid,MATCH($B484,InsNome,0)),""))</f>
        <v>0</v>
      </c>
      <c r="F484" s="21">
        <f>IF($B484="","",IFERROR(INDEX(InsUtil,MATCH($B484,InsNome,0)),""))</f>
        <v>0</v>
      </c>
      <c r="G484" s="24">
        <f>IF(OR($A484="",$C484="",$F484=""),"",$C484*$F484)</f>
        <v>0</v>
      </c>
      <c r="H484" s="23">
        <f>IF($A484="","",IF($B484="","Escolha o insumo",IF($F484="","Insumo sem custo",IF(COUNTIF(PratoNome,$A484)=0,"Prato não cadastrado",IF($C484="","Falta quantidade","OK")))))</f>
        <v>0</v>
      </c>
    </row>
    <row r="485" spans="1:8">
      <c r="A485" s="13"/>
      <c r="B485" s="13"/>
      <c r="C485" s="19"/>
      <c r="D485" s="13"/>
      <c r="E485" s="23">
        <f>IF($B485="","",IFERROR(INDEX(InsUnid,MATCH($B485,InsNome,0)),""))</f>
        <v>0</v>
      </c>
      <c r="F485" s="21">
        <f>IF($B485="","",IFERROR(INDEX(InsUtil,MATCH($B485,InsNome,0)),""))</f>
        <v>0</v>
      </c>
      <c r="G485" s="24">
        <f>IF(OR($A485="",$C485="",$F485=""),"",$C485*$F485)</f>
        <v>0</v>
      </c>
      <c r="H485" s="23">
        <f>IF($A485="","",IF($B485="","Escolha o insumo",IF($F485="","Insumo sem custo",IF(COUNTIF(PratoNome,$A485)=0,"Prato não cadastrado",IF($C485="","Falta quantidade","OK")))))</f>
        <v>0</v>
      </c>
    </row>
    <row r="486" spans="1:8">
      <c r="A486" s="13"/>
      <c r="B486" s="13"/>
      <c r="C486" s="19"/>
      <c r="D486" s="13"/>
      <c r="E486" s="23">
        <f>IF($B486="","",IFERROR(INDEX(InsUnid,MATCH($B486,InsNome,0)),""))</f>
        <v>0</v>
      </c>
      <c r="F486" s="21">
        <f>IF($B486="","",IFERROR(INDEX(InsUtil,MATCH($B486,InsNome,0)),""))</f>
        <v>0</v>
      </c>
      <c r="G486" s="24">
        <f>IF(OR($A486="",$C486="",$F486=""),"",$C486*$F486)</f>
        <v>0</v>
      </c>
      <c r="H486" s="23">
        <f>IF($A486="","",IF($B486="","Escolha o insumo",IF($F486="","Insumo sem custo",IF(COUNTIF(PratoNome,$A486)=0,"Prato não cadastrado",IF($C486="","Falta quantidade","OK")))))</f>
        <v>0</v>
      </c>
    </row>
    <row r="487" spans="1:8">
      <c r="A487" s="13"/>
      <c r="B487" s="13"/>
      <c r="C487" s="19"/>
      <c r="D487" s="13"/>
      <c r="E487" s="23">
        <f>IF($B487="","",IFERROR(INDEX(InsUnid,MATCH($B487,InsNome,0)),""))</f>
        <v>0</v>
      </c>
      <c r="F487" s="21">
        <f>IF($B487="","",IFERROR(INDEX(InsUtil,MATCH($B487,InsNome,0)),""))</f>
        <v>0</v>
      </c>
      <c r="G487" s="24">
        <f>IF(OR($A487="",$C487="",$F487=""),"",$C487*$F487)</f>
        <v>0</v>
      </c>
      <c r="H487" s="23">
        <f>IF($A487="","",IF($B487="","Escolha o insumo",IF($F487="","Insumo sem custo",IF(COUNTIF(PratoNome,$A487)=0,"Prato não cadastrado",IF($C487="","Falta quantidade","OK")))))</f>
        <v>0</v>
      </c>
    </row>
    <row r="488" spans="1:8">
      <c r="A488" s="13"/>
      <c r="B488" s="13"/>
      <c r="C488" s="19"/>
      <c r="D488" s="13"/>
      <c r="E488" s="23">
        <f>IF($B488="","",IFERROR(INDEX(InsUnid,MATCH($B488,InsNome,0)),""))</f>
        <v>0</v>
      </c>
      <c r="F488" s="21">
        <f>IF($B488="","",IFERROR(INDEX(InsUtil,MATCH($B488,InsNome,0)),""))</f>
        <v>0</v>
      </c>
      <c r="G488" s="24">
        <f>IF(OR($A488="",$C488="",$F488=""),"",$C488*$F488)</f>
        <v>0</v>
      </c>
      <c r="H488" s="23">
        <f>IF($A488="","",IF($B488="","Escolha o insumo",IF($F488="","Insumo sem custo",IF(COUNTIF(PratoNome,$A488)=0,"Prato não cadastrado",IF($C488="","Falta quantidade","OK")))))</f>
        <v>0</v>
      </c>
    </row>
    <row r="489" spans="1:8">
      <c r="A489" s="13"/>
      <c r="B489" s="13"/>
      <c r="C489" s="19"/>
      <c r="D489" s="13"/>
      <c r="E489" s="23">
        <f>IF($B489="","",IFERROR(INDEX(InsUnid,MATCH($B489,InsNome,0)),""))</f>
        <v>0</v>
      </c>
      <c r="F489" s="21">
        <f>IF($B489="","",IFERROR(INDEX(InsUtil,MATCH($B489,InsNome,0)),""))</f>
        <v>0</v>
      </c>
      <c r="G489" s="24">
        <f>IF(OR($A489="",$C489="",$F489=""),"",$C489*$F489)</f>
        <v>0</v>
      </c>
      <c r="H489" s="23">
        <f>IF($A489="","",IF($B489="","Escolha o insumo",IF($F489="","Insumo sem custo",IF(COUNTIF(PratoNome,$A489)=0,"Prato não cadastrado",IF($C489="","Falta quantidade","OK")))))</f>
        <v>0</v>
      </c>
    </row>
    <row r="490" spans="1:8">
      <c r="A490" s="13"/>
      <c r="B490" s="13"/>
      <c r="C490" s="19"/>
      <c r="D490" s="13"/>
      <c r="E490" s="23">
        <f>IF($B490="","",IFERROR(INDEX(InsUnid,MATCH($B490,InsNome,0)),""))</f>
        <v>0</v>
      </c>
      <c r="F490" s="21">
        <f>IF($B490="","",IFERROR(INDEX(InsUtil,MATCH($B490,InsNome,0)),""))</f>
        <v>0</v>
      </c>
      <c r="G490" s="24">
        <f>IF(OR($A490="",$C490="",$F490=""),"",$C490*$F490)</f>
        <v>0</v>
      </c>
      <c r="H490" s="23">
        <f>IF($A490="","",IF($B490="","Escolha o insumo",IF($F490="","Insumo sem custo",IF(COUNTIF(PratoNome,$A490)=0,"Prato não cadastrado",IF($C490="","Falta quantidade","OK")))))</f>
        <v>0</v>
      </c>
    </row>
    <row r="491" spans="1:8">
      <c r="A491" s="13"/>
      <c r="B491" s="13"/>
      <c r="C491" s="19"/>
      <c r="D491" s="13"/>
      <c r="E491" s="23">
        <f>IF($B491="","",IFERROR(INDEX(InsUnid,MATCH($B491,InsNome,0)),""))</f>
        <v>0</v>
      </c>
      <c r="F491" s="21">
        <f>IF($B491="","",IFERROR(INDEX(InsUtil,MATCH($B491,InsNome,0)),""))</f>
        <v>0</v>
      </c>
      <c r="G491" s="24">
        <f>IF(OR($A491="",$C491="",$F491=""),"",$C491*$F491)</f>
        <v>0</v>
      </c>
      <c r="H491" s="23">
        <f>IF($A491="","",IF($B491="","Escolha o insumo",IF($F491="","Insumo sem custo",IF(COUNTIF(PratoNome,$A491)=0,"Prato não cadastrado",IF($C491="","Falta quantidade","OK")))))</f>
        <v>0</v>
      </c>
    </row>
    <row r="492" spans="1:8">
      <c r="A492" s="13"/>
      <c r="B492" s="13"/>
      <c r="C492" s="19"/>
      <c r="D492" s="13"/>
      <c r="E492" s="23">
        <f>IF($B492="","",IFERROR(INDEX(InsUnid,MATCH($B492,InsNome,0)),""))</f>
        <v>0</v>
      </c>
      <c r="F492" s="21">
        <f>IF($B492="","",IFERROR(INDEX(InsUtil,MATCH($B492,InsNome,0)),""))</f>
        <v>0</v>
      </c>
      <c r="G492" s="24">
        <f>IF(OR($A492="",$C492="",$F492=""),"",$C492*$F492)</f>
        <v>0</v>
      </c>
      <c r="H492" s="23">
        <f>IF($A492="","",IF($B492="","Escolha o insumo",IF($F492="","Insumo sem custo",IF(COUNTIF(PratoNome,$A492)=0,"Prato não cadastrado",IF($C492="","Falta quantidade","OK")))))</f>
        <v>0</v>
      </c>
    </row>
    <row r="493" spans="1:8">
      <c r="A493" s="13"/>
      <c r="B493" s="13"/>
      <c r="C493" s="19"/>
      <c r="D493" s="13"/>
      <c r="E493" s="23">
        <f>IF($B493="","",IFERROR(INDEX(InsUnid,MATCH($B493,InsNome,0)),""))</f>
        <v>0</v>
      </c>
      <c r="F493" s="21">
        <f>IF($B493="","",IFERROR(INDEX(InsUtil,MATCH($B493,InsNome,0)),""))</f>
        <v>0</v>
      </c>
      <c r="G493" s="24">
        <f>IF(OR($A493="",$C493="",$F493=""),"",$C493*$F493)</f>
        <v>0</v>
      </c>
      <c r="H493" s="23">
        <f>IF($A493="","",IF($B493="","Escolha o insumo",IF($F493="","Insumo sem custo",IF(COUNTIF(PratoNome,$A493)=0,"Prato não cadastrado",IF($C493="","Falta quantidade","OK")))))</f>
        <v>0</v>
      </c>
    </row>
    <row r="494" spans="1:8">
      <c r="A494" s="13"/>
      <c r="B494" s="13"/>
      <c r="C494" s="19"/>
      <c r="D494" s="13"/>
      <c r="E494" s="23">
        <f>IF($B494="","",IFERROR(INDEX(InsUnid,MATCH($B494,InsNome,0)),""))</f>
        <v>0</v>
      </c>
      <c r="F494" s="21">
        <f>IF($B494="","",IFERROR(INDEX(InsUtil,MATCH($B494,InsNome,0)),""))</f>
        <v>0</v>
      </c>
      <c r="G494" s="24">
        <f>IF(OR($A494="",$C494="",$F494=""),"",$C494*$F494)</f>
        <v>0</v>
      </c>
      <c r="H494" s="23">
        <f>IF($A494="","",IF($B494="","Escolha o insumo",IF($F494="","Insumo sem custo",IF(COUNTIF(PratoNome,$A494)=0,"Prato não cadastrado",IF($C494="","Falta quantidade","OK")))))</f>
        <v>0</v>
      </c>
    </row>
    <row r="495" spans="1:8">
      <c r="A495" s="13"/>
      <c r="B495" s="13"/>
      <c r="C495" s="19"/>
      <c r="D495" s="13"/>
      <c r="E495" s="23">
        <f>IF($B495="","",IFERROR(INDEX(InsUnid,MATCH($B495,InsNome,0)),""))</f>
        <v>0</v>
      </c>
      <c r="F495" s="21">
        <f>IF($B495="","",IFERROR(INDEX(InsUtil,MATCH($B495,InsNome,0)),""))</f>
        <v>0</v>
      </c>
      <c r="G495" s="24">
        <f>IF(OR($A495="",$C495="",$F495=""),"",$C495*$F495)</f>
        <v>0</v>
      </c>
      <c r="H495" s="23">
        <f>IF($A495="","",IF($B495="","Escolha o insumo",IF($F495="","Insumo sem custo",IF(COUNTIF(PratoNome,$A495)=0,"Prato não cadastrado",IF($C495="","Falta quantidade","OK")))))</f>
        <v>0</v>
      </c>
    </row>
    <row r="496" spans="1:8">
      <c r="A496" s="13"/>
      <c r="B496" s="13"/>
      <c r="C496" s="19"/>
      <c r="D496" s="13"/>
      <c r="E496" s="23">
        <f>IF($B496="","",IFERROR(INDEX(InsUnid,MATCH($B496,InsNome,0)),""))</f>
        <v>0</v>
      </c>
      <c r="F496" s="21">
        <f>IF($B496="","",IFERROR(INDEX(InsUtil,MATCH($B496,InsNome,0)),""))</f>
        <v>0</v>
      </c>
      <c r="G496" s="24">
        <f>IF(OR($A496="",$C496="",$F496=""),"",$C496*$F496)</f>
        <v>0</v>
      </c>
      <c r="H496" s="23">
        <f>IF($A496="","",IF($B496="","Escolha o insumo",IF($F496="","Insumo sem custo",IF(COUNTIF(PratoNome,$A496)=0,"Prato não cadastrado",IF($C496="","Falta quantidade","OK")))))</f>
        <v>0</v>
      </c>
    </row>
    <row r="497" spans="1:8">
      <c r="A497" s="13"/>
      <c r="B497" s="13"/>
      <c r="C497" s="19"/>
      <c r="D497" s="13"/>
      <c r="E497" s="23">
        <f>IF($B497="","",IFERROR(INDEX(InsUnid,MATCH($B497,InsNome,0)),""))</f>
        <v>0</v>
      </c>
      <c r="F497" s="21">
        <f>IF($B497="","",IFERROR(INDEX(InsUtil,MATCH($B497,InsNome,0)),""))</f>
        <v>0</v>
      </c>
      <c r="G497" s="24">
        <f>IF(OR($A497="",$C497="",$F497=""),"",$C497*$F497)</f>
        <v>0</v>
      </c>
      <c r="H497" s="23">
        <f>IF($A497="","",IF($B497="","Escolha o insumo",IF($F497="","Insumo sem custo",IF(COUNTIF(PratoNome,$A497)=0,"Prato não cadastrado",IF($C497="","Falta quantidade","OK")))))</f>
        <v>0</v>
      </c>
    </row>
    <row r="498" spans="1:8">
      <c r="A498" s="13"/>
      <c r="B498" s="13"/>
      <c r="C498" s="19"/>
      <c r="D498" s="13"/>
      <c r="E498" s="23">
        <f>IF($B498="","",IFERROR(INDEX(InsUnid,MATCH($B498,InsNome,0)),""))</f>
        <v>0</v>
      </c>
      <c r="F498" s="21">
        <f>IF($B498="","",IFERROR(INDEX(InsUtil,MATCH($B498,InsNome,0)),""))</f>
        <v>0</v>
      </c>
      <c r="G498" s="24">
        <f>IF(OR($A498="",$C498="",$F498=""),"",$C498*$F498)</f>
        <v>0</v>
      </c>
      <c r="H498" s="23">
        <f>IF($A498="","",IF($B498="","Escolha o insumo",IF($F498="","Insumo sem custo",IF(COUNTIF(PratoNome,$A498)=0,"Prato não cadastrado",IF($C498="","Falta quantidade","OK")))))</f>
        <v>0</v>
      </c>
    </row>
    <row r="499" spans="1:8">
      <c r="A499" s="13"/>
      <c r="B499" s="13"/>
      <c r="C499" s="19"/>
      <c r="D499" s="13"/>
      <c r="E499" s="23">
        <f>IF($B499="","",IFERROR(INDEX(InsUnid,MATCH($B499,InsNome,0)),""))</f>
        <v>0</v>
      </c>
      <c r="F499" s="21">
        <f>IF($B499="","",IFERROR(INDEX(InsUtil,MATCH($B499,InsNome,0)),""))</f>
        <v>0</v>
      </c>
      <c r="G499" s="24">
        <f>IF(OR($A499="",$C499="",$F499=""),"",$C499*$F499)</f>
        <v>0</v>
      </c>
      <c r="H499" s="23">
        <f>IF($A499="","",IF($B499="","Escolha o insumo",IF($F499="","Insumo sem custo",IF(COUNTIF(PratoNome,$A499)=0,"Prato não cadastrado",IF($C499="","Falta quantidade","OK")))))</f>
        <v>0</v>
      </c>
    </row>
    <row r="500" spans="1:8">
      <c r="A500" s="13"/>
      <c r="B500" s="13"/>
      <c r="C500" s="19"/>
      <c r="D500" s="13"/>
      <c r="E500" s="23">
        <f>IF($B500="","",IFERROR(INDEX(InsUnid,MATCH($B500,InsNome,0)),""))</f>
        <v>0</v>
      </c>
      <c r="F500" s="21">
        <f>IF($B500="","",IFERROR(INDEX(InsUtil,MATCH($B500,InsNome,0)),""))</f>
        <v>0</v>
      </c>
      <c r="G500" s="24">
        <f>IF(OR($A500="",$C500="",$F500=""),"",$C500*$F500)</f>
        <v>0</v>
      </c>
      <c r="H500" s="23">
        <f>IF($A500="","",IF($B500="","Escolha o insumo",IF($F500="","Insumo sem custo",IF(COUNTIF(PratoNome,$A500)=0,"Prato não cadastrado",IF($C500="","Falta quantidade","OK")))))</f>
        <v>0</v>
      </c>
    </row>
    <row r="501" spans="1:8">
      <c r="A501" s="13"/>
      <c r="B501" s="13"/>
      <c r="C501" s="19"/>
      <c r="D501" s="13"/>
      <c r="E501" s="23">
        <f>IF($B501="","",IFERROR(INDEX(InsUnid,MATCH($B501,InsNome,0)),""))</f>
        <v>0</v>
      </c>
      <c r="F501" s="21">
        <f>IF($B501="","",IFERROR(INDEX(InsUtil,MATCH($B501,InsNome,0)),""))</f>
        <v>0</v>
      </c>
      <c r="G501" s="24">
        <f>IF(OR($A501="",$C501="",$F501=""),"",$C501*$F501)</f>
        <v>0</v>
      </c>
      <c r="H501" s="23">
        <f>IF($A501="","",IF($B501="","Escolha o insumo",IF($F501="","Insumo sem custo",IF(COUNTIF(PratoNome,$A501)=0,"Prato não cadastrado",IF($C501="","Falta quantidade","OK")))))</f>
        <v>0</v>
      </c>
    </row>
    <row r="502" spans="1:8">
      <c r="A502" s="13"/>
      <c r="B502" s="13"/>
      <c r="C502" s="19"/>
      <c r="D502" s="13"/>
      <c r="E502" s="23">
        <f>IF($B502="","",IFERROR(INDEX(InsUnid,MATCH($B502,InsNome,0)),""))</f>
        <v>0</v>
      </c>
      <c r="F502" s="21">
        <f>IF($B502="","",IFERROR(INDEX(InsUtil,MATCH($B502,InsNome,0)),""))</f>
        <v>0</v>
      </c>
      <c r="G502" s="24">
        <f>IF(OR($A502="",$C502="",$F502=""),"",$C502*$F502)</f>
        <v>0</v>
      </c>
      <c r="H502" s="23">
        <f>IF($A502="","",IF($B502="","Escolha o insumo",IF($F502="","Insumo sem custo",IF(COUNTIF(PratoNome,$A502)=0,"Prato não cadastrado",IF($C502="","Falta quantidade","OK")))))</f>
        <v>0</v>
      </c>
    </row>
    <row r="503" spans="1:8">
      <c r="A503" s="13"/>
      <c r="B503" s="13"/>
      <c r="C503" s="19"/>
      <c r="D503" s="13"/>
      <c r="E503" s="23">
        <f>IF($B503="","",IFERROR(INDEX(InsUnid,MATCH($B503,InsNome,0)),""))</f>
        <v>0</v>
      </c>
      <c r="F503" s="21">
        <f>IF($B503="","",IFERROR(INDEX(InsUtil,MATCH($B503,InsNome,0)),""))</f>
        <v>0</v>
      </c>
      <c r="G503" s="24">
        <f>IF(OR($A503="",$C503="",$F503=""),"",$C503*$F503)</f>
        <v>0</v>
      </c>
      <c r="H503" s="23">
        <f>IF($A503="","",IF($B503="","Escolha o insumo",IF($F503="","Insumo sem custo",IF(COUNTIF(PratoNome,$A503)=0,"Prato não cadastrado",IF($C503="","Falta quantidade","OK")))))</f>
        <v>0</v>
      </c>
    </row>
    <row r="504" spans="1:8">
      <c r="A504" s="13"/>
      <c r="B504" s="13"/>
      <c r="C504" s="19"/>
      <c r="D504" s="13"/>
      <c r="E504" s="23">
        <f>IF($B504="","",IFERROR(INDEX(InsUnid,MATCH($B504,InsNome,0)),""))</f>
        <v>0</v>
      </c>
      <c r="F504" s="21">
        <f>IF($B504="","",IFERROR(INDEX(InsUtil,MATCH($B504,InsNome,0)),""))</f>
        <v>0</v>
      </c>
      <c r="G504" s="24">
        <f>IF(OR($A504="",$C504="",$F504=""),"",$C504*$F504)</f>
        <v>0</v>
      </c>
      <c r="H504" s="23">
        <f>IF($A504="","",IF($B504="","Escolha o insumo",IF($F504="","Insumo sem custo",IF(COUNTIF(PratoNome,$A504)=0,"Prato não cadastrado",IF($C504="","Falta quantidade","OK")))))</f>
        <v>0</v>
      </c>
    </row>
    <row r="505" spans="1:8">
      <c r="A505" s="13"/>
      <c r="B505" s="13"/>
      <c r="C505" s="19"/>
      <c r="D505" s="13"/>
      <c r="E505" s="23">
        <f>IF($B505="","",IFERROR(INDEX(InsUnid,MATCH($B505,InsNome,0)),""))</f>
        <v>0</v>
      </c>
      <c r="F505" s="21">
        <f>IF($B505="","",IFERROR(INDEX(InsUtil,MATCH($B505,InsNome,0)),""))</f>
        <v>0</v>
      </c>
      <c r="G505" s="24">
        <f>IF(OR($A505="",$C505="",$F505=""),"",$C505*$F505)</f>
        <v>0</v>
      </c>
      <c r="H505" s="23">
        <f>IF($A505="","",IF($B505="","Escolha o insumo",IF($F505="","Insumo sem custo",IF(COUNTIF(PratoNome,$A505)=0,"Prato não cadastrado",IF($C505="","Falta quantidade","OK")))))</f>
        <v>0</v>
      </c>
    </row>
    <row r="506" spans="1:8">
      <c r="A506" s="13"/>
      <c r="B506" s="13"/>
      <c r="C506" s="19"/>
      <c r="D506" s="13"/>
      <c r="E506" s="23">
        <f>IF($B506="","",IFERROR(INDEX(InsUnid,MATCH($B506,InsNome,0)),""))</f>
        <v>0</v>
      </c>
      <c r="F506" s="21">
        <f>IF($B506="","",IFERROR(INDEX(InsUtil,MATCH($B506,InsNome,0)),""))</f>
        <v>0</v>
      </c>
      <c r="G506" s="24">
        <f>IF(OR($A506="",$C506="",$F506=""),"",$C506*$F506)</f>
        <v>0</v>
      </c>
      <c r="H506" s="23">
        <f>IF($A506="","",IF($B506="","Escolha o insumo",IF($F506="","Insumo sem custo",IF(COUNTIF(PratoNome,$A506)=0,"Prato não cadastrado",IF($C506="","Falta quantidade","OK")))))</f>
        <v>0</v>
      </c>
    </row>
    <row r="507" spans="1:8">
      <c r="A507" s="13"/>
      <c r="B507" s="13"/>
      <c r="C507" s="19"/>
      <c r="D507" s="13"/>
      <c r="E507" s="23">
        <f>IF($B507="","",IFERROR(INDEX(InsUnid,MATCH($B507,InsNome,0)),""))</f>
        <v>0</v>
      </c>
      <c r="F507" s="21">
        <f>IF($B507="","",IFERROR(INDEX(InsUtil,MATCH($B507,InsNome,0)),""))</f>
        <v>0</v>
      </c>
      <c r="G507" s="24">
        <f>IF(OR($A507="",$C507="",$F507=""),"",$C507*$F507)</f>
        <v>0</v>
      </c>
      <c r="H507" s="23">
        <f>IF($A507="","",IF($B507="","Escolha o insumo",IF($F507="","Insumo sem custo",IF(COUNTIF(PratoNome,$A507)=0,"Prato não cadastrado",IF($C507="","Falta quantidade","OK")))))</f>
        <v>0</v>
      </c>
    </row>
    <row r="508" spans="1:8">
      <c r="A508" s="13"/>
      <c r="B508" s="13"/>
      <c r="C508" s="19"/>
      <c r="D508" s="13"/>
      <c r="E508" s="23">
        <f>IF($B508="","",IFERROR(INDEX(InsUnid,MATCH($B508,InsNome,0)),""))</f>
        <v>0</v>
      </c>
      <c r="F508" s="21">
        <f>IF($B508="","",IFERROR(INDEX(InsUtil,MATCH($B508,InsNome,0)),""))</f>
        <v>0</v>
      </c>
      <c r="G508" s="24">
        <f>IF(OR($A508="",$C508="",$F508=""),"",$C508*$F508)</f>
        <v>0</v>
      </c>
      <c r="H508" s="23">
        <f>IF($A508="","",IF($B508="","Escolha o insumo",IF($F508="","Insumo sem custo",IF(COUNTIF(PratoNome,$A508)=0,"Prato não cadastrado",IF($C508="","Falta quantidade","OK")))))</f>
        <v>0</v>
      </c>
    </row>
    <row r="509" spans="1:8">
      <c r="A509" s="13"/>
      <c r="B509" s="13"/>
      <c r="C509" s="19"/>
      <c r="D509" s="13"/>
      <c r="E509" s="23">
        <f>IF($B509="","",IFERROR(INDEX(InsUnid,MATCH($B509,InsNome,0)),""))</f>
        <v>0</v>
      </c>
      <c r="F509" s="21">
        <f>IF($B509="","",IFERROR(INDEX(InsUtil,MATCH($B509,InsNome,0)),""))</f>
        <v>0</v>
      </c>
      <c r="G509" s="24">
        <f>IF(OR($A509="",$C509="",$F509=""),"",$C509*$F509)</f>
        <v>0</v>
      </c>
      <c r="H509" s="23">
        <f>IF($A509="","",IF($B509="","Escolha o insumo",IF($F509="","Insumo sem custo",IF(COUNTIF(PratoNome,$A509)=0,"Prato não cadastrado",IF($C509="","Falta quantidade","OK")))))</f>
        <v>0</v>
      </c>
    </row>
    <row r="510" spans="1:8">
      <c r="A510" s="13"/>
      <c r="B510" s="13"/>
      <c r="C510" s="19"/>
      <c r="D510" s="13"/>
      <c r="E510" s="23">
        <f>IF($B510="","",IFERROR(INDEX(InsUnid,MATCH($B510,InsNome,0)),""))</f>
        <v>0</v>
      </c>
      <c r="F510" s="21">
        <f>IF($B510="","",IFERROR(INDEX(InsUtil,MATCH($B510,InsNome,0)),""))</f>
        <v>0</v>
      </c>
      <c r="G510" s="24">
        <f>IF(OR($A510="",$C510="",$F510=""),"",$C510*$F510)</f>
        <v>0</v>
      </c>
      <c r="H510" s="23">
        <f>IF($A510="","",IF($B510="","Escolha o insumo",IF($F510="","Insumo sem custo",IF(COUNTIF(PratoNome,$A510)=0,"Prato não cadastrado",IF($C510="","Falta quantidade","OK")))))</f>
        <v>0</v>
      </c>
    </row>
    <row r="511" spans="1:8">
      <c r="A511" s="13"/>
      <c r="B511" s="13"/>
      <c r="C511" s="19"/>
      <c r="D511" s="13"/>
      <c r="E511" s="23">
        <f>IF($B511="","",IFERROR(INDEX(InsUnid,MATCH($B511,InsNome,0)),""))</f>
        <v>0</v>
      </c>
      <c r="F511" s="21">
        <f>IF($B511="","",IFERROR(INDEX(InsUtil,MATCH($B511,InsNome,0)),""))</f>
        <v>0</v>
      </c>
      <c r="G511" s="24">
        <f>IF(OR($A511="",$C511="",$F511=""),"",$C511*$F511)</f>
        <v>0</v>
      </c>
      <c r="H511" s="23">
        <f>IF($A511="","",IF($B511="","Escolha o insumo",IF($F511="","Insumo sem custo",IF(COUNTIF(PratoNome,$A511)=0,"Prato não cadastrado",IF($C511="","Falta quantidade","OK")))))</f>
        <v>0</v>
      </c>
    </row>
    <row r="512" spans="1:8">
      <c r="A512" s="13"/>
      <c r="B512" s="13"/>
      <c r="C512" s="19"/>
      <c r="D512" s="13"/>
      <c r="E512" s="23">
        <f>IF($B512="","",IFERROR(INDEX(InsUnid,MATCH($B512,InsNome,0)),""))</f>
        <v>0</v>
      </c>
      <c r="F512" s="21">
        <f>IF($B512="","",IFERROR(INDEX(InsUtil,MATCH($B512,InsNome,0)),""))</f>
        <v>0</v>
      </c>
      <c r="G512" s="24">
        <f>IF(OR($A512="",$C512="",$F512=""),"",$C512*$F512)</f>
        <v>0</v>
      </c>
      <c r="H512" s="23">
        <f>IF($A512="","",IF($B512="","Escolha o insumo",IF($F512="","Insumo sem custo",IF(COUNTIF(PratoNome,$A512)=0,"Prato não cadastrado",IF($C512="","Falta quantidade","OK")))))</f>
        <v>0</v>
      </c>
    </row>
    <row r="513" spans="1:8">
      <c r="A513" s="13"/>
      <c r="B513" s="13"/>
      <c r="C513" s="19"/>
      <c r="D513" s="13"/>
      <c r="E513" s="23">
        <f>IF($B513="","",IFERROR(INDEX(InsUnid,MATCH($B513,InsNome,0)),""))</f>
        <v>0</v>
      </c>
      <c r="F513" s="21">
        <f>IF($B513="","",IFERROR(INDEX(InsUtil,MATCH($B513,InsNome,0)),""))</f>
        <v>0</v>
      </c>
      <c r="G513" s="24">
        <f>IF(OR($A513="",$C513="",$F513=""),"",$C513*$F513)</f>
        <v>0</v>
      </c>
      <c r="H513" s="23">
        <f>IF($A513="","",IF($B513="","Escolha o insumo",IF($F513="","Insumo sem custo",IF(COUNTIF(PratoNome,$A513)=0,"Prato não cadastrado",IF($C513="","Falta quantidade","OK")))))</f>
        <v>0</v>
      </c>
    </row>
    <row r="514" spans="1:8">
      <c r="A514" s="13"/>
      <c r="B514" s="13"/>
      <c r="C514" s="19"/>
      <c r="D514" s="13"/>
      <c r="E514" s="23">
        <f>IF($B514="","",IFERROR(INDEX(InsUnid,MATCH($B514,InsNome,0)),""))</f>
        <v>0</v>
      </c>
      <c r="F514" s="21">
        <f>IF($B514="","",IFERROR(INDEX(InsUtil,MATCH($B514,InsNome,0)),""))</f>
        <v>0</v>
      </c>
      <c r="G514" s="24">
        <f>IF(OR($A514="",$C514="",$F514=""),"",$C514*$F514)</f>
        <v>0</v>
      </c>
      <c r="H514" s="23">
        <f>IF($A514="","",IF($B514="","Escolha o insumo",IF($F514="","Insumo sem custo",IF(COUNTIF(PratoNome,$A514)=0,"Prato não cadastrado",IF($C514="","Falta quantidade","OK")))))</f>
        <v>0</v>
      </c>
    </row>
    <row r="515" spans="1:8">
      <c r="A515" s="13"/>
      <c r="B515" s="13"/>
      <c r="C515" s="19"/>
      <c r="D515" s="13"/>
      <c r="E515" s="23">
        <f>IF($B515="","",IFERROR(INDEX(InsUnid,MATCH($B515,InsNome,0)),""))</f>
        <v>0</v>
      </c>
      <c r="F515" s="21">
        <f>IF($B515="","",IFERROR(INDEX(InsUtil,MATCH($B515,InsNome,0)),""))</f>
        <v>0</v>
      </c>
      <c r="G515" s="24">
        <f>IF(OR($A515="",$C515="",$F515=""),"",$C515*$F515)</f>
        <v>0</v>
      </c>
      <c r="H515" s="23">
        <f>IF($A515="","",IF($B515="","Escolha o insumo",IF($F515="","Insumo sem custo",IF(COUNTIF(PratoNome,$A515)=0,"Prato não cadastrado",IF($C515="","Falta quantidade","OK")))))</f>
        <v>0</v>
      </c>
    </row>
    <row r="516" spans="1:8">
      <c r="A516" s="13"/>
      <c r="B516" s="13"/>
      <c r="C516" s="19"/>
      <c r="D516" s="13"/>
      <c r="E516" s="23">
        <f>IF($B516="","",IFERROR(INDEX(InsUnid,MATCH($B516,InsNome,0)),""))</f>
        <v>0</v>
      </c>
      <c r="F516" s="21">
        <f>IF($B516="","",IFERROR(INDEX(InsUtil,MATCH($B516,InsNome,0)),""))</f>
        <v>0</v>
      </c>
      <c r="G516" s="24">
        <f>IF(OR($A516="",$C516="",$F516=""),"",$C516*$F516)</f>
        <v>0</v>
      </c>
      <c r="H516" s="23">
        <f>IF($A516="","",IF($B516="","Escolha o insumo",IF($F516="","Insumo sem custo",IF(COUNTIF(PratoNome,$A516)=0,"Prato não cadastrado",IF($C516="","Falta quantidade","OK")))))</f>
        <v>0</v>
      </c>
    </row>
    <row r="517" spans="1:8">
      <c r="A517" s="13"/>
      <c r="B517" s="13"/>
      <c r="C517" s="19"/>
      <c r="D517" s="13"/>
      <c r="E517" s="23">
        <f>IF($B517="","",IFERROR(INDEX(InsUnid,MATCH($B517,InsNome,0)),""))</f>
        <v>0</v>
      </c>
      <c r="F517" s="21">
        <f>IF($B517="","",IFERROR(INDEX(InsUtil,MATCH($B517,InsNome,0)),""))</f>
        <v>0</v>
      </c>
      <c r="G517" s="24">
        <f>IF(OR($A517="",$C517="",$F517=""),"",$C517*$F517)</f>
        <v>0</v>
      </c>
      <c r="H517" s="23">
        <f>IF($A517="","",IF($B517="","Escolha o insumo",IF($F517="","Insumo sem custo",IF(COUNTIF(PratoNome,$A517)=0,"Prato não cadastrado",IF($C517="","Falta quantidade","OK")))))</f>
        <v>0</v>
      </c>
    </row>
    <row r="518" spans="1:8">
      <c r="A518" s="13"/>
      <c r="B518" s="13"/>
      <c r="C518" s="19"/>
      <c r="D518" s="13"/>
      <c r="E518" s="23">
        <f>IF($B518="","",IFERROR(INDEX(InsUnid,MATCH($B518,InsNome,0)),""))</f>
        <v>0</v>
      </c>
      <c r="F518" s="21">
        <f>IF($B518="","",IFERROR(INDEX(InsUtil,MATCH($B518,InsNome,0)),""))</f>
        <v>0</v>
      </c>
      <c r="G518" s="24">
        <f>IF(OR($A518="",$C518="",$F518=""),"",$C518*$F518)</f>
        <v>0</v>
      </c>
      <c r="H518" s="23">
        <f>IF($A518="","",IF($B518="","Escolha o insumo",IF($F518="","Insumo sem custo",IF(COUNTIF(PratoNome,$A518)=0,"Prato não cadastrado",IF($C518="","Falta quantidade","OK")))))</f>
        <v>0</v>
      </c>
    </row>
    <row r="519" spans="1:8">
      <c r="A519" s="13"/>
      <c r="B519" s="13"/>
      <c r="C519" s="19"/>
      <c r="D519" s="13"/>
      <c r="E519" s="23">
        <f>IF($B519="","",IFERROR(INDEX(InsUnid,MATCH($B519,InsNome,0)),""))</f>
        <v>0</v>
      </c>
      <c r="F519" s="21">
        <f>IF($B519="","",IFERROR(INDEX(InsUtil,MATCH($B519,InsNome,0)),""))</f>
        <v>0</v>
      </c>
      <c r="G519" s="24">
        <f>IF(OR($A519="",$C519="",$F519=""),"",$C519*$F519)</f>
        <v>0</v>
      </c>
      <c r="H519" s="23">
        <f>IF($A519="","",IF($B519="","Escolha o insumo",IF($F519="","Insumo sem custo",IF(COUNTIF(PratoNome,$A519)=0,"Prato não cadastrado",IF($C519="","Falta quantidade","OK")))))</f>
        <v>0</v>
      </c>
    </row>
    <row r="520" spans="1:8">
      <c r="A520" s="13"/>
      <c r="B520" s="13"/>
      <c r="C520" s="19"/>
      <c r="D520" s="13"/>
      <c r="E520" s="23">
        <f>IF($B520="","",IFERROR(INDEX(InsUnid,MATCH($B520,InsNome,0)),""))</f>
        <v>0</v>
      </c>
      <c r="F520" s="21">
        <f>IF($B520="","",IFERROR(INDEX(InsUtil,MATCH($B520,InsNome,0)),""))</f>
        <v>0</v>
      </c>
      <c r="G520" s="24">
        <f>IF(OR($A520="",$C520="",$F520=""),"",$C520*$F520)</f>
        <v>0</v>
      </c>
      <c r="H520" s="23">
        <f>IF($A520="","",IF($B520="","Escolha o insumo",IF($F520="","Insumo sem custo",IF(COUNTIF(PratoNome,$A520)=0,"Prato não cadastrado",IF($C520="","Falta quantidade","OK")))))</f>
        <v>0</v>
      </c>
    </row>
    <row r="521" spans="1:8">
      <c r="A521" s="13"/>
      <c r="B521" s="13"/>
      <c r="C521" s="19"/>
      <c r="D521" s="13"/>
      <c r="E521" s="23">
        <f>IF($B521="","",IFERROR(INDEX(InsUnid,MATCH($B521,InsNome,0)),""))</f>
        <v>0</v>
      </c>
      <c r="F521" s="21">
        <f>IF($B521="","",IFERROR(INDEX(InsUtil,MATCH($B521,InsNome,0)),""))</f>
        <v>0</v>
      </c>
      <c r="G521" s="24">
        <f>IF(OR($A521="",$C521="",$F521=""),"",$C521*$F521)</f>
        <v>0</v>
      </c>
      <c r="H521" s="23">
        <f>IF($A521="","",IF($B521="","Escolha o insumo",IF($F521="","Insumo sem custo",IF(COUNTIF(PratoNome,$A521)=0,"Prato não cadastrado",IF($C521="","Falta quantidade","OK")))))</f>
        <v>0</v>
      </c>
    </row>
    <row r="522" spans="1:8">
      <c r="A522" s="13"/>
      <c r="B522" s="13"/>
      <c r="C522" s="19"/>
      <c r="D522" s="13"/>
      <c r="E522" s="23">
        <f>IF($B522="","",IFERROR(INDEX(InsUnid,MATCH($B522,InsNome,0)),""))</f>
        <v>0</v>
      </c>
      <c r="F522" s="21">
        <f>IF($B522="","",IFERROR(INDEX(InsUtil,MATCH($B522,InsNome,0)),""))</f>
        <v>0</v>
      </c>
      <c r="G522" s="24">
        <f>IF(OR($A522="",$C522="",$F522=""),"",$C522*$F522)</f>
        <v>0</v>
      </c>
      <c r="H522" s="23">
        <f>IF($A522="","",IF($B522="","Escolha o insumo",IF($F522="","Insumo sem custo",IF(COUNTIF(PratoNome,$A522)=0,"Prato não cadastrado",IF($C522="","Falta quantidade","OK")))))</f>
        <v>0</v>
      </c>
    </row>
    <row r="523" spans="1:8">
      <c r="A523" s="13"/>
      <c r="B523" s="13"/>
      <c r="C523" s="19"/>
      <c r="D523" s="13"/>
      <c r="E523" s="23">
        <f>IF($B523="","",IFERROR(INDEX(InsUnid,MATCH($B523,InsNome,0)),""))</f>
        <v>0</v>
      </c>
      <c r="F523" s="21">
        <f>IF($B523="","",IFERROR(INDEX(InsUtil,MATCH($B523,InsNome,0)),""))</f>
        <v>0</v>
      </c>
      <c r="G523" s="24">
        <f>IF(OR($A523="",$C523="",$F523=""),"",$C523*$F523)</f>
        <v>0</v>
      </c>
      <c r="H523" s="23">
        <f>IF($A523="","",IF($B523="","Escolha o insumo",IF($F523="","Insumo sem custo",IF(COUNTIF(PratoNome,$A523)=0,"Prato não cadastrado",IF($C523="","Falta quantidade","OK")))))</f>
        <v>0</v>
      </c>
    </row>
    <row r="524" spans="1:8">
      <c r="A524" s="13"/>
      <c r="B524" s="13"/>
      <c r="C524" s="19"/>
      <c r="D524" s="13"/>
      <c r="E524" s="23">
        <f>IF($B524="","",IFERROR(INDEX(InsUnid,MATCH($B524,InsNome,0)),""))</f>
        <v>0</v>
      </c>
      <c r="F524" s="21">
        <f>IF($B524="","",IFERROR(INDEX(InsUtil,MATCH($B524,InsNome,0)),""))</f>
        <v>0</v>
      </c>
      <c r="G524" s="24">
        <f>IF(OR($A524="",$C524="",$F524=""),"",$C524*$F524)</f>
        <v>0</v>
      </c>
      <c r="H524" s="23">
        <f>IF($A524="","",IF($B524="","Escolha o insumo",IF($F524="","Insumo sem custo",IF(COUNTIF(PratoNome,$A524)=0,"Prato não cadastrado",IF($C524="","Falta quantidade","OK")))))</f>
        <v>0</v>
      </c>
    </row>
    <row r="525" spans="1:8">
      <c r="A525" s="13"/>
      <c r="B525" s="13"/>
      <c r="C525" s="19"/>
      <c r="D525" s="13"/>
      <c r="E525" s="23">
        <f>IF($B525="","",IFERROR(INDEX(InsUnid,MATCH($B525,InsNome,0)),""))</f>
        <v>0</v>
      </c>
      <c r="F525" s="21">
        <f>IF($B525="","",IFERROR(INDEX(InsUtil,MATCH($B525,InsNome,0)),""))</f>
        <v>0</v>
      </c>
      <c r="G525" s="24">
        <f>IF(OR($A525="",$C525="",$F525=""),"",$C525*$F525)</f>
        <v>0</v>
      </c>
      <c r="H525" s="23">
        <f>IF($A525="","",IF($B525="","Escolha o insumo",IF($F525="","Insumo sem custo",IF(COUNTIF(PratoNome,$A525)=0,"Prato não cadastrado",IF($C525="","Falta quantidade","OK")))))</f>
        <v>0</v>
      </c>
    </row>
    <row r="526" spans="1:8">
      <c r="A526" s="13"/>
      <c r="B526" s="13"/>
      <c r="C526" s="19"/>
      <c r="D526" s="13"/>
      <c r="E526" s="23">
        <f>IF($B526="","",IFERROR(INDEX(InsUnid,MATCH($B526,InsNome,0)),""))</f>
        <v>0</v>
      </c>
      <c r="F526" s="21">
        <f>IF($B526="","",IFERROR(INDEX(InsUtil,MATCH($B526,InsNome,0)),""))</f>
        <v>0</v>
      </c>
      <c r="G526" s="24">
        <f>IF(OR($A526="",$C526="",$F526=""),"",$C526*$F526)</f>
        <v>0</v>
      </c>
      <c r="H526" s="23">
        <f>IF($A526="","",IF($B526="","Escolha o insumo",IF($F526="","Insumo sem custo",IF(COUNTIF(PratoNome,$A526)=0,"Prato não cadastrado",IF($C526="","Falta quantidade","OK")))))</f>
        <v>0</v>
      </c>
    </row>
    <row r="527" spans="1:8">
      <c r="A527" s="13"/>
      <c r="B527" s="13"/>
      <c r="C527" s="19"/>
      <c r="D527" s="13"/>
      <c r="E527" s="23">
        <f>IF($B527="","",IFERROR(INDEX(InsUnid,MATCH($B527,InsNome,0)),""))</f>
        <v>0</v>
      </c>
      <c r="F527" s="21">
        <f>IF($B527="","",IFERROR(INDEX(InsUtil,MATCH($B527,InsNome,0)),""))</f>
        <v>0</v>
      </c>
      <c r="G527" s="24">
        <f>IF(OR($A527="",$C527="",$F527=""),"",$C527*$F527)</f>
        <v>0</v>
      </c>
      <c r="H527" s="23">
        <f>IF($A527="","",IF($B527="","Escolha o insumo",IF($F527="","Insumo sem custo",IF(COUNTIF(PratoNome,$A527)=0,"Prato não cadastrado",IF($C527="","Falta quantidade","OK")))))</f>
        <v>0</v>
      </c>
    </row>
    <row r="528" spans="1:8">
      <c r="A528" s="13"/>
      <c r="B528" s="13"/>
      <c r="C528" s="19"/>
      <c r="D528" s="13"/>
      <c r="E528" s="23">
        <f>IF($B528="","",IFERROR(INDEX(InsUnid,MATCH($B528,InsNome,0)),""))</f>
        <v>0</v>
      </c>
      <c r="F528" s="21">
        <f>IF($B528="","",IFERROR(INDEX(InsUtil,MATCH($B528,InsNome,0)),""))</f>
        <v>0</v>
      </c>
      <c r="G528" s="24">
        <f>IF(OR($A528="",$C528="",$F528=""),"",$C528*$F528)</f>
        <v>0</v>
      </c>
      <c r="H528" s="23">
        <f>IF($A528="","",IF($B528="","Escolha o insumo",IF($F528="","Insumo sem custo",IF(COUNTIF(PratoNome,$A528)=0,"Prato não cadastrado",IF($C528="","Falta quantidade","OK")))))</f>
        <v>0</v>
      </c>
    </row>
    <row r="529" spans="1:8">
      <c r="A529" s="13"/>
      <c r="B529" s="13"/>
      <c r="C529" s="19"/>
      <c r="D529" s="13"/>
      <c r="E529" s="23">
        <f>IF($B529="","",IFERROR(INDEX(InsUnid,MATCH($B529,InsNome,0)),""))</f>
        <v>0</v>
      </c>
      <c r="F529" s="21">
        <f>IF($B529="","",IFERROR(INDEX(InsUtil,MATCH($B529,InsNome,0)),""))</f>
        <v>0</v>
      </c>
      <c r="G529" s="24">
        <f>IF(OR($A529="",$C529="",$F529=""),"",$C529*$F529)</f>
        <v>0</v>
      </c>
      <c r="H529" s="23">
        <f>IF($A529="","",IF($B529="","Escolha o insumo",IF($F529="","Insumo sem custo",IF(COUNTIF(PratoNome,$A529)=0,"Prato não cadastrado",IF($C529="","Falta quantidade","OK")))))</f>
        <v>0</v>
      </c>
    </row>
    <row r="530" spans="1:8">
      <c r="A530" s="13"/>
      <c r="B530" s="13"/>
      <c r="C530" s="19"/>
      <c r="D530" s="13"/>
      <c r="E530" s="23">
        <f>IF($B530="","",IFERROR(INDEX(InsUnid,MATCH($B530,InsNome,0)),""))</f>
        <v>0</v>
      </c>
      <c r="F530" s="21">
        <f>IF($B530="","",IFERROR(INDEX(InsUtil,MATCH($B530,InsNome,0)),""))</f>
        <v>0</v>
      </c>
      <c r="G530" s="24">
        <f>IF(OR($A530="",$C530="",$F530=""),"",$C530*$F530)</f>
        <v>0</v>
      </c>
      <c r="H530" s="23">
        <f>IF($A530="","",IF($B530="","Escolha o insumo",IF($F530="","Insumo sem custo",IF(COUNTIF(PratoNome,$A530)=0,"Prato não cadastrado",IF($C530="","Falta quantidade","OK")))))</f>
        <v>0</v>
      </c>
    </row>
    <row r="531" spans="1:8">
      <c r="A531" s="13"/>
      <c r="B531" s="13"/>
      <c r="C531" s="19"/>
      <c r="D531" s="13"/>
      <c r="E531" s="23">
        <f>IF($B531="","",IFERROR(INDEX(InsUnid,MATCH($B531,InsNome,0)),""))</f>
        <v>0</v>
      </c>
      <c r="F531" s="21">
        <f>IF($B531="","",IFERROR(INDEX(InsUtil,MATCH($B531,InsNome,0)),""))</f>
        <v>0</v>
      </c>
      <c r="G531" s="24">
        <f>IF(OR($A531="",$C531="",$F531=""),"",$C531*$F531)</f>
        <v>0</v>
      </c>
      <c r="H531" s="23">
        <f>IF($A531="","",IF($B531="","Escolha o insumo",IF($F531="","Insumo sem custo",IF(COUNTIF(PratoNome,$A531)=0,"Prato não cadastrado",IF($C531="","Falta quantidade","OK")))))</f>
        <v>0</v>
      </c>
    </row>
    <row r="532" spans="1:8">
      <c r="A532" s="13"/>
      <c r="B532" s="13"/>
      <c r="C532" s="19"/>
      <c r="D532" s="13"/>
      <c r="E532" s="23">
        <f>IF($B532="","",IFERROR(INDEX(InsUnid,MATCH($B532,InsNome,0)),""))</f>
        <v>0</v>
      </c>
      <c r="F532" s="21">
        <f>IF($B532="","",IFERROR(INDEX(InsUtil,MATCH($B532,InsNome,0)),""))</f>
        <v>0</v>
      </c>
      <c r="G532" s="24">
        <f>IF(OR($A532="",$C532="",$F532=""),"",$C532*$F532)</f>
        <v>0</v>
      </c>
      <c r="H532" s="23">
        <f>IF($A532="","",IF($B532="","Escolha o insumo",IF($F532="","Insumo sem custo",IF(COUNTIF(PratoNome,$A532)=0,"Prato não cadastrado",IF($C532="","Falta quantidade","OK")))))</f>
        <v>0</v>
      </c>
    </row>
    <row r="533" spans="1:8">
      <c r="A533" s="13"/>
      <c r="B533" s="13"/>
      <c r="C533" s="19"/>
      <c r="D533" s="13"/>
      <c r="E533" s="23">
        <f>IF($B533="","",IFERROR(INDEX(InsUnid,MATCH($B533,InsNome,0)),""))</f>
        <v>0</v>
      </c>
      <c r="F533" s="21">
        <f>IF($B533="","",IFERROR(INDEX(InsUtil,MATCH($B533,InsNome,0)),""))</f>
        <v>0</v>
      </c>
      <c r="G533" s="24">
        <f>IF(OR($A533="",$C533="",$F533=""),"",$C533*$F533)</f>
        <v>0</v>
      </c>
      <c r="H533" s="23">
        <f>IF($A533="","",IF($B533="","Escolha o insumo",IF($F533="","Insumo sem custo",IF(COUNTIF(PratoNome,$A533)=0,"Prato não cadastrado",IF($C533="","Falta quantidade","OK")))))</f>
        <v>0</v>
      </c>
    </row>
    <row r="534" spans="1:8">
      <c r="A534" s="13"/>
      <c r="B534" s="13"/>
      <c r="C534" s="19"/>
      <c r="D534" s="13"/>
      <c r="E534" s="23">
        <f>IF($B534="","",IFERROR(INDEX(InsUnid,MATCH($B534,InsNome,0)),""))</f>
        <v>0</v>
      </c>
      <c r="F534" s="21">
        <f>IF($B534="","",IFERROR(INDEX(InsUtil,MATCH($B534,InsNome,0)),""))</f>
        <v>0</v>
      </c>
      <c r="G534" s="24">
        <f>IF(OR($A534="",$C534="",$F534=""),"",$C534*$F534)</f>
        <v>0</v>
      </c>
      <c r="H534" s="23">
        <f>IF($A534="","",IF($B534="","Escolha o insumo",IF($F534="","Insumo sem custo",IF(COUNTIF(PratoNome,$A534)=0,"Prato não cadastrado",IF($C534="","Falta quantidade","OK")))))</f>
        <v>0</v>
      </c>
    </row>
    <row r="535" spans="1:8">
      <c r="A535" s="13"/>
      <c r="B535" s="13"/>
      <c r="C535" s="19"/>
      <c r="D535" s="13"/>
      <c r="E535" s="23">
        <f>IF($B535="","",IFERROR(INDEX(InsUnid,MATCH($B535,InsNome,0)),""))</f>
        <v>0</v>
      </c>
      <c r="F535" s="21">
        <f>IF($B535="","",IFERROR(INDEX(InsUtil,MATCH($B535,InsNome,0)),""))</f>
        <v>0</v>
      </c>
      <c r="G535" s="24">
        <f>IF(OR($A535="",$C535="",$F535=""),"",$C535*$F535)</f>
        <v>0</v>
      </c>
      <c r="H535" s="23">
        <f>IF($A535="","",IF($B535="","Escolha o insumo",IF($F535="","Insumo sem custo",IF(COUNTIF(PratoNome,$A535)=0,"Prato não cadastrado",IF($C535="","Falta quantidade","OK")))))</f>
        <v>0</v>
      </c>
    </row>
    <row r="536" spans="1:8">
      <c r="A536" s="13"/>
      <c r="B536" s="13"/>
      <c r="C536" s="19"/>
      <c r="D536" s="13"/>
      <c r="E536" s="23">
        <f>IF($B536="","",IFERROR(INDEX(InsUnid,MATCH($B536,InsNome,0)),""))</f>
        <v>0</v>
      </c>
      <c r="F536" s="21">
        <f>IF($B536="","",IFERROR(INDEX(InsUtil,MATCH($B536,InsNome,0)),""))</f>
        <v>0</v>
      </c>
      <c r="G536" s="24">
        <f>IF(OR($A536="",$C536="",$F536=""),"",$C536*$F536)</f>
        <v>0</v>
      </c>
      <c r="H536" s="23">
        <f>IF($A536="","",IF($B536="","Escolha o insumo",IF($F536="","Insumo sem custo",IF(COUNTIF(PratoNome,$A536)=0,"Prato não cadastrado",IF($C536="","Falta quantidade","OK")))))</f>
        <v>0</v>
      </c>
    </row>
    <row r="537" spans="1:8">
      <c r="A537" s="13"/>
      <c r="B537" s="13"/>
      <c r="C537" s="19"/>
      <c r="D537" s="13"/>
      <c r="E537" s="23">
        <f>IF($B537="","",IFERROR(INDEX(InsUnid,MATCH($B537,InsNome,0)),""))</f>
        <v>0</v>
      </c>
      <c r="F537" s="21">
        <f>IF($B537="","",IFERROR(INDEX(InsUtil,MATCH($B537,InsNome,0)),""))</f>
        <v>0</v>
      </c>
      <c r="G537" s="24">
        <f>IF(OR($A537="",$C537="",$F537=""),"",$C537*$F537)</f>
        <v>0</v>
      </c>
      <c r="H537" s="23">
        <f>IF($A537="","",IF($B537="","Escolha o insumo",IF($F537="","Insumo sem custo",IF(COUNTIF(PratoNome,$A537)=0,"Prato não cadastrado",IF($C537="","Falta quantidade","OK")))))</f>
        <v>0</v>
      </c>
    </row>
    <row r="538" spans="1:8">
      <c r="A538" s="13"/>
      <c r="B538" s="13"/>
      <c r="C538" s="19"/>
      <c r="D538" s="13"/>
      <c r="E538" s="23">
        <f>IF($B538="","",IFERROR(INDEX(InsUnid,MATCH($B538,InsNome,0)),""))</f>
        <v>0</v>
      </c>
      <c r="F538" s="21">
        <f>IF($B538="","",IFERROR(INDEX(InsUtil,MATCH($B538,InsNome,0)),""))</f>
        <v>0</v>
      </c>
      <c r="G538" s="24">
        <f>IF(OR($A538="",$C538="",$F538=""),"",$C538*$F538)</f>
        <v>0</v>
      </c>
      <c r="H538" s="23">
        <f>IF($A538="","",IF($B538="","Escolha o insumo",IF($F538="","Insumo sem custo",IF(COUNTIF(PratoNome,$A538)=0,"Prato não cadastrado",IF($C538="","Falta quantidade","OK")))))</f>
        <v>0</v>
      </c>
    </row>
    <row r="539" spans="1:8">
      <c r="A539" s="13"/>
      <c r="B539" s="13"/>
      <c r="C539" s="19"/>
      <c r="D539" s="13"/>
      <c r="E539" s="23">
        <f>IF($B539="","",IFERROR(INDEX(InsUnid,MATCH($B539,InsNome,0)),""))</f>
        <v>0</v>
      </c>
      <c r="F539" s="21">
        <f>IF($B539="","",IFERROR(INDEX(InsUtil,MATCH($B539,InsNome,0)),""))</f>
        <v>0</v>
      </c>
      <c r="G539" s="24">
        <f>IF(OR($A539="",$C539="",$F539=""),"",$C539*$F539)</f>
        <v>0</v>
      </c>
      <c r="H539" s="23">
        <f>IF($A539="","",IF($B539="","Escolha o insumo",IF($F539="","Insumo sem custo",IF(COUNTIF(PratoNome,$A539)=0,"Prato não cadastrado",IF($C539="","Falta quantidade","OK")))))</f>
        <v>0</v>
      </c>
    </row>
    <row r="540" spans="1:8">
      <c r="A540" s="13"/>
      <c r="B540" s="13"/>
      <c r="C540" s="19"/>
      <c r="D540" s="13"/>
      <c r="E540" s="23">
        <f>IF($B540="","",IFERROR(INDEX(InsUnid,MATCH($B540,InsNome,0)),""))</f>
        <v>0</v>
      </c>
      <c r="F540" s="21">
        <f>IF($B540="","",IFERROR(INDEX(InsUtil,MATCH($B540,InsNome,0)),""))</f>
        <v>0</v>
      </c>
      <c r="G540" s="24">
        <f>IF(OR($A540="",$C540="",$F540=""),"",$C540*$F540)</f>
        <v>0</v>
      </c>
      <c r="H540" s="23">
        <f>IF($A540="","",IF($B540="","Escolha o insumo",IF($F540="","Insumo sem custo",IF(COUNTIF(PratoNome,$A540)=0,"Prato não cadastrado",IF($C540="","Falta quantidade","OK")))))</f>
        <v>0</v>
      </c>
    </row>
    <row r="541" spans="1:8">
      <c r="A541" s="13"/>
      <c r="B541" s="13"/>
      <c r="C541" s="19"/>
      <c r="D541" s="13"/>
      <c r="E541" s="23">
        <f>IF($B541="","",IFERROR(INDEX(InsUnid,MATCH($B541,InsNome,0)),""))</f>
        <v>0</v>
      </c>
      <c r="F541" s="21">
        <f>IF($B541="","",IFERROR(INDEX(InsUtil,MATCH($B541,InsNome,0)),""))</f>
        <v>0</v>
      </c>
      <c r="G541" s="24">
        <f>IF(OR($A541="",$C541="",$F541=""),"",$C541*$F541)</f>
        <v>0</v>
      </c>
      <c r="H541" s="23">
        <f>IF($A541="","",IF($B541="","Escolha o insumo",IF($F541="","Insumo sem custo",IF(COUNTIF(PratoNome,$A541)=0,"Prato não cadastrado",IF($C541="","Falta quantidade","OK")))))</f>
        <v>0</v>
      </c>
    </row>
    <row r="542" spans="1:8">
      <c r="A542" s="13"/>
      <c r="B542" s="13"/>
      <c r="C542" s="19"/>
      <c r="D542" s="13"/>
      <c r="E542" s="23">
        <f>IF($B542="","",IFERROR(INDEX(InsUnid,MATCH($B542,InsNome,0)),""))</f>
        <v>0</v>
      </c>
      <c r="F542" s="21">
        <f>IF($B542="","",IFERROR(INDEX(InsUtil,MATCH($B542,InsNome,0)),""))</f>
        <v>0</v>
      </c>
      <c r="G542" s="24">
        <f>IF(OR($A542="",$C542="",$F542=""),"",$C542*$F542)</f>
        <v>0</v>
      </c>
      <c r="H542" s="23">
        <f>IF($A542="","",IF($B542="","Escolha o insumo",IF($F542="","Insumo sem custo",IF(COUNTIF(PratoNome,$A542)=0,"Prato não cadastrado",IF($C542="","Falta quantidade","OK")))))</f>
        <v>0</v>
      </c>
    </row>
    <row r="543" spans="1:8">
      <c r="A543" s="13"/>
      <c r="B543" s="13"/>
      <c r="C543" s="19"/>
      <c r="D543" s="13"/>
      <c r="E543" s="23">
        <f>IF($B543="","",IFERROR(INDEX(InsUnid,MATCH($B543,InsNome,0)),""))</f>
        <v>0</v>
      </c>
      <c r="F543" s="21">
        <f>IF($B543="","",IFERROR(INDEX(InsUtil,MATCH($B543,InsNome,0)),""))</f>
        <v>0</v>
      </c>
      <c r="G543" s="24">
        <f>IF(OR($A543="",$C543="",$F543=""),"",$C543*$F543)</f>
        <v>0</v>
      </c>
      <c r="H543" s="23">
        <f>IF($A543="","",IF($B543="","Escolha o insumo",IF($F543="","Insumo sem custo",IF(COUNTIF(PratoNome,$A543)=0,"Prato não cadastrado",IF($C543="","Falta quantidade","OK")))))</f>
        <v>0</v>
      </c>
    </row>
    <row r="544" spans="1:8">
      <c r="A544" s="13"/>
      <c r="B544" s="13"/>
      <c r="C544" s="19"/>
      <c r="D544" s="13"/>
      <c r="E544" s="23">
        <f>IF($B544="","",IFERROR(INDEX(InsUnid,MATCH($B544,InsNome,0)),""))</f>
        <v>0</v>
      </c>
      <c r="F544" s="21">
        <f>IF($B544="","",IFERROR(INDEX(InsUtil,MATCH($B544,InsNome,0)),""))</f>
        <v>0</v>
      </c>
      <c r="G544" s="24">
        <f>IF(OR($A544="",$C544="",$F544=""),"",$C544*$F544)</f>
        <v>0</v>
      </c>
      <c r="H544" s="23">
        <f>IF($A544="","",IF($B544="","Escolha o insumo",IF($F544="","Insumo sem custo",IF(COUNTIF(PratoNome,$A544)=0,"Prato não cadastrado",IF($C544="","Falta quantidade","OK")))))</f>
        <v>0</v>
      </c>
    </row>
    <row r="545" spans="1:8">
      <c r="A545" s="13"/>
      <c r="B545" s="13"/>
      <c r="C545" s="19"/>
      <c r="D545" s="13"/>
      <c r="E545" s="23">
        <f>IF($B545="","",IFERROR(INDEX(InsUnid,MATCH($B545,InsNome,0)),""))</f>
        <v>0</v>
      </c>
      <c r="F545" s="21">
        <f>IF($B545="","",IFERROR(INDEX(InsUtil,MATCH($B545,InsNome,0)),""))</f>
        <v>0</v>
      </c>
      <c r="G545" s="24">
        <f>IF(OR($A545="",$C545="",$F545=""),"",$C545*$F545)</f>
        <v>0</v>
      </c>
      <c r="H545" s="23">
        <f>IF($A545="","",IF($B545="","Escolha o insumo",IF($F545="","Insumo sem custo",IF(COUNTIF(PratoNome,$A545)=0,"Prato não cadastrado",IF($C545="","Falta quantidade","OK")))))</f>
        <v>0</v>
      </c>
    </row>
    <row r="546" spans="1:8">
      <c r="A546" s="13"/>
      <c r="B546" s="13"/>
      <c r="C546" s="19"/>
      <c r="D546" s="13"/>
      <c r="E546" s="23">
        <f>IF($B546="","",IFERROR(INDEX(InsUnid,MATCH($B546,InsNome,0)),""))</f>
        <v>0</v>
      </c>
      <c r="F546" s="21">
        <f>IF($B546="","",IFERROR(INDEX(InsUtil,MATCH($B546,InsNome,0)),""))</f>
        <v>0</v>
      </c>
      <c r="G546" s="24">
        <f>IF(OR($A546="",$C546="",$F546=""),"",$C546*$F546)</f>
        <v>0</v>
      </c>
      <c r="H546" s="23">
        <f>IF($A546="","",IF($B546="","Escolha o insumo",IF($F546="","Insumo sem custo",IF(COUNTIF(PratoNome,$A546)=0,"Prato não cadastrado",IF($C546="","Falta quantidade","OK")))))</f>
        <v>0</v>
      </c>
    </row>
    <row r="547" spans="1:8">
      <c r="A547" s="13"/>
      <c r="B547" s="13"/>
      <c r="C547" s="19"/>
      <c r="D547" s="13"/>
      <c r="E547" s="23">
        <f>IF($B547="","",IFERROR(INDEX(InsUnid,MATCH($B547,InsNome,0)),""))</f>
        <v>0</v>
      </c>
      <c r="F547" s="21">
        <f>IF($B547="","",IFERROR(INDEX(InsUtil,MATCH($B547,InsNome,0)),""))</f>
        <v>0</v>
      </c>
      <c r="G547" s="24">
        <f>IF(OR($A547="",$C547="",$F547=""),"",$C547*$F547)</f>
        <v>0</v>
      </c>
      <c r="H547" s="23">
        <f>IF($A547="","",IF($B547="","Escolha o insumo",IF($F547="","Insumo sem custo",IF(COUNTIF(PratoNome,$A547)=0,"Prato não cadastrado",IF($C547="","Falta quantidade","OK")))))</f>
        <v>0</v>
      </c>
    </row>
    <row r="548" spans="1:8">
      <c r="A548" s="13"/>
      <c r="B548" s="13"/>
      <c r="C548" s="19"/>
      <c r="D548" s="13"/>
      <c r="E548" s="23">
        <f>IF($B548="","",IFERROR(INDEX(InsUnid,MATCH($B548,InsNome,0)),""))</f>
        <v>0</v>
      </c>
      <c r="F548" s="21">
        <f>IF($B548="","",IFERROR(INDEX(InsUtil,MATCH($B548,InsNome,0)),""))</f>
        <v>0</v>
      </c>
      <c r="G548" s="24">
        <f>IF(OR($A548="",$C548="",$F548=""),"",$C548*$F548)</f>
        <v>0</v>
      </c>
      <c r="H548" s="23">
        <f>IF($A548="","",IF($B548="","Escolha o insumo",IF($F548="","Insumo sem custo",IF(COUNTIF(PratoNome,$A548)=0,"Prato não cadastrado",IF($C548="","Falta quantidade","OK")))))</f>
        <v>0</v>
      </c>
    </row>
    <row r="549" spans="1:8">
      <c r="A549" s="13"/>
      <c r="B549" s="13"/>
      <c r="C549" s="19"/>
      <c r="D549" s="13"/>
      <c r="E549" s="23">
        <f>IF($B549="","",IFERROR(INDEX(InsUnid,MATCH($B549,InsNome,0)),""))</f>
        <v>0</v>
      </c>
      <c r="F549" s="21">
        <f>IF($B549="","",IFERROR(INDEX(InsUtil,MATCH($B549,InsNome,0)),""))</f>
        <v>0</v>
      </c>
      <c r="G549" s="24">
        <f>IF(OR($A549="",$C549="",$F549=""),"",$C549*$F549)</f>
        <v>0</v>
      </c>
      <c r="H549" s="23">
        <f>IF($A549="","",IF($B549="","Escolha o insumo",IF($F549="","Insumo sem custo",IF(COUNTIF(PratoNome,$A549)=0,"Prato não cadastrado",IF($C549="","Falta quantidade","OK")))))</f>
        <v>0</v>
      </c>
    </row>
    <row r="550" spans="1:8">
      <c r="A550" s="13"/>
      <c r="B550" s="13"/>
      <c r="C550" s="19"/>
      <c r="D550" s="13"/>
      <c r="E550" s="23">
        <f>IF($B550="","",IFERROR(INDEX(InsUnid,MATCH($B550,InsNome,0)),""))</f>
        <v>0</v>
      </c>
      <c r="F550" s="21">
        <f>IF($B550="","",IFERROR(INDEX(InsUtil,MATCH($B550,InsNome,0)),""))</f>
        <v>0</v>
      </c>
      <c r="G550" s="24">
        <f>IF(OR($A550="",$C550="",$F550=""),"",$C550*$F550)</f>
        <v>0</v>
      </c>
      <c r="H550" s="23">
        <f>IF($A550="","",IF($B550="","Escolha o insumo",IF($F550="","Insumo sem custo",IF(COUNTIF(PratoNome,$A550)=0,"Prato não cadastrado",IF($C550="","Falta quantidade","OK")))))</f>
        <v>0</v>
      </c>
    </row>
    <row r="551" spans="1:8">
      <c r="A551" s="13"/>
      <c r="B551" s="13"/>
      <c r="C551" s="19"/>
      <c r="D551" s="13"/>
      <c r="E551" s="23">
        <f>IF($B551="","",IFERROR(INDEX(InsUnid,MATCH($B551,InsNome,0)),""))</f>
        <v>0</v>
      </c>
      <c r="F551" s="21">
        <f>IF($B551="","",IFERROR(INDEX(InsUtil,MATCH($B551,InsNome,0)),""))</f>
        <v>0</v>
      </c>
      <c r="G551" s="24">
        <f>IF(OR($A551="",$C551="",$F551=""),"",$C551*$F551)</f>
        <v>0</v>
      </c>
      <c r="H551" s="23">
        <f>IF($A551="","",IF($B551="","Escolha o insumo",IF($F551="","Insumo sem custo",IF(COUNTIF(PratoNome,$A551)=0,"Prato não cadastrado",IF($C551="","Falta quantidade","OK")))))</f>
        <v>0</v>
      </c>
    </row>
    <row r="552" spans="1:8">
      <c r="A552" s="13"/>
      <c r="B552" s="13"/>
      <c r="C552" s="19"/>
      <c r="D552" s="13"/>
      <c r="E552" s="23">
        <f>IF($B552="","",IFERROR(INDEX(InsUnid,MATCH($B552,InsNome,0)),""))</f>
        <v>0</v>
      </c>
      <c r="F552" s="21">
        <f>IF($B552="","",IFERROR(INDEX(InsUtil,MATCH($B552,InsNome,0)),""))</f>
        <v>0</v>
      </c>
      <c r="G552" s="24">
        <f>IF(OR($A552="",$C552="",$F552=""),"",$C552*$F552)</f>
        <v>0</v>
      </c>
      <c r="H552" s="23">
        <f>IF($A552="","",IF($B552="","Escolha o insumo",IF($F552="","Insumo sem custo",IF(COUNTIF(PratoNome,$A552)=0,"Prato não cadastrado",IF($C552="","Falta quantidade","OK")))))</f>
        <v>0</v>
      </c>
    </row>
    <row r="553" spans="1:8">
      <c r="A553" s="13"/>
      <c r="B553" s="13"/>
      <c r="C553" s="19"/>
      <c r="D553" s="13"/>
      <c r="E553" s="23">
        <f>IF($B553="","",IFERROR(INDEX(InsUnid,MATCH($B553,InsNome,0)),""))</f>
        <v>0</v>
      </c>
      <c r="F553" s="21">
        <f>IF($B553="","",IFERROR(INDEX(InsUtil,MATCH($B553,InsNome,0)),""))</f>
        <v>0</v>
      </c>
      <c r="G553" s="24">
        <f>IF(OR($A553="",$C553="",$F553=""),"",$C553*$F553)</f>
        <v>0</v>
      </c>
      <c r="H553" s="23">
        <f>IF($A553="","",IF($B553="","Escolha o insumo",IF($F553="","Insumo sem custo",IF(COUNTIF(PratoNome,$A553)=0,"Prato não cadastrado",IF($C553="","Falta quantidade","OK")))))</f>
        <v>0</v>
      </c>
    </row>
    <row r="554" spans="1:8">
      <c r="A554" s="13"/>
      <c r="B554" s="13"/>
      <c r="C554" s="19"/>
      <c r="D554" s="13"/>
      <c r="E554" s="23">
        <f>IF($B554="","",IFERROR(INDEX(InsUnid,MATCH($B554,InsNome,0)),""))</f>
        <v>0</v>
      </c>
      <c r="F554" s="21">
        <f>IF($B554="","",IFERROR(INDEX(InsUtil,MATCH($B554,InsNome,0)),""))</f>
        <v>0</v>
      </c>
      <c r="G554" s="24">
        <f>IF(OR($A554="",$C554="",$F554=""),"",$C554*$F554)</f>
        <v>0</v>
      </c>
      <c r="H554" s="23">
        <f>IF($A554="","",IF($B554="","Escolha o insumo",IF($F554="","Insumo sem custo",IF(COUNTIF(PratoNome,$A554)=0,"Prato não cadastrado",IF($C554="","Falta quantidade","OK")))))</f>
        <v>0</v>
      </c>
    </row>
    <row r="555" spans="1:8">
      <c r="A555" s="13"/>
      <c r="B555" s="13"/>
      <c r="C555" s="19"/>
      <c r="D555" s="13"/>
      <c r="E555" s="23">
        <f>IF($B555="","",IFERROR(INDEX(InsUnid,MATCH($B555,InsNome,0)),""))</f>
        <v>0</v>
      </c>
      <c r="F555" s="21">
        <f>IF($B555="","",IFERROR(INDEX(InsUtil,MATCH($B555,InsNome,0)),""))</f>
        <v>0</v>
      </c>
      <c r="G555" s="24">
        <f>IF(OR($A555="",$C555="",$F555=""),"",$C555*$F555)</f>
        <v>0</v>
      </c>
      <c r="H555" s="23">
        <f>IF($A555="","",IF($B555="","Escolha o insumo",IF($F555="","Insumo sem custo",IF(COUNTIF(PratoNome,$A555)=0,"Prato não cadastrado",IF($C555="","Falta quantidade","OK")))))</f>
        <v>0</v>
      </c>
    </row>
    <row r="556" spans="1:8">
      <c r="A556" s="13"/>
      <c r="B556" s="13"/>
      <c r="C556" s="19"/>
      <c r="D556" s="13"/>
      <c r="E556" s="23">
        <f>IF($B556="","",IFERROR(INDEX(InsUnid,MATCH($B556,InsNome,0)),""))</f>
        <v>0</v>
      </c>
      <c r="F556" s="21">
        <f>IF($B556="","",IFERROR(INDEX(InsUtil,MATCH($B556,InsNome,0)),""))</f>
        <v>0</v>
      </c>
      <c r="G556" s="24">
        <f>IF(OR($A556="",$C556="",$F556=""),"",$C556*$F556)</f>
        <v>0</v>
      </c>
      <c r="H556" s="23">
        <f>IF($A556="","",IF($B556="","Escolha o insumo",IF($F556="","Insumo sem custo",IF(COUNTIF(PratoNome,$A556)=0,"Prato não cadastrado",IF($C556="","Falta quantidade","OK")))))</f>
        <v>0</v>
      </c>
    </row>
    <row r="557" spans="1:8">
      <c r="A557" s="13"/>
      <c r="B557" s="13"/>
      <c r="C557" s="19"/>
      <c r="D557" s="13"/>
      <c r="E557" s="23">
        <f>IF($B557="","",IFERROR(INDEX(InsUnid,MATCH($B557,InsNome,0)),""))</f>
        <v>0</v>
      </c>
      <c r="F557" s="21">
        <f>IF($B557="","",IFERROR(INDEX(InsUtil,MATCH($B557,InsNome,0)),""))</f>
        <v>0</v>
      </c>
      <c r="G557" s="24">
        <f>IF(OR($A557="",$C557="",$F557=""),"",$C557*$F557)</f>
        <v>0</v>
      </c>
      <c r="H557" s="23">
        <f>IF($A557="","",IF($B557="","Escolha o insumo",IF($F557="","Insumo sem custo",IF(COUNTIF(PratoNome,$A557)=0,"Prato não cadastrado",IF($C557="","Falta quantidade","OK")))))</f>
        <v>0</v>
      </c>
    </row>
    <row r="558" spans="1:8">
      <c r="A558" s="13"/>
      <c r="B558" s="13"/>
      <c r="C558" s="19"/>
      <c r="D558" s="13"/>
      <c r="E558" s="23">
        <f>IF($B558="","",IFERROR(INDEX(InsUnid,MATCH($B558,InsNome,0)),""))</f>
        <v>0</v>
      </c>
      <c r="F558" s="21">
        <f>IF($B558="","",IFERROR(INDEX(InsUtil,MATCH($B558,InsNome,0)),""))</f>
        <v>0</v>
      </c>
      <c r="G558" s="24">
        <f>IF(OR($A558="",$C558="",$F558=""),"",$C558*$F558)</f>
        <v>0</v>
      </c>
      <c r="H558" s="23">
        <f>IF($A558="","",IF($B558="","Escolha o insumo",IF($F558="","Insumo sem custo",IF(COUNTIF(PratoNome,$A558)=0,"Prato não cadastrado",IF($C558="","Falta quantidade","OK")))))</f>
        <v>0</v>
      </c>
    </row>
    <row r="559" spans="1:8">
      <c r="A559" s="13"/>
      <c r="B559" s="13"/>
      <c r="C559" s="19"/>
      <c r="D559" s="13"/>
      <c r="E559" s="23">
        <f>IF($B559="","",IFERROR(INDEX(InsUnid,MATCH($B559,InsNome,0)),""))</f>
        <v>0</v>
      </c>
      <c r="F559" s="21">
        <f>IF($B559="","",IFERROR(INDEX(InsUtil,MATCH($B559,InsNome,0)),""))</f>
        <v>0</v>
      </c>
      <c r="G559" s="24">
        <f>IF(OR($A559="",$C559="",$F559=""),"",$C559*$F559)</f>
        <v>0</v>
      </c>
      <c r="H559" s="23">
        <f>IF($A559="","",IF($B559="","Escolha o insumo",IF($F559="","Insumo sem custo",IF(COUNTIF(PratoNome,$A559)=0,"Prato não cadastrado",IF($C559="","Falta quantidade","OK")))))</f>
        <v>0</v>
      </c>
    </row>
    <row r="560" spans="1:8">
      <c r="A560" s="13"/>
      <c r="B560" s="13"/>
      <c r="C560" s="19"/>
      <c r="D560" s="13"/>
      <c r="E560" s="23">
        <f>IF($B560="","",IFERROR(INDEX(InsUnid,MATCH($B560,InsNome,0)),""))</f>
        <v>0</v>
      </c>
      <c r="F560" s="21">
        <f>IF($B560="","",IFERROR(INDEX(InsUtil,MATCH($B560,InsNome,0)),""))</f>
        <v>0</v>
      </c>
      <c r="G560" s="24">
        <f>IF(OR($A560="",$C560="",$F560=""),"",$C560*$F560)</f>
        <v>0</v>
      </c>
      <c r="H560" s="23">
        <f>IF($A560="","",IF($B560="","Escolha o insumo",IF($F560="","Insumo sem custo",IF(COUNTIF(PratoNome,$A560)=0,"Prato não cadastrado",IF($C560="","Falta quantidade","OK")))))</f>
        <v>0</v>
      </c>
    </row>
    <row r="561" spans="1:8">
      <c r="A561" s="13"/>
      <c r="B561" s="13"/>
      <c r="C561" s="19"/>
      <c r="D561" s="13"/>
      <c r="E561" s="23">
        <f>IF($B561="","",IFERROR(INDEX(InsUnid,MATCH($B561,InsNome,0)),""))</f>
        <v>0</v>
      </c>
      <c r="F561" s="21">
        <f>IF($B561="","",IFERROR(INDEX(InsUtil,MATCH($B561,InsNome,0)),""))</f>
        <v>0</v>
      </c>
      <c r="G561" s="24">
        <f>IF(OR($A561="",$C561="",$F561=""),"",$C561*$F561)</f>
        <v>0</v>
      </c>
      <c r="H561" s="23">
        <f>IF($A561="","",IF($B561="","Escolha o insumo",IF($F561="","Insumo sem custo",IF(COUNTIF(PratoNome,$A561)=0,"Prato não cadastrado",IF($C561="","Falta quantidade","OK")))))</f>
        <v>0</v>
      </c>
    </row>
    <row r="562" spans="1:8">
      <c r="A562" s="13"/>
      <c r="B562" s="13"/>
      <c r="C562" s="19"/>
      <c r="D562" s="13"/>
      <c r="E562" s="23">
        <f>IF($B562="","",IFERROR(INDEX(InsUnid,MATCH($B562,InsNome,0)),""))</f>
        <v>0</v>
      </c>
      <c r="F562" s="21">
        <f>IF($B562="","",IFERROR(INDEX(InsUtil,MATCH($B562,InsNome,0)),""))</f>
        <v>0</v>
      </c>
      <c r="G562" s="24">
        <f>IF(OR($A562="",$C562="",$F562=""),"",$C562*$F562)</f>
        <v>0</v>
      </c>
      <c r="H562" s="23">
        <f>IF($A562="","",IF($B562="","Escolha o insumo",IF($F562="","Insumo sem custo",IF(COUNTIF(PratoNome,$A562)=0,"Prato não cadastrado",IF($C562="","Falta quantidade","OK")))))</f>
        <v>0</v>
      </c>
    </row>
    <row r="563" spans="1:8">
      <c r="A563" s="13"/>
      <c r="B563" s="13"/>
      <c r="C563" s="19"/>
      <c r="D563" s="13"/>
      <c r="E563" s="23">
        <f>IF($B563="","",IFERROR(INDEX(InsUnid,MATCH($B563,InsNome,0)),""))</f>
        <v>0</v>
      </c>
      <c r="F563" s="21">
        <f>IF($B563="","",IFERROR(INDEX(InsUtil,MATCH($B563,InsNome,0)),""))</f>
        <v>0</v>
      </c>
      <c r="G563" s="24">
        <f>IF(OR($A563="",$C563="",$F563=""),"",$C563*$F563)</f>
        <v>0</v>
      </c>
      <c r="H563" s="23">
        <f>IF($A563="","",IF($B563="","Escolha o insumo",IF($F563="","Insumo sem custo",IF(COUNTIF(PratoNome,$A563)=0,"Prato não cadastrado",IF($C563="","Falta quantidade","OK")))))</f>
        <v>0</v>
      </c>
    </row>
    <row r="564" spans="1:8">
      <c r="A564" s="13"/>
      <c r="B564" s="13"/>
      <c r="C564" s="19"/>
      <c r="D564" s="13"/>
      <c r="E564" s="23">
        <f>IF($B564="","",IFERROR(INDEX(InsUnid,MATCH($B564,InsNome,0)),""))</f>
        <v>0</v>
      </c>
      <c r="F564" s="21">
        <f>IF($B564="","",IFERROR(INDEX(InsUtil,MATCH($B564,InsNome,0)),""))</f>
        <v>0</v>
      </c>
      <c r="G564" s="24">
        <f>IF(OR($A564="",$C564="",$F564=""),"",$C564*$F564)</f>
        <v>0</v>
      </c>
      <c r="H564" s="23">
        <f>IF($A564="","",IF($B564="","Escolha o insumo",IF($F564="","Insumo sem custo",IF(COUNTIF(PratoNome,$A564)=0,"Prato não cadastrado",IF($C564="","Falta quantidade","OK")))))</f>
        <v>0</v>
      </c>
    </row>
    <row r="565" spans="1:8">
      <c r="A565" s="13"/>
      <c r="B565" s="13"/>
      <c r="C565" s="19"/>
      <c r="D565" s="13"/>
      <c r="E565" s="23">
        <f>IF($B565="","",IFERROR(INDEX(InsUnid,MATCH($B565,InsNome,0)),""))</f>
        <v>0</v>
      </c>
      <c r="F565" s="21">
        <f>IF($B565="","",IFERROR(INDEX(InsUtil,MATCH($B565,InsNome,0)),""))</f>
        <v>0</v>
      </c>
      <c r="G565" s="24">
        <f>IF(OR($A565="",$C565="",$F565=""),"",$C565*$F565)</f>
        <v>0</v>
      </c>
      <c r="H565" s="23">
        <f>IF($A565="","",IF($B565="","Escolha o insumo",IF($F565="","Insumo sem custo",IF(COUNTIF(PratoNome,$A565)=0,"Prato não cadastrado",IF($C565="","Falta quantidade","OK")))))</f>
        <v>0</v>
      </c>
    </row>
    <row r="566" spans="1:8">
      <c r="A566" s="13"/>
      <c r="B566" s="13"/>
      <c r="C566" s="19"/>
      <c r="D566" s="13"/>
      <c r="E566" s="23">
        <f>IF($B566="","",IFERROR(INDEX(InsUnid,MATCH($B566,InsNome,0)),""))</f>
        <v>0</v>
      </c>
      <c r="F566" s="21">
        <f>IF($B566="","",IFERROR(INDEX(InsUtil,MATCH($B566,InsNome,0)),""))</f>
        <v>0</v>
      </c>
      <c r="G566" s="24">
        <f>IF(OR($A566="",$C566="",$F566=""),"",$C566*$F566)</f>
        <v>0</v>
      </c>
      <c r="H566" s="23">
        <f>IF($A566="","",IF($B566="","Escolha o insumo",IF($F566="","Insumo sem custo",IF(COUNTIF(PratoNome,$A566)=0,"Prato não cadastrado",IF($C566="","Falta quantidade","OK")))))</f>
        <v>0</v>
      </c>
    </row>
    <row r="567" spans="1:8">
      <c r="A567" s="13"/>
      <c r="B567" s="13"/>
      <c r="C567" s="19"/>
      <c r="D567" s="13"/>
      <c r="E567" s="23">
        <f>IF($B567="","",IFERROR(INDEX(InsUnid,MATCH($B567,InsNome,0)),""))</f>
        <v>0</v>
      </c>
      <c r="F567" s="21">
        <f>IF($B567="","",IFERROR(INDEX(InsUtil,MATCH($B567,InsNome,0)),""))</f>
        <v>0</v>
      </c>
      <c r="G567" s="24">
        <f>IF(OR($A567="",$C567="",$F567=""),"",$C567*$F567)</f>
        <v>0</v>
      </c>
      <c r="H567" s="23">
        <f>IF($A567="","",IF($B567="","Escolha o insumo",IF($F567="","Insumo sem custo",IF(COUNTIF(PratoNome,$A567)=0,"Prato não cadastrado",IF($C567="","Falta quantidade","OK")))))</f>
        <v>0</v>
      </c>
    </row>
    <row r="568" spans="1:8">
      <c r="A568" s="13"/>
      <c r="B568" s="13"/>
      <c r="C568" s="19"/>
      <c r="D568" s="13"/>
      <c r="E568" s="23">
        <f>IF($B568="","",IFERROR(INDEX(InsUnid,MATCH($B568,InsNome,0)),""))</f>
        <v>0</v>
      </c>
      <c r="F568" s="21">
        <f>IF($B568="","",IFERROR(INDEX(InsUtil,MATCH($B568,InsNome,0)),""))</f>
        <v>0</v>
      </c>
      <c r="G568" s="24">
        <f>IF(OR($A568="",$C568="",$F568=""),"",$C568*$F568)</f>
        <v>0</v>
      </c>
      <c r="H568" s="23">
        <f>IF($A568="","",IF($B568="","Escolha o insumo",IF($F568="","Insumo sem custo",IF(COUNTIF(PratoNome,$A568)=0,"Prato não cadastrado",IF($C568="","Falta quantidade","OK")))))</f>
        <v>0</v>
      </c>
    </row>
    <row r="569" spans="1:8">
      <c r="A569" s="13"/>
      <c r="B569" s="13"/>
      <c r="C569" s="19"/>
      <c r="D569" s="13"/>
      <c r="E569" s="23">
        <f>IF($B569="","",IFERROR(INDEX(InsUnid,MATCH($B569,InsNome,0)),""))</f>
        <v>0</v>
      </c>
      <c r="F569" s="21">
        <f>IF($B569="","",IFERROR(INDEX(InsUtil,MATCH($B569,InsNome,0)),""))</f>
        <v>0</v>
      </c>
      <c r="G569" s="24">
        <f>IF(OR($A569="",$C569="",$F569=""),"",$C569*$F569)</f>
        <v>0</v>
      </c>
      <c r="H569" s="23">
        <f>IF($A569="","",IF($B569="","Escolha o insumo",IF($F569="","Insumo sem custo",IF(COUNTIF(PratoNome,$A569)=0,"Prato não cadastrado",IF($C569="","Falta quantidade","OK")))))</f>
        <v>0</v>
      </c>
    </row>
    <row r="570" spans="1:8">
      <c r="A570" s="13"/>
      <c r="B570" s="13"/>
      <c r="C570" s="19"/>
      <c r="D570" s="13"/>
      <c r="E570" s="23">
        <f>IF($B570="","",IFERROR(INDEX(InsUnid,MATCH($B570,InsNome,0)),""))</f>
        <v>0</v>
      </c>
      <c r="F570" s="21">
        <f>IF($B570="","",IFERROR(INDEX(InsUtil,MATCH($B570,InsNome,0)),""))</f>
        <v>0</v>
      </c>
      <c r="G570" s="24">
        <f>IF(OR($A570="",$C570="",$F570=""),"",$C570*$F570)</f>
        <v>0</v>
      </c>
      <c r="H570" s="23">
        <f>IF($A570="","",IF($B570="","Escolha o insumo",IF($F570="","Insumo sem custo",IF(COUNTIF(PratoNome,$A570)=0,"Prato não cadastrado",IF($C570="","Falta quantidade","OK")))))</f>
        <v>0</v>
      </c>
    </row>
    <row r="571" spans="1:8">
      <c r="A571" s="13"/>
      <c r="B571" s="13"/>
      <c r="C571" s="19"/>
      <c r="D571" s="13"/>
      <c r="E571" s="23">
        <f>IF($B571="","",IFERROR(INDEX(InsUnid,MATCH($B571,InsNome,0)),""))</f>
        <v>0</v>
      </c>
      <c r="F571" s="21">
        <f>IF($B571="","",IFERROR(INDEX(InsUtil,MATCH($B571,InsNome,0)),""))</f>
        <v>0</v>
      </c>
      <c r="G571" s="24">
        <f>IF(OR($A571="",$C571="",$F571=""),"",$C571*$F571)</f>
        <v>0</v>
      </c>
      <c r="H571" s="23">
        <f>IF($A571="","",IF($B571="","Escolha o insumo",IF($F571="","Insumo sem custo",IF(COUNTIF(PratoNome,$A571)=0,"Prato não cadastrado",IF($C571="","Falta quantidade","OK")))))</f>
        <v>0</v>
      </c>
    </row>
    <row r="572" spans="1:8">
      <c r="A572" s="13"/>
      <c r="B572" s="13"/>
      <c r="C572" s="19"/>
      <c r="D572" s="13"/>
      <c r="E572" s="23">
        <f>IF($B572="","",IFERROR(INDEX(InsUnid,MATCH($B572,InsNome,0)),""))</f>
        <v>0</v>
      </c>
      <c r="F572" s="21">
        <f>IF($B572="","",IFERROR(INDEX(InsUtil,MATCH($B572,InsNome,0)),""))</f>
        <v>0</v>
      </c>
      <c r="G572" s="24">
        <f>IF(OR($A572="",$C572="",$F572=""),"",$C572*$F572)</f>
        <v>0</v>
      </c>
      <c r="H572" s="23">
        <f>IF($A572="","",IF($B572="","Escolha o insumo",IF($F572="","Insumo sem custo",IF(COUNTIF(PratoNome,$A572)=0,"Prato não cadastrado",IF($C572="","Falta quantidade","OK")))))</f>
        <v>0</v>
      </c>
    </row>
    <row r="573" spans="1:8">
      <c r="A573" s="13"/>
      <c r="B573" s="13"/>
      <c r="C573" s="19"/>
      <c r="D573" s="13"/>
      <c r="E573" s="23">
        <f>IF($B573="","",IFERROR(INDEX(InsUnid,MATCH($B573,InsNome,0)),""))</f>
        <v>0</v>
      </c>
      <c r="F573" s="21">
        <f>IF($B573="","",IFERROR(INDEX(InsUtil,MATCH($B573,InsNome,0)),""))</f>
        <v>0</v>
      </c>
      <c r="G573" s="24">
        <f>IF(OR($A573="",$C573="",$F573=""),"",$C573*$F573)</f>
        <v>0</v>
      </c>
      <c r="H573" s="23">
        <f>IF($A573="","",IF($B573="","Escolha o insumo",IF($F573="","Insumo sem custo",IF(COUNTIF(PratoNome,$A573)=0,"Prato não cadastrado",IF($C573="","Falta quantidade","OK")))))</f>
        <v>0</v>
      </c>
    </row>
    <row r="574" spans="1:8">
      <c r="A574" s="13"/>
      <c r="B574" s="13"/>
      <c r="C574" s="19"/>
      <c r="D574" s="13"/>
      <c r="E574" s="23">
        <f>IF($B574="","",IFERROR(INDEX(InsUnid,MATCH($B574,InsNome,0)),""))</f>
        <v>0</v>
      </c>
      <c r="F574" s="21">
        <f>IF($B574="","",IFERROR(INDEX(InsUtil,MATCH($B574,InsNome,0)),""))</f>
        <v>0</v>
      </c>
      <c r="G574" s="24">
        <f>IF(OR($A574="",$C574="",$F574=""),"",$C574*$F574)</f>
        <v>0</v>
      </c>
      <c r="H574" s="23">
        <f>IF($A574="","",IF($B574="","Escolha o insumo",IF($F574="","Insumo sem custo",IF(COUNTIF(PratoNome,$A574)=0,"Prato não cadastrado",IF($C574="","Falta quantidade","OK")))))</f>
        <v>0</v>
      </c>
    </row>
    <row r="575" spans="1:8">
      <c r="A575" s="13"/>
      <c r="B575" s="13"/>
      <c r="C575" s="19"/>
      <c r="D575" s="13"/>
      <c r="E575" s="23">
        <f>IF($B575="","",IFERROR(INDEX(InsUnid,MATCH($B575,InsNome,0)),""))</f>
        <v>0</v>
      </c>
      <c r="F575" s="21">
        <f>IF($B575="","",IFERROR(INDEX(InsUtil,MATCH($B575,InsNome,0)),""))</f>
        <v>0</v>
      </c>
      <c r="G575" s="24">
        <f>IF(OR($A575="",$C575="",$F575=""),"",$C575*$F575)</f>
        <v>0</v>
      </c>
      <c r="H575" s="23">
        <f>IF($A575="","",IF($B575="","Escolha o insumo",IF($F575="","Insumo sem custo",IF(COUNTIF(PratoNome,$A575)=0,"Prato não cadastrado",IF($C575="","Falta quantidade","OK")))))</f>
        <v>0</v>
      </c>
    </row>
    <row r="576" spans="1:8">
      <c r="A576" s="13"/>
      <c r="B576" s="13"/>
      <c r="C576" s="19"/>
      <c r="D576" s="13"/>
      <c r="E576" s="23">
        <f>IF($B576="","",IFERROR(INDEX(InsUnid,MATCH($B576,InsNome,0)),""))</f>
        <v>0</v>
      </c>
      <c r="F576" s="21">
        <f>IF($B576="","",IFERROR(INDEX(InsUtil,MATCH($B576,InsNome,0)),""))</f>
        <v>0</v>
      </c>
      <c r="G576" s="24">
        <f>IF(OR($A576="",$C576="",$F576=""),"",$C576*$F576)</f>
        <v>0</v>
      </c>
      <c r="H576" s="23">
        <f>IF($A576="","",IF($B576="","Escolha o insumo",IF($F576="","Insumo sem custo",IF(COUNTIF(PratoNome,$A576)=0,"Prato não cadastrado",IF($C576="","Falta quantidade","OK")))))</f>
        <v>0</v>
      </c>
    </row>
    <row r="577" spans="1:8">
      <c r="A577" s="13"/>
      <c r="B577" s="13"/>
      <c r="C577" s="19"/>
      <c r="D577" s="13"/>
      <c r="E577" s="23">
        <f>IF($B577="","",IFERROR(INDEX(InsUnid,MATCH($B577,InsNome,0)),""))</f>
        <v>0</v>
      </c>
      <c r="F577" s="21">
        <f>IF($B577="","",IFERROR(INDEX(InsUtil,MATCH($B577,InsNome,0)),""))</f>
        <v>0</v>
      </c>
      <c r="G577" s="24">
        <f>IF(OR($A577="",$C577="",$F577=""),"",$C577*$F577)</f>
        <v>0</v>
      </c>
      <c r="H577" s="23">
        <f>IF($A577="","",IF($B577="","Escolha o insumo",IF($F577="","Insumo sem custo",IF(COUNTIF(PratoNome,$A577)=0,"Prato não cadastrado",IF($C577="","Falta quantidade","OK")))))</f>
        <v>0</v>
      </c>
    </row>
    <row r="578" spans="1:8">
      <c r="A578" s="13"/>
      <c r="B578" s="13"/>
      <c r="C578" s="19"/>
      <c r="D578" s="13"/>
      <c r="E578" s="23">
        <f>IF($B578="","",IFERROR(INDEX(InsUnid,MATCH($B578,InsNome,0)),""))</f>
        <v>0</v>
      </c>
      <c r="F578" s="21">
        <f>IF($B578="","",IFERROR(INDEX(InsUtil,MATCH($B578,InsNome,0)),""))</f>
        <v>0</v>
      </c>
      <c r="G578" s="24">
        <f>IF(OR($A578="",$C578="",$F578=""),"",$C578*$F578)</f>
        <v>0</v>
      </c>
      <c r="H578" s="23">
        <f>IF($A578="","",IF($B578="","Escolha o insumo",IF($F578="","Insumo sem custo",IF(COUNTIF(PratoNome,$A578)=0,"Prato não cadastrado",IF($C578="","Falta quantidade","OK")))))</f>
        <v>0</v>
      </c>
    </row>
    <row r="579" spans="1:8">
      <c r="A579" s="13"/>
      <c r="B579" s="13"/>
      <c r="C579" s="19"/>
      <c r="D579" s="13"/>
      <c r="E579" s="23">
        <f>IF($B579="","",IFERROR(INDEX(InsUnid,MATCH($B579,InsNome,0)),""))</f>
        <v>0</v>
      </c>
      <c r="F579" s="21">
        <f>IF($B579="","",IFERROR(INDEX(InsUtil,MATCH($B579,InsNome,0)),""))</f>
        <v>0</v>
      </c>
      <c r="G579" s="24">
        <f>IF(OR($A579="",$C579="",$F579=""),"",$C579*$F579)</f>
        <v>0</v>
      </c>
      <c r="H579" s="23">
        <f>IF($A579="","",IF($B579="","Escolha o insumo",IF($F579="","Insumo sem custo",IF(COUNTIF(PratoNome,$A579)=0,"Prato não cadastrado",IF($C579="","Falta quantidade","OK")))))</f>
        <v>0</v>
      </c>
    </row>
    <row r="580" spans="1:8">
      <c r="A580" s="13"/>
      <c r="B580" s="13"/>
      <c r="C580" s="19"/>
      <c r="D580" s="13"/>
      <c r="E580" s="23">
        <f>IF($B580="","",IFERROR(INDEX(InsUnid,MATCH($B580,InsNome,0)),""))</f>
        <v>0</v>
      </c>
      <c r="F580" s="21">
        <f>IF($B580="","",IFERROR(INDEX(InsUtil,MATCH($B580,InsNome,0)),""))</f>
        <v>0</v>
      </c>
      <c r="G580" s="24">
        <f>IF(OR($A580="",$C580="",$F580=""),"",$C580*$F580)</f>
        <v>0</v>
      </c>
      <c r="H580" s="23">
        <f>IF($A580="","",IF($B580="","Escolha o insumo",IF($F580="","Insumo sem custo",IF(COUNTIF(PratoNome,$A580)=0,"Prato não cadastrado",IF($C580="","Falta quantidade","OK")))))</f>
        <v>0</v>
      </c>
    </row>
    <row r="581" spans="1:8">
      <c r="A581" s="13"/>
      <c r="B581" s="13"/>
      <c r="C581" s="19"/>
      <c r="D581" s="13"/>
      <c r="E581" s="23">
        <f>IF($B581="","",IFERROR(INDEX(InsUnid,MATCH($B581,InsNome,0)),""))</f>
        <v>0</v>
      </c>
      <c r="F581" s="21">
        <f>IF($B581="","",IFERROR(INDEX(InsUtil,MATCH($B581,InsNome,0)),""))</f>
        <v>0</v>
      </c>
      <c r="G581" s="24">
        <f>IF(OR($A581="",$C581="",$F581=""),"",$C581*$F581)</f>
        <v>0</v>
      </c>
      <c r="H581" s="23">
        <f>IF($A581="","",IF($B581="","Escolha o insumo",IF($F581="","Insumo sem custo",IF(COUNTIF(PratoNome,$A581)=0,"Prato não cadastrado",IF($C581="","Falta quantidade","OK")))))</f>
        <v>0</v>
      </c>
    </row>
    <row r="582" spans="1:8">
      <c r="A582" s="13"/>
      <c r="B582" s="13"/>
      <c r="C582" s="19"/>
      <c r="D582" s="13"/>
      <c r="E582" s="23">
        <f>IF($B582="","",IFERROR(INDEX(InsUnid,MATCH($B582,InsNome,0)),""))</f>
        <v>0</v>
      </c>
      <c r="F582" s="21">
        <f>IF($B582="","",IFERROR(INDEX(InsUtil,MATCH($B582,InsNome,0)),""))</f>
        <v>0</v>
      </c>
      <c r="G582" s="24">
        <f>IF(OR($A582="",$C582="",$F582=""),"",$C582*$F582)</f>
        <v>0</v>
      </c>
      <c r="H582" s="23">
        <f>IF($A582="","",IF($B582="","Escolha o insumo",IF($F582="","Insumo sem custo",IF(COUNTIF(PratoNome,$A582)=0,"Prato não cadastrado",IF($C582="","Falta quantidade","OK")))))</f>
        <v>0</v>
      </c>
    </row>
    <row r="583" spans="1:8">
      <c r="A583" s="13"/>
      <c r="B583" s="13"/>
      <c r="C583" s="19"/>
      <c r="D583" s="13"/>
      <c r="E583" s="23">
        <f>IF($B583="","",IFERROR(INDEX(InsUnid,MATCH($B583,InsNome,0)),""))</f>
        <v>0</v>
      </c>
      <c r="F583" s="21">
        <f>IF($B583="","",IFERROR(INDEX(InsUtil,MATCH($B583,InsNome,0)),""))</f>
        <v>0</v>
      </c>
      <c r="G583" s="24">
        <f>IF(OR($A583="",$C583="",$F583=""),"",$C583*$F583)</f>
        <v>0</v>
      </c>
      <c r="H583" s="23">
        <f>IF($A583="","",IF($B583="","Escolha o insumo",IF($F583="","Insumo sem custo",IF(COUNTIF(PratoNome,$A583)=0,"Prato não cadastrado",IF($C583="","Falta quantidade","OK")))))</f>
        <v>0</v>
      </c>
    </row>
    <row r="584" spans="1:8">
      <c r="A584" s="13"/>
      <c r="B584" s="13"/>
      <c r="C584" s="19"/>
      <c r="D584" s="13"/>
      <c r="E584" s="23">
        <f>IF($B584="","",IFERROR(INDEX(InsUnid,MATCH($B584,InsNome,0)),""))</f>
        <v>0</v>
      </c>
      <c r="F584" s="21">
        <f>IF($B584="","",IFERROR(INDEX(InsUtil,MATCH($B584,InsNome,0)),""))</f>
        <v>0</v>
      </c>
      <c r="G584" s="24">
        <f>IF(OR($A584="",$C584="",$F584=""),"",$C584*$F584)</f>
        <v>0</v>
      </c>
      <c r="H584" s="23">
        <f>IF($A584="","",IF($B584="","Escolha o insumo",IF($F584="","Insumo sem custo",IF(COUNTIF(PratoNome,$A584)=0,"Prato não cadastrado",IF($C584="","Falta quantidade","OK")))))</f>
        <v>0</v>
      </c>
    </row>
    <row r="585" spans="1:8">
      <c r="A585" s="13"/>
      <c r="B585" s="13"/>
      <c r="C585" s="19"/>
      <c r="D585" s="13"/>
      <c r="E585" s="23">
        <f>IF($B585="","",IFERROR(INDEX(InsUnid,MATCH($B585,InsNome,0)),""))</f>
        <v>0</v>
      </c>
      <c r="F585" s="21">
        <f>IF($B585="","",IFERROR(INDEX(InsUtil,MATCH($B585,InsNome,0)),""))</f>
        <v>0</v>
      </c>
      <c r="G585" s="24">
        <f>IF(OR($A585="",$C585="",$F585=""),"",$C585*$F585)</f>
        <v>0</v>
      </c>
      <c r="H585" s="23">
        <f>IF($A585="","",IF($B585="","Escolha o insumo",IF($F585="","Insumo sem custo",IF(COUNTIF(PratoNome,$A585)=0,"Prato não cadastrado",IF($C585="","Falta quantidade","OK")))))</f>
        <v>0</v>
      </c>
    </row>
    <row r="586" spans="1:8">
      <c r="A586" s="13"/>
      <c r="B586" s="13"/>
      <c r="C586" s="19"/>
      <c r="D586" s="13"/>
      <c r="E586" s="23">
        <f>IF($B586="","",IFERROR(INDEX(InsUnid,MATCH($B586,InsNome,0)),""))</f>
        <v>0</v>
      </c>
      <c r="F586" s="21">
        <f>IF($B586="","",IFERROR(INDEX(InsUtil,MATCH($B586,InsNome,0)),""))</f>
        <v>0</v>
      </c>
      <c r="G586" s="24">
        <f>IF(OR($A586="",$C586="",$F586=""),"",$C586*$F586)</f>
        <v>0</v>
      </c>
      <c r="H586" s="23">
        <f>IF($A586="","",IF($B586="","Escolha o insumo",IF($F586="","Insumo sem custo",IF(COUNTIF(PratoNome,$A586)=0,"Prato não cadastrado",IF($C586="","Falta quantidade","OK")))))</f>
        <v>0</v>
      </c>
    </row>
    <row r="587" spans="1:8">
      <c r="A587" s="13"/>
      <c r="B587" s="13"/>
      <c r="C587" s="19"/>
      <c r="D587" s="13"/>
      <c r="E587" s="23">
        <f>IF($B587="","",IFERROR(INDEX(InsUnid,MATCH($B587,InsNome,0)),""))</f>
        <v>0</v>
      </c>
      <c r="F587" s="21">
        <f>IF($B587="","",IFERROR(INDEX(InsUtil,MATCH($B587,InsNome,0)),""))</f>
        <v>0</v>
      </c>
      <c r="G587" s="24">
        <f>IF(OR($A587="",$C587="",$F587=""),"",$C587*$F587)</f>
        <v>0</v>
      </c>
      <c r="H587" s="23">
        <f>IF($A587="","",IF($B587="","Escolha o insumo",IF($F587="","Insumo sem custo",IF(COUNTIF(PratoNome,$A587)=0,"Prato não cadastrado",IF($C587="","Falta quantidade","OK")))))</f>
        <v>0</v>
      </c>
    </row>
    <row r="588" spans="1:8">
      <c r="A588" s="13"/>
      <c r="B588" s="13"/>
      <c r="C588" s="19"/>
      <c r="D588" s="13"/>
      <c r="E588" s="23">
        <f>IF($B588="","",IFERROR(INDEX(InsUnid,MATCH($B588,InsNome,0)),""))</f>
        <v>0</v>
      </c>
      <c r="F588" s="21">
        <f>IF($B588="","",IFERROR(INDEX(InsUtil,MATCH($B588,InsNome,0)),""))</f>
        <v>0</v>
      </c>
      <c r="G588" s="24">
        <f>IF(OR($A588="",$C588="",$F588=""),"",$C588*$F588)</f>
        <v>0</v>
      </c>
      <c r="H588" s="23">
        <f>IF($A588="","",IF($B588="","Escolha o insumo",IF($F588="","Insumo sem custo",IF(COUNTIF(PratoNome,$A588)=0,"Prato não cadastrado",IF($C588="","Falta quantidade","OK")))))</f>
        <v>0</v>
      </c>
    </row>
    <row r="589" spans="1:8">
      <c r="A589" s="13"/>
      <c r="B589" s="13"/>
      <c r="C589" s="19"/>
      <c r="D589" s="13"/>
      <c r="E589" s="23">
        <f>IF($B589="","",IFERROR(INDEX(InsUnid,MATCH($B589,InsNome,0)),""))</f>
        <v>0</v>
      </c>
      <c r="F589" s="21">
        <f>IF($B589="","",IFERROR(INDEX(InsUtil,MATCH($B589,InsNome,0)),""))</f>
        <v>0</v>
      </c>
      <c r="G589" s="24">
        <f>IF(OR($A589="",$C589="",$F589=""),"",$C589*$F589)</f>
        <v>0</v>
      </c>
      <c r="H589" s="23">
        <f>IF($A589="","",IF($B589="","Escolha o insumo",IF($F589="","Insumo sem custo",IF(COUNTIF(PratoNome,$A589)=0,"Prato não cadastrado",IF($C589="","Falta quantidade","OK")))))</f>
        <v>0</v>
      </c>
    </row>
    <row r="590" spans="1:8">
      <c r="A590" s="13"/>
      <c r="B590" s="13"/>
      <c r="C590" s="19"/>
      <c r="D590" s="13"/>
      <c r="E590" s="23">
        <f>IF($B590="","",IFERROR(INDEX(InsUnid,MATCH($B590,InsNome,0)),""))</f>
        <v>0</v>
      </c>
      <c r="F590" s="21">
        <f>IF($B590="","",IFERROR(INDEX(InsUtil,MATCH($B590,InsNome,0)),""))</f>
        <v>0</v>
      </c>
      <c r="G590" s="24">
        <f>IF(OR($A590="",$C590="",$F590=""),"",$C590*$F590)</f>
        <v>0</v>
      </c>
      <c r="H590" s="23">
        <f>IF($A590="","",IF($B590="","Escolha o insumo",IF($F590="","Insumo sem custo",IF(COUNTIF(PratoNome,$A590)=0,"Prato não cadastrado",IF($C590="","Falta quantidade","OK")))))</f>
        <v>0</v>
      </c>
    </row>
    <row r="591" spans="1:8">
      <c r="A591" s="13"/>
      <c r="B591" s="13"/>
      <c r="C591" s="19"/>
      <c r="D591" s="13"/>
      <c r="E591" s="23">
        <f>IF($B591="","",IFERROR(INDEX(InsUnid,MATCH($B591,InsNome,0)),""))</f>
        <v>0</v>
      </c>
      <c r="F591" s="21">
        <f>IF($B591="","",IFERROR(INDEX(InsUtil,MATCH($B591,InsNome,0)),""))</f>
        <v>0</v>
      </c>
      <c r="G591" s="24">
        <f>IF(OR($A591="",$C591="",$F591=""),"",$C591*$F591)</f>
        <v>0</v>
      </c>
      <c r="H591" s="23">
        <f>IF($A591="","",IF($B591="","Escolha o insumo",IF($F591="","Insumo sem custo",IF(COUNTIF(PratoNome,$A591)=0,"Prato não cadastrado",IF($C591="","Falta quantidade","OK")))))</f>
        <v>0</v>
      </c>
    </row>
    <row r="592" spans="1:8">
      <c r="A592" s="13"/>
      <c r="B592" s="13"/>
      <c r="C592" s="19"/>
      <c r="D592" s="13"/>
      <c r="E592" s="23">
        <f>IF($B592="","",IFERROR(INDEX(InsUnid,MATCH($B592,InsNome,0)),""))</f>
        <v>0</v>
      </c>
      <c r="F592" s="21">
        <f>IF($B592="","",IFERROR(INDEX(InsUtil,MATCH($B592,InsNome,0)),""))</f>
        <v>0</v>
      </c>
      <c r="G592" s="24">
        <f>IF(OR($A592="",$C592="",$F592=""),"",$C592*$F592)</f>
        <v>0</v>
      </c>
      <c r="H592" s="23">
        <f>IF($A592="","",IF($B592="","Escolha o insumo",IF($F592="","Insumo sem custo",IF(COUNTIF(PratoNome,$A592)=0,"Prato não cadastrado",IF($C592="","Falta quantidade","OK")))))</f>
        <v>0</v>
      </c>
    </row>
    <row r="593" spans="1:8">
      <c r="A593" s="13"/>
      <c r="B593" s="13"/>
      <c r="C593" s="19"/>
      <c r="D593" s="13"/>
      <c r="E593" s="23">
        <f>IF($B593="","",IFERROR(INDEX(InsUnid,MATCH($B593,InsNome,0)),""))</f>
        <v>0</v>
      </c>
      <c r="F593" s="21">
        <f>IF($B593="","",IFERROR(INDEX(InsUtil,MATCH($B593,InsNome,0)),""))</f>
        <v>0</v>
      </c>
      <c r="G593" s="24">
        <f>IF(OR($A593="",$C593="",$F593=""),"",$C593*$F593)</f>
        <v>0</v>
      </c>
      <c r="H593" s="23">
        <f>IF($A593="","",IF($B593="","Escolha o insumo",IF($F593="","Insumo sem custo",IF(COUNTIF(PratoNome,$A593)=0,"Prato não cadastrado",IF($C593="","Falta quantidade","OK")))))</f>
        <v>0</v>
      </c>
    </row>
    <row r="594" spans="1:8">
      <c r="A594" s="13"/>
      <c r="B594" s="13"/>
      <c r="C594" s="19"/>
      <c r="D594" s="13"/>
      <c r="E594" s="23">
        <f>IF($B594="","",IFERROR(INDEX(InsUnid,MATCH($B594,InsNome,0)),""))</f>
        <v>0</v>
      </c>
      <c r="F594" s="21">
        <f>IF($B594="","",IFERROR(INDEX(InsUtil,MATCH($B594,InsNome,0)),""))</f>
        <v>0</v>
      </c>
      <c r="G594" s="24">
        <f>IF(OR($A594="",$C594="",$F594=""),"",$C594*$F594)</f>
        <v>0</v>
      </c>
      <c r="H594" s="23">
        <f>IF($A594="","",IF($B594="","Escolha o insumo",IF($F594="","Insumo sem custo",IF(COUNTIF(PratoNome,$A594)=0,"Prato não cadastrado",IF($C594="","Falta quantidade","OK")))))</f>
        <v>0</v>
      </c>
    </row>
    <row r="595" spans="1:8">
      <c r="A595" s="13"/>
      <c r="B595" s="13"/>
      <c r="C595" s="19"/>
      <c r="D595" s="13"/>
      <c r="E595" s="23">
        <f>IF($B595="","",IFERROR(INDEX(InsUnid,MATCH($B595,InsNome,0)),""))</f>
        <v>0</v>
      </c>
      <c r="F595" s="21">
        <f>IF($B595="","",IFERROR(INDEX(InsUtil,MATCH($B595,InsNome,0)),""))</f>
        <v>0</v>
      </c>
      <c r="G595" s="24">
        <f>IF(OR($A595="",$C595="",$F595=""),"",$C595*$F595)</f>
        <v>0</v>
      </c>
      <c r="H595" s="23">
        <f>IF($A595="","",IF($B595="","Escolha o insumo",IF($F595="","Insumo sem custo",IF(COUNTIF(PratoNome,$A595)=0,"Prato não cadastrado",IF($C595="","Falta quantidade","OK")))))</f>
        <v>0</v>
      </c>
    </row>
    <row r="596" spans="1:8">
      <c r="A596" s="13"/>
      <c r="B596" s="13"/>
      <c r="C596" s="19"/>
      <c r="D596" s="13"/>
      <c r="E596" s="23">
        <f>IF($B596="","",IFERROR(INDEX(InsUnid,MATCH($B596,InsNome,0)),""))</f>
        <v>0</v>
      </c>
      <c r="F596" s="21">
        <f>IF($B596="","",IFERROR(INDEX(InsUtil,MATCH($B596,InsNome,0)),""))</f>
        <v>0</v>
      </c>
      <c r="G596" s="24">
        <f>IF(OR($A596="",$C596="",$F596=""),"",$C596*$F596)</f>
        <v>0</v>
      </c>
      <c r="H596" s="23">
        <f>IF($A596="","",IF($B596="","Escolha o insumo",IF($F596="","Insumo sem custo",IF(COUNTIF(PratoNome,$A596)=0,"Prato não cadastrado",IF($C596="","Falta quantidade","OK")))))</f>
        <v>0</v>
      </c>
    </row>
    <row r="597" spans="1:8">
      <c r="A597" s="13"/>
      <c r="B597" s="13"/>
      <c r="C597" s="19"/>
      <c r="D597" s="13"/>
      <c r="E597" s="23">
        <f>IF($B597="","",IFERROR(INDEX(InsUnid,MATCH($B597,InsNome,0)),""))</f>
        <v>0</v>
      </c>
      <c r="F597" s="21">
        <f>IF($B597="","",IFERROR(INDEX(InsUtil,MATCH($B597,InsNome,0)),""))</f>
        <v>0</v>
      </c>
      <c r="G597" s="24">
        <f>IF(OR($A597="",$C597="",$F597=""),"",$C597*$F597)</f>
        <v>0</v>
      </c>
      <c r="H597" s="23">
        <f>IF($A597="","",IF($B597="","Escolha o insumo",IF($F597="","Insumo sem custo",IF(COUNTIF(PratoNome,$A597)=0,"Prato não cadastrado",IF($C597="","Falta quantidade","OK")))))</f>
        <v>0</v>
      </c>
    </row>
    <row r="598" spans="1:8">
      <c r="A598" s="13"/>
      <c r="B598" s="13"/>
      <c r="C598" s="19"/>
      <c r="D598" s="13"/>
      <c r="E598" s="23">
        <f>IF($B598="","",IFERROR(INDEX(InsUnid,MATCH($B598,InsNome,0)),""))</f>
        <v>0</v>
      </c>
      <c r="F598" s="21">
        <f>IF($B598="","",IFERROR(INDEX(InsUtil,MATCH($B598,InsNome,0)),""))</f>
        <v>0</v>
      </c>
      <c r="G598" s="24">
        <f>IF(OR($A598="",$C598="",$F598=""),"",$C598*$F598)</f>
        <v>0</v>
      </c>
      <c r="H598" s="23">
        <f>IF($A598="","",IF($B598="","Escolha o insumo",IF($F598="","Insumo sem custo",IF(COUNTIF(PratoNome,$A598)=0,"Prato não cadastrado",IF($C598="","Falta quantidade","OK")))))</f>
        <v>0</v>
      </c>
    </row>
    <row r="599" spans="1:8">
      <c r="A599" s="13"/>
      <c r="B599" s="13"/>
      <c r="C599" s="19"/>
      <c r="D599" s="13"/>
      <c r="E599" s="23">
        <f>IF($B599="","",IFERROR(INDEX(InsUnid,MATCH($B599,InsNome,0)),""))</f>
        <v>0</v>
      </c>
      <c r="F599" s="21">
        <f>IF($B599="","",IFERROR(INDEX(InsUtil,MATCH($B599,InsNome,0)),""))</f>
        <v>0</v>
      </c>
      <c r="G599" s="24">
        <f>IF(OR($A599="",$C599="",$F599=""),"",$C599*$F599)</f>
        <v>0</v>
      </c>
      <c r="H599" s="23">
        <f>IF($A599="","",IF($B599="","Escolha o insumo",IF($F599="","Insumo sem custo",IF(COUNTIF(PratoNome,$A599)=0,"Prato não cadastrado",IF($C599="","Falta quantidade","OK")))))</f>
        <v>0</v>
      </c>
    </row>
    <row r="600" spans="1:8">
      <c r="A600" s="13"/>
      <c r="B600" s="13"/>
      <c r="C600" s="19"/>
      <c r="D600" s="13"/>
      <c r="E600" s="23">
        <f>IF($B600="","",IFERROR(INDEX(InsUnid,MATCH($B600,InsNome,0)),""))</f>
        <v>0</v>
      </c>
      <c r="F600" s="21">
        <f>IF($B600="","",IFERROR(INDEX(InsUtil,MATCH($B600,InsNome,0)),""))</f>
        <v>0</v>
      </c>
      <c r="G600" s="24">
        <f>IF(OR($A600="",$C600="",$F600=""),"",$C600*$F600)</f>
        <v>0</v>
      </c>
      <c r="H600" s="23">
        <f>IF($A600="","",IF($B600="","Escolha o insumo",IF($F600="","Insumo sem custo",IF(COUNTIF(PratoNome,$A600)=0,"Prato não cadastrado",IF($C600="","Falta quantidade","OK")))))</f>
        <v>0</v>
      </c>
    </row>
    <row r="601" spans="1:8">
      <c r="A601" s="13"/>
      <c r="B601" s="13"/>
      <c r="C601" s="19"/>
      <c r="D601" s="13"/>
      <c r="E601" s="23">
        <f>IF($B601="","",IFERROR(INDEX(InsUnid,MATCH($B601,InsNome,0)),""))</f>
        <v>0</v>
      </c>
      <c r="F601" s="21">
        <f>IF($B601="","",IFERROR(INDEX(InsUtil,MATCH($B601,InsNome,0)),""))</f>
        <v>0</v>
      </c>
      <c r="G601" s="24">
        <f>IF(OR($A601="",$C601="",$F601=""),"",$C601*$F601)</f>
        <v>0</v>
      </c>
      <c r="H601" s="23">
        <f>IF($A601="","",IF($B601="","Escolha o insumo",IF($F601="","Insumo sem custo",IF(COUNTIF(PratoNome,$A601)=0,"Prato não cadastrado",IF($C601="","Falta quantidade","OK")))))</f>
        <v>0</v>
      </c>
    </row>
    <row r="602" spans="1:8">
      <c r="A602" s="13"/>
      <c r="B602" s="13"/>
      <c r="C602" s="19"/>
      <c r="D602" s="13"/>
      <c r="E602" s="23">
        <f>IF($B602="","",IFERROR(INDEX(InsUnid,MATCH($B602,InsNome,0)),""))</f>
        <v>0</v>
      </c>
      <c r="F602" s="21">
        <f>IF($B602="","",IFERROR(INDEX(InsUtil,MATCH($B602,InsNome,0)),""))</f>
        <v>0</v>
      </c>
      <c r="G602" s="24">
        <f>IF(OR($A602="",$C602="",$F602=""),"",$C602*$F602)</f>
        <v>0</v>
      </c>
      <c r="H602" s="23">
        <f>IF($A602="","",IF($B602="","Escolha o insumo",IF($F602="","Insumo sem custo",IF(COUNTIF(PratoNome,$A602)=0,"Prato não cadastrado",IF($C602="","Falta quantidade","OK")))))</f>
        <v>0</v>
      </c>
    </row>
    <row r="603" spans="1:8">
      <c r="A603" s="13"/>
      <c r="B603" s="13"/>
      <c r="C603" s="19"/>
      <c r="D603" s="13"/>
      <c r="E603" s="23">
        <f>IF($B603="","",IFERROR(INDEX(InsUnid,MATCH($B603,InsNome,0)),""))</f>
        <v>0</v>
      </c>
      <c r="F603" s="21">
        <f>IF($B603="","",IFERROR(INDEX(InsUtil,MATCH($B603,InsNome,0)),""))</f>
        <v>0</v>
      </c>
      <c r="G603" s="24">
        <f>IF(OR($A603="",$C603="",$F603=""),"",$C603*$F603)</f>
        <v>0</v>
      </c>
      <c r="H603" s="23">
        <f>IF($A603="","",IF($B603="","Escolha o insumo",IF($F603="","Insumo sem custo",IF(COUNTIF(PratoNome,$A603)=0,"Prato não cadastrado",IF($C603="","Falta quantidade","OK")))))</f>
        <v>0</v>
      </c>
    </row>
    <row r="604" spans="1:8">
      <c r="A604" s="13"/>
      <c r="B604" s="13"/>
      <c r="C604" s="19"/>
      <c r="D604" s="13"/>
      <c r="E604" s="23">
        <f>IF($B604="","",IFERROR(INDEX(InsUnid,MATCH($B604,InsNome,0)),""))</f>
        <v>0</v>
      </c>
      <c r="F604" s="21">
        <f>IF($B604="","",IFERROR(INDEX(InsUtil,MATCH($B604,InsNome,0)),""))</f>
        <v>0</v>
      </c>
      <c r="G604" s="24">
        <f>IF(OR($A604="",$C604="",$F604=""),"",$C604*$F604)</f>
        <v>0</v>
      </c>
      <c r="H604" s="23">
        <f>IF($A604="","",IF($B604="","Escolha o insumo",IF($F604="","Insumo sem custo",IF(COUNTIF(PratoNome,$A604)=0,"Prato não cadastrado",IF($C604="","Falta quantidade","OK")))))</f>
        <v>0</v>
      </c>
    </row>
    <row r="605" spans="1:8">
      <c r="A605" s="13"/>
      <c r="B605" s="13"/>
      <c r="C605" s="19"/>
      <c r="D605" s="13"/>
      <c r="E605" s="23">
        <f>IF($B605="","",IFERROR(INDEX(InsUnid,MATCH($B605,InsNome,0)),""))</f>
        <v>0</v>
      </c>
      <c r="F605" s="21">
        <f>IF($B605="","",IFERROR(INDEX(InsUtil,MATCH($B605,InsNome,0)),""))</f>
        <v>0</v>
      </c>
      <c r="G605" s="24">
        <f>IF(OR($A605="",$C605="",$F605=""),"",$C605*$F605)</f>
        <v>0</v>
      </c>
      <c r="H605" s="23">
        <f>IF($A605="","",IF($B605="","Escolha o insumo",IF($F605="","Insumo sem custo",IF(COUNTIF(PratoNome,$A605)=0,"Prato não cadastrado",IF($C605="","Falta quantidade","OK")))))</f>
        <v>0</v>
      </c>
    </row>
    <row r="606" spans="1:8">
      <c r="A606" s="13"/>
      <c r="B606" s="13"/>
      <c r="C606" s="19"/>
      <c r="D606" s="13"/>
      <c r="E606" s="23">
        <f>IF($B606="","",IFERROR(INDEX(InsUnid,MATCH($B606,InsNome,0)),""))</f>
        <v>0</v>
      </c>
      <c r="F606" s="21">
        <f>IF($B606="","",IFERROR(INDEX(InsUtil,MATCH($B606,InsNome,0)),""))</f>
        <v>0</v>
      </c>
      <c r="G606" s="24">
        <f>IF(OR($A606="",$C606="",$F606=""),"",$C606*$F606)</f>
        <v>0</v>
      </c>
      <c r="H606" s="23">
        <f>IF($A606="","",IF($B606="","Escolha o insumo",IF($F606="","Insumo sem custo",IF(COUNTIF(PratoNome,$A606)=0,"Prato não cadastrado",IF($C606="","Falta quantidade","OK")))))</f>
        <v>0</v>
      </c>
    </row>
    <row r="607" spans="1:8">
      <c r="A607" s="13"/>
      <c r="B607" s="13"/>
      <c r="C607" s="19"/>
      <c r="D607" s="13"/>
      <c r="E607" s="23">
        <f>IF($B607="","",IFERROR(INDEX(InsUnid,MATCH($B607,InsNome,0)),""))</f>
        <v>0</v>
      </c>
      <c r="F607" s="21">
        <f>IF($B607="","",IFERROR(INDEX(InsUtil,MATCH($B607,InsNome,0)),""))</f>
        <v>0</v>
      </c>
      <c r="G607" s="24">
        <f>IF(OR($A607="",$C607="",$F607=""),"",$C607*$F607)</f>
        <v>0</v>
      </c>
      <c r="H607" s="23">
        <f>IF($A607="","",IF($B607="","Escolha o insumo",IF($F607="","Insumo sem custo",IF(COUNTIF(PratoNome,$A607)=0,"Prato não cadastrado",IF($C607="","Falta quantidade","OK")))))</f>
        <v>0</v>
      </c>
    </row>
    <row r="608" spans="1:8">
      <c r="A608" s="13"/>
      <c r="B608" s="13"/>
      <c r="C608" s="19"/>
      <c r="D608" s="13"/>
      <c r="E608" s="23">
        <f>IF($B608="","",IFERROR(INDEX(InsUnid,MATCH($B608,InsNome,0)),""))</f>
        <v>0</v>
      </c>
      <c r="F608" s="21">
        <f>IF($B608="","",IFERROR(INDEX(InsUtil,MATCH($B608,InsNome,0)),""))</f>
        <v>0</v>
      </c>
      <c r="G608" s="24">
        <f>IF(OR($A608="",$C608="",$F608=""),"",$C608*$F608)</f>
        <v>0</v>
      </c>
      <c r="H608" s="23">
        <f>IF($A608="","",IF($B608="","Escolha o insumo",IF($F608="","Insumo sem custo",IF(COUNTIF(PratoNome,$A608)=0,"Prato não cadastrado",IF($C608="","Falta quantidade","OK")))))</f>
        <v>0</v>
      </c>
    </row>
    <row r="609" spans="1:8">
      <c r="A609" s="13"/>
      <c r="B609" s="13"/>
      <c r="C609" s="19"/>
      <c r="D609" s="13"/>
      <c r="E609" s="23">
        <f>IF($B609="","",IFERROR(INDEX(InsUnid,MATCH($B609,InsNome,0)),""))</f>
        <v>0</v>
      </c>
      <c r="F609" s="21">
        <f>IF($B609="","",IFERROR(INDEX(InsUtil,MATCH($B609,InsNome,0)),""))</f>
        <v>0</v>
      </c>
      <c r="G609" s="24">
        <f>IF(OR($A609="",$C609="",$F609=""),"",$C609*$F609)</f>
        <v>0</v>
      </c>
      <c r="H609" s="23">
        <f>IF($A609="","",IF($B609="","Escolha o insumo",IF($F609="","Insumo sem custo",IF(COUNTIF(PratoNome,$A609)=0,"Prato não cadastrado",IF($C609="","Falta quantidade","OK")))))</f>
        <v>0</v>
      </c>
    </row>
    <row r="610" spans="1:8">
      <c r="A610" s="13"/>
      <c r="B610" s="13"/>
      <c r="C610" s="19"/>
      <c r="D610" s="13"/>
      <c r="E610" s="23">
        <f>IF($B610="","",IFERROR(INDEX(InsUnid,MATCH($B610,InsNome,0)),""))</f>
        <v>0</v>
      </c>
      <c r="F610" s="21">
        <f>IF($B610="","",IFERROR(INDEX(InsUtil,MATCH($B610,InsNome,0)),""))</f>
        <v>0</v>
      </c>
      <c r="G610" s="24">
        <f>IF(OR($A610="",$C610="",$F610=""),"",$C610*$F610)</f>
        <v>0</v>
      </c>
      <c r="H610" s="23">
        <f>IF($A610="","",IF($B610="","Escolha o insumo",IF($F610="","Insumo sem custo",IF(COUNTIF(PratoNome,$A610)=0,"Prato não cadastrado",IF($C610="","Falta quantidade","OK")))))</f>
        <v>0</v>
      </c>
    </row>
    <row r="611" spans="1:8">
      <c r="A611" s="13"/>
      <c r="B611" s="13"/>
      <c r="C611" s="19"/>
      <c r="D611" s="13"/>
      <c r="E611" s="23">
        <f>IF($B611="","",IFERROR(INDEX(InsUnid,MATCH($B611,InsNome,0)),""))</f>
        <v>0</v>
      </c>
      <c r="F611" s="21">
        <f>IF($B611="","",IFERROR(INDEX(InsUtil,MATCH($B611,InsNome,0)),""))</f>
        <v>0</v>
      </c>
      <c r="G611" s="24">
        <f>IF(OR($A611="",$C611="",$F611=""),"",$C611*$F611)</f>
        <v>0</v>
      </c>
      <c r="H611" s="23">
        <f>IF($A611="","",IF($B611="","Escolha o insumo",IF($F611="","Insumo sem custo",IF(COUNTIF(PratoNome,$A611)=0,"Prato não cadastrado",IF($C611="","Falta quantidade","OK")))))</f>
        <v>0</v>
      </c>
    </row>
    <row r="612" spans="1:8">
      <c r="A612" s="13"/>
      <c r="B612" s="13"/>
      <c r="C612" s="19"/>
      <c r="D612" s="13"/>
      <c r="E612" s="23">
        <f>IF($B612="","",IFERROR(INDEX(InsUnid,MATCH($B612,InsNome,0)),""))</f>
        <v>0</v>
      </c>
      <c r="F612" s="21">
        <f>IF($B612="","",IFERROR(INDEX(InsUtil,MATCH($B612,InsNome,0)),""))</f>
        <v>0</v>
      </c>
      <c r="G612" s="24">
        <f>IF(OR($A612="",$C612="",$F612=""),"",$C612*$F612)</f>
        <v>0</v>
      </c>
      <c r="H612" s="23">
        <f>IF($A612="","",IF($B612="","Escolha o insumo",IF($F612="","Insumo sem custo",IF(COUNTIF(PratoNome,$A612)=0,"Prato não cadastrado",IF($C612="","Falta quantidade","OK")))))</f>
        <v>0</v>
      </c>
    </row>
    <row r="613" spans="1:8">
      <c r="A613" s="13"/>
      <c r="B613" s="13"/>
      <c r="C613" s="19"/>
      <c r="D613" s="13"/>
      <c r="E613" s="23">
        <f>IF($B613="","",IFERROR(INDEX(InsUnid,MATCH($B613,InsNome,0)),""))</f>
        <v>0</v>
      </c>
      <c r="F613" s="21">
        <f>IF($B613="","",IFERROR(INDEX(InsUtil,MATCH($B613,InsNome,0)),""))</f>
        <v>0</v>
      </c>
      <c r="G613" s="24">
        <f>IF(OR($A613="",$C613="",$F613=""),"",$C613*$F613)</f>
        <v>0</v>
      </c>
      <c r="H613" s="23">
        <f>IF($A613="","",IF($B613="","Escolha o insumo",IF($F613="","Insumo sem custo",IF(COUNTIF(PratoNome,$A613)=0,"Prato não cadastrado",IF($C613="","Falta quantidade","OK")))))</f>
        <v>0</v>
      </c>
    </row>
    <row r="614" spans="1:8">
      <c r="A614" s="13"/>
      <c r="B614" s="13"/>
      <c r="C614" s="19"/>
      <c r="D614" s="13"/>
      <c r="E614" s="23">
        <f>IF($B614="","",IFERROR(INDEX(InsUnid,MATCH($B614,InsNome,0)),""))</f>
        <v>0</v>
      </c>
      <c r="F614" s="21">
        <f>IF($B614="","",IFERROR(INDEX(InsUtil,MATCH($B614,InsNome,0)),""))</f>
        <v>0</v>
      </c>
      <c r="G614" s="24">
        <f>IF(OR($A614="",$C614="",$F614=""),"",$C614*$F614)</f>
        <v>0</v>
      </c>
      <c r="H614" s="23">
        <f>IF($A614="","",IF($B614="","Escolha o insumo",IF($F614="","Insumo sem custo",IF(COUNTIF(PratoNome,$A614)=0,"Prato não cadastrado",IF($C614="","Falta quantidade","OK")))))</f>
        <v>0</v>
      </c>
    </row>
    <row r="615" spans="1:8">
      <c r="A615" s="13"/>
      <c r="B615" s="13"/>
      <c r="C615" s="19"/>
      <c r="D615" s="13"/>
      <c r="E615" s="23">
        <f>IF($B615="","",IFERROR(INDEX(InsUnid,MATCH($B615,InsNome,0)),""))</f>
        <v>0</v>
      </c>
      <c r="F615" s="21">
        <f>IF($B615="","",IFERROR(INDEX(InsUtil,MATCH($B615,InsNome,0)),""))</f>
        <v>0</v>
      </c>
      <c r="G615" s="24">
        <f>IF(OR($A615="",$C615="",$F615=""),"",$C615*$F615)</f>
        <v>0</v>
      </c>
      <c r="H615" s="23">
        <f>IF($A615="","",IF($B615="","Escolha o insumo",IF($F615="","Insumo sem custo",IF(COUNTIF(PratoNome,$A615)=0,"Prato não cadastrado",IF($C615="","Falta quantidade","OK")))))</f>
        <v>0</v>
      </c>
    </row>
    <row r="616" spans="1:8">
      <c r="A616" s="13"/>
      <c r="B616" s="13"/>
      <c r="C616" s="19"/>
      <c r="D616" s="13"/>
      <c r="E616" s="23">
        <f>IF($B616="","",IFERROR(INDEX(InsUnid,MATCH($B616,InsNome,0)),""))</f>
        <v>0</v>
      </c>
      <c r="F616" s="21">
        <f>IF($B616="","",IFERROR(INDEX(InsUtil,MATCH($B616,InsNome,0)),""))</f>
        <v>0</v>
      </c>
      <c r="G616" s="24">
        <f>IF(OR($A616="",$C616="",$F616=""),"",$C616*$F616)</f>
        <v>0</v>
      </c>
      <c r="H616" s="23">
        <f>IF($A616="","",IF($B616="","Escolha o insumo",IF($F616="","Insumo sem custo",IF(COUNTIF(PratoNome,$A616)=0,"Prato não cadastrado",IF($C616="","Falta quantidade","OK")))))</f>
        <v>0</v>
      </c>
    </row>
    <row r="617" spans="1:8">
      <c r="A617" s="13"/>
      <c r="B617" s="13"/>
      <c r="C617" s="19"/>
      <c r="D617" s="13"/>
      <c r="E617" s="23">
        <f>IF($B617="","",IFERROR(INDEX(InsUnid,MATCH($B617,InsNome,0)),""))</f>
        <v>0</v>
      </c>
      <c r="F617" s="21">
        <f>IF($B617="","",IFERROR(INDEX(InsUtil,MATCH($B617,InsNome,0)),""))</f>
        <v>0</v>
      </c>
      <c r="G617" s="24">
        <f>IF(OR($A617="",$C617="",$F617=""),"",$C617*$F617)</f>
        <v>0</v>
      </c>
      <c r="H617" s="23">
        <f>IF($A617="","",IF($B617="","Escolha o insumo",IF($F617="","Insumo sem custo",IF(COUNTIF(PratoNome,$A617)=0,"Prato não cadastrado",IF($C617="","Falta quantidade","OK")))))</f>
        <v>0</v>
      </c>
    </row>
    <row r="618" spans="1:8">
      <c r="A618" s="13"/>
      <c r="B618" s="13"/>
      <c r="C618" s="19"/>
      <c r="D618" s="13"/>
      <c r="E618" s="23">
        <f>IF($B618="","",IFERROR(INDEX(InsUnid,MATCH($B618,InsNome,0)),""))</f>
        <v>0</v>
      </c>
      <c r="F618" s="21">
        <f>IF($B618="","",IFERROR(INDEX(InsUtil,MATCH($B618,InsNome,0)),""))</f>
        <v>0</v>
      </c>
      <c r="G618" s="24">
        <f>IF(OR($A618="",$C618="",$F618=""),"",$C618*$F618)</f>
        <v>0</v>
      </c>
      <c r="H618" s="23">
        <f>IF($A618="","",IF($B618="","Escolha o insumo",IF($F618="","Insumo sem custo",IF(COUNTIF(PratoNome,$A618)=0,"Prato não cadastrado",IF($C618="","Falta quantidade","OK")))))</f>
        <v>0</v>
      </c>
    </row>
    <row r="619" spans="1:8">
      <c r="A619" s="13"/>
      <c r="B619" s="13"/>
      <c r="C619" s="19"/>
      <c r="D619" s="13"/>
      <c r="E619" s="23">
        <f>IF($B619="","",IFERROR(INDEX(InsUnid,MATCH($B619,InsNome,0)),""))</f>
        <v>0</v>
      </c>
      <c r="F619" s="21">
        <f>IF($B619="","",IFERROR(INDEX(InsUtil,MATCH($B619,InsNome,0)),""))</f>
        <v>0</v>
      </c>
      <c r="G619" s="24">
        <f>IF(OR($A619="",$C619="",$F619=""),"",$C619*$F619)</f>
        <v>0</v>
      </c>
      <c r="H619" s="23">
        <f>IF($A619="","",IF($B619="","Escolha o insumo",IF($F619="","Insumo sem custo",IF(COUNTIF(PratoNome,$A619)=0,"Prato não cadastrado",IF($C619="","Falta quantidade","OK")))))</f>
        <v>0</v>
      </c>
    </row>
    <row r="620" spans="1:8">
      <c r="A620" s="13"/>
      <c r="B620" s="13"/>
      <c r="C620" s="19"/>
      <c r="D620" s="13"/>
      <c r="E620" s="23">
        <f>IF($B620="","",IFERROR(INDEX(InsUnid,MATCH($B620,InsNome,0)),""))</f>
        <v>0</v>
      </c>
      <c r="F620" s="21">
        <f>IF($B620="","",IFERROR(INDEX(InsUtil,MATCH($B620,InsNome,0)),""))</f>
        <v>0</v>
      </c>
      <c r="G620" s="24">
        <f>IF(OR($A620="",$C620="",$F620=""),"",$C620*$F620)</f>
        <v>0</v>
      </c>
      <c r="H620" s="23">
        <f>IF($A620="","",IF($B620="","Escolha o insumo",IF($F620="","Insumo sem custo",IF(COUNTIF(PratoNome,$A620)=0,"Prato não cadastrado",IF($C620="","Falta quantidade","OK")))))</f>
        <v>0</v>
      </c>
    </row>
    <row r="621" spans="1:8">
      <c r="A621" s="13"/>
      <c r="B621" s="13"/>
      <c r="C621" s="19"/>
      <c r="D621" s="13"/>
      <c r="E621" s="23">
        <f>IF($B621="","",IFERROR(INDEX(InsUnid,MATCH($B621,InsNome,0)),""))</f>
        <v>0</v>
      </c>
      <c r="F621" s="21">
        <f>IF($B621="","",IFERROR(INDEX(InsUtil,MATCH($B621,InsNome,0)),""))</f>
        <v>0</v>
      </c>
      <c r="G621" s="24">
        <f>IF(OR($A621="",$C621="",$F621=""),"",$C621*$F621)</f>
        <v>0</v>
      </c>
      <c r="H621" s="23">
        <f>IF($A621="","",IF($B621="","Escolha o insumo",IF($F621="","Insumo sem custo",IF(COUNTIF(PratoNome,$A621)=0,"Prato não cadastrado",IF($C621="","Falta quantidade","OK")))))</f>
        <v>0</v>
      </c>
    </row>
    <row r="622" spans="1:8">
      <c r="A622" s="13"/>
      <c r="B622" s="13"/>
      <c r="C622" s="19"/>
      <c r="D622" s="13"/>
      <c r="E622" s="23">
        <f>IF($B622="","",IFERROR(INDEX(InsUnid,MATCH($B622,InsNome,0)),""))</f>
        <v>0</v>
      </c>
      <c r="F622" s="21">
        <f>IF($B622="","",IFERROR(INDEX(InsUtil,MATCH($B622,InsNome,0)),""))</f>
        <v>0</v>
      </c>
      <c r="G622" s="24">
        <f>IF(OR($A622="",$C622="",$F622=""),"",$C622*$F622)</f>
        <v>0</v>
      </c>
      <c r="H622" s="23">
        <f>IF($A622="","",IF($B622="","Escolha o insumo",IF($F622="","Insumo sem custo",IF(COUNTIF(PratoNome,$A622)=0,"Prato não cadastrado",IF($C622="","Falta quantidade","OK")))))</f>
        <v>0</v>
      </c>
    </row>
    <row r="623" spans="1:8">
      <c r="A623" s="13"/>
      <c r="B623" s="13"/>
      <c r="C623" s="19"/>
      <c r="D623" s="13"/>
      <c r="E623" s="23">
        <f>IF($B623="","",IFERROR(INDEX(InsUnid,MATCH($B623,InsNome,0)),""))</f>
        <v>0</v>
      </c>
      <c r="F623" s="21">
        <f>IF($B623="","",IFERROR(INDEX(InsUtil,MATCH($B623,InsNome,0)),""))</f>
        <v>0</v>
      </c>
      <c r="G623" s="24">
        <f>IF(OR($A623="",$C623="",$F623=""),"",$C623*$F623)</f>
        <v>0</v>
      </c>
      <c r="H623" s="23">
        <f>IF($A623="","",IF($B623="","Escolha o insumo",IF($F623="","Insumo sem custo",IF(COUNTIF(PratoNome,$A623)=0,"Prato não cadastrado",IF($C623="","Falta quantidade","OK")))))</f>
        <v>0</v>
      </c>
    </row>
    <row r="624" spans="1:8">
      <c r="A624" s="13"/>
      <c r="B624" s="13"/>
      <c r="C624" s="19"/>
      <c r="D624" s="13"/>
      <c r="E624" s="23">
        <f>IF($B624="","",IFERROR(INDEX(InsUnid,MATCH($B624,InsNome,0)),""))</f>
        <v>0</v>
      </c>
      <c r="F624" s="21">
        <f>IF($B624="","",IFERROR(INDEX(InsUtil,MATCH($B624,InsNome,0)),""))</f>
        <v>0</v>
      </c>
      <c r="G624" s="24">
        <f>IF(OR($A624="",$C624="",$F624=""),"",$C624*$F624)</f>
        <v>0</v>
      </c>
      <c r="H624" s="23">
        <f>IF($A624="","",IF($B624="","Escolha o insumo",IF($F624="","Insumo sem custo",IF(COUNTIF(PratoNome,$A624)=0,"Prato não cadastrado",IF($C624="","Falta quantidade","OK")))))</f>
        <v>0</v>
      </c>
    </row>
    <row r="625" spans="1:8">
      <c r="A625" s="13"/>
      <c r="B625" s="13"/>
      <c r="C625" s="19"/>
      <c r="D625" s="13"/>
      <c r="E625" s="23">
        <f>IF($B625="","",IFERROR(INDEX(InsUnid,MATCH($B625,InsNome,0)),""))</f>
        <v>0</v>
      </c>
      <c r="F625" s="21">
        <f>IF($B625="","",IFERROR(INDEX(InsUtil,MATCH($B625,InsNome,0)),""))</f>
        <v>0</v>
      </c>
      <c r="G625" s="24">
        <f>IF(OR($A625="",$C625="",$F625=""),"",$C625*$F625)</f>
        <v>0</v>
      </c>
      <c r="H625" s="23">
        <f>IF($A625="","",IF($B625="","Escolha o insumo",IF($F625="","Insumo sem custo",IF(COUNTIF(PratoNome,$A625)=0,"Prato não cadastrado",IF($C625="","Falta quantidade","OK")))))</f>
        <v>0</v>
      </c>
    </row>
    <row r="626" spans="1:8">
      <c r="A626" s="13"/>
      <c r="B626" s="13"/>
      <c r="C626" s="19"/>
      <c r="D626" s="13"/>
      <c r="E626" s="23">
        <f>IF($B626="","",IFERROR(INDEX(InsUnid,MATCH($B626,InsNome,0)),""))</f>
        <v>0</v>
      </c>
      <c r="F626" s="21">
        <f>IF($B626="","",IFERROR(INDEX(InsUtil,MATCH($B626,InsNome,0)),""))</f>
        <v>0</v>
      </c>
      <c r="G626" s="24">
        <f>IF(OR($A626="",$C626="",$F626=""),"",$C626*$F626)</f>
        <v>0</v>
      </c>
      <c r="H626" s="23">
        <f>IF($A626="","",IF($B626="","Escolha o insumo",IF($F626="","Insumo sem custo",IF(COUNTIF(PratoNome,$A626)=0,"Prato não cadastrado",IF($C626="","Falta quantidade","OK")))))</f>
        <v>0</v>
      </c>
    </row>
    <row r="627" spans="1:8">
      <c r="A627" s="13"/>
      <c r="B627" s="13"/>
      <c r="C627" s="19"/>
      <c r="D627" s="13"/>
      <c r="E627" s="23">
        <f>IF($B627="","",IFERROR(INDEX(InsUnid,MATCH($B627,InsNome,0)),""))</f>
        <v>0</v>
      </c>
      <c r="F627" s="21">
        <f>IF($B627="","",IFERROR(INDEX(InsUtil,MATCH($B627,InsNome,0)),""))</f>
        <v>0</v>
      </c>
      <c r="G627" s="24">
        <f>IF(OR($A627="",$C627="",$F627=""),"",$C627*$F627)</f>
        <v>0</v>
      </c>
      <c r="H627" s="23">
        <f>IF($A627="","",IF($B627="","Escolha o insumo",IF($F627="","Insumo sem custo",IF(COUNTIF(PratoNome,$A627)=0,"Prato não cadastrado",IF($C627="","Falta quantidade","OK")))))</f>
        <v>0</v>
      </c>
    </row>
    <row r="628" spans="1:8">
      <c r="A628" s="13"/>
      <c r="B628" s="13"/>
      <c r="C628" s="19"/>
      <c r="D628" s="13"/>
      <c r="E628" s="23">
        <f>IF($B628="","",IFERROR(INDEX(InsUnid,MATCH($B628,InsNome,0)),""))</f>
        <v>0</v>
      </c>
      <c r="F628" s="21">
        <f>IF($B628="","",IFERROR(INDEX(InsUtil,MATCH($B628,InsNome,0)),""))</f>
        <v>0</v>
      </c>
      <c r="G628" s="24">
        <f>IF(OR($A628="",$C628="",$F628=""),"",$C628*$F628)</f>
        <v>0</v>
      </c>
      <c r="H628" s="23">
        <f>IF($A628="","",IF($B628="","Escolha o insumo",IF($F628="","Insumo sem custo",IF(COUNTIF(PratoNome,$A628)=0,"Prato não cadastrado",IF($C628="","Falta quantidade","OK")))))</f>
        <v>0</v>
      </c>
    </row>
    <row r="629" spans="1:8">
      <c r="A629" s="13"/>
      <c r="B629" s="13"/>
      <c r="C629" s="19"/>
      <c r="D629" s="13"/>
      <c r="E629" s="23">
        <f>IF($B629="","",IFERROR(INDEX(InsUnid,MATCH($B629,InsNome,0)),""))</f>
        <v>0</v>
      </c>
      <c r="F629" s="21">
        <f>IF($B629="","",IFERROR(INDEX(InsUtil,MATCH($B629,InsNome,0)),""))</f>
        <v>0</v>
      </c>
      <c r="G629" s="24">
        <f>IF(OR($A629="",$C629="",$F629=""),"",$C629*$F629)</f>
        <v>0</v>
      </c>
      <c r="H629" s="23">
        <f>IF($A629="","",IF($B629="","Escolha o insumo",IF($F629="","Insumo sem custo",IF(COUNTIF(PratoNome,$A629)=0,"Prato não cadastrado",IF($C629="","Falta quantidade","OK")))))</f>
        <v>0</v>
      </c>
    </row>
    <row r="630" spans="1:8">
      <c r="A630" s="13"/>
      <c r="B630" s="13"/>
      <c r="C630" s="19"/>
      <c r="D630" s="13"/>
      <c r="E630" s="23">
        <f>IF($B630="","",IFERROR(INDEX(InsUnid,MATCH($B630,InsNome,0)),""))</f>
        <v>0</v>
      </c>
      <c r="F630" s="21">
        <f>IF($B630="","",IFERROR(INDEX(InsUtil,MATCH($B630,InsNome,0)),""))</f>
        <v>0</v>
      </c>
      <c r="G630" s="24">
        <f>IF(OR($A630="",$C630="",$F630=""),"",$C630*$F630)</f>
        <v>0</v>
      </c>
      <c r="H630" s="23">
        <f>IF($A630="","",IF($B630="","Escolha o insumo",IF($F630="","Insumo sem custo",IF(COUNTIF(PratoNome,$A630)=0,"Prato não cadastrado",IF($C630="","Falta quantidade","OK")))))</f>
        <v>0</v>
      </c>
    </row>
    <row r="631" spans="1:8">
      <c r="A631" s="13"/>
      <c r="B631" s="13"/>
      <c r="C631" s="19"/>
      <c r="D631" s="13"/>
      <c r="E631" s="23">
        <f>IF($B631="","",IFERROR(INDEX(InsUnid,MATCH($B631,InsNome,0)),""))</f>
        <v>0</v>
      </c>
      <c r="F631" s="21">
        <f>IF($B631="","",IFERROR(INDEX(InsUtil,MATCH($B631,InsNome,0)),""))</f>
        <v>0</v>
      </c>
      <c r="G631" s="24">
        <f>IF(OR($A631="",$C631="",$F631=""),"",$C631*$F631)</f>
        <v>0</v>
      </c>
      <c r="H631" s="23">
        <f>IF($A631="","",IF($B631="","Escolha o insumo",IF($F631="","Insumo sem custo",IF(COUNTIF(PratoNome,$A631)=0,"Prato não cadastrado",IF($C631="","Falta quantidade","OK")))))</f>
        <v>0</v>
      </c>
    </row>
    <row r="632" spans="1:8">
      <c r="A632" s="13"/>
      <c r="B632" s="13"/>
      <c r="C632" s="19"/>
      <c r="D632" s="13"/>
      <c r="E632" s="23">
        <f>IF($B632="","",IFERROR(INDEX(InsUnid,MATCH($B632,InsNome,0)),""))</f>
        <v>0</v>
      </c>
      <c r="F632" s="21">
        <f>IF($B632="","",IFERROR(INDEX(InsUtil,MATCH($B632,InsNome,0)),""))</f>
        <v>0</v>
      </c>
      <c r="G632" s="24">
        <f>IF(OR($A632="",$C632="",$F632=""),"",$C632*$F632)</f>
        <v>0</v>
      </c>
      <c r="H632" s="23">
        <f>IF($A632="","",IF($B632="","Escolha o insumo",IF($F632="","Insumo sem custo",IF(COUNTIF(PratoNome,$A632)=0,"Prato não cadastrado",IF($C632="","Falta quantidade","OK")))))</f>
        <v>0</v>
      </c>
    </row>
    <row r="633" spans="1:8">
      <c r="A633" s="13"/>
      <c r="B633" s="13"/>
      <c r="C633" s="19"/>
      <c r="D633" s="13"/>
      <c r="E633" s="23">
        <f>IF($B633="","",IFERROR(INDEX(InsUnid,MATCH($B633,InsNome,0)),""))</f>
        <v>0</v>
      </c>
      <c r="F633" s="21">
        <f>IF($B633="","",IFERROR(INDEX(InsUtil,MATCH($B633,InsNome,0)),""))</f>
        <v>0</v>
      </c>
      <c r="G633" s="24">
        <f>IF(OR($A633="",$C633="",$F633=""),"",$C633*$F633)</f>
        <v>0</v>
      </c>
      <c r="H633" s="23">
        <f>IF($A633="","",IF($B633="","Escolha o insumo",IF($F633="","Insumo sem custo",IF(COUNTIF(PratoNome,$A633)=0,"Prato não cadastrado",IF($C633="","Falta quantidade","OK")))))</f>
        <v>0</v>
      </c>
    </row>
    <row r="634" spans="1:8">
      <c r="A634" s="13"/>
      <c r="B634" s="13"/>
      <c r="C634" s="19"/>
      <c r="D634" s="13"/>
      <c r="E634" s="23">
        <f>IF($B634="","",IFERROR(INDEX(InsUnid,MATCH($B634,InsNome,0)),""))</f>
        <v>0</v>
      </c>
      <c r="F634" s="21">
        <f>IF($B634="","",IFERROR(INDEX(InsUtil,MATCH($B634,InsNome,0)),""))</f>
        <v>0</v>
      </c>
      <c r="G634" s="24">
        <f>IF(OR($A634="",$C634="",$F634=""),"",$C634*$F634)</f>
        <v>0</v>
      </c>
      <c r="H634" s="23">
        <f>IF($A634="","",IF($B634="","Escolha o insumo",IF($F634="","Insumo sem custo",IF(COUNTIF(PratoNome,$A634)=0,"Prato não cadastrado",IF($C634="","Falta quantidade","OK")))))</f>
        <v>0</v>
      </c>
    </row>
    <row r="635" spans="1:8">
      <c r="A635" s="13"/>
      <c r="B635" s="13"/>
      <c r="C635" s="19"/>
      <c r="D635" s="13"/>
      <c r="E635" s="23">
        <f>IF($B635="","",IFERROR(INDEX(InsUnid,MATCH($B635,InsNome,0)),""))</f>
        <v>0</v>
      </c>
      <c r="F635" s="21">
        <f>IF($B635="","",IFERROR(INDEX(InsUtil,MATCH($B635,InsNome,0)),""))</f>
        <v>0</v>
      </c>
      <c r="G635" s="24">
        <f>IF(OR($A635="",$C635="",$F635=""),"",$C635*$F635)</f>
        <v>0</v>
      </c>
      <c r="H635" s="23">
        <f>IF($A635="","",IF($B635="","Escolha o insumo",IF($F635="","Insumo sem custo",IF(COUNTIF(PratoNome,$A635)=0,"Prato não cadastrado",IF($C635="","Falta quantidade","OK")))))</f>
        <v>0</v>
      </c>
    </row>
    <row r="636" spans="1:8">
      <c r="A636" s="13"/>
      <c r="B636" s="13"/>
      <c r="C636" s="19"/>
      <c r="D636" s="13"/>
      <c r="E636" s="23">
        <f>IF($B636="","",IFERROR(INDEX(InsUnid,MATCH($B636,InsNome,0)),""))</f>
        <v>0</v>
      </c>
      <c r="F636" s="21">
        <f>IF($B636="","",IFERROR(INDEX(InsUtil,MATCH($B636,InsNome,0)),""))</f>
        <v>0</v>
      </c>
      <c r="G636" s="24">
        <f>IF(OR($A636="",$C636="",$F636=""),"",$C636*$F636)</f>
        <v>0</v>
      </c>
      <c r="H636" s="23">
        <f>IF($A636="","",IF($B636="","Escolha o insumo",IF($F636="","Insumo sem custo",IF(COUNTIF(PratoNome,$A636)=0,"Prato não cadastrado",IF($C636="","Falta quantidade","OK")))))</f>
        <v>0</v>
      </c>
    </row>
    <row r="637" spans="1:8">
      <c r="A637" s="13"/>
      <c r="B637" s="13"/>
      <c r="C637" s="19"/>
      <c r="D637" s="13"/>
      <c r="E637" s="23">
        <f>IF($B637="","",IFERROR(INDEX(InsUnid,MATCH($B637,InsNome,0)),""))</f>
        <v>0</v>
      </c>
      <c r="F637" s="21">
        <f>IF($B637="","",IFERROR(INDEX(InsUtil,MATCH($B637,InsNome,0)),""))</f>
        <v>0</v>
      </c>
      <c r="G637" s="24">
        <f>IF(OR($A637="",$C637="",$F637=""),"",$C637*$F637)</f>
        <v>0</v>
      </c>
      <c r="H637" s="23">
        <f>IF($A637="","",IF($B637="","Escolha o insumo",IF($F637="","Insumo sem custo",IF(COUNTIF(PratoNome,$A637)=0,"Prato não cadastrado",IF($C637="","Falta quantidade","OK")))))</f>
        <v>0</v>
      </c>
    </row>
    <row r="638" spans="1:8">
      <c r="A638" s="13"/>
      <c r="B638" s="13"/>
      <c r="C638" s="19"/>
      <c r="D638" s="13"/>
      <c r="E638" s="23">
        <f>IF($B638="","",IFERROR(INDEX(InsUnid,MATCH($B638,InsNome,0)),""))</f>
        <v>0</v>
      </c>
      <c r="F638" s="21">
        <f>IF($B638="","",IFERROR(INDEX(InsUtil,MATCH($B638,InsNome,0)),""))</f>
        <v>0</v>
      </c>
      <c r="G638" s="24">
        <f>IF(OR($A638="",$C638="",$F638=""),"",$C638*$F638)</f>
        <v>0</v>
      </c>
      <c r="H638" s="23">
        <f>IF($A638="","",IF($B638="","Escolha o insumo",IF($F638="","Insumo sem custo",IF(COUNTIF(PratoNome,$A638)=0,"Prato não cadastrado",IF($C638="","Falta quantidade","OK")))))</f>
        <v>0</v>
      </c>
    </row>
    <row r="639" spans="1:8">
      <c r="A639" s="13"/>
      <c r="B639" s="13"/>
      <c r="C639" s="19"/>
      <c r="D639" s="13"/>
      <c r="E639" s="23">
        <f>IF($B639="","",IFERROR(INDEX(InsUnid,MATCH($B639,InsNome,0)),""))</f>
        <v>0</v>
      </c>
      <c r="F639" s="21">
        <f>IF($B639="","",IFERROR(INDEX(InsUtil,MATCH($B639,InsNome,0)),""))</f>
        <v>0</v>
      </c>
      <c r="G639" s="24">
        <f>IF(OR($A639="",$C639="",$F639=""),"",$C639*$F639)</f>
        <v>0</v>
      </c>
      <c r="H639" s="23">
        <f>IF($A639="","",IF($B639="","Escolha o insumo",IF($F639="","Insumo sem custo",IF(COUNTIF(PratoNome,$A639)=0,"Prato não cadastrado",IF($C639="","Falta quantidade","OK")))))</f>
        <v>0</v>
      </c>
    </row>
    <row r="640" spans="1:8">
      <c r="A640" s="13"/>
      <c r="B640" s="13"/>
      <c r="C640" s="19"/>
      <c r="D640" s="13"/>
      <c r="E640" s="23">
        <f>IF($B640="","",IFERROR(INDEX(InsUnid,MATCH($B640,InsNome,0)),""))</f>
        <v>0</v>
      </c>
      <c r="F640" s="21">
        <f>IF($B640="","",IFERROR(INDEX(InsUtil,MATCH($B640,InsNome,0)),""))</f>
        <v>0</v>
      </c>
      <c r="G640" s="24">
        <f>IF(OR($A640="",$C640="",$F640=""),"",$C640*$F640)</f>
        <v>0</v>
      </c>
      <c r="H640" s="23">
        <f>IF($A640="","",IF($B640="","Escolha o insumo",IF($F640="","Insumo sem custo",IF(COUNTIF(PratoNome,$A640)=0,"Prato não cadastrado",IF($C640="","Falta quantidade","OK")))))</f>
        <v>0</v>
      </c>
    </row>
    <row r="641" spans="1:8">
      <c r="A641" s="13"/>
      <c r="B641" s="13"/>
      <c r="C641" s="19"/>
      <c r="D641" s="13"/>
      <c r="E641" s="23">
        <f>IF($B641="","",IFERROR(INDEX(InsUnid,MATCH($B641,InsNome,0)),""))</f>
        <v>0</v>
      </c>
      <c r="F641" s="21">
        <f>IF($B641="","",IFERROR(INDEX(InsUtil,MATCH($B641,InsNome,0)),""))</f>
        <v>0</v>
      </c>
      <c r="G641" s="24">
        <f>IF(OR($A641="",$C641="",$F641=""),"",$C641*$F641)</f>
        <v>0</v>
      </c>
      <c r="H641" s="23">
        <f>IF($A641="","",IF($B641="","Escolha o insumo",IF($F641="","Insumo sem custo",IF(COUNTIF(PratoNome,$A641)=0,"Prato não cadastrado",IF($C641="","Falta quantidade","OK")))))</f>
        <v>0</v>
      </c>
    </row>
    <row r="642" spans="1:8">
      <c r="A642" s="13"/>
      <c r="B642" s="13"/>
      <c r="C642" s="19"/>
      <c r="D642" s="13"/>
      <c r="E642" s="23">
        <f>IF($B642="","",IFERROR(INDEX(InsUnid,MATCH($B642,InsNome,0)),""))</f>
        <v>0</v>
      </c>
      <c r="F642" s="21">
        <f>IF($B642="","",IFERROR(INDEX(InsUtil,MATCH($B642,InsNome,0)),""))</f>
        <v>0</v>
      </c>
      <c r="G642" s="24">
        <f>IF(OR($A642="",$C642="",$F642=""),"",$C642*$F642)</f>
        <v>0</v>
      </c>
      <c r="H642" s="23">
        <f>IF($A642="","",IF($B642="","Escolha o insumo",IF($F642="","Insumo sem custo",IF(COUNTIF(PratoNome,$A642)=0,"Prato não cadastrado",IF($C642="","Falta quantidade","OK")))))</f>
        <v>0</v>
      </c>
    </row>
    <row r="643" spans="1:8">
      <c r="A643" s="13"/>
      <c r="B643" s="13"/>
      <c r="C643" s="19"/>
      <c r="D643" s="13"/>
      <c r="E643" s="23">
        <f>IF($B643="","",IFERROR(INDEX(InsUnid,MATCH($B643,InsNome,0)),""))</f>
        <v>0</v>
      </c>
      <c r="F643" s="21">
        <f>IF($B643="","",IFERROR(INDEX(InsUtil,MATCH($B643,InsNome,0)),""))</f>
        <v>0</v>
      </c>
      <c r="G643" s="24">
        <f>IF(OR($A643="",$C643="",$F643=""),"",$C643*$F643)</f>
        <v>0</v>
      </c>
      <c r="H643" s="23">
        <f>IF($A643="","",IF($B643="","Escolha o insumo",IF($F643="","Insumo sem custo",IF(COUNTIF(PratoNome,$A643)=0,"Prato não cadastrado",IF($C643="","Falta quantidade","OK")))))</f>
        <v>0</v>
      </c>
    </row>
    <row r="644" spans="1:8">
      <c r="A644" s="13"/>
      <c r="B644" s="13"/>
      <c r="C644" s="19"/>
      <c r="D644" s="13"/>
      <c r="E644" s="23">
        <f>IF($B644="","",IFERROR(INDEX(InsUnid,MATCH($B644,InsNome,0)),""))</f>
        <v>0</v>
      </c>
      <c r="F644" s="21">
        <f>IF($B644="","",IFERROR(INDEX(InsUtil,MATCH($B644,InsNome,0)),""))</f>
        <v>0</v>
      </c>
      <c r="G644" s="24">
        <f>IF(OR($A644="",$C644="",$F644=""),"",$C644*$F644)</f>
        <v>0</v>
      </c>
      <c r="H644" s="23">
        <f>IF($A644="","",IF($B644="","Escolha o insumo",IF($F644="","Insumo sem custo",IF(COUNTIF(PratoNome,$A644)=0,"Prato não cadastrado",IF($C644="","Falta quantidade","OK")))))</f>
        <v>0</v>
      </c>
    </row>
    <row r="645" spans="1:8">
      <c r="A645" s="13"/>
      <c r="B645" s="13"/>
      <c r="C645" s="19"/>
      <c r="D645" s="13"/>
      <c r="E645" s="23">
        <f>IF($B645="","",IFERROR(INDEX(InsUnid,MATCH($B645,InsNome,0)),""))</f>
        <v>0</v>
      </c>
      <c r="F645" s="21">
        <f>IF($B645="","",IFERROR(INDEX(InsUtil,MATCH($B645,InsNome,0)),""))</f>
        <v>0</v>
      </c>
      <c r="G645" s="24">
        <f>IF(OR($A645="",$C645="",$F645=""),"",$C645*$F645)</f>
        <v>0</v>
      </c>
      <c r="H645" s="23">
        <f>IF($A645="","",IF($B645="","Escolha o insumo",IF($F645="","Insumo sem custo",IF(COUNTIF(PratoNome,$A645)=0,"Prato não cadastrado",IF($C645="","Falta quantidade","OK")))))</f>
        <v>0</v>
      </c>
    </row>
    <row r="646" spans="1:8">
      <c r="A646" s="13"/>
      <c r="B646" s="13"/>
      <c r="C646" s="19"/>
      <c r="D646" s="13"/>
      <c r="E646" s="23">
        <f>IF($B646="","",IFERROR(INDEX(InsUnid,MATCH($B646,InsNome,0)),""))</f>
        <v>0</v>
      </c>
      <c r="F646" s="21">
        <f>IF($B646="","",IFERROR(INDEX(InsUtil,MATCH($B646,InsNome,0)),""))</f>
        <v>0</v>
      </c>
      <c r="G646" s="24">
        <f>IF(OR($A646="",$C646="",$F646=""),"",$C646*$F646)</f>
        <v>0</v>
      </c>
      <c r="H646" s="23">
        <f>IF($A646="","",IF($B646="","Escolha o insumo",IF($F646="","Insumo sem custo",IF(COUNTIF(PratoNome,$A646)=0,"Prato não cadastrado",IF($C646="","Falta quantidade","OK")))))</f>
        <v>0</v>
      </c>
    </row>
    <row r="647" spans="1:8">
      <c r="A647" s="13"/>
      <c r="B647" s="13"/>
      <c r="C647" s="19"/>
      <c r="D647" s="13"/>
      <c r="E647" s="23">
        <f>IF($B647="","",IFERROR(INDEX(InsUnid,MATCH($B647,InsNome,0)),""))</f>
        <v>0</v>
      </c>
      <c r="F647" s="21">
        <f>IF($B647="","",IFERROR(INDEX(InsUtil,MATCH($B647,InsNome,0)),""))</f>
        <v>0</v>
      </c>
      <c r="G647" s="24">
        <f>IF(OR($A647="",$C647="",$F647=""),"",$C647*$F647)</f>
        <v>0</v>
      </c>
      <c r="H647" s="23">
        <f>IF($A647="","",IF($B647="","Escolha o insumo",IF($F647="","Insumo sem custo",IF(COUNTIF(PratoNome,$A647)=0,"Prato não cadastrado",IF($C647="","Falta quantidade","OK")))))</f>
        <v>0</v>
      </c>
    </row>
    <row r="648" spans="1:8">
      <c r="A648" s="13"/>
      <c r="B648" s="13"/>
      <c r="C648" s="19"/>
      <c r="D648" s="13"/>
      <c r="E648" s="23">
        <f>IF($B648="","",IFERROR(INDEX(InsUnid,MATCH($B648,InsNome,0)),""))</f>
        <v>0</v>
      </c>
      <c r="F648" s="21">
        <f>IF($B648="","",IFERROR(INDEX(InsUtil,MATCH($B648,InsNome,0)),""))</f>
        <v>0</v>
      </c>
      <c r="G648" s="24">
        <f>IF(OR($A648="",$C648="",$F648=""),"",$C648*$F648)</f>
        <v>0</v>
      </c>
      <c r="H648" s="23">
        <f>IF($A648="","",IF($B648="","Escolha o insumo",IF($F648="","Insumo sem custo",IF(COUNTIF(PratoNome,$A648)=0,"Prato não cadastrado",IF($C648="","Falta quantidade","OK")))))</f>
        <v>0</v>
      </c>
    </row>
    <row r="649" spans="1:8">
      <c r="A649" s="13"/>
      <c r="B649" s="13"/>
      <c r="C649" s="19"/>
      <c r="D649" s="13"/>
      <c r="E649" s="23">
        <f>IF($B649="","",IFERROR(INDEX(InsUnid,MATCH($B649,InsNome,0)),""))</f>
        <v>0</v>
      </c>
      <c r="F649" s="21">
        <f>IF($B649="","",IFERROR(INDEX(InsUtil,MATCH($B649,InsNome,0)),""))</f>
        <v>0</v>
      </c>
      <c r="G649" s="24">
        <f>IF(OR($A649="",$C649="",$F649=""),"",$C649*$F649)</f>
        <v>0</v>
      </c>
      <c r="H649" s="23">
        <f>IF($A649="","",IF($B649="","Escolha o insumo",IF($F649="","Insumo sem custo",IF(COUNTIF(PratoNome,$A649)=0,"Prato não cadastrado",IF($C649="","Falta quantidade","OK")))))</f>
        <v>0</v>
      </c>
    </row>
    <row r="650" spans="1:8">
      <c r="A650" s="13"/>
      <c r="B650" s="13"/>
      <c r="C650" s="19"/>
      <c r="D650" s="13"/>
      <c r="E650" s="23">
        <f>IF($B650="","",IFERROR(INDEX(InsUnid,MATCH($B650,InsNome,0)),""))</f>
        <v>0</v>
      </c>
      <c r="F650" s="21">
        <f>IF($B650="","",IFERROR(INDEX(InsUtil,MATCH($B650,InsNome,0)),""))</f>
        <v>0</v>
      </c>
      <c r="G650" s="24">
        <f>IF(OR($A650="",$C650="",$F650=""),"",$C650*$F650)</f>
        <v>0</v>
      </c>
      <c r="H650" s="23">
        <f>IF($A650="","",IF($B650="","Escolha o insumo",IF($F650="","Insumo sem custo",IF(COUNTIF(PratoNome,$A650)=0,"Prato não cadastrado",IF($C650="","Falta quantidade","OK")))))</f>
        <v>0</v>
      </c>
    </row>
    <row r="651" spans="1:8">
      <c r="A651" s="13"/>
      <c r="B651" s="13"/>
      <c r="C651" s="19"/>
      <c r="D651" s="13"/>
      <c r="E651" s="23">
        <f>IF($B651="","",IFERROR(INDEX(InsUnid,MATCH($B651,InsNome,0)),""))</f>
        <v>0</v>
      </c>
      <c r="F651" s="21">
        <f>IF($B651="","",IFERROR(INDEX(InsUtil,MATCH($B651,InsNome,0)),""))</f>
        <v>0</v>
      </c>
      <c r="G651" s="24">
        <f>IF(OR($A651="",$C651="",$F651=""),"",$C651*$F651)</f>
        <v>0</v>
      </c>
      <c r="H651" s="23">
        <f>IF($A651="","",IF($B651="","Escolha o insumo",IF($F651="","Insumo sem custo",IF(COUNTIF(PratoNome,$A651)=0,"Prato não cadastrado",IF($C651="","Falta quantidade","OK")))))</f>
        <v>0</v>
      </c>
    </row>
    <row r="652" spans="1:8">
      <c r="A652" s="13"/>
      <c r="B652" s="13"/>
      <c r="C652" s="19"/>
      <c r="D652" s="13"/>
      <c r="E652" s="23">
        <f>IF($B652="","",IFERROR(INDEX(InsUnid,MATCH($B652,InsNome,0)),""))</f>
        <v>0</v>
      </c>
      <c r="F652" s="21">
        <f>IF($B652="","",IFERROR(INDEX(InsUtil,MATCH($B652,InsNome,0)),""))</f>
        <v>0</v>
      </c>
      <c r="G652" s="24">
        <f>IF(OR($A652="",$C652="",$F652=""),"",$C652*$F652)</f>
        <v>0</v>
      </c>
      <c r="H652" s="23">
        <f>IF($A652="","",IF($B652="","Escolha o insumo",IF($F652="","Insumo sem custo",IF(COUNTIF(PratoNome,$A652)=0,"Prato não cadastrado",IF($C652="","Falta quantidade","OK")))))</f>
        <v>0</v>
      </c>
    </row>
    <row r="653" spans="1:8">
      <c r="A653" s="13"/>
      <c r="B653" s="13"/>
      <c r="C653" s="19"/>
      <c r="D653" s="13"/>
      <c r="E653" s="23">
        <f>IF($B653="","",IFERROR(INDEX(InsUnid,MATCH($B653,InsNome,0)),""))</f>
        <v>0</v>
      </c>
      <c r="F653" s="21">
        <f>IF($B653="","",IFERROR(INDEX(InsUtil,MATCH($B653,InsNome,0)),""))</f>
        <v>0</v>
      </c>
      <c r="G653" s="24">
        <f>IF(OR($A653="",$C653="",$F653=""),"",$C653*$F653)</f>
        <v>0</v>
      </c>
      <c r="H653" s="23">
        <f>IF($A653="","",IF($B653="","Escolha o insumo",IF($F653="","Insumo sem custo",IF(COUNTIF(PratoNome,$A653)=0,"Prato não cadastrado",IF($C653="","Falta quantidade","OK")))))</f>
        <v>0</v>
      </c>
    </row>
    <row r="654" spans="1:8">
      <c r="A654" s="13"/>
      <c r="B654" s="13"/>
      <c r="C654" s="19"/>
      <c r="D654" s="13"/>
      <c r="E654" s="23">
        <f>IF($B654="","",IFERROR(INDEX(InsUnid,MATCH($B654,InsNome,0)),""))</f>
        <v>0</v>
      </c>
      <c r="F654" s="21">
        <f>IF($B654="","",IFERROR(INDEX(InsUtil,MATCH($B654,InsNome,0)),""))</f>
        <v>0</v>
      </c>
      <c r="G654" s="24">
        <f>IF(OR($A654="",$C654="",$F654=""),"",$C654*$F654)</f>
        <v>0</v>
      </c>
      <c r="H654" s="23">
        <f>IF($A654="","",IF($B654="","Escolha o insumo",IF($F654="","Insumo sem custo",IF(COUNTIF(PratoNome,$A654)=0,"Prato não cadastrado",IF($C654="","Falta quantidade","OK")))))</f>
        <v>0</v>
      </c>
    </row>
    <row r="655" spans="1:8">
      <c r="A655" s="13"/>
      <c r="B655" s="13"/>
      <c r="C655" s="19"/>
      <c r="D655" s="13"/>
      <c r="E655" s="23">
        <f>IF($B655="","",IFERROR(INDEX(InsUnid,MATCH($B655,InsNome,0)),""))</f>
        <v>0</v>
      </c>
      <c r="F655" s="21">
        <f>IF($B655="","",IFERROR(INDEX(InsUtil,MATCH($B655,InsNome,0)),""))</f>
        <v>0</v>
      </c>
      <c r="G655" s="24">
        <f>IF(OR($A655="",$C655="",$F655=""),"",$C655*$F655)</f>
        <v>0</v>
      </c>
      <c r="H655" s="23">
        <f>IF($A655="","",IF($B655="","Escolha o insumo",IF($F655="","Insumo sem custo",IF(COUNTIF(PratoNome,$A655)=0,"Prato não cadastrado",IF($C655="","Falta quantidade","OK")))))</f>
        <v>0</v>
      </c>
    </row>
    <row r="656" spans="1:8">
      <c r="A656" s="13"/>
      <c r="B656" s="13"/>
      <c r="C656" s="19"/>
      <c r="D656" s="13"/>
      <c r="E656" s="23">
        <f>IF($B656="","",IFERROR(INDEX(InsUnid,MATCH($B656,InsNome,0)),""))</f>
        <v>0</v>
      </c>
      <c r="F656" s="21">
        <f>IF($B656="","",IFERROR(INDEX(InsUtil,MATCH($B656,InsNome,0)),""))</f>
        <v>0</v>
      </c>
      <c r="G656" s="24">
        <f>IF(OR($A656="",$C656="",$F656=""),"",$C656*$F656)</f>
        <v>0</v>
      </c>
      <c r="H656" s="23">
        <f>IF($A656="","",IF($B656="","Escolha o insumo",IF($F656="","Insumo sem custo",IF(COUNTIF(PratoNome,$A656)=0,"Prato não cadastrado",IF($C656="","Falta quantidade","OK")))))</f>
        <v>0</v>
      </c>
    </row>
    <row r="657" spans="1:8">
      <c r="A657" s="13"/>
      <c r="B657" s="13"/>
      <c r="C657" s="19"/>
      <c r="D657" s="13"/>
      <c r="E657" s="23">
        <f>IF($B657="","",IFERROR(INDEX(InsUnid,MATCH($B657,InsNome,0)),""))</f>
        <v>0</v>
      </c>
      <c r="F657" s="21">
        <f>IF($B657="","",IFERROR(INDEX(InsUtil,MATCH($B657,InsNome,0)),""))</f>
        <v>0</v>
      </c>
      <c r="G657" s="24">
        <f>IF(OR($A657="",$C657="",$F657=""),"",$C657*$F657)</f>
        <v>0</v>
      </c>
      <c r="H657" s="23">
        <f>IF($A657="","",IF($B657="","Escolha o insumo",IF($F657="","Insumo sem custo",IF(COUNTIF(PratoNome,$A657)=0,"Prato não cadastrado",IF($C657="","Falta quantidade","OK")))))</f>
        <v>0</v>
      </c>
    </row>
    <row r="658" spans="1:8">
      <c r="A658" s="13"/>
      <c r="B658" s="13"/>
      <c r="C658" s="19"/>
      <c r="D658" s="13"/>
      <c r="E658" s="23">
        <f>IF($B658="","",IFERROR(INDEX(InsUnid,MATCH($B658,InsNome,0)),""))</f>
        <v>0</v>
      </c>
      <c r="F658" s="21">
        <f>IF($B658="","",IFERROR(INDEX(InsUtil,MATCH($B658,InsNome,0)),""))</f>
        <v>0</v>
      </c>
      <c r="G658" s="24">
        <f>IF(OR($A658="",$C658="",$F658=""),"",$C658*$F658)</f>
        <v>0</v>
      </c>
      <c r="H658" s="23">
        <f>IF($A658="","",IF($B658="","Escolha o insumo",IF($F658="","Insumo sem custo",IF(COUNTIF(PratoNome,$A658)=0,"Prato não cadastrado",IF($C658="","Falta quantidade","OK")))))</f>
        <v>0</v>
      </c>
    </row>
    <row r="659" spans="1:8">
      <c r="A659" s="13"/>
      <c r="B659" s="13"/>
      <c r="C659" s="19"/>
      <c r="D659" s="13"/>
      <c r="E659" s="23">
        <f>IF($B659="","",IFERROR(INDEX(InsUnid,MATCH($B659,InsNome,0)),""))</f>
        <v>0</v>
      </c>
      <c r="F659" s="21">
        <f>IF($B659="","",IFERROR(INDEX(InsUtil,MATCH($B659,InsNome,0)),""))</f>
        <v>0</v>
      </c>
      <c r="G659" s="24">
        <f>IF(OR($A659="",$C659="",$F659=""),"",$C659*$F659)</f>
        <v>0</v>
      </c>
      <c r="H659" s="23">
        <f>IF($A659="","",IF($B659="","Escolha o insumo",IF($F659="","Insumo sem custo",IF(COUNTIF(PratoNome,$A659)=0,"Prato não cadastrado",IF($C659="","Falta quantidade","OK")))))</f>
        <v>0</v>
      </c>
    </row>
    <row r="660" spans="1:8">
      <c r="A660" s="13"/>
      <c r="B660" s="13"/>
      <c r="C660" s="19"/>
      <c r="D660" s="13"/>
      <c r="E660" s="23">
        <f>IF($B660="","",IFERROR(INDEX(InsUnid,MATCH($B660,InsNome,0)),""))</f>
        <v>0</v>
      </c>
      <c r="F660" s="21">
        <f>IF($B660="","",IFERROR(INDEX(InsUtil,MATCH($B660,InsNome,0)),""))</f>
        <v>0</v>
      </c>
      <c r="G660" s="24">
        <f>IF(OR($A660="",$C660="",$F660=""),"",$C660*$F660)</f>
        <v>0</v>
      </c>
      <c r="H660" s="23">
        <f>IF($A660="","",IF($B660="","Escolha o insumo",IF($F660="","Insumo sem custo",IF(COUNTIF(PratoNome,$A660)=0,"Prato não cadastrado",IF($C660="","Falta quantidade","OK")))))</f>
        <v>0</v>
      </c>
    </row>
    <row r="661" spans="1:8">
      <c r="A661" s="13"/>
      <c r="B661" s="13"/>
      <c r="C661" s="19"/>
      <c r="D661" s="13"/>
      <c r="E661" s="23">
        <f>IF($B661="","",IFERROR(INDEX(InsUnid,MATCH($B661,InsNome,0)),""))</f>
        <v>0</v>
      </c>
      <c r="F661" s="21">
        <f>IF($B661="","",IFERROR(INDEX(InsUtil,MATCH($B661,InsNome,0)),""))</f>
        <v>0</v>
      </c>
      <c r="G661" s="24">
        <f>IF(OR($A661="",$C661="",$F661=""),"",$C661*$F661)</f>
        <v>0</v>
      </c>
      <c r="H661" s="23">
        <f>IF($A661="","",IF($B661="","Escolha o insumo",IF($F661="","Insumo sem custo",IF(COUNTIF(PratoNome,$A661)=0,"Prato não cadastrado",IF($C661="","Falta quantidade","OK")))))</f>
        <v>0</v>
      </c>
    </row>
    <row r="662" spans="1:8">
      <c r="A662" s="13"/>
      <c r="B662" s="13"/>
      <c r="C662" s="19"/>
      <c r="D662" s="13"/>
      <c r="E662" s="23">
        <f>IF($B662="","",IFERROR(INDEX(InsUnid,MATCH($B662,InsNome,0)),""))</f>
        <v>0</v>
      </c>
      <c r="F662" s="21">
        <f>IF($B662="","",IFERROR(INDEX(InsUtil,MATCH($B662,InsNome,0)),""))</f>
        <v>0</v>
      </c>
      <c r="G662" s="24">
        <f>IF(OR($A662="",$C662="",$F662=""),"",$C662*$F662)</f>
        <v>0</v>
      </c>
      <c r="H662" s="23">
        <f>IF($A662="","",IF($B662="","Escolha o insumo",IF($F662="","Insumo sem custo",IF(COUNTIF(PratoNome,$A662)=0,"Prato não cadastrado",IF($C662="","Falta quantidade","OK")))))</f>
        <v>0</v>
      </c>
    </row>
    <row r="663" spans="1:8">
      <c r="A663" s="13"/>
      <c r="B663" s="13"/>
      <c r="C663" s="19"/>
      <c r="D663" s="13"/>
      <c r="E663" s="23">
        <f>IF($B663="","",IFERROR(INDEX(InsUnid,MATCH($B663,InsNome,0)),""))</f>
        <v>0</v>
      </c>
      <c r="F663" s="21">
        <f>IF($B663="","",IFERROR(INDEX(InsUtil,MATCH($B663,InsNome,0)),""))</f>
        <v>0</v>
      </c>
      <c r="G663" s="24">
        <f>IF(OR($A663="",$C663="",$F663=""),"",$C663*$F663)</f>
        <v>0</v>
      </c>
      <c r="H663" s="23">
        <f>IF($A663="","",IF($B663="","Escolha o insumo",IF($F663="","Insumo sem custo",IF(COUNTIF(PratoNome,$A663)=0,"Prato não cadastrado",IF($C663="","Falta quantidade","OK")))))</f>
        <v>0</v>
      </c>
    </row>
    <row r="664" spans="1:8">
      <c r="A664" s="13"/>
      <c r="B664" s="13"/>
      <c r="C664" s="19"/>
      <c r="D664" s="13"/>
      <c r="E664" s="23">
        <f>IF($B664="","",IFERROR(INDEX(InsUnid,MATCH($B664,InsNome,0)),""))</f>
        <v>0</v>
      </c>
      <c r="F664" s="21">
        <f>IF($B664="","",IFERROR(INDEX(InsUtil,MATCH($B664,InsNome,0)),""))</f>
        <v>0</v>
      </c>
      <c r="G664" s="24">
        <f>IF(OR($A664="",$C664="",$F664=""),"",$C664*$F664)</f>
        <v>0</v>
      </c>
      <c r="H664" s="23">
        <f>IF($A664="","",IF($B664="","Escolha o insumo",IF($F664="","Insumo sem custo",IF(COUNTIF(PratoNome,$A664)=0,"Prato não cadastrado",IF($C664="","Falta quantidade","OK")))))</f>
        <v>0</v>
      </c>
    </row>
    <row r="665" spans="1:8">
      <c r="A665" s="13"/>
      <c r="B665" s="13"/>
      <c r="C665" s="19"/>
      <c r="D665" s="13"/>
      <c r="E665" s="23">
        <f>IF($B665="","",IFERROR(INDEX(InsUnid,MATCH($B665,InsNome,0)),""))</f>
        <v>0</v>
      </c>
      <c r="F665" s="21">
        <f>IF($B665="","",IFERROR(INDEX(InsUtil,MATCH($B665,InsNome,0)),""))</f>
        <v>0</v>
      </c>
      <c r="G665" s="24">
        <f>IF(OR($A665="",$C665="",$F665=""),"",$C665*$F665)</f>
        <v>0</v>
      </c>
      <c r="H665" s="23">
        <f>IF($A665="","",IF($B665="","Escolha o insumo",IF($F665="","Insumo sem custo",IF(COUNTIF(PratoNome,$A665)=0,"Prato não cadastrado",IF($C665="","Falta quantidade","OK")))))</f>
        <v>0</v>
      </c>
    </row>
    <row r="666" spans="1:8">
      <c r="A666" s="13"/>
      <c r="B666" s="13"/>
      <c r="C666" s="19"/>
      <c r="D666" s="13"/>
      <c r="E666" s="23">
        <f>IF($B666="","",IFERROR(INDEX(InsUnid,MATCH($B666,InsNome,0)),""))</f>
        <v>0</v>
      </c>
      <c r="F666" s="21">
        <f>IF($B666="","",IFERROR(INDEX(InsUtil,MATCH($B666,InsNome,0)),""))</f>
        <v>0</v>
      </c>
      <c r="G666" s="24">
        <f>IF(OR($A666="",$C666="",$F666=""),"",$C666*$F666)</f>
        <v>0</v>
      </c>
      <c r="H666" s="23">
        <f>IF($A666="","",IF($B666="","Escolha o insumo",IF($F666="","Insumo sem custo",IF(COUNTIF(PratoNome,$A666)=0,"Prato não cadastrado",IF($C666="","Falta quantidade","OK")))))</f>
        <v>0</v>
      </c>
    </row>
    <row r="667" spans="1:8">
      <c r="A667" s="13"/>
      <c r="B667" s="13"/>
      <c r="C667" s="19"/>
      <c r="D667" s="13"/>
      <c r="E667" s="23">
        <f>IF($B667="","",IFERROR(INDEX(InsUnid,MATCH($B667,InsNome,0)),""))</f>
        <v>0</v>
      </c>
      <c r="F667" s="21">
        <f>IF($B667="","",IFERROR(INDEX(InsUtil,MATCH($B667,InsNome,0)),""))</f>
        <v>0</v>
      </c>
      <c r="G667" s="24">
        <f>IF(OR($A667="",$C667="",$F667=""),"",$C667*$F667)</f>
        <v>0</v>
      </c>
      <c r="H667" s="23">
        <f>IF($A667="","",IF($B667="","Escolha o insumo",IF($F667="","Insumo sem custo",IF(COUNTIF(PratoNome,$A667)=0,"Prato não cadastrado",IF($C667="","Falta quantidade","OK")))))</f>
        <v>0</v>
      </c>
    </row>
    <row r="668" spans="1:8">
      <c r="A668" s="13"/>
      <c r="B668" s="13"/>
      <c r="C668" s="19"/>
      <c r="D668" s="13"/>
      <c r="E668" s="23">
        <f>IF($B668="","",IFERROR(INDEX(InsUnid,MATCH($B668,InsNome,0)),""))</f>
        <v>0</v>
      </c>
      <c r="F668" s="21">
        <f>IF($B668="","",IFERROR(INDEX(InsUtil,MATCH($B668,InsNome,0)),""))</f>
        <v>0</v>
      </c>
      <c r="G668" s="24">
        <f>IF(OR($A668="",$C668="",$F668=""),"",$C668*$F668)</f>
        <v>0</v>
      </c>
      <c r="H668" s="23">
        <f>IF($A668="","",IF($B668="","Escolha o insumo",IF($F668="","Insumo sem custo",IF(COUNTIF(PratoNome,$A668)=0,"Prato não cadastrado",IF($C668="","Falta quantidade","OK")))))</f>
        <v>0</v>
      </c>
    </row>
    <row r="669" spans="1:8">
      <c r="A669" s="13"/>
      <c r="B669" s="13"/>
      <c r="C669" s="19"/>
      <c r="D669" s="13"/>
      <c r="E669" s="23">
        <f>IF($B669="","",IFERROR(INDEX(InsUnid,MATCH($B669,InsNome,0)),""))</f>
        <v>0</v>
      </c>
      <c r="F669" s="21">
        <f>IF($B669="","",IFERROR(INDEX(InsUtil,MATCH($B669,InsNome,0)),""))</f>
        <v>0</v>
      </c>
      <c r="G669" s="24">
        <f>IF(OR($A669="",$C669="",$F669=""),"",$C669*$F669)</f>
        <v>0</v>
      </c>
      <c r="H669" s="23">
        <f>IF($A669="","",IF($B669="","Escolha o insumo",IF($F669="","Insumo sem custo",IF(COUNTIF(PratoNome,$A669)=0,"Prato não cadastrado",IF($C669="","Falta quantidade","OK")))))</f>
        <v>0</v>
      </c>
    </row>
    <row r="670" spans="1:8">
      <c r="A670" s="13"/>
      <c r="B670" s="13"/>
      <c r="C670" s="19"/>
      <c r="D670" s="13"/>
      <c r="E670" s="23">
        <f>IF($B670="","",IFERROR(INDEX(InsUnid,MATCH($B670,InsNome,0)),""))</f>
        <v>0</v>
      </c>
      <c r="F670" s="21">
        <f>IF($B670="","",IFERROR(INDEX(InsUtil,MATCH($B670,InsNome,0)),""))</f>
        <v>0</v>
      </c>
      <c r="G670" s="24">
        <f>IF(OR($A670="",$C670="",$F670=""),"",$C670*$F670)</f>
        <v>0</v>
      </c>
      <c r="H670" s="23">
        <f>IF($A670="","",IF($B670="","Escolha o insumo",IF($F670="","Insumo sem custo",IF(COUNTIF(PratoNome,$A670)=0,"Prato não cadastrado",IF($C670="","Falta quantidade","OK")))))</f>
        <v>0</v>
      </c>
    </row>
    <row r="671" spans="1:8">
      <c r="A671" s="13"/>
      <c r="B671" s="13"/>
      <c r="C671" s="19"/>
      <c r="D671" s="13"/>
      <c r="E671" s="23">
        <f>IF($B671="","",IFERROR(INDEX(InsUnid,MATCH($B671,InsNome,0)),""))</f>
        <v>0</v>
      </c>
      <c r="F671" s="21">
        <f>IF($B671="","",IFERROR(INDEX(InsUtil,MATCH($B671,InsNome,0)),""))</f>
        <v>0</v>
      </c>
      <c r="G671" s="24">
        <f>IF(OR($A671="",$C671="",$F671=""),"",$C671*$F671)</f>
        <v>0</v>
      </c>
      <c r="H671" s="23">
        <f>IF($A671="","",IF($B671="","Escolha o insumo",IF($F671="","Insumo sem custo",IF(COUNTIF(PratoNome,$A671)=0,"Prato não cadastrado",IF($C671="","Falta quantidade","OK")))))</f>
        <v>0</v>
      </c>
    </row>
    <row r="672" spans="1:8">
      <c r="A672" s="13"/>
      <c r="B672" s="13"/>
      <c r="C672" s="19"/>
      <c r="D672" s="13"/>
      <c r="E672" s="23">
        <f>IF($B672="","",IFERROR(INDEX(InsUnid,MATCH($B672,InsNome,0)),""))</f>
        <v>0</v>
      </c>
      <c r="F672" s="21">
        <f>IF($B672="","",IFERROR(INDEX(InsUtil,MATCH($B672,InsNome,0)),""))</f>
        <v>0</v>
      </c>
      <c r="G672" s="24">
        <f>IF(OR($A672="",$C672="",$F672=""),"",$C672*$F672)</f>
        <v>0</v>
      </c>
      <c r="H672" s="23">
        <f>IF($A672="","",IF($B672="","Escolha o insumo",IF($F672="","Insumo sem custo",IF(COUNTIF(PratoNome,$A672)=0,"Prato não cadastrado",IF($C672="","Falta quantidade","OK")))))</f>
        <v>0</v>
      </c>
    </row>
    <row r="673" spans="1:8">
      <c r="A673" s="13"/>
      <c r="B673" s="13"/>
      <c r="C673" s="19"/>
      <c r="D673" s="13"/>
      <c r="E673" s="23">
        <f>IF($B673="","",IFERROR(INDEX(InsUnid,MATCH($B673,InsNome,0)),""))</f>
        <v>0</v>
      </c>
      <c r="F673" s="21">
        <f>IF($B673="","",IFERROR(INDEX(InsUtil,MATCH($B673,InsNome,0)),""))</f>
        <v>0</v>
      </c>
      <c r="G673" s="24">
        <f>IF(OR($A673="",$C673="",$F673=""),"",$C673*$F673)</f>
        <v>0</v>
      </c>
      <c r="H673" s="23">
        <f>IF($A673="","",IF($B673="","Escolha o insumo",IF($F673="","Insumo sem custo",IF(COUNTIF(PratoNome,$A673)=0,"Prato não cadastrado",IF($C673="","Falta quantidade","OK")))))</f>
        <v>0</v>
      </c>
    </row>
    <row r="674" spans="1:8">
      <c r="A674" s="13"/>
      <c r="B674" s="13"/>
      <c r="C674" s="19"/>
      <c r="D674" s="13"/>
      <c r="E674" s="23">
        <f>IF($B674="","",IFERROR(INDEX(InsUnid,MATCH($B674,InsNome,0)),""))</f>
        <v>0</v>
      </c>
      <c r="F674" s="21">
        <f>IF($B674="","",IFERROR(INDEX(InsUtil,MATCH($B674,InsNome,0)),""))</f>
        <v>0</v>
      </c>
      <c r="G674" s="24">
        <f>IF(OR($A674="",$C674="",$F674=""),"",$C674*$F674)</f>
        <v>0</v>
      </c>
      <c r="H674" s="23">
        <f>IF($A674="","",IF($B674="","Escolha o insumo",IF($F674="","Insumo sem custo",IF(COUNTIF(PratoNome,$A674)=0,"Prato não cadastrado",IF($C674="","Falta quantidade","OK")))))</f>
        <v>0</v>
      </c>
    </row>
    <row r="675" spans="1:8">
      <c r="A675" s="13"/>
      <c r="B675" s="13"/>
      <c r="C675" s="19"/>
      <c r="D675" s="13"/>
      <c r="E675" s="23">
        <f>IF($B675="","",IFERROR(INDEX(InsUnid,MATCH($B675,InsNome,0)),""))</f>
        <v>0</v>
      </c>
      <c r="F675" s="21">
        <f>IF($B675="","",IFERROR(INDEX(InsUtil,MATCH($B675,InsNome,0)),""))</f>
        <v>0</v>
      </c>
      <c r="G675" s="24">
        <f>IF(OR($A675="",$C675="",$F675=""),"",$C675*$F675)</f>
        <v>0</v>
      </c>
      <c r="H675" s="23">
        <f>IF($A675="","",IF($B675="","Escolha o insumo",IF($F675="","Insumo sem custo",IF(COUNTIF(PratoNome,$A675)=0,"Prato não cadastrado",IF($C675="","Falta quantidade","OK")))))</f>
        <v>0</v>
      </c>
    </row>
    <row r="676" spans="1:8">
      <c r="A676" s="13"/>
      <c r="B676" s="13"/>
      <c r="C676" s="19"/>
      <c r="D676" s="13"/>
      <c r="E676" s="23">
        <f>IF($B676="","",IFERROR(INDEX(InsUnid,MATCH($B676,InsNome,0)),""))</f>
        <v>0</v>
      </c>
      <c r="F676" s="21">
        <f>IF($B676="","",IFERROR(INDEX(InsUtil,MATCH($B676,InsNome,0)),""))</f>
        <v>0</v>
      </c>
      <c r="G676" s="24">
        <f>IF(OR($A676="",$C676="",$F676=""),"",$C676*$F676)</f>
        <v>0</v>
      </c>
      <c r="H676" s="23">
        <f>IF($A676="","",IF($B676="","Escolha o insumo",IF($F676="","Insumo sem custo",IF(COUNTIF(PratoNome,$A676)=0,"Prato não cadastrado",IF($C676="","Falta quantidade","OK")))))</f>
        <v>0</v>
      </c>
    </row>
    <row r="677" spans="1:8">
      <c r="A677" s="13"/>
      <c r="B677" s="13"/>
      <c r="C677" s="19"/>
      <c r="D677" s="13"/>
      <c r="E677" s="23">
        <f>IF($B677="","",IFERROR(INDEX(InsUnid,MATCH($B677,InsNome,0)),""))</f>
        <v>0</v>
      </c>
      <c r="F677" s="21">
        <f>IF($B677="","",IFERROR(INDEX(InsUtil,MATCH($B677,InsNome,0)),""))</f>
        <v>0</v>
      </c>
      <c r="G677" s="24">
        <f>IF(OR($A677="",$C677="",$F677=""),"",$C677*$F677)</f>
        <v>0</v>
      </c>
      <c r="H677" s="23">
        <f>IF($A677="","",IF($B677="","Escolha o insumo",IF($F677="","Insumo sem custo",IF(COUNTIF(PratoNome,$A677)=0,"Prato não cadastrado",IF($C677="","Falta quantidade","OK")))))</f>
        <v>0</v>
      </c>
    </row>
    <row r="678" spans="1:8">
      <c r="A678" s="13"/>
      <c r="B678" s="13"/>
      <c r="C678" s="19"/>
      <c r="D678" s="13"/>
      <c r="E678" s="23">
        <f>IF($B678="","",IFERROR(INDEX(InsUnid,MATCH($B678,InsNome,0)),""))</f>
        <v>0</v>
      </c>
      <c r="F678" s="21">
        <f>IF($B678="","",IFERROR(INDEX(InsUtil,MATCH($B678,InsNome,0)),""))</f>
        <v>0</v>
      </c>
      <c r="G678" s="24">
        <f>IF(OR($A678="",$C678="",$F678=""),"",$C678*$F678)</f>
        <v>0</v>
      </c>
      <c r="H678" s="23">
        <f>IF($A678="","",IF($B678="","Escolha o insumo",IF($F678="","Insumo sem custo",IF(COUNTIF(PratoNome,$A678)=0,"Prato não cadastrado",IF($C678="","Falta quantidade","OK")))))</f>
        <v>0</v>
      </c>
    </row>
    <row r="679" spans="1:8">
      <c r="A679" s="13"/>
      <c r="B679" s="13"/>
      <c r="C679" s="19"/>
      <c r="D679" s="13"/>
      <c r="E679" s="23">
        <f>IF($B679="","",IFERROR(INDEX(InsUnid,MATCH($B679,InsNome,0)),""))</f>
        <v>0</v>
      </c>
      <c r="F679" s="21">
        <f>IF($B679="","",IFERROR(INDEX(InsUtil,MATCH($B679,InsNome,0)),""))</f>
        <v>0</v>
      </c>
      <c r="G679" s="24">
        <f>IF(OR($A679="",$C679="",$F679=""),"",$C679*$F679)</f>
        <v>0</v>
      </c>
      <c r="H679" s="23">
        <f>IF($A679="","",IF($B679="","Escolha o insumo",IF($F679="","Insumo sem custo",IF(COUNTIF(PratoNome,$A679)=0,"Prato não cadastrado",IF($C679="","Falta quantidade","OK")))))</f>
        <v>0</v>
      </c>
    </row>
    <row r="680" spans="1:8">
      <c r="A680" s="13"/>
      <c r="B680" s="13"/>
      <c r="C680" s="19"/>
      <c r="D680" s="13"/>
      <c r="E680" s="23">
        <f>IF($B680="","",IFERROR(INDEX(InsUnid,MATCH($B680,InsNome,0)),""))</f>
        <v>0</v>
      </c>
      <c r="F680" s="21">
        <f>IF($B680="","",IFERROR(INDEX(InsUtil,MATCH($B680,InsNome,0)),""))</f>
        <v>0</v>
      </c>
      <c r="G680" s="24">
        <f>IF(OR($A680="",$C680="",$F680=""),"",$C680*$F680)</f>
        <v>0</v>
      </c>
      <c r="H680" s="23">
        <f>IF($A680="","",IF($B680="","Escolha o insumo",IF($F680="","Insumo sem custo",IF(COUNTIF(PratoNome,$A680)=0,"Prato não cadastrado",IF($C680="","Falta quantidade","OK")))))</f>
        <v>0</v>
      </c>
    </row>
    <row r="681" spans="1:8">
      <c r="A681" s="13"/>
      <c r="B681" s="13"/>
      <c r="C681" s="19"/>
      <c r="D681" s="13"/>
      <c r="E681" s="23">
        <f>IF($B681="","",IFERROR(INDEX(InsUnid,MATCH($B681,InsNome,0)),""))</f>
        <v>0</v>
      </c>
      <c r="F681" s="21">
        <f>IF($B681="","",IFERROR(INDEX(InsUtil,MATCH($B681,InsNome,0)),""))</f>
        <v>0</v>
      </c>
      <c r="G681" s="24">
        <f>IF(OR($A681="",$C681="",$F681=""),"",$C681*$F681)</f>
        <v>0</v>
      </c>
      <c r="H681" s="23">
        <f>IF($A681="","",IF($B681="","Escolha o insumo",IF($F681="","Insumo sem custo",IF(COUNTIF(PratoNome,$A681)=0,"Prato não cadastrado",IF($C681="","Falta quantidade","OK")))))</f>
        <v>0</v>
      </c>
    </row>
    <row r="682" spans="1:8">
      <c r="A682" s="13"/>
      <c r="B682" s="13"/>
      <c r="C682" s="19"/>
      <c r="D682" s="13"/>
      <c r="E682" s="23">
        <f>IF($B682="","",IFERROR(INDEX(InsUnid,MATCH($B682,InsNome,0)),""))</f>
        <v>0</v>
      </c>
      <c r="F682" s="21">
        <f>IF($B682="","",IFERROR(INDEX(InsUtil,MATCH($B682,InsNome,0)),""))</f>
        <v>0</v>
      </c>
      <c r="G682" s="24">
        <f>IF(OR($A682="",$C682="",$F682=""),"",$C682*$F682)</f>
        <v>0</v>
      </c>
      <c r="H682" s="23">
        <f>IF($A682="","",IF($B682="","Escolha o insumo",IF($F682="","Insumo sem custo",IF(COUNTIF(PratoNome,$A682)=0,"Prato não cadastrado",IF($C682="","Falta quantidade","OK")))))</f>
        <v>0</v>
      </c>
    </row>
    <row r="683" spans="1:8">
      <c r="A683" s="13"/>
      <c r="B683" s="13"/>
      <c r="C683" s="19"/>
      <c r="D683" s="13"/>
      <c r="E683" s="23">
        <f>IF($B683="","",IFERROR(INDEX(InsUnid,MATCH($B683,InsNome,0)),""))</f>
        <v>0</v>
      </c>
      <c r="F683" s="21">
        <f>IF($B683="","",IFERROR(INDEX(InsUtil,MATCH($B683,InsNome,0)),""))</f>
        <v>0</v>
      </c>
      <c r="G683" s="24">
        <f>IF(OR($A683="",$C683="",$F683=""),"",$C683*$F683)</f>
        <v>0</v>
      </c>
      <c r="H683" s="23">
        <f>IF($A683="","",IF($B683="","Escolha o insumo",IF($F683="","Insumo sem custo",IF(COUNTIF(PratoNome,$A683)=0,"Prato não cadastrado",IF($C683="","Falta quantidade","OK")))))</f>
        <v>0</v>
      </c>
    </row>
    <row r="684" spans="1:8">
      <c r="A684" s="13"/>
      <c r="B684" s="13"/>
      <c r="C684" s="19"/>
      <c r="D684" s="13"/>
      <c r="E684" s="23">
        <f>IF($B684="","",IFERROR(INDEX(InsUnid,MATCH($B684,InsNome,0)),""))</f>
        <v>0</v>
      </c>
      <c r="F684" s="21">
        <f>IF($B684="","",IFERROR(INDEX(InsUtil,MATCH($B684,InsNome,0)),""))</f>
        <v>0</v>
      </c>
      <c r="G684" s="24">
        <f>IF(OR($A684="",$C684="",$F684=""),"",$C684*$F684)</f>
        <v>0</v>
      </c>
      <c r="H684" s="23">
        <f>IF($A684="","",IF($B684="","Escolha o insumo",IF($F684="","Insumo sem custo",IF(COUNTIF(PratoNome,$A684)=0,"Prato não cadastrado",IF($C684="","Falta quantidade","OK")))))</f>
        <v>0</v>
      </c>
    </row>
    <row r="685" spans="1:8">
      <c r="A685" s="13"/>
      <c r="B685" s="13"/>
      <c r="C685" s="19"/>
      <c r="D685" s="13"/>
      <c r="E685" s="23">
        <f>IF($B685="","",IFERROR(INDEX(InsUnid,MATCH($B685,InsNome,0)),""))</f>
        <v>0</v>
      </c>
      <c r="F685" s="21">
        <f>IF($B685="","",IFERROR(INDEX(InsUtil,MATCH($B685,InsNome,0)),""))</f>
        <v>0</v>
      </c>
      <c r="G685" s="24">
        <f>IF(OR($A685="",$C685="",$F685=""),"",$C685*$F685)</f>
        <v>0</v>
      </c>
      <c r="H685" s="23">
        <f>IF($A685="","",IF($B685="","Escolha o insumo",IF($F685="","Insumo sem custo",IF(COUNTIF(PratoNome,$A685)=0,"Prato não cadastrado",IF($C685="","Falta quantidade","OK")))))</f>
        <v>0</v>
      </c>
    </row>
    <row r="686" spans="1:8">
      <c r="A686" s="13"/>
      <c r="B686" s="13"/>
      <c r="C686" s="19"/>
      <c r="D686" s="13"/>
      <c r="E686" s="23">
        <f>IF($B686="","",IFERROR(INDEX(InsUnid,MATCH($B686,InsNome,0)),""))</f>
        <v>0</v>
      </c>
      <c r="F686" s="21">
        <f>IF($B686="","",IFERROR(INDEX(InsUtil,MATCH($B686,InsNome,0)),""))</f>
        <v>0</v>
      </c>
      <c r="G686" s="24">
        <f>IF(OR($A686="",$C686="",$F686=""),"",$C686*$F686)</f>
        <v>0</v>
      </c>
      <c r="H686" s="23">
        <f>IF($A686="","",IF($B686="","Escolha o insumo",IF($F686="","Insumo sem custo",IF(COUNTIF(PratoNome,$A686)=0,"Prato não cadastrado",IF($C686="","Falta quantidade","OK")))))</f>
        <v>0</v>
      </c>
    </row>
    <row r="687" spans="1:8">
      <c r="A687" s="13"/>
      <c r="B687" s="13"/>
      <c r="C687" s="19"/>
      <c r="D687" s="13"/>
      <c r="E687" s="23">
        <f>IF($B687="","",IFERROR(INDEX(InsUnid,MATCH($B687,InsNome,0)),""))</f>
        <v>0</v>
      </c>
      <c r="F687" s="21">
        <f>IF($B687="","",IFERROR(INDEX(InsUtil,MATCH($B687,InsNome,0)),""))</f>
        <v>0</v>
      </c>
      <c r="G687" s="24">
        <f>IF(OR($A687="",$C687="",$F687=""),"",$C687*$F687)</f>
        <v>0</v>
      </c>
      <c r="H687" s="23">
        <f>IF($A687="","",IF($B687="","Escolha o insumo",IF($F687="","Insumo sem custo",IF(COUNTIF(PratoNome,$A687)=0,"Prato não cadastrado",IF($C687="","Falta quantidade","OK")))))</f>
        <v>0</v>
      </c>
    </row>
    <row r="688" spans="1:8">
      <c r="A688" s="13"/>
      <c r="B688" s="13"/>
      <c r="C688" s="19"/>
      <c r="D688" s="13"/>
      <c r="E688" s="23">
        <f>IF($B688="","",IFERROR(INDEX(InsUnid,MATCH($B688,InsNome,0)),""))</f>
        <v>0</v>
      </c>
      <c r="F688" s="21">
        <f>IF($B688="","",IFERROR(INDEX(InsUtil,MATCH($B688,InsNome,0)),""))</f>
        <v>0</v>
      </c>
      <c r="G688" s="24">
        <f>IF(OR($A688="",$C688="",$F688=""),"",$C688*$F688)</f>
        <v>0</v>
      </c>
      <c r="H688" s="23">
        <f>IF($A688="","",IF($B688="","Escolha o insumo",IF($F688="","Insumo sem custo",IF(COUNTIF(PratoNome,$A688)=0,"Prato não cadastrado",IF($C688="","Falta quantidade","OK")))))</f>
        <v>0</v>
      </c>
    </row>
    <row r="689" spans="1:8">
      <c r="A689" s="13"/>
      <c r="B689" s="13"/>
      <c r="C689" s="19"/>
      <c r="D689" s="13"/>
      <c r="E689" s="23">
        <f>IF($B689="","",IFERROR(INDEX(InsUnid,MATCH($B689,InsNome,0)),""))</f>
        <v>0</v>
      </c>
      <c r="F689" s="21">
        <f>IF($B689="","",IFERROR(INDEX(InsUtil,MATCH($B689,InsNome,0)),""))</f>
        <v>0</v>
      </c>
      <c r="G689" s="24">
        <f>IF(OR($A689="",$C689="",$F689=""),"",$C689*$F689)</f>
        <v>0</v>
      </c>
      <c r="H689" s="23">
        <f>IF($A689="","",IF($B689="","Escolha o insumo",IF($F689="","Insumo sem custo",IF(COUNTIF(PratoNome,$A689)=0,"Prato não cadastrado",IF($C689="","Falta quantidade","OK")))))</f>
        <v>0</v>
      </c>
    </row>
    <row r="690" spans="1:8">
      <c r="A690" s="13"/>
      <c r="B690" s="13"/>
      <c r="C690" s="19"/>
      <c r="D690" s="13"/>
      <c r="E690" s="23">
        <f>IF($B690="","",IFERROR(INDEX(InsUnid,MATCH($B690,InsNome,0)),""))</f>
        <v>0</v>
      </c>
      <c r="F690" s="21">
        <f>IF($B690="","",IFERROR(INDEX(InsUtil,MATCH($B690,InsNome,0)),""))</f>
        <v>0</v>
      </c>
      <c r="G690" s="24">
        <f>IF(OR($A690="",$C690="",$F690=""),"",$C690*$F690)</f>
        <v>0</v>
      </c>
      <c r="H690" s="23">
        <f>IF($A690="","",IF($B690="","Escolha o insumo",IF($F690="","Insumo sem custo",IF(COUNTIF(PratoNome,$A690)=0,"Prato não cadastrado",IF($C690="","Falta quantidade","OK")))))</f>
        <v>0</v>
      </c>
    </row>
    <row r="691" spans="1:8">
      <c r="A691" s="13"/>
      <c r="B691" s="13"/>
      <c r="C691" s="19"/>
      <c r="D691" s="13"/>
      <c r="E691" s="23">
        <f>IF($B691="","",IFERROR(INDEX(InsUnid,MATCH($B691,InsNome,0)),""))</f>
        <v>0</v>
      </c>
      <c r="F691" s="21">
        <f>IF($B691="","",IFERROR(INDEX(InsUtil,MATCH($B691,InsNome,0)),""))</f>
        <v>0</v>
      </c>
      <c r="G691" s="24">
        <f>IF(OR($A691="",$C691="",$F691=""),"",$C691*$F691)</f>
        <v>0</v>
      </c>
      <c r="H691" s="23">
        <f>IF($A691="","",IF($B691="","Escolha o insumo",IF($F691="","Insumo sem custo",IF(COUNTIF(PratoNome,$A691)=0,"Prato não cadastrado",IF($C691="","Falta quantidade","OK")))))</f>
        <v>0</v>
      </c>
    </row>
    <row r="692" spans="1:8">
      <c r="A692" s="13"/>
      <c r="B692" s="13"/>
      <c r="C692" s="19"/>
      <c r="D692" s="13"/>
      <c r="E692" s="23">
        <f>IF($B692="","",IFERROR(INDEX(InsUnid,MATCH($B692,InsNome,0)),""))</f>
        <v>0</v>
      </c>
      <c r="F692" s="21">
        <f>IF($B692="","",IFERROR(INDEX(InsUtil,MATCH($B692,InsNome,0)),""))</f>
        <v>0</v>
      </c>
      <c r="G692" s="24">
        <f>IF(OR($A692="",$C692="",$F692=""),"",$C692*$F692)</f>
        <v>0</v>
      </c>
      <c r="H692" s="23">
        <f>IF($A692="","",IF($B692="","Escolha o insumo",IF($F692="","Insumo sem custo",IF(COUNTIF(PratoNome,$A692)=0,"Prato não cadastrado",IF($C692="","Falta quantidade","OK")))))</f>
        <v>0</v>
      </c>
    </row>
    <row r="693" spans="1:8">
      <c r="A693" s="13"/>
      <c r="B693" s="13"/>
      <c r="C693" s="19"/>
      <c r="D693" s="13"/>
      <c r="E693" s="23">
        <f>IF($B693="","",IFERROR(INDEX(InsUnid,MATCH($B693,InsNome,0)),""))</f>
        <v>0</v>
      </c>
      <c r="F693" s="21">
        <f>IF($B693="","",IFERROR(INDEX(InsUtil,MATCH($B693,InsNome,0)),""))</f>
        <v>0</v>
      </c>
      <c r="G693" s="24">
        <f>IF(OR($A693="",$C693="",$F693=""),"",$C693*$F693)</f>
        <v>0</v>
      </c>
      <c r="H693" s="23">
        <f>IF($A693="","",IF($B693="","Escolha o insumo",IF($F693="","Insumo sem custo",IF(COUNTIF(PratoNome,$A693)=0,"Prato não cadastrado",IF($C693="","Falta quantidade","OK")))))</f>
        <v>0</v>
      </c>
    </row>
    <row r="694" spans="1:8">
      <c r="A694" s="13"/>
      <c r="B694" s="13"/>
      <c r="C694" s="19"/>
      <c r="D694" s="13"/>
      <c r="E694" s="23">
        <f>IF($B694="","",IFERROR(INDEX(InsUnid,MATCH($B694,InsNome,0)),""))</f>
        <v>0</v>
      </c>
      <c r="F694" s="21">
        <f>IF($B694="","",IFERROR(INDEX(InsUtil,MATCH($B694,InsNome,0)),""))</f>
        <v>0</v>
      </c>
      <c r="G694" s="24">
        <f>IF(OR($A694="",$C694="",$F694=""),"",$C694*$F694)</f>
        <v>0</v>
      </c>
      <c r="H694" s="23">
        <f>IF($A694="","",IF($B694="","Escolha o insumo",IF($F694="","Insumo sem custo",IF(COUNTIF(PratoNome,$A694)=0,"Prato não cadastrado",IF($C694="","Falta quantidade","OK")))))</f>
        <v>0</v>
      </c>
    </row>
    <row r="695" spans="1:8">
      <c r="A695" s="13"/>
      <c r="B695" s="13"/>
      <c r="C695" s="19"/>
      <c r="D695" s="13"/>
      <c r="E695" s="23">
        <f>IF($B695="","",IFERROR(INDEX(InsUnid,MATCH($B695,InsNome,0)),""))</f>
        <v>0</v>
      </c>
      <c r="F695" s="21">
        <f>IF($B695="","",IFERROR(INDEX(InsUtil,MATCH($B695,InsNome,0)),""))</f>
        <v>0</v>
      </c>
      <c r="G695" s="24">
        <f>IF(OR($A695="",$C695="",$F695=""),"",$C695*$F695)</f>
        <v>0</v>
      </c>
      <c r="H695" s="23">
        <f>IF($A695="","",IF($B695="","Escolha o insumo",IF($F695="","Insumo sem custo",IF(COUNTIF(PratoNome,$A695)=0,"Prato não cadastrado",IF($C695="","Falta quantidade","OK")))))</f>
        <v>0</v>
      </c>
    </row>
    <row r="696" spans="1:8">
      <c r="A696" s="13"/>
      <c r="B696" s="13"/>
      <c r="C696" s="19"/>
      <c r="D696" s="13"/>
      <c r="E696" s="23">
        <f>IF($B696="","",IFERROR(INDEX(InsUnid,MATCH($B696,InsNome,0)),""))</f>
        <v>0</v>
      </c>
      <c r="F696" s="21">
        <f>IF($B696="","",IFERROR(INDEX(InsUtil,MATCH($B696,InsNome,0)),""))</f>
        <v>0</v>
      </c>
      <c r="G696" s="24">
        <f>IF(OR($A696="",$C696="",$F696=""),"",$C696*$F696)</f>
        <v>0</v>
      </c>
      <c r="H696" s="23">
        <f>IF($A696="","",IF($B696="","Escolha o insumo",IF($F696="","Insumo sem custo",IF(COUNTIF(PratoNome,$A696)=0,"Prato não cadastrado",IF($C696="","Falta quantidade","OK")))))</f>
        <v>0</v>
      </c>
    </row>
    <row r="697" spans="1:8">
      <c r="A697" s="13"/>
      <c r="B697" s="13"/>
      <c r="C697" s="19"/>
      <c r="D697" s="13"/>
      <c r="E697" s="23">
        <f>IF($B697="","",IFERROR(INDEX(InsUnid,MATCH($B697,InsNome,0)),""))</f>
        <v>0</v>
      </c>
      <c r="F697" s="21">
        <f>IF($B697="","",IFERROR(INDEX(InsUtil,MATCH($B697,InsNome,0)),""))</f>
        <v>0</v>
      </c>
      <c r="G697" s="24">
        <f>IF(OR($A697="",$C697="",$F697=""),"",$C697*$F697)</f>
        <v>0</v>
      </c>
      <c r="H697" s="23">
        <f>IF($A697="","",IF($B697="","Escolha o insumo",IF($F697="","Insumo sem custo",IF(COUNTIF(PratoNome,$A697)=0,"Prato não cadastrado",IF($C697="","Falta quantidade","OK")))))</f>
        <v>0</v>
      </c>
    </row>
    <row r="698" spans="1:8">
      <c r="A698" s="13"/>
      <c r="B698" s="13"/>
      <c r="C698" s="19"/>
      <c r="D698" s="13"/>
      <c r="E698" s="23">
        <f>IF($B698="","",IFERROR(INDEX(InsUnid,MATCH($B698,InsNome,0)),""))</f>
        <v>0</v>
      </c>
      <c r="F698" s="21">
        <f>IF($B698="","",IFERROR(INDEX(InsUtil,MATCH($B698,InsNome,0)),""))</f>
        <v>0</v>
      </c>
      <c r="G698" s="24">
        <f>IF(OR($A698="",$C698="",$F698=""),"",$C698*$F698)</f>
        <v>0</v>
      </c>
      <c r="H698" s="23">
        <f>IF($A698="","",IF($B698="","Escolha o insumo",IF($F698="","Insumo sem custo",IF(COUNTIF(PratoNome,$A698)=0,"Prato não cadastrado",IF($C698="","Falta quantidade","OK")))))</f>
        <v>0</v>
      </c>
    </row>
    <row r="699" spans="1:8">
      <c r="A699" s="13"/>
      <c r="B699" s="13"/>
      <c r="C699" s="19"/>
      <c r="D699" s="13"/>
      <c r="E699" s="23">
        <f>IF($B699="","",IFERROR(INDEX(InsUnid,MATCH($B699,InsNome,0)),""))</f>
        <v>0</v>
      </c>
      <c r="F699" s="21">
        <f>IF($B699="","",IFERROR(INDEX(InsUtil,MATCH($B699,InsNome,0)),""))</f>
        <v>0</v>
      </c>
      <c r="G699" s="24">
        <f>IF(OR($A699="",$C699="",$F699=""),"",$C699*$F699)</f>
        <v>0</v>
      </c>
      <c r="H699" s="23">
        <f>IF($A699="","",IF($B699="","Escolha o insumo",IF($F699="","Insumo sem custo",IF(COUNTIF(PratoNome,$A699)=0,"Prato não cadastrado",IF($C699="","Falta quantidade","OK")))))</f>
        <v>0</v>
      </c>
    </row>
    <row r="700" spans="1:8">
      <c r="A700" s="13"/>
      <c r="B700" s="13"/>
      <c r="C700" s="19"/>
      <c r="D700" s="13"/>
      <c r="E700" s="23">
        <f>IF($B700="","",IFERROR(INDEX(InsUnid,MATCH($B700,InsNome,0)),""))</f>
        <v>0</v>
      </c>
      <c r="F700" s="21">
        <f>IF($B700="","",IFERROR(INDEX(InsUtil,MATCH($B700,InsNome,0)),""))</f>
        <v>0</v>
      </c>
      <c r="G700" s="24">
        <f>IF(OR($A700="",$C700="",$F700=""),"",$C700*$F700)</f>
        <v>0</v>
      </c>
      <c r="H700" s="23">
        <f>IF($A700="","",IF($B700="","Escolha o insumo",IF($F700="","Insumo sem custo",IF(COUNTIF(PratoNome,$A700)=0,"Prato não cadastrado",IF($C700="","Falta quantidade","OK")))))</f>
        <v>0</v>
      </c>
    </row>
    <row r="701" spans="1:8">
      <c r="A701" s="13"/>
      <c r="B701" s="13"/>
      <c r="C701" s="19"/>
      <c r="D701" s="13"/>
      <c r="E701" s="23">
        <f>IF($B701="","",IFERROR(INDEX(InsUnid,MATCH($B701,InsNome,0)),""))</f>
        <v>0</v>
      </c>
      <c r="F701" s="21">
        <f>IF($B701="","",IFERROR(INDEX(InsUtil,MATCH($B701,InsNome,0)),""))</f>
        <v>0</v>
      </c>
      <c r="G701" s="24">
        <f>IF(OR($A701="",$C701="",$F701=""),"",$C701*$F701)</f>
        <v>0</v>
      </c>
      <c r="H701" s="23">
        <f>IF($A701="","",IF($B701="","Escolha o insumo",IF($F701="","Insumo sem custo",IF(COUNTIF(PratoNome,$A701)=0,"Prato não cadastrado",IF($C701="","Falta quantidade","OK")))))</f>
        <v>0</v>
      </c>
    </row>
    <row r="702" spans="1:8">
      <c r="A702" s="13"/>
      <c r="B702" s="13"/>
      <c r="C702" s="19"/>
      <c r="D702" s="13"/>
      <c r="E702" s="23">
        <f>IF($B702="","",IFERROR(INDEX(InsUnid,MATCH($B702,InsNome,0)),""))</f>
        <v>0</v>
      </c>
      <c r="F702" s="21">
        <f>IF($B702="","",IFERROR(INDEX(InsUtil,MATCH($B702,InsNome,0)),""))</f>
        <v>0</v>
      </c>
      <c r="G702" s="24">
        <f>IF(OR($A702="",$C702="",$F702=""),"",$C702*$F702)</f>
        <v>0</v>
      </c>
      <c r="H702" s="23">
        <f>IF($A702="","",IF($B702="","Escolha o insumo",IF($F702="","Insumo sem custo",IF(COUNTIF(PratoNome,$A702)=0,"Prato não cadastrado",IF($C702="","Falta quantidade","OK")))))</f>
        <v>0</v>
      </c>
    </row>
    <row r="703" spans="1:8">
      <c r="A703" s="13"/>
      <c r="B703" s="13"/>
      <c r="C703" s="19"/>
      <c r="D703" s="13"/>
      <c r="E703" s="23">
        <f>IF($B703="","",IFERROR(INDEX(InsUnid,MATCH($B703,InsNome,0)),""))</f>
        <v>0</v>
      </c>
      <c r="F703" s="21">
        <f>IF($B703="","",IFERROR(INDEX(InsUtil,MATCH($B703,InsNome,0)),""))</f>
        <v>0</v>
      </c>
      <c r="G703" s="24">
        <f>IF(OR($A703="",$C703="",$F703=""),"",$C703*$F703)</f>
        <v>0</v>
      </c>
      <c r="H703" s="23">
        <f>IF($A703="","",IF($B703="","Escolha o insumo",IF($F703="","Insumo sem custo",IF(COUNTIF(PratoNome,$A703)=0,"Prato não cadastrado",IF($C703="","Falta quantidade","OK")))))</f>
        <v>0</v>
      </c>
    </row>
    <row r="704" spans="1:8">
      <c r="A704" s="13"/>
      <c r="B704" s="13"/>
      <c r="C704" s="19"/>
      <c r="D704" s="13"/>
      <c r="E704" s="23">
        <f>IF($B704="","",IFERROR(INDEX(InsUnid,MATCH($B704,InsNome,0)),""))</f>
        <v>0</v>
      </c>
      <c r="F704" s="21">
        <f>IF($B704="","",IFERROR(INDEX(InsUtil,MATCH($B704,InsNome,0)),""))</f>
        <v>0</v>
      </c>
      <c r="G704" s="24">
        <f>IF(OR($A704="",$C704="",$F704=""),"",$C704*$F704)</f>
        <v>0</v>
      </c>
      <c r="H704" s="23">
        <f>IF($A704="","",IF($B704="","Escolha o insumo",IF($F704="","Insumo sem custo",IF(COUNTIF(PratoNome,$A704)=0,"Prato não cadastrado",IF($C704="","Falta quantidade","OK")))))</f>
        <v>0</v>
      </c>
    </row>
    <row r="705" spans="1:8">
      <c r="A705" s="13"/>
      <c r="B705" s="13"/>
      <c r="C705" s="19"/>
      <c r="D705" s="13"/>
      <c r="E705" s="23">
        <f>IF($B705="","",IFERROR(INDEX(InsUnid,MATCH($B705,InsNome,0)),""))</f>
        <v>0</v>
      </c>
      <c r="F705" s="21">
        <f>IF($B705="","",IFERROR(INDEX(InsUtil,MATCH($B705,InsNome,0)),""))</f>
        <v>0</v>
      </c>
      <c r="G705" s="24">
        <f>IF(OR($A705="",$C705="",$F705=""),"",$C705*$F705)</f>
        <v>0</v>
      </c>
      <c r="H705" s="23">
        <f>IF($A705="","",IF($B705="","Escolha o insumo",IF($F705="","Insumo sem custo",IF(COUNTIF(PratoNome,$A705)=0,"Prato não cadastrado",IF($C705="","Falta quantidade","OK")))))</f>
        <v>0</v>
      </c>
    </row>
    <row r="706" spans="1:8">
      <c r="A706" s="13"/>
      <c r="B706" s="13"/>
      <c r="C706" s="19"/>
      <c r="D706" s="13"/>
      <c r="E706" s="23">
        <f>IF($B706="","",IFERROR(INDEX(InsUnid,MATCH($B706,InsNome,0)),""))</f>
        <v>0</v>
      </c>
      <c r="F706" s="21">
        <f>IF($B706="","",IFERROR(INDEX(InsUtil,MATCH($B706,InsNome,0)),""))</f>
        <v>0</v>
      </c>
      <c r="G706" s="24">
        <f>IF(OR($A706="",$C706="",$F706=""),"",$C706*$F706)</f>
        <v>0</v>
      </c>
      <c r="H706" s="23">
        <f>IF($A706="","",IF($B706="","Escolha o insumo",IF($F706="","Insumo sem custo",IF(COUNTIF(PratoNome,$A706)=0,"Prato não cadastrado",IF($C706="","Falta quantidade","OK")))))</f>
        <v>0</v>
      </c>
    </row>
    <row r="707" spans="1:8">
      <c r="A707" s="13"/>
      <c r="B707" s="13"/>
      <c r="C707" s="19"/>
      <c r="D707" s="13"/>
      <c r="E707" s="23">
        <f>IF($B707="","",IFERROR(INDEX(InsUnid,MATCH($B707,InsNome,0)),""))</f>
        <v>0</v>
      </c>
      <c r="F707" s="21">
        <f>IF($B707="","",IFERROR(INDEX(InsUtil,MATCH($B707,InsNome,0)),""))</f>
        <v>0</v>
      </c>
      <c r="G707" s="24">
        <f>IF(OR($A707="",$C707="",$F707=""),"",$C707*$F707)</f>
        <v>0</v>
      </c>
      <c r="H707" s="23">
        <f>IF($A707="","",IF($B707="","Escolha o insumo",IF($F707="","Insumo sem custo",IF(COUNTIF(PratoNome,$A707)=0,"Prato não cadastrado",IF($C707="","Falta quantidade","OK")))))</f>
        <v>0</v>
      </c>
    </row>
    <row r="708" spans="1:8">
      <c r="A708" s="13"/>
      <c r="B708" s="13"/>
      <c r="C708" s="19"/>
      <c r="D708" s="13"/>
      <c r="E708" s="23">
        <f>IF($B708="","",IFERROR(INDEX(InsUnid,MATCH($B708,InsNome,0)),""))</f>
        <v>0</v>
      </c>
      <c r="F708" s="21">
        <f>IF($B708="","",IFERROR(INDEX(InsUtil,MATCH($B708,InsNome,0)),""))</f>
        <v>0</v>
      </c>
      <c r="G708" s="24">
        <f>IF(OR($A708="",$C708="",$F708=""),"",$C708*$F708)</f>
        <v>0</v>
      </c>
      <c r="H708" s="23">
        <f>IF($A708="","",IF($B708="","Escolha o insumo",IF($F708="","Insumo sem custo",IF(COUNTIF(PratoNome,$A708)=0,"Prato não cadastrado",IF($C708="","Falta quantidade","OK")))))</f>
        <v>0</v>
      </c>
    </row>
    <row r="709" spans="1:8">
      <c r="A709" s="13"/>
      <c r="B709" s="13"/>
      <c r="C709" s="19"/>
      <c r="D709" s="13"/>
      <c r="E709" s="23">
        <f>IF($B709="","",IFERROR(INDEX(InsUnid,MATCH($B709,InsNome,0)),""))</f>
        <v>0</v>
      </c>
      <c r="F709" s="21">
        <f>IF($B709="","",IFERROR(INDEX(InsUtil,MATCH($B709,InsNome,0)),""))</f>
        <v>0</v>
      </c>
      <c r="G709" s="24">
        <f>IF(OR($A709="",$C709="",$F709=""),"",$C709*$F709)</f>
        <v>0</v>
      </c>
      <c r="H709" s="23">
        <f>IF($A709="","",IF($B709="","Escolha o insumo",IF($F709="","Insumo sem custo",IF(COUNTIF(PratoNome,$A709)=0,"Prato não cadastrado",IF($C709="","Falta quantidade","OK")))))</f>
        <v>0</v>
      </c>
    </row>
    <row r="710" spans="1:8">
      <c r="A710" s="13"/>
      <c r="B710" s="13"/>
      <c r="C710" s="19"/>
      <c r="D710" s="13"/>
      <c r="E710" s="23">
        <f>IF($B710="","",IFERROR(INDEX(InsUnid,MATCH($B710,InsNome,0)),""))</f>
        <v>0</v>
      </c>
      <c r="F710" s="21">
        <f>IF($B710="","",IFERROR(INDEX(InsUtil,MATCH($B710,InsNome,0)),""))</f>
        <v>0</v>
      </c>
      <c r="G710" s="24">
        <f>IF(OR($A710="",$C710="",$F710=""),"",$C710*$F710)</f>
        <v>0</v>
      </c>
      <c r="H710" s="23">
        <f>IF($A710="","",IF($B710="","Escolha o insumo",IF($F710="","Insumo sem custo",IF(COUNTIF(PratoNome,$A710)=0,"Prato não cadastrado",IF($C710="","Falta quantidade","OK")))))</f>
        <v>0</v>
      </c>
    </row>
    <row r="711" spans="1:8">
      <c r="A711" s="13"/>
      <c r="B711" s="13"/>
      <c r="C711" s="19"/>
      <c r="D711" s="13"/>
      <c r="E711" s="23">
        <f>IF($B711="","",IFERROR(INDEX(InsUnid,MATCH($B711,InsNome,0)),""))</f>
        <v>0</v>
      </c>
      <c r="F711" s="21">
        <f>IF($B711="","",IFERROR(INDEX(InsUtil,MATCH($B711,InsNome,0)),""))</f>
        <v>0</v>
      </c>
      <c r="G711" s="24">
        <f>IF(OR($A711="",$C711="",$F711=""),"",$C711*$F711)</f>
        <v>0</v>
      </c>
      <c r="H711" s="23">
        <f>IF($A711="","",IF($B711="","Escolha o insumo",IF($F711="","Insumo sem custo",IF(COUNTIF(PratoNome,$A711)=0,"Prato não cadastrado",IF($C711="","Falta quantidade","OK")))))</f>
        <v>0</v>
      </c>
    </row>
    <row r="712" spans="1:8">
      <c r="A712" s="13"/>
      <c r="B712" s="13"/>
      <c r="C712" s="19"/>
      <c r="D712" s="13"/>
      <c r="E712" s="23">
        <f>IF($B712="","",IFERROR(INDEX(InsUnid,MATCH($B712,InsNome,0)),""))</f>
        <v>0</v>
      </c>
      <c r="F712" s="21">
        <f>IF($B712="","",IFERROR(INDEX(InsUtil,MATCH($B712,InsNome,0)),""))</f>
        <v>0</v>
      </c>
      <c r="G712" s="24">
        <f>IF(OR($A712="",$C712="",$F712=""),"",$C712*$F712)</f>
        <v>0</v>
      </c>
      <c r="H712" s="23">
        <f>IF($A712="","",IF($B712="","Escolha o insumo",IF($F712="","Insumo sem custo",IF(COUNTIF(PratoNome,$A712)=0,"Prato não cadastrado",IF($C712="","Falta quantidade","OK")))))</f>
        <v>0</v>
      </c>
    </row>
    <row r="713" spans="1:8">
      <c r="A713" s="13"/>
      <c r="B713" s="13"/>
      <c r="C713" s="19"/>
      <c r="D713" s="13"/>
      <c r="E713" s="23">
        <f>IF($B713="","",IFERROR(INDEX(InsUnid,MATCH($B713,InsNome,0)),""))</f>
        <v>0</v>
      </c>
      <c r="F713" s="21">
        <f>IF($B713="","",IFERROR(INDEX(InsUtil,MATCH($B713,InsNome,0)),""))</f>
        <v>0</v>
      </c>
      <c r="G713" s="24">
        <f>IF(OR($A713="",$C713="",$F713=""),"",$C713*$F713)</f>
        <v>0</v>
      </c>
      <c r="H713" s="23">
        <f>IF($A713="","",IF($B713="","Escolha o insumo",IF($F713="","Insumo sem custo",IF(COUNTIF(PratoNome,$A713)=0,"Prato não cadastrado",IF($C713="","Falta quantidade","OK")))))</f>
        <v>0</v>
      </c>
    </row>
    <row r="714" spans="1:8">
      <c r="A714" s="13"/>
      <c r="B714" s="13"/>
      <c r="C714" s="19"/>
      <c r="D714" s="13"/>
      <c r="E714" s="23">
        <f>IF($B714="","",IFERROR(INDEX(InsUnid,MATCH($B714,InsNome,0)),""))</f>
        <v>0</v>
      </c>
      <c r="F714" s="21">
        <f>IF($B714="","",IFERROR(INDEX(InsUtil,MATCH($B714,InsNome,0)),""))</f>
        <v>0</v>
      </c>
      <c r="G714" s="24">
        <f>IF(OR($A714="",$C714="",$F714=""),"",$C714*$F714)</f>
        <v>0</v>
      </c>
      <c r="H714" s="23">
        <f>IF($A714="","",IF($B714="","Escolha o insumo",IF($F714="","Insumo sem custo",IF(COUNTIF(PratoNome,$A714)=0,"Prato não cadastrado",IF($C714="","Falta quantidade","OK")))))</f>
        <v>0</v>
      </c>
    </row>
    <row r="715" spans="1:8">
      <c r="A715" s="13"/>
      <c r="B715" s="13"/>
      <c r="C715" s="19"/>
      <c r="D715" s="13"/>
      <c r="E715" s="23">
        <f>IF($B715="","",IFERROR(INDEX(InsUnid,MATCH($B715,InsNome,0)),""))</f>
        <v>0</v>
      </c>
      <c r="F715" s="21">
        <f>IF($B715="","",IFERROR(INDEX(InsUtil,MATCH($B715,InsNome,0)),""))</f>
        <v>0</v>
      </c>
      <c r="G715" s="24">
        <f>IF(OR($A715="",$C715="",$F715=""),"",$C715*$F715)</f>
        <v>0</v>
      </c>
      <c r="H715" s="23">
        <f>IF($A715="","",IF($B715="","Escolha o insumo",IF($F715="","Insumo sem custo",IF(COUNTIF(PratoNome,$A715)=0,"Prato não cadastrado",IF($C715="","Falta quantidade","OK")))))</f>
        <v>0</v>
      </c>
    </row>
    <row r="716" spans="1:8">
      <c r="A716" s="13"/>
      <c r="B716" s="13"/>
      <c r="C716" s="19"/>
      <c r="D716" s="13"/>
      <c r="E716" s="23">
        <f>IF($B716="","",IFERROR(INDEX(InsUnid,MATCH($B716,InsNome,0)),""))</f>
        <v>0</v>
      </c>
      <c r="F716" s="21">
        <f>IF($B716="","",IFERROR(INDEX(InsUtil,MATCH($B716,InsNome,0)),""))</f>
        <v>0</v>
      </c>
      <c r="G716" s="24">
        <f>IF(OR($A716="",$C716="",$F716=""),"",$C716*$F716)</f>
        <v>0</v>
      </c>
      <c r="H716" s="23">
        <f>IF($A716="","",IF($B716="","Escolha o insumo",IF($F716="","Insumo sem custo",IF(COUNTIF(PratoNome,$A716)=0,"Prato não cadastrado",IF($C716="","Falta quantidade","OK")))))</f>
        <v>0</v>
      </c>
    </row>
    <row r="717" spans="1:8">
      <c r="A717" s="13"/>
      <c r="B717" s="13"/>
      <c r="C717" s="19"/>
      <c r="D717" s="13"/>
      <c r="E717" s="23">
        <f>IF($B717="","",IFERROR(INDEX(InsUnid,MATCH($B717,InsNome,0)),""))</f>
        <v>0</v>
      </c>
      <c r="F717" s="21">
        <f>IF($B717="","",IFERROR(INDEX(InsUtil,MATCH($B717,InsNome,0)),""))</f>
        <v>0</v>
      </c>
      <c r="G717" s="24">
        <f>IF(OR($A717="",$C717="",$F717=""),"",$C717*$F717)</f>
        <v>0</v>
      </c>
      <c r="H717" s="23">
        <f>IF($A717="","",IF($B717="","Escolha o insumo",IF($F717="","Insumo sem custo",IF(COUNTIF(PratoNome,$A717)=0,"Prato não cadastrado",IF($C717="","Falta quantidade","OK")))))</f>
        <v>0</v>
      </c>
    </row>
    <row r="718" spans="1:8">
      <c r="A718" s="13"/>
      <c r="B718" s="13"/>
      <c r="C718" s="19"/>
      <c r="D718" s="13"/>
      <c r="E718" s="23">
        <f>IF($B718="","",IFERROR(INDEX(InsUnid,MATCH($B718,InsNome,0)),""))</f>
        <v>0</v>
      </c>
      <c r="F718" s="21">
        <f>IF($B718="","",IFERROR(INDEX(InsUtil,MATCH($B718,InsNome,0)),""))</f>
        <v>0</v>
      </c>
      <c r="G718" s="24">
        <f>IF(OR($A718="",$C718="",$F718=""),"",$C718*$F718)</f>
        <v>0</v>
      </c>
      <c r="H718" s="23">
        <f>IF($A718="","",IF($B718="","Escolha o insumo",IF($F718="","Insumo sem custo",IF(COUNTIF(PratoNome,$A718)=0,"Prato não cadastrado",IF($C718="","Falta quantidade","OK")))))</f>
        <v>0</v>
      </c>
    </row>
    <row r="719" spans="1:8">
      <c r="A719" s="13"/>
      <c r="B719" s="13"/>
      <c r="C719" s="19"/>
      <c r="D719" s="13"/>
      <c r="E719" s="23">
        <f>IF($B719="","",IFERROR(INDEX(InsUnid,MATCH($B719,InsNome,0)),""))</f>
        <v>0</v>
      </c>
      <c r="F719" s="21">
        <f>IF($B719="","",IFERROR(INDEX(InsUtil,MATCH($B719,InsNome,0)),""))</f>
        <v>0</v>
      </c>
      <c r="G719" s="24">
        <f>IF(OR($A719="",$C719="",$F719=""),"",$C719*$F719)</f>
        <v>0</v>
      </c>
      <c r="H719" s="23">
        <f>IF($A719="","",IF($B719="","Escolha o insumo",IF($F719="","Insumo sem custo",IF(COUNTIF(PratoNome,$A719)=0,"Prato não cadastrado",IF($C719="","Falta quantidade","OK")))))</f>
        <v>0</v>
      </c>
    </row>
    <row r="720" spans="1:8">
      <c r="A720" s="13"/>
      <c r="B720" s="13"/>
      <c r="C720" s="19"/>
      <c r="D720" s="13"/>
      <c r="E720" s="23">
        <f>IF($B720="","",IFERROR(INDEX(InsUnid,MATCH($B720,InsNome,0)),""))</f>
        <v>0</v>
      </c>
      <c r="F720" s="21">
        <f>IF($B720="","",IFERROR(INDEX(InsUtil,MATCH($B720,InsNome,0)),""))</f>
        <v>0</v>
      </c>
      <c r="G720" s="24">
        <f>IF(OR($A720="",$C720="",$F720=""),"",$C720*$F720)</f>
        <v>0</v>
      </c>
      <c r="H720" s="23">
        <f>IF($A720="","",IF($B720="","Escolha o insumo",IF($F720="","Insumo sem custo",IF(COUNTIF(PratoNome,$A720)=0,"Prato não cadastrado",IF($C720="","Falta quantidade","OK")))))</f>
        <v>0</v>
      </c>
    </row>
    <row r="721" spans="1:8">
      <c r="A721" s="13"/>
      <c r="B721" s="13"/>
      <c r="C721" s="19"/>
      <c r="D721" s="13"/>
      <c r="E721" s="23">
        <f>IF($B721="","",IFERROR(INDEX(InsUnid,MATCH($B721,InsNome,0)),""))</f>
        <v>0</v>
      </c>
      <c r="F721" s="21">
        <f>IF($B721="","",IFERROR(INDEX(InsUtil,MATCH($B721,InsNome,0)),""))</f>
        <v>0</v>
      </c>
      <c r="G721" s="24">
        <f>IF(OR($A721="",$C721="",$F721=""),"",$C721*$F721)</f>
        <v>0</v>
      </c>
      <c r="H721" s="23">
        <f>IF($A721="","",IF($B721="","Escolha o insumo",IF($F721="","Insumo sem custo",IF(COUNTIF(PratoNome,$A721)=0,"Prato não cadastrado",IF($C721="","Falta quantidade","OK")))))</f>
        <v>0</v>
      </c>
    </row>
    <row r="722" spans="1:8">
      <c r="A722" s="13"/>
      <c r="B722" s="13"/>
      <c r="C722" s="19"/>
      <c r="D722" s="13"/>
      <c r="E722" s="23">
        <f>IF($B722="","",IFERROR(INDEX(InsUnid,MATCH($B722,InsNome,0)),""))</f>
        <v>0</v>
      </c>
      <c r="F722" s="21">
        <f>IF($B722="","",IFERROR(INDEX(InsUtil,MATCH($B722,InsNome,0)),""))</f>
        <v>0</v>
      </c>
      <c r="G722" s="24">
        <f>IF(OR($A722="",$C722="",$F722=""),"",$C722*$F722)</f>
        <v>0</v>
      </c>
      <c r="H722" s="23">
        <f>IF($A722="","",IF($B722="","Escolha o insumo",IF($F722="","Insumo sem custo",IF(COUNTIF(PratoNome,$A722)=0,"Prato não cadastrado",IF($C722="","Falta quantidade","OK")))))</f>
        <v>0</v>
      </c>
    </row>
    <row r="723" spans="1:8">
      <c r="A723" s="13"/>
      <c r="B723" s="13"/>
      <c r="C723" s="19"/>
      <c r="D723" s="13"/>
      <c r="E723" s="23">
        <f>IF($B723="","",IFERROR(INDEX(InsUnid,MATCH($B723,InsNome,0)),""))</f>
        <v>0</v>
      </c>
      <c r="F723" s="21">
        <f>IF($B723="","",IFERROR(INDEX(InsUtil,MATCH($B723,InsNome,0)),""))</f>
        <v>0</v>
      </c>
      <c r="G723" s="24">
        <f>IF(OR($A723="",$C723="",$F723=""),"",$C723*$F723)</f>
        <v>0</v>
      </c>
      <c r="H723" s="23">
        <f>IF($A723="","",IF($B723="","Escolha o insumo",IF($F723="","Insumo sem custo",IF(COUNTIF(PratoNome,$A723)=0,"Prato não cadastrado",IF($C723="","Falta quantidade","OK")))))</f>
        <v>0</v>
      </c>
    </row>
    <row r="724" spans="1:8">
      <c r="A724" s="13"/>
      <c r="B724" s="13"/>
      <c r="C724" s="19"/>
      <c r="D724" s="13"/>
      <c r="E724" s="23">
        <f>IF($B724="","",IFERROR(INDEX(InsUnid,MATCH($B724,InsNome,0)),""))</f>
        <v>0</v>
      </c>
      <c r="F724" s="21">
        <f>IF($B724="","",IFERROR(INDEX(InsUtil,MATCH($B724,InsNome,0)),""))</f>
        <v>0</v>
      </c>
      <c r="G724" s="24">
        <f>IF(OR($A724="",$C724="",$F724=""),"",$C724*$F724)</f>
        <v>0</v>
      </c>
      <c r="H724" s="23">
        <f>IF($A724="","",IF($B724="","Escolha o insumo",IF($F724="","Insumo sem custo",IF(COUNTIF(PratoNome,$A724)=0,"Prato não cadastrado",IF($C724="","Falta quantidade","OK")))))</f>
        <v>0</v>
      </c>
    </row>
    <row r="725" spans="1:8">
      <c r="A725" s="13"/>
      <c r="B725" s="13"/>
      <c r="C725" s="19"/>
      <c r="D725" s="13"/>
      <c r="E725" s="23">
        <f>IF($B725="","",IFERROR(INDEX(InsUnid,MATCH($B725,InsNome,0)),""))</f>
        <v>0</v>
      </c>
      <c r="F725" s="21">
        <f>IF($B725="","",IFERROR(INDEX(InsUtil,MATCH($B725,InsNome,0)),""))</f>
        <v>0</v>
      </c>
      <c r="G725" s="24">
        <f>IF(OR($A725="",$C725="",$F725=""),"",$C725*$F725)</f>
        <v>0</v>
      </c>
      <c r="H725" s="23">
        <f>IF($A725="","",IF($B725="","Escolha o insumo",IF($F725="","Insumo sem custo",IF(COUNTIF(PratoNome,$A725)=0,"Prato não cadastrado",IF($C725="","Falta quantidade","OK")))))</f>
        <v>0</v>
      </c>
    </row>
    <row r="726" spans="1:8">
      <c r="A726" s="13"/>
      <c r="B726" s="13"/>
      <c r="C726" s="19"/>
      <c r="D726" s="13"/>
      <c r="E726" s="23">
        <f>IF($B726="","",IFERROR(INDEX(InsUnid,MATCH($B726,InsNome,0)),""))</f>
        <v>0</v>
      </c>
      <c r="F726" s="21">
        <f>IF($B726="","",IFERROR(INDEX(InsUtil,MATCH($B726,InsNome,0)),""))</f>
        <v>0</v>
      </c>
      <c r="G726" s="24">
        <f>IF(OR($A726="",$C726="",$F726=""),"",$C726*$F726)</f>
        <v>0</v>
      </c>
      <c r="H726" s="23">
        <f>IF($A726="","",IF($B726="","Escolha o insumo",IF($F726="","Insumo sem custo",IF(COUNTIF(PratoNome,$A726)=0,"Prato não cadastrado",IF($C726="","Falta quantidade","OK")))))</f>
        <v>0</v>
      </c>
    </row>
    <row r="727" spans="1:8">
      <c r="A727" s="13"/>
      <c r="B727" s="13"/>
      <c r="C727" s="19"/>
      <c r="D727" s="13"/>
      <c r="E727" s="23">
        <f>IF($B727="","",IFERROR(INDEX(InsUnid,MATCH($B727,InsNome,0)),""))</f>
        <v>0</v>
      </c>
      <c r="F727" s="21">
        <f>IF($B727="","",IFERROR(INDEX(InsUtil,MATCH($B727,InsNome,0)),""))</f>
        <v>0</v>
      </c>
      <c r="G727" s="24">
        <f>IF(OR($A727="",$C727="",$F727=""),"",$C727*$F727)</f>
        <v>0</v>
      </c>
      <c r="H727" s="23">
        <f>IF($A727="","",IF($B727="","Escolha o insumo",IF($F727="","Insumo sem custo",IF(COUNTIF(PratoNome,$A727)=0,"Prato não cadastrado",IF($C727="","Falta quantidade","OK")))))</f>
        <v>0</v>
      </c>
    </row>
    <row r="728" spans="1:8">
      <c r="A728" s="13"/>
      <c r="B728" s="13"/>
      <c r="C728" s="19"/>
      <c r="D728" s="13"/>
      <c r="E728" s="23">
        <f>IF($B728="","",IFERROR(INDEX(InsUnid,MATCH($B728,InsNome,0)),""))</f>
        <v>0</v>
      </c>
      <c r="F728" s="21">
        <f>IF($B728="","",IFERROR(INDEX(InsUtil,MATCH($B728,InsNome,0)),""))</f>
        <v>0</v>
      </c>
      <c r="G728" s="24">
        <f>IF(OR($A728="",$C728="",$F728=""),"",$C728*$F728)</f>
        <v>0</v>
      </c>
      <c r="H728" s="23">
        <f>IF($A728="","",IF($B728="","Escolha o insumo",IF($F728="","Insumo sem custo",IF(COUNTIF(PratoNome,$A728)=0,"Prato não cadastrado",IF($C728="","Falta quantidade","OK")))))</f>
        <v>0</v>
      </c>
    </row>
    <row r="729" spans="1:8">
      <c r="A729" s="13"/>
      <c r="B729" s="13"/>
      <c r="C729" s="19"/>
      <c r="D729" s="13"/>
      <c r="E729" s="23">
        <f>IF($B729="","",IFERROR(INDEX(InsUnid,MATCH($B729,InsNome,0)),""))</f>
        <v>0</v>
      </c>
      <c r="F729" s="21">
        <f>IF($B729="","",IFERROR(INDEX(InsUtil,MATCH($B729,InsNome,0)),""))</f>
        <v>0</v>
      </c>
      <c r="G729" s="24">
        <f>IF(OR($A729="",$C729="",$F729=""),"",$C729*$F729)</f>
        <v>0</v>
      </c>
      <c r="H729" s="23">
        <f>IF($A729="","",IF($B729="","Escolha o insumo",IF($F729="","Insumo sem custo",IF(COUNTIF(PratoNome,$A729)=0,"Prato não cadastrado",IF($C729="","Falta quantidade","OK")))))</f>
        <v>0</v>
      </c>
    </row>
    <row r="730" spans="1:8">
      <c r="A730" s="13"/>
      <c r="B730" s="13"/>
      <c r="C730" s="19"/>
      <c r="D730" s="13"/>
      <c r="E730" s="23">
        <f>IF($B730="","",IFERROR(INDEX(InsUnid,MATCH($B730,InsNome,0)),""))</f>
        <v>0</v>
      </c>
      <c r="F730" s="21">
        <f>IF($B730="","",IFERROR(INDEX(InsUtil,MATCH($B730,InsNome,0)),""))</f>
        <v>0</v>
      </c>
      <c r="G730" s="24">
        <f>IF(OR($A730="",$C730="",$F730=""),"",$C730*$F730)</f>
        <v>0</v>
      </c>
      <c r="H730" s="23">
        <f>IF($A730="","",IF($B730="","Escolha o insumo",IF($F730="","Insumo sem custo",IF(COUNTIF(PratoNome,$A730)=0,"Prato não cadastrado",IF($C730="","Falta quantidade","OK")))))</f>
        <v>0</v>
      </c>
    </row>
    <row r="731" spans="1:8">
      <c r="A731" s="13"/>
      <c r="B731" s="13"/>
      <c r="C731" s="19"/>
      <c r="D731" s="13"/>
      <c r="E731" s="23">
        <f>IF($B731="","",IFERROR(INDEX(InsUnid,MATCH($B731,InsNome,0)),""))</f>
        <v>0</v>
      </c>
      <c r="F731" s="21">
        <f>IF($B731="","",IFERROR(INDEX(InsUtil,MATCH($B731,InsNome,0)),""))</f>
        <v>0</v>
      </c>
      <c r="G731" s="24">
        <f>IF(OR($A731="",$C731="",$F731=""),"",$C731*$F731)</f>
        <v>0</v>
      </c>
      <c r="H731" s="23">
        <f>IF($A731="","",IF($B731="","Escolha o insumo",IF($F731="","Insumo sem custo",IF(COUNTIF(PratoNome,$A731)=0,"Prato não cadastrado",IF($C731="","Falta quantidade","OK")))))</f>
        <v>0</v>
      </c>
    </row>
    <row r="732" spans="1:8">
      <c r="A732" s="13"/>
      <c r="B732" s="13"/>
      <c r="C732" s="19"/>
      <c r="D732" s="13"/>
      <c r="E732" s="23">
        <f>IF($B732="","",IFERROR(INDEX(InsUnid,MATCH($B732,InsNome,0)),""))</f>
        <v>0</v>
      </c>
      <c r="F732" s="21">
        <f>IF($B732="","",IFERROR(INDEX(InsUtil,MATCH($B732,InsNome,0)),""))</f>
        <v>0</v>
      </c>
      <c r="G732" s="24">
        <f>IF(OR($A732="",$C732="",$F732=""),"",$C732*$F732)</f>
        <v>0</v>
      </c>
      <c r="H732" s="23">
        <f>IF($A732="","",IF($B732="","Escolha o insumo",IF($F732="","Insumo sem custo",IF(COUNTIF(PratoNome,$A732)=0,"Prato não cadastrado",IF($C732="","Falta quantidade","OK")))))</f>
        <v>0</v>
      </c>
    </row>
    <row r="733" spans="1:8">
      <c r="A733" s="13"/>
      <c r="B733" s="13"/>
      <c r="C733" s="19"/>
      <c r="D733" s="13"/>
      <c r="E733" s="23">
        <f>IF($B733="","",IFERROR(INDEX(InsUnid,MATCH($B733,InsNome,0)),""))</f>
        <v>0</v>
      </c>
      <c r="F733" s="21">
        <f>IF($B733="","",IFERROR(INDEX(InsUtil,MATCH($B733,InsNome,0)),""))</f>
        <v>0</v>
      </c>
      <c r="G733" s="24">
        <f>IF(OR($A733="",$C733="",$F733=""),"",$C733*$F733)</f>
        <v>0</v>
      </c>
      <c r="H733" s="23">
        <f>IF($A733="","",IF($B733="","Escolha o insumo",IF($F733="","Insumo sem custo",IF(COUNTIF(PratoNome,$A733)=0,"Prato não cadastrado",IF($C733="","Falta quantidade","OK")))))</f>
        <v>0</v>
      </c>
    </row>
    <row r="734" spans="1:8">
      <c r="A734" s="13"/>
      <c r="B734" s="13"/>
      <c r="C734" s="19"/>
      <c r="D734" s="13"/>
      <c r="E734" s="23">
        <f>IF($B734="","",IFERROR(INDEX(InsUnid,MATCH($B734,InsNome,0)),""))</f>
        <v>0</v>
      </c>
      <c r="F734" s="21">
        <f>IF($B734="","",IFERROR(INDEX(InsUtil,MATCH($B734,InsNome,0)),""))</f>
        <v>0</v>
      </c>
      <c r="G734" s="24">
        <f>IF(OR($A734="",$C734="",$F734=""),"",$C734*$F734)</f>
        <v>0</v>
      </c>
      <c r="H734" s="23">
        <f>IF($A734="","",IF($B734="","Escolha o insumo",IF($F734="","Insumo sem custo",IF(COUNTIF(PratoNome,$A734)=0,"Prato não cadastrado",IF($C734="","Falta quantidade","OK")))))</f>
        <v>0</v>
      </c>
    </row>
    <row r="735" spans="1:8">
      <c r="A735" s="13"/>
      <c r="B735" s="13"/>
      <c r="C735" s="19"/>
      <c r="D735" s="13"/>
      <c r="E735" s="23">
        <f>IF($B735="","",IFERROR(INDEX(InsUnid,MATCH($B735,InsNome,0)),""))</f>
        <v>0</v>
      </c>
      <c r="F735" s="21">
        <f>IF($B735="","",IFERROR(INDEX(InsUtil,MATCH($B735,InsNome,0)),""))</f>
        <v>0</v>
      </c>
      <c r="G735" s="24">
        <f>IF(OR($A735="",$C735="",$F735=""),"",$C735*$F735)</f>
        <v>0</v>
      </c>
      <c r="H735" s="23">
        <f>IF($A735="","",IF($B735="","Escolha o insumo",IF($F735="","Insumo sem custo",IF(COUNTIF(PratoNome,$A735)=0,"Prato não cadastrado",IF($C735="","Falta quantidade","OK")))))</f>
        <v>0</v>
      </c>
    </row>
    <row r="736" spans="1:8">
      <c r="A736" s="13"/>
      <c r="B736" s="13"/>
      <c r="C736" s="19"/>
      <c r="D736" s="13"/>
      <c r="E736" s="23">
        <f>IF($B736="","",IFERROR(INDEX(InsUnid,MATCH($B736,InsNome,0)),""))</f>
        <v>0</v>
      </c>
      <c r="F736" s="21">
        <f>IF($B736="","",IFERROR(INDEX(InsUtil,MATCH($B736,InsNome,0)),""))</f>
        <v>0</v>
      </c>
      <c r="G736" s="24">
        <f>IF(OR($A736="",$C736="",$F736=""),"",$C736*$F736)</f>
        <v>0</v>
      </c>
      <c r="H736" s="23">
        <f>IF($A736="","",IF($B736="","Escolha o insumo",IF($F736="","Insumo sem custo",IF(COUNTIF(PratoNome,$A736)=0,"Prato não cadastrado",IF($C736="","Falta quantidade","OK")))))</f>
        <v>0</v>
      </c>
    </row>
    <row r="737" spans="1:8">
      <c r="A737" s="13"/>
      <c r="B737" s="13"/>
      <c r="C737" s="19"/>
      <c r="D737" s="13"/>
      <c r="E737" s="23">
        <f>IF($B737="","",IFERROR(INDEX(InsUnid,MATCH($B737,InsNome,0)),""))</f>
        <v>0</v>
      </c>
      <c r="F737" s="21">
        <f>IF($B737="","",IFERROR(INDEX(InsUtil,MATCH($B737,InsNome,0)),""))</f>
        <v>0</v>
      </c>
      <c r="G737" s="24">
        <f>IF(OR($A737="",$C737="",$F737=""),"",$C737*$F737)</f>
        <v>0</v>
      </c>
      <c r="H737" s="23">
        <f>IF($A737="","",IF($B737="","Escolha o insumo",IF($F737="","Insumo sem custo",IF(COUNTIF(PratoNome,$A737)=0,"Prato não cadastrado",IF($C737="","Falta quantidade","OK")))))</f>
        <v>0</v>
      </c>
    </row>
    <row r="738" spans="1:8">
      <c r="A738" s="13"/>
      <c r="B738" s="13"/>
      <c r="C738" s="19"/>
      <c r="D738" s="13"/>
      <c r="E738" s="23">
        <f>IF($B738="","",IFERROR(INDEX(InsUnid,MATCH($B738,InsNome,0)),""))</f>
        <v>0</v>
      </c>
      <c r="F738" s="21">
        <f>IF($B738="","",IFERROR(INDEX(InsUtil,MATCH($B738,InsNome,0)),""))</f>
        <v>0</v>
      </c>
      <c r="G738" s="24">
        <f>IF(OR($A738="",$C738="",$F738=""),"",$C738*$F738)</f>
        <v>0</v>
      </c>
      <c r="H738" s="23">
        <f>IF($A738="","",IF($B738="","Escolha o insumo",IF($F738="","Insumo sem custo",IF(COUNTIF(PratoNome,$A738)=0,"Prato não cadastrado",IF($C738="","Falta quantidade","OK")))))</f>
        <v>0</v>
      </c>
    </row>
    <row r="739" spans="1:8">
      <c r="A739" s="13"/>
      <c r="B739" s="13"/>
      <c r="C739" s="19"/>
      <c r="D739" s="13"/>
      <c r="E739" s="23">
        <f>IF($B739="","",IFERROR(INDEX(InsUnid,MATCH($B739,InsNome,0)),""))</f>
        <v>0</v>
      </c>
      <c r="F739" s="21">
        <f>IF($B739="","",IFERROR(INDEX(InsUtil,MATCH($B739,InsNome,0)),""))</f>
        <v>0</v>
      </c>
      <c r="G739" s="24">
        <f>IF(OR($A739="",$C739="",$F739=""),"",$C739*$F739)</f>
        <v>0</v>
      </c>
      <c r="H739" s="23">
        <f>IF($A739="","",IF($B739="","Escolha o insumo",IF($F739="","Insumo sem custo",IF(COUNTIF(PratoNome,$A739)=0,"Prato não cadastrado",IF($C739="","Falta quantidade","OK")))))</f>
        <v>0</v>
      </c>
    </row>
    <row r="740" spans="1:8">
      <c r="A740" s="13"/>
      <c r="B740" s="13"/>
      <c r="C740" s="19"/>
      <c r="D740" s="13"/>
      <c r="E740" s="23">
        <f>IF($B740="","",IFERROR(INDEX(InsUnid,MATCH($B740,InsNome,0)),""))</f>
        <v>0</v>
      </c>
      <c r="F740" s="21">
        <f>IF($B740="","",IFERROR(INDEX(InsUtil,MATCH($B740,InsNome,0)),""))</f>
        <v>0</v>
      </c>
      <c r="G740" s="24">
        <f>IF(OR($A740="",$C740="",$F740=""),"",$C740*$F740)</f>
        <v>0</v>
      </c>
      <c r="H740" s="23">
        <f>IF($A740="","",IF($B740="","Escolha o insumo",IF($F740="","Insumo sem custo",IF(COUNTIF(PratoNome,$A740)=0,"Prato não cadastrado",IF($C740="","Falta quantidade","OK")))))</f>
        <v>0</v>
      </c>
    </row>
    <row r="741" spans="1:8">
      <c r="A741" s="13"/>
      <c r="B741" s="13"/>
      <c r="C741" s="19"/>
      <c r="D741" s="13"/>
      <c r="E741" s="23">
        <f>IF($B741="","",IFERROR(INDEX(InsUnid,MATCH($B741,InsNome,0)),""))</f>
        <v>0</v>
      </c>
      <c r="F741" s="21">
        <f>IF($B741="","",IFERROR(INDEX(InsUtil,MATCH($B741,InsNome,0)),""))</f>
        <v>0</v>
      </c>
      <c r="G741" s="24">
        <f>IF(OR($A741="",$C741="",$F741=""),"",$C741*$F741)</f>
        <v>0</v>
      </c>
      <c r="H741" s="23">
        <f>IF($A741="","",IF($B741="","Escolha o insumo",IF($F741="","Insumo sem custo",IF(COUNTIF(PratoNome,$A741)=0,"Prato não cadastrado",IF($C741="","Falta quantidade","OK")))))</f>
        <v>0</v>
      </c>
    </row>
    <row r="742" spans="1:8">
      <c r="A742" s="13"/>
      <c r="B742" s="13"/>
      <c r="C742" s="19"/>
      <c r="D742" s="13"/>
      <c r="E742" s="23">
        <f>IF($B742="","",IFERROR(INDEX(InsUnid,MATCH($B742,InsNome,0)),""))</f>
        <v>0</v>
      </c>
      <c r="F742" s="21">
        <f>IF($B742="","",IFERROR(INDEX(InsUtil,MATCH($B742,InsNome,0)),""))</f>
        <v>0</v>
      </c>
      <c r="G742" s="24">
        <f>IF(OR($A742="",$C742="",$F742=""),"",$C742*$F742)</f>
        <v>0</v>
      </c>
      <c r="H742" s="23">
        <f>IF($A742="","",IF($B742="","Escolha o insumo",IF($F742="","Insumo sem custo",IF(COUNTIF(PratoNome,$A742)=0,"Prato não cadastrado",IF($C742="","Falta quantidade","OK")))))</f>
        <v>0</v>
      </c>
    </row>
    <row r="743" spans="1:8">
      <c r="A743" s="13"/>
      <c r="B743" s="13"/>
      <c r="C743" s="19"/>
      <c r="D743" s="13"/>
      <c r="E743" s="23">
        <f>IF($B743="","",IFERROR(INDEX(InsUnid,MATCH($B743,InsNome,0)),""))</f>
        <v>0</v>
      </c>
      <c r="F743" s="21">
        <f>IF($B743="","",IFERROR(INDEX(InsUtil,MATCH($B743,InsNome,0)),""))</f>
        <v>0</v>
      </c>
      <c r="G743" s="24">
        <f>IF(OR($A743="",$C743="",$F743=""),"",$C743*$F743)</f>
        <v>0</v>
      </c>
      <c r="H743" s="23">
        <f>IF($A743="","",IF($B743="","Escolha o insumo",IF($F743="","Insumo sem custo",IF(COUNTIF(PratoNome,$A743)=0,"Prato não cadastrado",IF($C743="","Falta quantidade","OK")))))</f>
        <v>0</v>
      </c>
    </row>
    <row r="744" spans="1:8">
      <c r="A744" s="13"/>
      <c r="B744" s="13"/>
      <c r="C744" s="19"/>
      <c r="D744" s="13"/>
      <c r="E744" s="23">
        <f>IF($B744="","",IFERROR(INDEX(InsUnid,MATCH($B744,InsNome,0)),""))</f>
        <v>0</v>
      </c>
      <c r="F744" s="21">
        <f>IF($B744="","",IFERROR(INDEX(InsUtil,MATCH($B744,InsNome,0)),""))</f>
        <v>0</v>
      </c>
      <c r="G744" s="24">
        <f>IF(OR($A744="",$C744="",$F744=""),"",$C744*$F744)</f>
        <v>0</v>
      </c>
      <c r="H744" s="23">
        <f>IF($A744="","",IF($B744="","Escolha o insumo",IF($F744="","Insumo sem custo",IF(COUNTIF(PratoNome,$A744)=0,"Prato não cadastrado",IF($C744="","Falta quantidade","OK")))))</f>
        <v>0</v>
      </c>
    </row>
    <row r="745" spans="1:8">
      <c r="A745" s="13"/>
      <c r="B745" s="13"/>
      <c r="C745" s="19"/>
      <c r="D745" s="13"/>
      <c r="E745" s="23">
        <f>IF($B745="","",IFERROR(INDEX(InsUnid,MATCH($B745,InsNome,0)),""))</f>
        <v>0</v>
      </c>
      <c r="F745" s="21">
        <f>IF($B745="","",IFERROR(INDEX(InsUtil,MATCH($B745,InsNome,0)),""))</f>
        <v>0</v>
      </c>
      <c r="G745" s="24">
        <f>IF(OR($A745="",$C745="",$F745=""),"",$C745*$F745)</f>
        <v>0</v>
      </c>
      <c r="H745" s="23">
        <f>IF($A745="","",IF($B745="","Escolha o insumo",IF($F745="","Insumo sem custo",IF(COUNTIF(PratoNome,$A745)=0,"Prato não cadastrado",IF($C745="","Falta quantidade","OK")))))</f>
        <v>0</v>
      </c>
    </row>
    <row r="746" spans="1:8">
      <c r="A746" s="13"/>
      <c r="B746" s="13"/>
      <c r="C746" s="19"/>
      <c r="D746" s="13"/>
      <c r="E746" s="23">
        <f>IF($B746="","",IFERROR(INDEX(InsUnid,MATCH($B746,InsNome,0)),""))</f>
        <v>0</v>
      </c>
      <c r="F746" s="21">
        <f>IF($B746="","",IFERROR(INDEX(InsUtil,MATCH($B746,InsNome,0)),""))</f>
        <v>0</v>
      </c>
      <c r="G746" s="24">
        <f>IF(OR($A746="",$C746="",$F746=""),"",$C746*$F746)</f>
        <v>0</v>
      </c>
      <c r="H746" s="23">
        <f>IF($A746="","",IF($B746="","Escolha o insumo",IF($F746="","Insumo sem custo",IF(COUNTIF(PratoNome,$A746)=0,"Prato não cadastrado",IF($C746="","Falta quantidade","OK")))))</f>
        <v>0</v>
      </c>
    </row>
    <row r="747" spans="1:8">
      <c r="A747" s="13"/>
      <c r="B747" s="13"/>
      <c r="C747" s="19"/>
      <c r="D747" s="13"/>
      <c r="E747" s="23">
        <f>IF($B747="","",IFERROR(INDEX(InsUnid,MATCH($B747,InsNome,0)),""))</f>
        <v>0</v>
      </c>
      <c r="F747" s="21">
        <f>IF($B747="","",IFERROR(INDEX(InsUtil,MATCH($B747,InsNome,0)),""))</f>
        <v>0</v>
      </c>
      <c r="G747" s="24">
        <f>IF(OR($A747="",$C747="",$F747=""),"",$C747*$F747)</f>
        <v>0</v>
      </c>
      <c r="H747" s="23">
        <f>IF($A747="","",IF($B747="","Escolha o insumo",IF($F747="","Insumo sem custo",IF(COUNTIF(PratoNome,$A747)=0,"Prato não cadastrado",IF($C747="","Falta quantidade","OK")))))</f>
        <v>0</v>
      </c>
    </row>
    <row r="748" spans="1:8">
      <c r="A748" s="13"/>
      <c r="B748" s="13"/>
      <c r="C748" s="19"/>
      <c r="D748" s="13"/>
      <c r="E748" s="23">
        <f>IF($B748="","",IFERROR(INDEX(InsUnid,MATCH($B748,InsNome,0)),""))</f>
        <v>0</v>
      </c>
      <c r="F748" s="21">
        <f>IF($B748="","",IFERROR(INDEX(InsUtil,MATCH($B748,InsNome,0)),""))</f>
        <v>0</v>
      </c>
      <c r="G748" s="24">
        <f>IF(OR($A748="",$C748="",$F748=""),"",$C748*$F748)</f>
        <v>0</v>
      </c>
      <c r="H748" s="23">
        <f>IF($A748="","",IF($B748="","Escolha o insumo",IF($F748="","Insumo sem custo",IF(COUNTIF(PratoNome,$A748)=0,"Prato não cadastrado",IF($C748="","Falta quantidade","OK")))))</f>
        <v>0</v>
      </c>
    </row>
    <row r="749" spans="1:8">
      <c r="A749" s="13"/>
      <c r="B749" s="13"/>
      <c r="C749" s="19"/>
      <c r="D749" s="13"/>
      <c r="E749" s="23">
        <f>IF($B749="","",IFERROR(INDEX(InsUnid,MATCH($B749,InsNome,0)),""))</f>
        <v>0</v>
      </c>
      <c r="F749" s="21">
        <f>IF($B749="","",IFERROR(INDEX(InsUtil,MATCH($B749,InsNome,0)),""))</f>
        <v>0</v>
      </c>
      <c r="G749" s="24">
        <f>IF(OR($A749="",$C749="",$F749=""),"",$C749*$F749)</f>
        <v>0</v>
      </c>
      <c r="H749" s="23">
        <f>IF($A749="","",IF($B749="","Escolha o insumo",IF($F749="","Insumo sem custo",IF(COUNTIF(PratoNome,$A749)=0,"Prato não cadastrado",IF($C749="","Falta quantidade","OK")))))</f>
        <v>0</v>
      </c>
    </row>
    <row r="750" spans="1:8">
      <c r="A750" s="13"/>
      <c r="B750" s="13"/>
      <c r="C750" s="19"/>
      <c r="D750" s="13"/>
      <c r="E750" s="23">
        <f>IF($B750="","",IFERROR(INDEX(InsUnid,MATCH($B750,InsNome,0)),""))</f>
        <v>0</v>
      </c>
      <c r="F750" s="21">
        <f>IF($B750="","",IFERROR(INDEX(InsUtil,MATCH($B750,InsNome,0)),""))</f>
        <v>0</v>
      </c>
      <c r="G750" s="24">
        <f>IF(OR($A750="",$C750="",$F750=""),"",$C750*$F750)</f>
        <v>0</v>
      </c>
      <c r="H750" s="23">
        <f>IF($A750="","",IF($B750="","Escolha o insumo",IF($F750="","Insumo sem custo",IF(COUNTIF(PratoNome,$A750)=0,"Prato não cadastrado",IF($C750="","Falta quantidade","OK")))))</f>
        <v>0</v>
      </c>
    </row>
    <row r="751" spans="1:8">
      <c r="A751" s="13"/>
      <c r="B751" s="13"/>
      <c r="C751" s="19"/>
      <c r="D751" s="13"/>
      <c r="E751" s="23">
        <f>IF($B751="","",IFERROR(INDEX(InsUnid,MATCH($B751,InsNome,0)),""))</f>
        <v>0</v>
      </c>
      <c r="F751" s="21">
        <f>IF($B751="","",IFERROR(INDEX(InsUtil,MATCH($B751,InsNome,0)),""))</f>
        <v>0</v>
      </c>
      <c r="G751" s="24">
        <f>IF(OR($A751="",$C751="",$F751=""),"",$C751*$F751)</f>
        <v>0</v>
      </c>
      <c r="H751" s="23">
        <f>IF($A751="","",IF($B751="","Escolha o insumo",IF($F751="","Insumo sem custo",IF(COUNTIF(PratoNome,$A751)=0,"Prato não cadastrado",IF($C751="","Falta quantidade","OK")))))</f>
        <v>0</v>
      </c>
    </row>
    <row r="752" spans="1:8">
      <c r="A752" s="13"/>
      <c r="B752" s="13"/>
      <c r="C752" s="19"/>
      <c r="D752" s="13"/>
      <c r="E752" s="23">
        <f>IF($B752="","",IFERROR(INDEX(InsUnid,MATCH($B752,InsNome,0)),""))</f>
        <v>0</v>
      </c>
      <c r="F752" s="21">
        <f>IF($B752="","",IFERROR(INDEX(InsUtil,MATCH($B752,InsNome,0)),""))</f>
        <v>0</v>
      </c>
      <c r="G752" s="24">
        <f>IF(OR($A752="",$C752="",$F752=""),"",$C752*$F752)</f>
        <v>0</v>
      </c>
      <c r="H752" s="23">
        <f>IF($A752="","",IF($B752="","Escolha o insumo",IF($F752="","Insumo sem custo",IF(COUNTIF(PratoNome,$A752)=0,"Prato não cadastrado",IF($C752="","Falta quantidade","OK")))))</f>
        <v>0</v>
      </c>
    </row>
    <row r="753" spans="1:8">
      <c r="A753" s="13"/>
      <c r="B753" s="13"/>
      <c r="C753" s="19"/>
      <c r="D753" s="13"/>
      <c r="E753" s="23">
        <f>IF($B753="","",IFERROR(INDEX(InsUnid,MATCH($B753,InsNome,0)),""))</f>
        <v>0</v>
      </c>
      <c r="F753" s="21">
        <f>IF($B753="","",IFERROR(INDEX(InsUtil,MATCH($B753,InsNome,0)),""))</f>
        <v>0</v>
      </c>
      <c r="G753" s="24">
        <f>IF(OR($A753="",$C753="",$F753=""),"",$C753*$F753)</f>
        <v>0</v>
      </c>
      <c r="H753" s="23">
        <f>IF($A753="","",IF($B753="","Escolha o insumo",IF($F753="","Insumo sem custo",IF(COUNTIF(PratoNome,$A753)=0,"Prato não cadastrado",IF($C753="","Falta quantidade","OK")))))</f>
        <v>0</v>
      </c>
    </row>
    <row r="754" spans="1:8">
      <c r="A754" s="13"/>
      <c r="B754" s="13"/>
      <c r="C754" s="19"/>
      <c r="D754" s="13"/>
      <c r="E754" s="23">
        <f>IF($B754="","",IFERROR(INDEX(InsUnid,MATCH($B754,InsNome,0)),""))</f>
        <v>0</v>
      </c>
      <c r="F754" s="21">
        <f>IF($B754="","",IFERROR(INDEX(InsUtil,MATCH($B754,InsNome,0)),""))</f>
        <v>0</v>
      </c>
      <c r="G754" s="24">
        <f>IF(OR($A754="",$C754="",$F754=""),"",$C754*$F754)</f>
        <v>0</v>
      </c>
      <c r="H754" s="23">
        <f>IF($A754="","",IF($B754="","Escolha o insumo",IF($F754="","Insumo sem custo",IF(COUNTIF(PratoNome,$A754)=0,"Prato não cadastrado",IF($C754="","Falta quantidade","OK")))))</f>
        <v>0</v>
      </c>
    </row>
    <row r="755" spans="1:8">
      <c r="A755" s="13"/>
      <c r="B755" s="13"/>
      <c r="C755" s="19"/>
      <c r="D755" s="13"/>
      <c r="E755" s="23">
        <f>IF($B755="","",IFERROR(INDEX(InsUnid,MATCH($B755,InsNome,0)),""))</f>
        <v>0</v>
      </c>
      <c r="F755" s="21">
        <f>IF($B755="","",IFERROR(INDEX(InsUtil,MATCH($B755,InsNome,0)),""))</f>
        <v>0</v>
      </c>
      <c r="G755" s="24">
        <f>IF(OR($A755="",$C755="",$F755=""),"",$C755*$F755)</f>
        <v>0</v>
      </c>
      <c r="H755" s="23">
        <f>IF($A755="","",IF($B755="","Escolha o insumo",IF($F755="","Insumo sem custo",IF(COUNTIF(PratoNome,$A755)=0,"Prato não cadastrado",IF($C755="","Falta quantidade","OK")))))</f>
        <v>0</v>
      </c>
    </row>
    <row r="756" spans="1:8">
      <c r="A756" s="13"/>
      <c r="B756" s="13"/>
      <c r="C756" s="19"/>
      <c r="D756" s="13"/>
      <c r="E756" s="23">
        <f>IF($B756="","",IFERROR(INDEX(InsUnid,MATCH($B756,InsNome,0)),""))</f>
        <v>0</v>
      </c>
      <c r="F756" s="21">
        <f>IF($B756="","",IFERROR(INDEX(InsUtil,MATCH($B756,InsNome,0)),""))</f>
        <v>0</v>
      </c>
      <c r="G756" s="24">
        <f>IF(OR($A756="",$C756="",$F756=""),"",$C756*$F756)</f>
        <v>0</v>
      </c>
      <c r="H756" s="23">
        <f>IF($A756="","",IF($B756="","Escolha o insumo",IF($F756="","Insumo sem custo",IF(COUNTIF(PratoNome,$A756)=0,"Prato não cadastrado",IF($C756="","Falta quantidade","OK")))))</f>
        <v>0</v>
      </c>
    </row>
    <row r="757" spans="1:8">
      <c r="A757" s="13"/>
      <c r="B757" s="13"/>
      <c r="C757" s="19"/>
      <c r="D757" s="13"/>
      <c r="E757" s="23">
        <f>IF($B757="","",IFERROR(INDEX(InsUnid,MATCH($B757,InsNome,0)),""))</f>
        <v>0</v>
      </c>
      <c r="F757" s="21">
        <f>IF($B757="","",IFERROR(INDEX(InsUtil,MATCH($B757,InsNome,0)),""))</f>
        <v>0</v>
      </c>
      <c r="G757" s="24">
        <f>IF(OR($A757="",$C757="",$F757=""),"",$C757*$F757)</f>
        <v>0</v>
      </c>
      <c r="H757" s="23">
        <f>IF($A757="","",IF($B757="","Escolha o insumo",IF($F757="","Insumo sem custo",IF(COUNTIF(PratoNome,$A757)=0,"Prato não cadastrado",IF($C757="","Falta quantidade","OK")))))</f>
        <v>0</v>
      </c>
    </row>
    <row r="758" spans="1:8">
      <c r="A758" s="13"/>
      <c r="B758" s="13"/>
      <c r="C758" s="19"/>
      <c r="D758" s="13"/>
      <c r="E758" s="23">
        <f>IF($B758="","",IFERROR(INDEX(InsUnid,MATCH($B758,InsNome,0)),""))</f>
        <v>0</v>
      </c>
      <c r="F758" s="21">
        <f>IF($B758="","",IFERROR(INDEX(InsUtil,MATCH($B758,InsNome,0)),""))</f>
        <v>0</v>
      </c>
      <c r="G758" s="24">
        <f>IF(OR($A758="",$C758="",$F758=""),"",$C758*$F758)</f>
        <v>0</v>
      </c>
      <c r="H758" s="23">
        <f>IF($A758="","",IF($B758="","Escolha o insumo",IF($F758="","Insumo sem custo",IF(COUNTIF(PratoNome,$A758)=0,"Prato não cadastrado",IF($C758="","Falta quantidade","OK")))))</f>
        <v>0</v>
      </c>
    </row>
    <row r="759" spans="1:8">
      <c r="A759" s="13"/>
      <c r="B759" s="13"/>
      <c r="C759" s="19"/>
      <c r="D759" s="13"/>
      <c r="E759" s="23">
        <f>IF($B759="","",IFERROR(INDEX(InsUnid,MATCH($B759,InsNome,0)),""))</f>
        <v>0</v>
      </c>
      <c r="F759" s="21">
        <f>IF($B759="","",IFERROR(INDEX(InsUtil,MATCH($B759,InsNome,0)),""))</f>
        <v>0</v>
      </c>
      <c r="G759" s="24">
        <f>IF(OR($A759="",$C759="",$F759=""),"",$C759*$F759)</f>
        <v>0</v>
      </c>
      <c r="H759" s="23">
        <f>IF($A759="","",IF($B759="","Escolha o insumo",IF($F759="","Insumo sem custo",IF(COUNTIF(PratoNome,$A759)=0,"Prato não cadastrado",IF($C759="","Falta quantidade","OK")))))</f>
        <v>0</v>
      </c>
    </row>
    <row r="760" spans="1:8">
      <c r="A760" s="13"/>
      <c r="B760" s="13"/>
      <c r="C760" s="19"/>
      <c r="D760" s="13"/>
      <c r="E760" s="23">
        <f>IF($B760="","",IFERROR(INDEX(InsUnid,MATCH($B760,InsNome,0)),""))</f>
        <v>0</v>
      </c>
      <c r="F760" s="21">
        <f>IF($B760="","",IFERROR(INDEX(InsUtil,MATCH($B760,InsNome,0)),""))</f>
        <v>0</v>
      </c>
      <c r="G760" s="24">
        <f>IF(OR($A760="",$C760="",$F760=""),"",$C760*$F760)</f>
        <v>0</v>
      </c>
      <c r="H760" s="23">
        <f>IF($A760="","",IF($B760="","Escolha o insumo",IF($F760="","Insumo sem custo",IF(COUNTIF(PratoNome,$A760)=0,"Prato não cadastrado",IF($C760="","Falta quantidade","OK")))))</f>
        <v>0</v>
      </c>
    </row>
    <row r="761" spans="1:8">
      <c r="A761" s="13"/>
      <c r="B761" s="13"/>
      <c r="C761" s="19"/>
      <c r="D761" s="13"/>
      <c r="E761" s="23">
        <f>IF($B761="","",IFERROR(INDEX(InsUnid,MATCH($B761,InsNome,0)),""))</f>
        <v>0</v>
      </c>
      <c r="F761" s="21">
        <f>IF($B761="","",IFERROR(INDEX(InsUtil,MATCH($B761,InsNome,0)),""))</f>
        <v>0</v>
      </c>
      <c r="G761" s="24">
        <f>IF(OR($A761="",$C761="",$F761=""),"",$C761*$F761)</f>
        <v>0</v>
      </c>
      <c r="H761" s="23">
        <f>IF($A761="","",IF($B761="","Escolha o insumo",IF($F761="","Insumo sem custo",IF(COUNTIF(PratoNome,$A761)=0,"Prato não cadastrado",IF($C761="","Falta quantidade","OK")))))</f>
        <v>0</v>
      </c>
    </row>
    <row r="762" spans="1:8">
      <c r="A762" s="13"/>
      <c r="B762" s="13"/>
      <c r="C762" s="19"/>
      <c r="D762" s="13"/>
      <c r="E762" s="23">
        <f>IF($B762="","",IFERROR(INDEX(InsUnid,MATCH($B762,InsNome,0)),""))</f>
        <v>0</v>
      </c>
      <c r="F762" s="21">
        <f>IF($B762="","",IFERROR(INDEX(InsUtil,MATCH($B762,InsNome,0)),""))</f>
        <v>0</v>
      </c>
      <c r="G762" s="24">
        <f>IF(OR($A762="",$C762="",$F762=""),"",$C762*$F762)</f>
        <v>0</v>
      </c>
      <c r="H762" s="23">
        <f>IF($A762="","",IF($B762="","Escolha o insumo",IF($F762="","Insumo sem custo",IF(COUNTIF(PratoNome,$A762)=0,"Prato não cadastrado",IF($C762="","Falta quantidade","OK")))))</f>
        <v>0</v>
      </c>
    </row>
    <row r="763" spans="1:8">
      <c r="A763" s="13"/>
      <c r="B763" s="13"/>
      <c r="C763" s="19"/>
      <c r="D763" s="13"/>
      <c r="E763" s="23">
        <f>IF($B763="","",IFERROR(INDEX(InsUnid,MATCH($B763,InsNome,0)),""))</f>
        <v>0</v>
      </c>
      <c r="F763" s="21">
        <f>IF($B763="","",IFERROR(INDEX(InsUtil,MATCH($B763,InsNome,0)),""))</f>
        <v>0</v>
      </c>
      <c r="G763" s="24">
        <f>IF(OR($A763="",$C763="",$F763=""),"",$C763*$F763)</f>
        <v>0</v>
      </c>
      <c r="H763" s="23">
        <f>IF($A763="","",IF($B763="","Escolha o insumo",IF($F763="","Insumo sem custo",IF(COUNTIF(PratoNome,$A763)=0,"Prato não cadastrado",IF($C763="","Falta quantidade","OK")))))</f>
        <v>0</v>
      </c>
    </row>
    <row r="764" spans="1:8">
      <c r="A764" s="13"/>
      <c r="B764" s="13"/>
      <c r="C764" s="19"/>
      <c r="D764" s="13"/>
      <c r="E764" s="23">
        <f>IF($B764="","",IFERROR(INDEX(InsUnid,MATCH($B764,InsNome,0)),""))</f>
        <v>0</v>
      </c>
      <c r="F764" s="21">
        <f>IF($B764="","",IFERROR(INDEX(InsUtil,MATCH($B764,InsNome,0)),""))</f>
        <v>0</v>
      </c>
      <c r="G764" s="24">
        <f>IF(OR($A764="",$C764="",$F764=""),"",$C764*$F764)</f>
        <v>0</v>
      </c>
      <c r="H764" s="23">
        <f>IF($A764="","",IF($B764="","Escolha o insumo",IF($F764="","Insumo sem custo",IF(COUNTIF(PratoNome,$A764)=0,"Prato não cadastrado",IF($C764="","Falta quantidade","OK")))))</f>
        <v>0</v>
      </c>
    </row>
    <row r="765" spans="1:8">
      <c r="A765" s="13"/>
      <c r="B765" s="13"/>
      <c r="C765" s="19"/>
      <c r="D765" s="13"/>
      <c r="E765" s="23">
        <f>IF($B765="","",IFERROR(INDEX(InsUnid,MATCH($B765,InsNome,0)),""))</f>
        <v>0</v>
      </c>
      <c r="F765" s="21">
        <f>IF($B765="","",IFERROR(INDEX(InsUtil,MATCH($B765,InsNome,0)),""))</f>
        <v>0</v>
      </c>
      <c r="G765" s="24">
        <f>IF(OR($A765="",$C765="",$F765=""),"",$C765*$F765)</f>
        <v>0</v>
      </c>
      <c r="H765" s="23">
        <f>IF($A765="","",IF($B765="","Escolha o insumo",IF($F765="","Insumo sem custo",IF(COUNTIF(PratoNome,$A765)=0,"Prato não cadastrado",IF($C765="","Falta quantidade","OK")))))</f>
        <v>0</v>
      </c>
    </row>
    <row r="766" spans="1:8">
      <c r="A766" s="13"/>
      <c r="B766" s="13"/>
      <c r="C766" s="19"/>
      <c r="D766" s="13"/>
      <c r="E766" s="23">
        <f>IF($B766="","",IFERROR(INDEX(InsUnid,MATCH($B766,InsNome,0)),""))</f>
        <v>0</v>
      </c>
      <c r="F766" s="21">
        <f>IF($B766="","",IFERROR(INDEX(InsUtil,MATCH($B766,InsNome,0)),""))</f>
        <v>0</v>
      </c>
      <c r="G766" s="24">
        <f>IF(OR($A766="",$C766="",$F766=""),"",$C766*$F766)</f>
        <v>0</v>
      </c>
      <c r="H766" s="23">
        <f>IF($A766="","",IF($B766="","Escolha o insumo",IF($F766="","Insumo sem custo",IF(COUNTIF(PratoNome,$A766)=0,"Prato não cadastrado",IF($C766="","Falta quantidade","OK")))))</f>
        <v>0</v>
      </c>
    </row>
    <row r="767" spans="1:8">
      <c r="A767" s="13"/>
      <c r="B767" s="13"/>
      <c r="C767" s="19"/>
      <c r="D767" s="13"/>
      <c r="E767" s="23">
        <f>IF($B767="","",IFERROR(INDEX(InsUnid,MATCH($B767,InsNome,0)),""))</f>
        <v>0</v>
      </c>
      <c r="F767" s="21">
        <f>IF($B767="","",IFERROR(INDEX(InsUtil,MATCH($B767,InsNome,0)),""))</f>
        <v>0</v>
      </c>
      <c r="G767" s="24">
        <f>IF(OR($A767="",$C767="",$F767=""),"",$C767*$F767)</f>
        <v>0</v>
      </c>
      <c r="H767" s="23">
        <f>IF($A767="","",IF($B767="","Escolha o insumo",IF($F767="","Insumo sem custo",IF(COUNTIF(PratoNome,$A767)=0,"Prato não cadastrado",IF($C767="","Falta quantidade","OK")))))</f>
        <v>0</v>
      </c>
    </row>
    <row r="768" spans="1:8">
      <c r="A768" s="13"/>
      <c r="B768" s="13"/>
      <c r="C768" s="19"/>
      <c r="D768" s="13"/>
      <c r="E768" s="23">
        <f>IF($B768="","",IFERROR(INDEX(InsUnid,MATCH($B768,InsNome,0)),""))</f>
        <v>0</v>
      </c>
      <c r="F768" s="21">
        <f>IF($B768="","",IFERROR(INDEX(InsUtil,MATCH($B768,InsNome,0)),""))</f>
        <v>0</v>
      </c>
      <c r="G768" s="24">
        <f>IF(OR($A768="",$C768="",$F768=""),"",$C768*$F768)</f>
        <v>0</v>
      </c>
      <c r="H768" s="23">
        <f>IF($A768="","",IF($B768="","Escolha o insumo",IF($F768="","Insumo sem custo",IF(COUNTIF(PratoNome,$A768)=0,"Prato não cadastrado",IF($C768="","Falta quantidade","OK")))))</f>
        <v>0</v>
      </c>
    </row>
    <row r="769" spans="1:8">
      <c r="A769" s="13"/>
      <c r="B769" s="13"/>
      <c r="C769" s="19"/>
      <c r="D769" s="13"/>
      <c r="E769" s="23">
        <f>IF($B769="","",IFERROR(INDEX(InsUnid,MATCH($B769,InsNome,0)),""))</f>
        <v>0</v>
      </c>
      <c r="F769" s="21">
        <f>IF($B769="","",IFERROR(INDEX(InsUtil,MATCH($B769,InsNome,0)),""))</f>
        <v>0</v>
      </c>
      <c r="G769" s="24">
        <f>IF(OR($A769="",$C769="",$F769=""),"",$C769*$F769)</f>
        <v>0</v>
      </c>
      <c r="H769" s="23">
        <f>IF($A769="","",IF($B769="","Escolha o insumo",IF($F769="","Insumo sem custo",IF(COUNTIF(PratoNome,$A769)=0,"Prato não cadastrado",IF($C769="","Falta quantidade","OK")))))</f>
        <v>0</v>
      </c>
    </row>
    <row r="770" spans="1:8">
      <c r="A770" s="13"/>
      <c r="B770" s="13"/>
      <c r="C770" s="19"/>
      <c r="D770" s="13"/>
      <c r="E770" s="23">
        <f>IF($B770="","",IFERROR(INDEX(InsUnid,MATCH($B770,InsNome,0)),""))</f>
        <v>0</v>
      </c>
      <c r="F770" s="21">
        <f>IF($B770="","",IFERROR(INDEX(InsUtil,MATCH($B770,InsNome,0)),""))</f>
        <v>0</v>
      </c>
      <c r="G770" s="24">
        <f>IF(OR($A770="",$C770="",$F770=""),"",$C770*$F770)</f>
        <v>0</v>
      </c>
      <c r="H770" s="23">
        <f>IF($A770="","",IF($B770="","Escolha o insumo",IF($F770="","Insumo sem custo",IF(COUNTIF(PratoNome,$A770)=0,"Prato não cadastrado",IF($C770="","Falta quantidade","OK")))))</f>
        <v>0</v>
      </c>
    </row>
    <row r="771" spans="1:8">
      <c r="A771" s="13"/>
      <c r="B771" s="13"/>
      <c r="C771" s="19"/>
      <c r="D771" s="13"/>
      <c r="E771" s="23">
        <f>IF($B771="","",IFERROR(INDEX(InsUnid,MATCH($B771,InsNome,0)),""))</f>
        <v>0</v>
      </c>
      <c r="F771" s="21">
        <f>IF($B771="","",IFERROR(INDEX(InsUtil,MATCH($B771,InsNome,0)),""))</f>
        <v>0</v>
      </c>
      <c r="G771" s="24">
        <f>IF(OR($A771="",$C771="",$F771=""),"",$C771*$F771)</f>
        <v>0</v>
      </c>
      <c r="H771" s="23">
        <f>IF($A771="","",IF($B771="","Escolha o insumo",IF($F771="","Insumo sem custo",IF(COUNTIF(PratoNome,$A771)=0,"Prato não cadastrado",IF($C771="","Falta quantidade","OK")))))</f>
        <v>0</v>
      </c>
    </row>
    <row r="772" spans="1:8">
      <c r="A772" s="13"/>
      <c r="B772" s="13"/>
      <c r="C772" s="19"/>
      <c r="D772" s="13"/>
      <c r="E772" s="23">
        <f>IF($B772="","",IFERROR(INDEX(InsUnid,MATCH($B772,InsNome,0)),""))</f>
        <v>0</v>
      </c>
      <c r="F772" s="21">
        <f>IF($B772="","",IFERROR(INDEX(InsUtil,MATCH($B772,InsNome,0)),""))</f>
        <v>0</v>
      </c>
      <c r="G772" s="24">
        <f>IF(OR($A772="",$C772="",$F772=""),"",$C772*$F772)</f>
        <v>0</v>
      </c>
      <c r="H772" s="23">
        <f>IF($A772="","",IF($B772="","Escolha o insumo",IF($F772="","Insumo sem custo",IF(COUNTIF(PratoNome,$A772)=0,"Prato não cadastrado",IF($C772="","Falta quantidade","OK")))))</f>
        <v>0</v>
      </c>
    </row>
    <row r="773" spans="1:8">
      <c r="A773" s="13"/>
      <c r="B773" s="13"/>
      <c r="C773" s="19"/>
      <c r="D773" s="13"/>
      <c r="E773" s="23">
        <f>IF($B773="","",IFERROR(INDEX(InsUnid,MATCH($B773,InsNome,0)),""))</f>
        <v>0</v>
      </c>
      <c r="F773" s="21">
        <f>IF($B773="","",IFERROR(INDEX(InsUtil,MATCH($B773,InsNome,0)),""))</f>
        <v>0</v>
      </c>
      <c r="G773" s="24">
        <f>IF(OR($A773="",$C773="",$F773=""),"",$C773*$F773)</f>
        <v>0</v>
      </c>
      <c r="H773" s="23">
        <f>IF($A773="","",IF($B773="","Escolha o insumo",IF($F773="","Insumo sem custo",IF(COUNTIF(PratoNome,$A773)=0,"Prato não cadastrado",IF($C773="","Falta quantidade","OK")))))</f>
        <v>0</v>
      </c>
    </row>
    <row r="774" spans="1:8">
      <c r="A774" s="13"/>
      <c r="B774" s="13"/>
      <c r="C774" s="19"/>
      <c r="D774" s="13"/>
      <c r="E774" s="23">
        <f>IF($B774="","",IFERROR(INDEX(InsUnid,MATCH($B774,InsNome,0)),""))</f>
        <v>0</v>
      </c>
      <c r="F774" s="21">
        <f>IF($B774="","",IFERROR(INDEX(InsUtil,MATCH($B774,InsNome,0)),""))</f>
        <v>0</v>
      </c>
      <c r="G774" s="24">
        <f>IF(OR($A774="",$C774="",$F774=""),"",$C774*$F774)</f>
        <v>0</v>
      </c>
      <c r="H774" s="23">
        <f>IF($A774="","",IF($B774="","Escolha o insumo",IF($F774="","Insumo sem custo",IF(COUNTIF(PratoNome,$A774)=0,"Prato não cadastrado",IF($C774="","Falta quantidade","OK")))))</f>
        <v>0</v>
      </c>
    </row>
    <row r="775" spans="1:8">
      <c r="A775" s="13"/>
      <c r="B775" s="13"/>
      <c r="C775" s="19"/>
      <c r="D775" s="13"/>
      <c r="E775" s="23">
        <f>IF($B775="","",IFERROR(INDEX(InsUnid,MATCH($B775,InsNome,0)),""))</f>
        <v>0</v>
      </c>
      <c r="F775" s="21">
        <f>IF($B775="","",IFERROR(INDEX(InsUtil,MATCH($B775,InsNome,0)),""))</f>
        <v>0</v>
      </c>
      <c r="G775" s="24">
        <f>IF(OR($A775="",$C775="",$F775=""),"",$C775*$F775)</f>
        <v>0</v>
      </c>
      <c r="H775" s="23">
        <f>IF($A775="","",IF($B775="","Escolha o insumo",IF($F775="","Insumo sem custo",IF(COUNTIF(PratoNome,$A775)=0,"Prato não cadastrado",IF($C775="","Falta quantidade","OK")))))</f>
        <v>0</v>
      </c>
    </row>
    <row r="776" spans="1:8">
      <c r="A776" s="13"/>
      <c r="B776" s="13"/>
      <c r="C776" s="19"/>
      <c r="D776" s="13"/>
      <c r="E776" s="23">
        <f>IF($B776="","",IFERROR(INDEX(InsUnid,MATCH($B776,InsNome,0)),""))</f>
        <v>0</v>
      </c>
      <c r="F776" s="21">
        <f>IF($B776="","",IFERROR(INDEX(InsUtil,MATCH($B776,InsNome,0)),""))</f>
        <v>0</v>
      </c>
      <c r="G776" s="24">
        <f>IF(OR($A776="",$C776="",$F776=""),"",$C776*$F776)</f>
        <v>0</v>
      </c>
      <c r="H776" s="23">
        <f>IF($A776="","",IF($B776="","Escolha o insumo",IF($F776="","Insumo sem custo",IF(COUNTIF(PratoNome,$A776)=0,"Prato não cadastrado",IF($C776="","Falta quantidade","OK")))))</f>
        <v>0</v>
      </c>
    </row>
    <row r="777" spans="1:8">
      <c r="A777" s="13"/>
      <c r="B777" s="13"/>
      <c r="C777" s="19"/>
      <c r="D777" s="13"/>
      <c r="E777" s="23">
        <f>IF($B777="","",IFERROR(INDEX(InsUnid,MATCH($B777,InsNome,0)),""))</f>
        <v>0</v>
      </c>
      <c r="F777" s="21">
        <f>IF($B777="","",IFERROR(INDEX(InsUtil,MATCH($B777,InsNome,0)),""))</f>
        <v>0</v>
      </c>
      <c r="G777" s="24">
        <f>IF(OR($A777="",$C777="",$F777=""),"",$C777*$F777)</f>
        <v>0</v>
      </c>
      <c r="H777" s="23">
        <f>IF($A777="","",IF($B777="","Escolha o insumo",IF($F777="","Insumo sem custo",IF(COUNTIF(PratoNome,$A777)=0,"Prato não cadastrado",IF($C777="","Falta quantidade","OK")))))</f>
        <v>0</v>
      </c>
    </row>
    <row r="778" spans="1:8">
      <c r="A778" s="13"/>
      <c r="B778" s="13"/>
      <c r="C778" s="19"/>
      <c r="D778" s="13"/>
      <c r="E778" s="23">
        <f>IF($B778="","",IFERROR(INDEX(InsUnid,MATCH($B778,InsNome,0)),""))</f>
        <v>0</v>
      </c>
      <c r="F778" s="21">
        <f>IF($B778="","",IFERROR(INDEX(InsUtil,MATCH($B778,InsNome,0)),""))</f>
        <v>0</v>
      </c>
      <c r="G778" s="24">
        <f>IF(OR($A778="",$C778="",$F778=""),"",$C778*$F778)</f>
        <v>0</v>
      </c>
      <c r="H778" s="23">
        <f>IF($A778="","",IF($B778="","Escolha o insumo",IF($F778="","Insumo sem custo",IF(COUNTIF(PratoNome,$A778)=0,"Prato não cadastrado",IF($C778="","Falta quantidade","OK")))))</f>
        <v>0</v>
      </c>
    </row>
    <row r="779" spans="1:8">
      <c r="A779" s="13"/>
      <c r="B779" s="13"/>
      <c r="C779" s="19"/>
      <c r="D779" s="13"/>
      <c r="E779" s="23">
        <f>IF($B779="","",IFERROR(INDEX(InsUnid,MATCH($B779,InsNome,0)),""))</f>
        <v>0</v>
      </c>
      <c r="F779" s="21">
        <f>IF($B779="","",IFERROR(INDEX(InsUtil,MATCH($B779,InsNome,0)),""))</f>
        <v>0</v>
      </c>
      <c r="G779" s="24">
        <f>IF(OR($A779="",$C779="",$F779=""),"",$C779*$F779)</f>
        <v>0</v>
      </c>
      <c r="H779" s="23">
        <f>IF($A779="","",IF($B779="","Escolha o insumo",IF($F779="","Insumo sem custo",IF(COUNTIF(PratoNome,$A779)=0,"Prato não cadastrado",IF($C779="","Falta quantidade","OK")))))</f>
        <v>0</v>
      </c>
    </row>
    <row r="780" spans="1:8">
      <c r="A780" s="13"/>
      <c r="B780" s="13"/>
      <c r="C780" s="19"/>
      <c r="D780" s="13"/>
      <c r="E780" s="23">
        <f>IF($B780="","",IFERROR(INDEX(InsUnid,MATCH($B780,InsNome,0)),""))</f>
        <v>0</v>
      </c>
      <c r="F780" s="21">
        <f>IF($B780="","",IFERROR(INDEX(InsUtil,MATCH($B780,InsNome,0)),""))</f>
        <v>0</v>
      </c>
      <c r="G780" s="24">
        <f>IF(OR($A780="",$C780="",$F780=""),"",$C780*$F780)</f>
        <v>0</v>
      </c>
      <c r="H780" s="23">
        <f>IF($A780="","",IF($B780="","Escolha o insumo",IF($F780="","Insumo sem custo",IF(COUNTIF(PratoNome,$A780)=0,"Prato não cadastrado",IF($C780="","Falta quantidade","OK")))))</f>
        <v>0</v>
      </c>
    </row>
    <row r="781" spans="1:8">
      <c r="A781" s="13"/>
      <c r="B781" s="13"/>
      <c r="C781" s="19"/>
      <c r="D781" s="13"/>
      <c r="E781" s="23">
        <f>IF($B781="","",IFERROR(INDEX(InsUnid,MATCH($B781,InsNome,0)),""))</f>
        <v>0</v>
      </c>
      <c r="F781" s="21">
        <f>IF($B781="","",IFERROR(INDEX(InsUtil,MATCH($B781,InsNome,0)),""))</f>
        <v>0</v>
      </c>
      <c r="G781" s="24">
        <f>IF(OR($A781="",$C781="",$F781=""),"",$C781*$F781)</f>
        <v>0</v>
      </c>
      <c r="H781" s="23">
        <f>IF($A781="","",IF($B781="","Escolha o insumo",IF($F781="","Insumo sem custo",IF(COUNTIF(PratoNome,$A781)=0,"Prato não cadastrado",IF($C781="","Falta quantidade","OK")))))</f>
        <v>0</v>
      </c>
    </row>
    <row r="782" spans="1:8">
      <c r="A782" s="13"/>
      <c r="B782" s="13"/>
      <c r="C782" s="19"/>
      <c r="D782" s="13"/>
      <c r="E782" s="23">
        <f>IF($B782="","",IFERROR(INDEX(InsUnid,MATCH($B782,InsNome,0)),""))</f>
        <v>0</v>
      </c>
      <c r="F782" s="21">
        <f>IF($B782="","",IFERROR(INDEX(InsUtil,MATCH($B782,InsNome,0)),""))</f>
        <v>0</v>
      </c>
      <c r="G782" s="24">
        <f>IF(OR($A782="",$C782="",$F782=""),"",$C782*$F782)</f>
        <v>0</v>
      </c>
      <c r="H782" s="23">
        <f>IF($A782="","",IF($B782="","Escolha o insumo",IF($F782="","Insumo sem custo",IF(COUNTIF(PratoNome,$A782)=0,"Prato não cadastrado",IF($C782="","Falta quantidade","OK")))))</f>
        <v>0</v>
      </c>
    </row>
    <row r="783" spans="1:8">
      <c r="A783" s="13"/>
      <c r="B783" s="13"/>
      <c r="C783" s="19"/>
      <c r="D783" s="13"/>
      <c r="E783" s="23">
        <f>IF($B783="","",IFERROR(INDEX(InsUnid,MATCH($B783,InsNome,0)),""))</f>
        <v>0</v>
      </c>
      <c r="F783" s="21">
        <f>IF($B783="","",IFERROR(INDEX(InsUtil,MATCH($B783,InsNome,0)),""))</f>
        <v>0</v>
      </c>
      <c r="G783" s="24">
        <f>IF(OR($A783="",$C783="",$F783=""),"",$C783*$F783)</f>
        <v>0</v>
      </c>
      <c r="H783" s="23">
        <f>IF($A783="","",IF($B783="","Escolha o insumo",IF($F783="","Insumo sem custo",IF(COUNTIF(PratoNome,$A783)=0,"Prato não cadastrado",IF($C783="","Falta quantidade","OK")))))</f>
        <v>0</v>
      </c>
    </row>
    <row r="784" spans="1:8">
      <c r="A784" s="13"/>
      <c r="B784" s="13"/>
      <c r="C784" s="19"/>
      <c r="D784" s="13"/>
      <c r="E784" s="23">
        <f>IF($B784="","",IFERROR(INDEX(InsUnid,MATCH($B784,InsNome,0)),""))</f>
        <v>0</v>
      </c>
      <c r="F784" s="21">
        <f>IF($B784="","",IFERROR(INDEX(InsUtil,MATCH($B784,InsNome,0)),""))</f>
        <v>0</v>
      </c>
      <c r="G784" s="24">
        <f>IF(OR($A784="",$C784="",$F784=""),"",$C784*$F784)</f>
        <v>0</v>
      </c>
      <c r="H784" s="23">
        <f>IF($A784="","",IF($B784="","Escolha o insumo",IF($F784="","Insumo sem custo",IF(COUNTIF(PratoNome,$A784)=0,"Prato não cadastrado",IF($C784="","Falta quantidade","OK")))))</f>
        <v>0</v>
      </c>
    </row>
    <row r="785" spans="1:8">
      <c r="A785" s="13"/>
      <c r="B785" s="13"/>
      <c r="C785" s="19"/>
      <c r="D785" s="13"/>
      <c r="E785" s="23">
        <f>IF($B785="","",IFERROR(INDEX(InsUnid,MATCH($B785,InsNome,0)),""))</f>
        <v>0</v>
      </c>
      <c r="F785" s="21">
        <f>IF($B785="","",IFERROR(INDEX(InsUtil,MATCH($B785,InsNome,0)),""))</f>
        <v>0</v>
      </c>
      <c r="G785" s="24">
        <f>IF(OR($A785="",$C785="",$F785=""),"",$C785*$F785)</f>
        <v>0</v>
      </c>
      <c r="H785" s="23">
        <f>IF($A785="","",IF($B785="","Escolha o insumo",IF($F785="","Insumo sem custo",IF(COUNTIF(PratoNome,$A785)=0,"Prato não cadastrado",IF($C785="","Falta quantidade","OK")))))</f>
        <v>0</v>
      </c>
    </row>
    <row r="786" spans="1:8">
      <c r="A786" s="13"/>
      <c r="B786" s="13"/>
      <c r="C786" s="19"/>
      <c r="D786" s="13"/>
      <c r="E786" s="23">
        <f>IF($B786="","",IFERROR(INDEX(InsUnid,MATCH($B786,InsNome,0)),""))</f>
        <v>0</v>
      </c>
      <c r="F786" s="21">
        <f>IF($B786="","",IFERROR(INDEX(InsUtil,MATCH($B786,InsNome,0)),""))</f>
        <v>0</v>
      </c>
      <c r="G786" s="24">
        <f>IF(OR($A786="",$C786="",$F786=""),"",$C786*$F786)</f>
        <v>0</v>
      </c>
      <c r="H786" s="23">
        <f>IF($A786="","",IF($B786="","Escolha o insumo",IF($F786="","Insumo sem custo",IF(COUNTIF(PratoNome,$A786)=0,"Prato não cadastrado",IF($C786="","Falta quantidade","OK")))))</f>
        <v>0</v>
      </c>
    </row>
    <row r="787" spans="1:8">
      <c r="A787" s="13"/>
      <c r="B787" s="13"/>
      <c r="C787" s="19"/>
      <c r="D787" s="13"/>
      <c r="E787" s="23">
        <f>IF($B787="","",IFERROR(INDEX(InsUnid,MATCH($B787,InsNome,0)),""))</f>
        <v>0</v>
      </c>
      <c r="F787" s="21">
        <f>IF($B787="","",IFERROR(INDEX(InsUtil,MATCH($B787,InsNome,0)),""))</f>
        <v>0</v>
      </c>
      <c r="G787" s="24">
        <f>IF(OR($A787="",$C787="",$F787=""),"",$C787*$F787)</f>
        <v>0</v>
      </c>
      <c r="H787" s="23">
        <f>IF($A787="","",IF($B787="","Escolha o insumo",IF($F787="","Insumo sem custo",IF(COUNTIF(PratoNome,$A787)=0,"Prato não cadastrado",IF($C787="","Falta quantidade","OK")))))</f>
        <v>0</v>
      </c>
    </row>
    <row r="788" spans="1:8">
      <c r="A788" s="13"/>
      <c r="B788" s="13"/>
      <c r="C788" s="19"/>
      <c r="D788" s="13"/>
      <c r="E788" s="23">
        <f>IF($B788="","",IFERROR(INDEX(InsUnid,MATCH($B788,InsNome,0)),""))</f>
        <v>0</v>
      </c>
      <c r="F788" s="21">
        <f>IF($B788="","",IFERROR(INDEX(InsUtil,MATCH($B788,InsNome,0)),""))</f>
        <v>0</v>
      </c>
      <c r="G788" s="24">
        <f>IF(OR($A788="",$C788="",$F788=""),"",$C788*$F788)</f>
        <v>0</v>
      </c>
      <c r="H788" s="23">
        <f>IF($A788="","",IF($B788="","Escolha o insumo",IF($F788="","Insumo sem custo",IF(COUNTIF(PratoNome,$A788)=0,"Prato não cadastrado",IF($C788="","Falta quantidade","OK")))))</f>
        <v>0</v>
      </c>
    </row>
    <row r="789" spans="1:8">
      <c r="A789" s="13"/>
      <c r="B789" s="13"/>
      <c r="C789" s="19"/>
      <c r="D789" s="13"/>
      <c r="E789" s="23">
        <f>IF($B789="","",IFERROR(INDEX(InsUnid,MATCH($B789,InsNome,0)),""))</f>
        <v>0</v>
      </c>
      <c r="F789" s="21">
        <f>IF($B789="","",IFERROR(INDEX(InsUtil,MATCH($B789,InsNome,0)),""))</f>
        <v>0</v>
      </c>
      <c r="G789" s="24">
        <f>IF(OR($A789="",$C789="",$F789=""),"",$C789*$F789)</f>
        <v>0</v>
      </c>
      <c r="H789" s="23">
        <f>IF($A789="","",IF($B789="","Escolha o insumo",IF($F789="","Insumo sem custo",IF(COUNTIF(PratoNome,$A789)=0,"Prato não cadastrado",IF($C789="","Falta quantidade","OK")))))</f>
        <v>0</v>
      </c>
    </row>
    <row r="790" spans="1:8">
      <c r="A790" s="13"/>
      <c r="B790" s="13"/>
      <c r="C790" s="19"/>
      <c r="D790" s="13"/>
      <c r="E790" s="23">
        <f>IF($B790="","",IFERROR(INDEX(InsUnid,MATCH($B790,InsNome,0)),""))</f>
        <v>0</v>
      </c>
      <c r="F790" s="21">
        <f>IF($B790="","",IFERROR(INDEX(InsUtil,MATCH($B790,InsNome,0)),""))</f>
        <v>0</v>
      </c>
      <c r="G790" s="24">
        <f>IF(OR($A790="",$C790="",$F790=""),"",$C790*$F790)</f>
        <v>0</v>
      </c>
      <c r="H790" s="23">
        <f>IF($A790="","",IF($B790="","Escolha o insumo",IF($F790="","Insumo sem custo",IF(COUNTIF(PratoNome,$A790)=0,"Prato não cadastrado",IF($C790="","Falta quantidade","OK")))))</f>
        <v>0</v>
      </c>
    </row>
    <row r="791" spans="1:8">
      <c r="A791" s="13"/>
      <c r="B791" s="13"/>
      <c r="C791" s="19"/>
      <c r="D791" s="13"/>
      <c r="E791" s="23">
        <f>IF($B791="","",IFERROR(INDEX(InsUnid,MATCH($B791,InsNome,0)),""))</f>
        <v>0</v>
      </c>
      <c r="F791" s="21">
        <f>IF($B791="","",IFERROR(INDEX(InsUtil,MATCH($B791,InsNome,0)),""))</f>
        <v>0</v>
      </c>
      <c r="G791" s="24">
        <f>IF(OR($A791="",$C791="",$F791=""),"",$C791*$F791)</f>
        <v>0</v>
      </c>
      <c r="H791" s="23">
        <f>IF($A791="","",IF($B791="","Escolha o insumo",IF($F791="","Insumo sem custo",IF(COUNTIF(PratoNome,$A791)=0,"Prato não cadastrado",IF($C791="","Falta quantidade","OK")))))</f>
        <v>0</v>
      </c>
    </row>
    <row r="792" spans="1:8">
      <c r="A792" s="13"/>
      <c r="B792" s="13"/>
      <c r="C792" s="19"/>
      <c r="D792" s="13"/>
      <c r="E792" s="23">
        <f>IF($B792="","",IFERROR(INDEX(InsUnid,MATCH($B792,InsNome,0)),""))</f>
        <v>0</v>
      </c>
      <c r="F792" s="21">
        <f>IF($B792="","",IFERROR(INDEX(InsUtil,MATCH($B792,InsNome,0)),""))</f>
        <v>0</v>
      </c>
      <c r="G792" s="24">
        <f>IF(OR($A792="",$C792="",$F792=""),"",$C792*$F792)</f>
        <v>0</v>
      </c>
      <c r="H792" s="23">
        <f>IF($A792="","",IF($B792="","Escolha o insumo",IF($F792="","Insumo sem custo",IF(COUNTIF(PratoNome,$A792)=0,"Prato não cadastrado",IF($C792="","Falta quantidade","OK")))))</f>
        <v>0</v>
      </c>
    </row>
    <row r="793" spans="1:8">
      <c r="A793" s="13"/>
      <c r="B793" s="13"/>
      <c r="C793" s="19"/>
      <c r="D793" s="13"/>
      <c r="E793" s="23">
        <f>IF($B793="","",IFERROR(INDEX(InsUnid,MATCH($B793,InsNome,0)),""))</f>
        <v>0</v>
      </c>
      <c r="F793" s="21">
        <f>IF($B793="","",IFERROR(INDEX(InsUtil,MATCH($B793,InsNome,0)),""))</f>
        <v>0</v>
      </c>
      <c r="G793" s="24">
        <f>IF(OR($A793="",$C793="",$F793=""),"",$C793*$F793)</f>
        <v>0</v>
      </c>
      <c r="H793" s="23">
        <f>IF($A793="","",IF($B793="","Escolha o insumo",IF($F793="","Insumo sem custo",IF(COUNTIF(PratoNome,$A793)=0,"Prato não cadastrado",IF($C793="","Falta quantidade","OK")))))</f>
        <v>0</v>
      </c>
    </row>
    <row r="794" spans="1:8">
      <c r="A794" s="13"/>
      <c r="B794" s="13"/>
      <c r="C794" s="19"/>
      <c r="D794" s="13"/>
      <c r="E794" s="23">
        <f>IF($B794="","",IFERROR(INDEX(InsUnid,MATCH($B794,InsNome,0)),""))</f>
        <v>0</v>
      </c>
      <c r="F794" s="21">
        <f>IF($B794="","",IFERROR(INDEX(InsUtil,MATCH($B794,InsNome,0)),""))</f>
        <v>0</v>
      </c>
      <c r="G794" s="24">
        <f>IF(OR($A794="",$C794="",$F794=""),"",$C794*$F794)</f>
        <v>0</v>
      </c>
      <c r="H794" s="23">
        <f>IF($A794="","",IF($B794="","Escolha o insumo",IF($F794="","Insumo sem custo",IF(COUNTIF(PratoNome,$A794)=0,"Prato não cadastrado",IF($C794="","Falta quantidade","OK")))))</f>
        <v>0</v>
      </c>
    </row>
    <row r="795" spans="1:8">
      <c r="A795" s="13"/>
      <c r="B795" s="13"/>
      <c r="C795" s="19"/>
      <c r="D795" s="13"/>
      <c r="E795" s="23">
        <f>IF($B795="","",IFERROR(INDEX(InsUnid,MATCH($B795,InsNome,0)),""))</f>
        <v>0</v>
      </c>
      <c r="F795" s="21">
        <f>IF($B795="","",IFERROR(INDEX(InsUtil,MATCH($B795,InsNome,0)),""))</f>
        <v>0</v>
      </c>
      <c r="G795" s="24">
        <f>IF(OR($A795="",$C795="",$F795=""),"",$C795*$F795)</f>
        <v>0</v>
      </c>
      <c r="H795" s="23">
        <f>IF($A795="","",IF($B795="","Escolha o insumo",IF($F795="","Insumo sem custo",IF(COUNTIF(PratoNome,$A795)=0,"Prato não cadastrado",IF($C795="","Falta quantidade","OK")))))</f>
        <v>0</v>
      </c>
    </row>
    <row r="796" spans="1:8">
      <c r="A796" s="13"/>
      <c r="B796" s="13"/>
      <c r="C796" s="19"/>
      <c r="D796" s="13"/>
      <c r="E796" s="23">
        <f>IF($B796="","",IFERROR(INDEX(InsUnid,MATCH($B796,InsNome,0)),""))</f>
        <v>0</v>
      </c>
      <c r="F796" s="21">
        <f>IF($B796="","",IFERROR(INDEX(InsUtil,MATCH($B796,InsNome,0)),""))</f>
        <v>0</v>
      </c>
      <c r="G796" s="24">
        <f>IF(OR($A796="",$C796="",$F796=""),"",$C796*$F796)</f>
        <v>0</v>
      </c>
      <c r="H796" s="23">
        <f>IF($A796="","",IF($B796="","Escolha o insumo",IF($F796="","Insumo sem custo",IF(COUNTIF(PratoNome,$A796)=0,"Prato não cadastrado",IF($C796="","Falta quantidade","OK")))))</f>
        <v>0</v>
      </c>
    </row>
    <row r="797" spans="1:8">
      <c r="A797" s="13"/>
      <c r="B797" s="13"/>
      <c r="C797" s="19"/>
      <c r="D797" s="13"/>
      <c r="E797" s="23">
        <f>IF($B797="","",IFERROR(INDEX(InsUnid,MATCH($B797,InsNome,0)),""))</f>
        <v>0</v>
      </c>
      <c r="F797" s="21">
        <f>IF($B797="","",IFERROR(INDEX(InsUtil,MATCH($B797,InsNome,0)),""))</f>
        <v>0</v>
      </c>
      <c r="G797" s="24">
        <f>IF(OR($A797="",$C797="",$F797=""),"",$C797*$F797)</f>
        <v>0</v>
      </c>
      <c r="H797" s="23">
        <f>IF($A797="","",IF($B797="","Escolha o insumo",IF($F797="","Insumo sem custo",IF(COUNTIF(PratoNome,$A797)=0,"Prato não cadastrado",IF($C797="","Falta quantidade","OK")))))</f>
        <v>0</v>
      </c>
    </row>
    <row r="798" spans="1:8">
      <c r="A798" s="13"/>
      <c r="B798" s="13"/>
      <c r="C798" s="19"/>
      <c r="D798" s="13"/>
      <c r="E798" s="23">
        <f>IF($B798="","",IFERROR(INDEX(InsUnid,MATCH($B798,InsNome,0)),""))</f>
        <v>0</v>
      </c>
      <c r="F798" s="21">
        <f>IF($B798="","",IFERROR(INDEX(InsUtil,MATCH($B798,InsNome,0)),""))</f>
        <v>0</v>
      </c>
      <c r="G798" s="24">
        <f>IF(OR($A798="",$C798="",$F798=""),"",$C798*$F798)</f>
        <v>0</v>
      </c>
      <c r="H798" s="23">
        <f>IF($A798="","",IF($B798="","Escolha o insumo",IF($F798="","Insumo sem custo",IF(COUNTIF(PratoNome,$A798)=0,"Prato não cadastrado",IF($C798="","Falta quantidade","OK")))))</f>
        <v>0</v>
      </c>
    </row>
    <row r="799" spans="1:8">
      <c r="A799" s="13"/>
      <c r="B799" s="13"/>
      <c r="C799" s="19"/>
      <c r="D799" s="13"/>
      <c r="E799" s="23">
        <f>IF($B799="","",IFERROR(INDEX(InsUnid,MATCH($B799,InsNome,0)),""))</f>
        <v>0</v>
      </c>
      <c r="F799" s="21">
        <f>IF($B799="","",IFERROR(INDEX(InsUtil,MATCH($B799,InsNome,0)),""))</f>
        <v>0</v>
      </c>
      <c r="G799" s="24">
        <f>IF(OR($A799="",$C799="",$F799=""),"",$C799*$F799)</f>
        <v>0</v>
      </c>
      <c r="H799" s="23">
        <f>IF($A799="","",IF($B799="","Escolha o insumo",IF($F799="","Insumo sem custo",IF(COUNTIF(PratoNome,$A799)=0,"Prato não cadastrado",IF($C799="","Falta quantidade","OK")))))</f>
        <v>0</v>
      </c>
    </row>
    <row r="800" spans="1:8">
      <c r="A800" s="13"/>
      <c r="B800" s="13"/>
      <c r="C800" s="19"/>
      <c r="D800" s="13"/>
      <c r="E800" s="23">
        <f>IF($B800="","",IFERROR(INDEX(InsUnid,MATCH($B800,InsNome,0)),""))</f>
        <v>0</v>
      </c>
      <c r="F800" s="21">
        <f>IF($B800="","",IFERROR(INDEX(InsUtil,MATCH($B800,InsNome,0)),""))</f>
        <v>0</v>
      </c>
      <c r="G800" s="24">
        <f>IF(OR($A800="",$C800="",$F800=""),"",$C800*$F800)</f>
        <v>0</v>
      </c>
      <c r="H800" s="23">
        <f>IF($A800="","",IF($B800="","Escolha o insumo",IF($F800="","Insumo sem custo",IF(COUNTIF(PratoNome,$A800)=0,"Prato não cadastrado",IF($C800="","Falta quantidade","OK")))))</f>
        <v>0</v>
      </c>
    </row>
    <row r="801" spans="1:8">
      <c r="A801" s="13"/>
      <c r="B801" s="13"/>
      <c r="C801" s="19"/>
      <c r="D801" s="13"/>
      <c r="E801" s="23">
        <f>IF($B801="","",IFERROR(INDEX(InsUnid,MATCH($B801,InsNome,0)),""))</f>
        <v>0</v>
      </c>
      <c r="F801" s="21">
        <f>IF($B801="","",IFERROR(INDEX(InsUtil,MATCH($B801,InsNome,0)),""))</f>
        <v>0</v>
      </c>
      <c r="G801" s="24">
        <f>IF(OR($A801="",$C801="",$F801=""),"",$C801*$F801)</f>
        <v>0</v>
      </c>
      <c r="H801" s="23">
        <f>IF($A801="","",IF($B801="","Escolha o insumo",IF($F801="","Insumo sem custo",IF(COUNTIF(PratoNome,$A801)=0,"Prato não cadastrado",IF($C801="","Falta quantidade","OK")))))</f>
        <v>0</v>
      </c>
    </row>
    <row r="802" spans="1:8">
      <c r="A802" s="13"/>
      <c r="B802" s="13"/>
      <c r="C802" s="19"/>
      <c r="D802" s="13"/>
      <c r="E802" s="23">
        <f>IF($B802="","",IFERROR(INDEX(InsUnid,MATCH($B802,InsNome,0)),""))</f>
        <v>0</v>
      </c>
      <c r="F802" s="21">
        <f>IF($B802="","",IFERROR(INDEX(InsUtil,MATCH($B802,InsNome,0)),""))</f>
        <v>0</v>
      </c>
      <c r="G802" s="24">
        <f>IF(OR($A802="",$C802="",$F802=""),"",$C802*$F802)</f>
        <v>0</v>
      </c>
      <c r="H802" s="23">
        <f>IF($A802="","",IF($B802="","Escolha o insumo",IF($F802="","Insumo sem custo",IF(COUNTIF(PratoNome,$A802)=0,"Prato não cadastrado",IF($C802="","Falta quantidade","OK")))))</f>
        <v>0</v>
      </c>
    </row>
    <row r="803" spans="1:8">
      <c r="A803" s="13"/>
      <c r="B803" s="13"/>
      <c r="C803" s="19"/>
      <c r="D803" s="13"/>
      <c r="E803" s="23">
        <f>IF($B803="","",IFERROR(INDEX(InsUnid,MATCH($B803,InsNome,0)),""))</f>
        <v>0</v>
      </c>
      <c r="F803" s="21">
        <f>IF($B803="","",IFERROR(INDEX(InsUtil,MATCH($B803,InsNome,0)),""))</f>
        <v>0</v>
      </c>
      <c r="G803" s="24">
        <f>IF(OR($A803="",$C803="",$F803=""),"",$C803*$F803)</f>
        <v>0</v>
      </c>
      <c r="H803" s="23">
        <f>IF($A803="","",IF($B803="","Escolha o insumo",IF($F803="","Insumo sem custo",IF(COUNTIF(PratoNome,$A803)=0,"Prato não cadastrado",IF($C803="","Falta quantidade","OK")))))</f>
        <v>0</v>
      </c>
    </row>
    <row r="804" spans="1:8">
      <c r="A804" s="13"/>
      <c r="B804" s="13"/>
      <c r="C804" s="19"/>
      <c r="D804" s="13"/>
      <c r="E804" s="23">
        <f>IF($B804="","",IFERROR(INDEX(InsUnid,MATCH($B804,InsNome,0)),""))</f>
        <v>0</v>
      </c>
      <c r="F804" s="21">
        <f>IF($B804="","",IFERROR(INDEX(InsUtil,MATCH($B804,InsNome,0)),""))</f>
        <v>0</v>
      </c>
      <c r="G804" s="24">
        <f>IF(OR($A804="",$C804="",$F804=""),"",$C804*$F804)</f>
        <v>0</v>
      </c>
      <c r="H804" s="23">
        <f>IF($A804="","",IF($B804="","Escolha o insumo",IF($F804="","Insumo sem custo",IF(COUNTIF(PratoNome,$A804)=0,"Prato não cadastrado",IF($C804="","Falta quantidade","OK")))))</f>
        <v>0</v>
      </c>
    </row>
  </sheetData>
  <autoFilter ref="A4:H804"/>
  <mergeCells count="2">
    <mergeCell ref="A1:H1"/>
    <mergeCell ref="A2:H2"/>
  </mergeCells>
  <conditionalFormatting sqref="H5:H804">
    <cfRule type="cellIs" dxfId="0" priority="1" operator="notEqual">
      <formula>"OK"</formula>
    </cfRule>
  </conditionalFormatting>
  <dataValidations count="3">
    <dataValidation type="list" allowBlank="1" showInputMessage="1" showErrorMessage="1" errorTitle="Valor inválido" error="Escolha um item da lista." sqref="A5:A804">
      <formula1>PratoNome</formula1>
    </dataValidation>
    <dataValidation type="list" allowBlank="1" showInputMessage="1" showErrorMessage="1" errorTitle="Valor inválido" error="Escolha um item da lista." sqref="B5:B804">
      <formula1>InsNome</formula1>
    </dataValidation>
    <dataValidation type="decimal" operator="greaterThanOrEqual" allowBlank="1" showInputMessage="1" showErrorMessage="1" errorTitle="Valor inválido" error="Digite um número maior ou igual a 0." sqref="C5:C8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Ficha Técnica e CMV para Restaurantes&amp;R&amp;8Página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P10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4.7109375" customWidth="1"/>
    <col min="2" max="2" width="16.7109375" customWidth="1"/>
    <col min="3" max="3" width="11.7109375" customWidth="1"/>
    <col min="4" max="4" width="12.7109375" customWidth="1"/>
    <col min="5" max="5" width="11.7109375" customWidth="1"/>
    <col min="6" max="7" width="13.7109375" customWidth="1"/>
    <col min="8" max="8" width="9.7109375" customWidth="1"/>
    <col min="9" max="9" width="15.7109375" customWidth="1"/>
    <col min="10" max="12" width="13.7109375" customWidth="1"/>
    <col min="13" max="13" width="9.7109375" customWidth="1"/>
    <col min="14" max="14" width="16.7109375" customWidth="1"/>
    <col min="15" max="15" width="30.7109375" customWidth="1"/>
    <col min="16" max="16" width="0" hidden="1" customWidth="1"/>
  </cols>
  <sheetData>
    <row r="1" spans="1:16" ht="36" customHeight="1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" customHeight="1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48" customHeight="1">
      <c r="A4" s="10" t="s">
        <v>85</v>
      </c>
      <c r="B4" s="10" t="s">
        <v>93</v>
      </c>
      <c r="C4" s="10" t="s">
        <v>94</v>
      </c>
      <c r="D4" s="10" t="s">
        <v>95</v>
      </c>
      <c r="E4" s="10" t="s">
        <v>96</v>
      </c>
      <c r="F4" s="10" t="s">
        <v>97</v>
      </c>
      <c r="G4" s="10" t="s">
        <v>98</v>
      </c>
      <c r="H4" s="10" t="s">
        <v>99</v>
      </c>
      <c r="I4" s="10" t="s">
        <v>100</v>
      </c>
      <c r="J4" s="10" t="s">
        <v>101</v>
      </c>
      <c r="K4" s="10" t="s">
        <v>102</v>
      </c>
      <c r="L4" s="10" t="s">
        <v>103</v>
      </c>
      <c r="M4" s="10" t="s">
        <v>104</v>
      </c>
      <c r="N4" s="10" t="s">
        <v>105</v>
      </c>
      <c r="O4" s="10" t="s">
        <v>106</v>
      </c>
      <c r="P4" s="10" t="s">
        <v>107</v>
      </c>
    </row>
    <row r="5" spans="1:16">
      <c r="A5" s="13"/>
      <c r="B5" s="13"/>
      <c r="C5" s="16"/>
      <c r="D5" s="18"/>
      <c r="E5" s="25"/>
      <c r="F5" s="24">
        <f>IF($A5="","",SUMIFS(Fichas!$G$5:$G$804,Fichas!$A$5:$A$804,$A5))</f>
        <v>0</v>
      </c>
      <c r="G5" s="26">
        <f>IF(OR($A5="",N($F5)=0),"",$F5/IF(N($C5)&gt;0,$C5,1))</f>
        <v>0</v>
      </c>
      <c r="H5" s="27">
        <f>IF(OR($G5="",N($D5)&lt;=0),"",$G5/$D5)</f>
        <v>0</v>
      </c>
      <c r="I5" s="28">
        <f>IF($A5="","",IF($G5="","Sem ficha",IF($H5="","Sem preço",IF($H5&gt;CMVMeta,"ACIMA DA META","OK"))))</f>
        <v>0</v>
      </c>
      <c r="J5" s="24">
        <f>IF($G5="","",ROUNDUP($G5/CMVMeta,0)+IF(ROUNDUP($G5/CMVMeta,0)-0.1&gt;=$G5/CMVMeta,-0.1,0.9))</f>
        <v>0</v>
      </c>
      <c r="K5" s="24">
        <f>IF(OR($G5="",N($D5)&lt;=0),"",$D5-$G5-$D5*ImpTaxa)</f>
        <v>0</v>
      </c>
      <c r="L5" s="24">
        <f>IF(OR($K5="",N($E5)&lt;=0),"",$K5*$E5)</f>
        <v>0</v>
      </c>
      <c r="M5" s="29">
        <f>IF(OR($A5="",N($E5)&lt;=0),"",$E5/SUM($E$5:$E$104))</f>
        <v>0</v>
      </c>
      <c r="N5" s="28">
        <f>IF(OR($M5="",$K5=""),"",IF($M5&gt;=0.7/NPratos,IF($K5&gt;=MCmed,"Estrela","Burro de carga"),IF($K5&gt;=MCmed,"Quebra-cabeça","Cão")))</f>
        <v>0</v>
      </c>
      <c r="O5" s="30">
        <f>IF($N5="","",IF($N5="Estrela","Manter e destacar no cardápio",IF($N5="Burro de carga","Subir preço ou reduzir custo",IF($N5="Quebra-cabeça","Divulgar e sugerir ao cliente","Reformular ou retirar"))))</f>
        <v>0</v>
      </c>
      <c r="P5" s="31">
        <f>IF($H5="","",$H5+ROW()/1000000000)</f>
        <v>0</v>
      </c>
    </row>
    <row r="6" spans="1:16">
      <c r="A6" s="13"/>
      <c r="B6" s="13"/>
      <c r="C6" s="16"/>
      <c r="D6" s="18"/>
      <c r="E6" s="25"/>
      <c r="F6" s="24">
        <f>IF($A6="","",SUMIFS(Fichas!$G$5:$G$804,Fichas!$A$5:$A$804,$A6))</f>
        <v>0</v>
      </c>
      <c r="G6" s="26">
        <f>IF(OR($A6="",N($F6)=0),"",$F6/IF(N($C6)&gt;0,$C6,1))</f>
        <v>0</v>
      </c>
      <c r="H6" s="27">
        <f>IF(OR($G6="",N($D6)&lt;=0),"",$G6/$D6)</f>
        <v>0</v>
      </c>
      <c r="I6" s="28">
        <f>IF($A6="","",IF($G6="","Sem ficha",IF($H6="","Sem preço",IF($H6&gt;CMVMeta,"ACIMA DA META","OK"))))</f>
        <v>0</v>
      </c>
      <c r="J6" s="24">
        <f>IF($G6="","",ROUNDUP($G6/CMVMeta,0)+IF(ROUNDUP($G6/CMVMeta,0)-0.1&gt;=$G6/CMVMeta,-0.1,0.9))</f>
        <v>0</v>
      </c>
      <c r="K6" s="24">
        <f>IF(OR($G6="",N($D6)&lt;=0),"",$D6-$G6-$D6*ImpTaxa)</f>
        <v>0</v>
      </c>
      <c r="L6" s="24">
        <f>IF(OR($K6="",N($E6)&lt;=0),"",$K6*$E6)</f>
        <v>0</v>
      </c>
      <c r="M6" s="29">
        <f>IF(OR($A6="",N($E6)&lt;=0),"",$E6/SUM($E$5:$E$104))</f>
        <v>0</v>
      </c>
      <c r="N6" s="28">
        <f>IF(OR($M6="",$K6=""),"",IF($M6&gt;=0.7/NPratos,IF($K6&gt;=MCmed,"Estrela","Burro de carga"),IF($K6&gt;=MCmed,"Quebra-cabeça","Cão")))</f>
        <v>0</v>
      </c>
      <c r="O6" s="30">
        <f>IF($N6="","",IF($N6="Estrela","Manter e destacar no cardápio",IF($N6="Burro de carga","Subir preço ou reduzir custo",IF($N6="Quebra-cabeça","Divulgar e sugerir ao cliente","Reformular ou retirar"))))</f>
        <v>0</v>
      </c>
      <c r="P6" s="31">
        <f>IF($H6="","",$H6+ROW()/1000000000)</f>
        <v>0</v>
      </c>
    </row>
    <row r="7" spans="1:16">
      <c r="A7" s="13"/>
      <c r="B7" s="13"/>
      <c r="C7" s="16"/>
      <c r="D7" s="18"/>
      <c r="E7" s="25"/>
      <c r="F7" s="24">
        <f>IF($A7="","",SUMIFS(Fichas!$G$5:$G$804,Fichas!$A$5:$A$804,$A7))</f>
        <v>0</v>
      </c>
      <c r="G7" s="26">
        <f>IF(OR($A7="",N($F7)=0),"",$F7/IF(N($C7)&gt;0,$C7,1))</f>
        <v>0</v>
      </c>
      <c r="H7" s="27">
        <f>IF(OR($G7="",N($D7)&lt;=0),"",$G7/$D7)</f>
        <v>0</v>
      </c>
      <c r="I7" s="28">
        <f>IF($A7="","",IF($G7="","Sem ficha",IF($H7="","Sem preço",IF($H7&gt;CMVMeta,"ACIMA DA META","OK"))))</f>
        <v>0</v>
      </c>
      <c r="J7" s="24">
        <f>IF($G7="","",ROUNDUP($G7/CMVMeta,0)+IF(ROUNDUP($G7/CMVMeta,0)-0.1&gt;=$G7/CMVMeta,-0.1,0.9))</f>
        <v>0</v>
      </c>
      <c r="K7" s="24">
        <f>IF(OR($G7="",N($D7)&lt;=0),"",$D7-$G7-$D7*ImpTaxa)</f>
        <v>0</v>
      </c>
      <c r="L7" s="24">
        <f>IF(OR($K7="",N($E7)&lt;=0),"",$K7*$E7)</f>
        <v>0</v>
      </c>
      <c r="M7" s="29">
        <f>IF(OR($A7="",N($E7)&lt;=0),"",$E7/SUM($E$5:$E$104))</f>
        <v>0</v>
      </c>
      <c r="N7" s="28">
        <f>IF(OR($M7="",$K7=""),"",IF($M7&gt;=0.7/NPratos,IF($K7&gt;=MCmed,"Estrela","Burro de carga"),IF($K7&gt;=MCmed,"Quebra-cabeça","Cão")))</f>
        <v>0</v>
      </c>
      <c r="O7" s="30">
        <f>IF($N7="","",IF($N7="Estrela","Manter e destacar no cardápio",IF($N7="Burro de carga","Subir preço ou reduzir custo",IF($N7="Quebra-cabeça","Divulgar e sugerir ao cliente","Reformular ou retirar"))))</f>
        <v>0</v>
      </c>
      <c r="P7" s="31">
        <f>IF($H7="","",$H7+ROW()/1000000000)</f>
        <v>0</v>
      </c>
    </row>
    <row r="8" spans="1:16">
      <c r="A8" s="13"/>
      <c r="B8" s="13"/>
      <c r="C8" s="16"/>
      <c r="D8" s="18"/>
      <c r="E8" s="25"/>
      <c r="F8" s="24">
        <f>IF($A8="","",SUMIFS(Fichas!$G$5:$G$804,Fichas!$A$5:$A$804,$A8))</f>
        <v>0</v>
      </c>
      <c r="G8" s="26">
        <f>IF(OR($A8="",N($F8)=0),"",$F8/IF(N($C8)&gt;0,$C8,1))</f>
        <v>0</v>
      </c>
      <c r="H8" s="27">
        <f>IF(OR($G8="",N($D8)&lt;=0),"",$G8/$D8)</f>
        <v>0</v>
      </c>
      <c r="I8" s="28">
        <f>IF($A8="","",IF($G8="","Sem ficha",IF($H8="","Sem preço",IF($H8&gt;CMVMeta,"ACIMA DA META","OK"))))</f>
        <v>0</v>
      </c>
      <c r="J8" s="24">
        <f>IF($G8="","",ROUNDUP($G8/CMVMeta,0)+IF(ROUNDUP($G8/CMVMeta,0)-0.1&gt;=$G8/CMVMeta,-0.1,0.9))</f>
        <v>0</v>
      </c>
      <c r="K8" s="24">
        <f>IF(OR($G8="",N($D8)&lt;=0),"",$D8-$G8-$D8*ImpTaxa)</f>
        <v>0</v>
      </c>
      <c r="L8" s="24">
        <f>IF(OR($K8="",N($E8)&lt;=0),"",$K8*$E8)</f>
        <v>0</v>
      </c>
      <c r="M8" s="29">
        <f>IF(OR($A8="",N($E8)&lt;=0),"",$E8/SUM($E$5:$E$104))</f>
        <v>0</v>
      </c>
      <c r="N8" s="28">
        <f>IF(OR($M8="",$K8=""),"",IF($M8&gt;=0.7/NPratos,IF($K8&gt;=MCmed,"Estrela","Burro de carga"),IF($K8&gt;=MCmed,"Quebra-cabeça","Cão")))</f>
        <v>0</v>
      </c>
      <c r="O8" s="30">
        <f>IF($N8="","",IF($N8="Estrela","Manter e destacar no cardápio",IF($N8="Burro de carga","Subir preço ou reduzir custo",IF($N8="Quebra-cabeça","Divulgar e sugerir ao cliente","Reformular ou retirar"))))</f>
        <v>0</v>
      </c>
      <c r="P8" s="31">
        <f>IF($H8="","",$H8+ROW()/1000000000)</f>
        <v>0</v>
      </c>
    </row>
    <row r="9" spans="1:16">
      <c r="A9" s="13"/>
      <c r="B9" s="13"/>
      <c r="C9" s="16"/>
      <c r="D9" s="18"/>
      <c r="E9" s="25"/>
      <c r="F9" s="24">
        <f>IF($A9="","",SUMIFS(Fichas!$G$5:$G$804,Fichas!$A$5:$A$804,$A9))</f>
        <v>0</v>
      </c>
      <c r="G9" s="26">
        <f>IF(OR($A9="",N($F9)=0),"",$F9/IF(N($C9)&gt;0,$C9,1))</f>
        <v>0</v>
      </c>
      <c r="H9" s="27">
        <f>IF(OR($G9="",N($D9)&lt;=0),"",$G9/$D9)</f>
        <v>0</v>
      </c>
      <c r="I9" s="28">
        <f>IF($A9="","",IF($G9="","Sem ficha",IF($H9="","Sem preço",IF($H9&gt;CMVMeta,"ACIMA DA META","OK"))))</f>
        <v>0</v>
      </c>
      <c r="J9" s="24">
        <f>IF($G9="","",ROUNDUP($G9/CMVMeta,0)+IF(ROUNDUP($G9/CMVMeta,0)-0.1&gt;=$G9/CMVMeta,-0.1,0.9))</f>
        <v>0</v>
      </c>
      <c r="K9" s="24">
        <f>IF(OR($G9="",N($D9)&lt;=0),"",$D9-$G9-$D9*ImpTaxa)</f>
        <v>0</v>
      </c>
      <c r="L9" s="24">
        <f>IF(OR($K9="",N($E9)&lt;=0),"",$K9*$E9)</f>
        <v>0</v>
      </c>
      <c r="M9" s="29">
        <f>IF(OR($A9="",N($E9)&lt;=0),"",$E9/SUM($E$5:$E$104))</f>
        <v>0</v>
      </c>
      <c r="N9" s="28">
        <f>IF(OR($M9="",$K9=""),"",IF($M9&gt;=0.7/NPratos,IF($K9&gt;=MCmed,"Estrela","Burro de carga"),IF($K9&gt;=MCmed,"Quebra-cabeça","Cão")))</f>
        <v>0</v>
      </c>
      <c r="O9" s="30">
        <f>IF($N9="","",IF($N9="Estrela","Manter e destacar no cardápio",IF($N9="Burro de carga","Subir preço ou reduzir custo",IF($N9="Quebra-cabeça","Divulgar e sugerir ao cliente","Reformular ou retirar"))))</f>
        <v>0</v>
      </c>
      <c r="P9" s="31">
        <f>IF($H9="","",$H9+ROW()/1000000000)</f>
        <v>0</v>
      </c>
    </row>
    <row r="10" spans="1:16">
      <c r="A10" s="13"/>
      <c r="B10" s="13"/>
      <c r="C10" s="16"/>
      <c r="D10" s="18"/>
      <c r="E10" s="25"/>
      <c r="F10" s="24">
        <f>IF($A10="","",SUMIFS(Fichas!$G$5:$G$804,Fichas!$A$5:$A$804,$A10))</f>
        <v>0</v>
      </c>
      <c r="G10" s="26">
        <f>IF(OR($A10="",N($F10)=0),"",$F10/IF(N($C10)&gt;0,$C10,1))</f>
        <v>0</v>
      </c>
      <c r="H10" s="27">
        <f>IF(OR($G10="",N($D10)&lt;=0),"",$G10/$D10)</f>
        <v>0</v>
      </c>
      <c r="I10" s="28">
        <f>IF($A10="","",IF($G10="","Sem ficha",IF($H10="","Sem preço",IF($H10&gt;CMVMeta,"ACIMA DA META","OK"))))</f>
        <v>0</v>
      </c>
      <c r="J10" s="24">
        <f>IF($G10="","",ROUNDUP($G10/CMVMeta,0)+IF(ROUNDUP($G10/CMVMeta,0)-0.1&gt;=$G10/CMVMeta,-0.1,0.9))</f>
        <v>0</v>
      </c>
      <c r="K10" s="24">
        <f>IF(OR($G10="",N($D10)&lt;=0),"",$D10-$G10-$D10*ImpTaxa)</f>
        <v>0</v>
      </c>
      <c r="L10" s="24">
        <f>IF(OR($K10="",N($E10)&lt;=0),"",$K10*$E10)</f>
        <v>0</v>
      </c>
      <c r="M10" s="29">
        <f>IF(OR($A10="",N($E10)&lt;=0),"",$E10/SUM($E$5:$E$104))</f>
        <v>0</v>
      </c>
      <c r="N10" s="28">
        <f>IF(OR($M10="",$K10=""),"",IF($M10&gt;=0.7/NPratos,IF($K10&gt;=MCmed,"Estrela","Burro de carga"),IF($K10&gt;=MCmed,"Quebra-cabeça","Cão")))</f>
        <v>0</v>
      </c>
      <c r="O10" s="30">
        <f>IF($N10="","",IF($N10="Estrela","Manter e destacar no cardápio",IF($N10="Burro de carga","Subir preço ou reduzir custo",IF($N10="Quebra-cabeça","Divulgar e sugerir ao cliente","Reformular ou retirar"))))</f>
        <v>0</v>
      </c>
      <c r="P10" s="31">
        <f>IF($H10="","",$H10+ROW()/1000000000)</f>
        <v>0</v>
      </c>
    </row>
    <row r="11" spans="1:16">
      <c r="A11" s="13"/>
      <c r="B11" s="13"/>
      <c r="C11" s="16"/>
      <c r="D11" s="18"/>
      <c r="E11" s="25"/>
      <c r="F11" s="24">
        <f>IF($A11="","",SUMIFS(Fichas!$G$5:$G$804,Fichas!$A$5:$A$804,$A11))</f>
        <v>0</v>
      </c>
      <c r="G11" s="26">
        <f>IF(OR($A11="",N($F11)=0),"",$F11/IF(N($C11)&gt;0,$C11,1))</f>
        <v>0</v>
      </c>
      <c r="H11" s="27">
        <f>IF(OR($G11="",N($D11)&lt;=0),"",$G11/$D11)</f>
        <v>0</v>
      </c>
      <c r="I11" s="28">
        <f>IF($A11="","",IF($G11="","Sem ficha",IF($H11="","Sem preço",IF($H11&gt;CMVMeta,"ACIMA DA META","OK"))))</f>
        <v>0</v>
      </c>
      <c r="J11" s="24">
        <f>IF($G11="","",ROUNDUP($G11/CMVMeta,0)+IF(ROUNDUP($G11/CMVMeta,0)-0.1&gt;=$G11/CMVMeta,-0.1,0.9))</f>
        <v>0</v>
      </c>
      <c r="K11" s="24">
        <f>IF(OR($G11="",N($D11)&lt;=0),"",$D11-$G11-$D11*ImpTaxa)</f>
        <v>0</v>
      </c>
      <c r="L11" s="24">
        <f>IF(OR($K11="",N($E11)&lt;=0),"",$K11*$E11)</f>
        <v>0</v>
      </c>
      <c r="M11" s="29">
        <f>IF(OR($A11="",N($E11)&lt;=0),"",$E11/SUM($E$5:$E$104))</f>
        <v>0</v>
      </c>
      <c r="N11" s="28">
        <f>IF(OR($M11="",$K11=""),"",IF($M11&gt;=0.7/NPratos,IF($K11&gt;=MCmed,"Estrela","Burro de carga"),IF($K11&gt;=MCmed,"Quebra-cabeça","Cão")))</f>
        <v>0</v>
      </c>
      <c r="O11" s="30">
        <f>IF($N11="","",IF($N11="Estrela","Manter e destacar no cardápio",IF($N11="Burro de carga","Subir preço ou reduzir custo",IF($N11="Quebra-cabeça","Divulgar e sugerir ao cliente","Reformular ou retirar"))))</f>
        <v>0</v>
      </c>
      <c r="P11" s="31">
        <f>IF($H11="","",$H11+ROW()/1000000000)</f>
        <v>0</v>
      </c>
    </row>
    <row r="12" spans="1:16">
      <c r="A12" s="13"/>
      <c r="B12" s="13"/>
      <c r="C12" s="16"/>
      <c r="D12" s="18"/>
      <c r="E12" s="25"/>
      <c r="F12" s="24">
        <f>IF($A12="","",SUMIFS(Fichas!$G$5:$G$804,Fichas!$A$5:$A$804,$A12))</f>
        <v>0</v>
      </c>
      <c r="G12" s="26">
        <f>IF(OR($A12="",N($F12)=0),"",$F12/IF(N($C12)&gt;0,$C12,1))</f>
        <v>0</v>
      </c>
      <c r="H12" s="27">
        <f>IF(OR($G12="",N($D12)&lt;=0),"",$G12/$D12)</f>
        <v>0</v>
      </c>
      <c r="I12" s="28">
        <f>IF($A12="","",IF($G12="","Sem ficha",IF($H12="","Sem preço",IF($H12&gt;CMVMeta,"ACIMA DA META","OK"))))</f>
        <v>0</v>
      </c>
      <c r="J12" s="24">
        <f>IF($G12="","",ROUNDUP($G12/CMVMeta,0)+IF(ROUNDUP($G12/CMVMeta,0)-0.1&gt;=$G12/CMVMeta,-0.1,0.9))</f>
        <v>0</v>
      </c>
      <c r="K12" s="24">
        <f>IF(OR($G12="",N($D12)&lt;=0),"",$D12-$G12-$D12*ImpTaxa)</f>
        <v>0</v>
      </c>
      <c r="L12" s="24">
        <f>IF(OR($K12="",N($E12)&lt;=0),"",$K12*$E12)</f>
        <v>0</v>
      </c>
      <c r="M12" s="29">
        <f>IF(OR($A12="",N($E12)&lt;=0),"",$E12/SUM($E$5:$E$104))</f>
        <v>0</v>
      </c>
      <c r="N12" s="28">
        <f>IF(OR($M12="",$K12=""),"",IF($M12&gt;=0.7/NPratos,IF($K12&gt;=MCmed,"Estrela","Burro de carga"),IF($K12&gt;=MCmed,"Quebra-cabeça","Cão")))</f>
        <v>0</v>
      </c>
      <c r="O12" s="30">
        <f>IF($N12="","",IF($N12="Estrela","Manter e destacar no cardápio",IF($N12="Burro de carga","Subir preço ou reduzir custo",IF($N12="Quebra-cabeça","Divulgar e sugerir ao cliente","Reformular ou retirar"))))</f>
        <v>0</v>
      </c>
      <c r="P12" s="31">
        <f>IF($H12="","",$H12+ROW()/1000000000)</f>
        <v>0</v>
      </c>
    </row>
    <row r="13" spans="1:16">
      <c r="A13" s="13"/>
      <c r="B13" s="13"/>
      <c r="C13" s="16"/>
      <c r="D13" s="18"/>
      <c r="E13" s="25"/>
      <c r="F13" s="24">
        <f>IF($A13="","",SUMIFS(Fichas!$G$5:$G$804,Fichas!$A$5:$A$804,$A13))</f>
        <v>0</v>
      </c>
      <c r="G13" s="26">
        <f>IF(OR($A13="",N($F13)=0),"",$F13/IF(N($C13)&gt;0,$C13,1))</f>
        <v>0</v>
      </c>
      <c r="H13" s="27">
        <f>IF(OR($G13="",N($D13)&lt;=0),"",$G13/$D13)</f>
        <v>0</v>
      </c>
      <c r="I13" s="28">
        <f>IF($A13="","",IF($G13="","Sem ficha",IF($H13="","Sem preço",IF($H13&gt;CMVMeta,"ACIMA DA META","OK"))))</f>
        <v>0</v>
      </c>
      <c r="J13" s="24">
        <f>IF($G13="","",ROUNDUP($G13/CMVMeta,0)+IF(ROUNDUP($G13/CMVMeta,0)-0.1&gt;=$G13/CMVMeta,-0.1,0.9))</f>
        <v>0</v>
      </c>
      <c r="K13" s="24">
        <f>IF(OR($G13="",N($D13)&lt;=0),"",$D13-$G13-$D13*ImpTaxa)</f>
        <v>0</v>
      </c>
      <c r="L13" s="24">
        <f>IF(OR($K13="",N($E13)&lt;=0),"",$K13*$E13)</f>
        <v>0</v>
      </c>
      <c r="M13" s="29">
        <f>IF(OR($A13="",N($E13)&lt;=0),"",$E13/SUM($E$5:$E$104))</f>
        <v>0</v>
      </c>
      <c r="N13" s="28">
        <f>IF(OR($M13="",$K13=""),"",IF($M13&gt;=0.7/NPratos,IF($K13&gt;=MCmed,"Estrela","Burro de carga"),IF($K13&gt;=MCmed,"Quebra-cabeça","Cão")))</f>
        <v>0</v>
      </c>
      <c r="O13" s="30">
        <f>IF($N13="","",IF($N13="Estrela","Manter e destacar no cardápio",IF($N13="Burro de carga","Subir preço ou reduzir custo",IF($N13="Quebra-cabeça","Divulgar e sugerir ao cliente","Reformular ou retirar"))))</f>
        <v>0</v>
      </c>
      <c r="P13" s="31">
        <f>IF($H13="","",$H13+ROW()/1000000000)</f>
        <v>0</v>
      </c>
    </row>
    <row r="14" spans="1:16">
      <c r="A14" s="13"/>
      <c r="B14" s="13"/>
      <c r="C14" s="16"/>
      <c r="D14" s="18"/>
      <c r="E14" s="25"/>
      <c r="F14" s="24">
        <f>IF($A14="","",SUMIFS(Fichas!$G$5:$G$804,Fichas!$A$5:$A$804,$A14))</f>
        <v>0</v>
      </c>
      <c r="G14" s="26">
        <f>IF(OR($A14="",N($F14)=0),"",$F14/IF(N($C14)&gt;0,$C14,1))</f>
        <v>0</v>
      </c>
      <c r="H14" s="27">
        <f>IF(OR($G14="",N($D14)&lt;=0),"",$G14/$D14)</f>
        <v>0</v>
      </c>
      <c r="I14" s="28">
        <f>IF($A14="","",IF($G14="","Sem ficha",IF($H14="","Sem preço",IF($H14&gt;CMVMeta,"ACIMA DA META","OK"))))</f>
        <v>0</v>
      </c>
      <c r="J14" s="24">
        <f>IF($G14="","",ROUNDUP($G14/CMVMeta,0)+IF(ROUNDUP($G14/CMVMeta,0)-0.1&gt;=$G14/CMVMeta,-0.1,0.9))</f>
        <v>0</v>
      </c>
      <c r="K14" s="24">
        <f>IF(OR($G14="",N($D14)&lt;=0),"",$D14-$G14-$D14*ImpTaxa)</f>
        <v>0</v>
      </c>
      <c r="L14" s="24">
        <f>IF(OR($K14="",N($E14)&lt;=0),"",$K14*$E14)</f>
        <v>0</v>
      </c>
      <c r="M14" s="29">
        <f>IF(OR($A14="",N($E14)&lt;=0),"",$E14/SUM($E$5:$E$104))</f>
        <v>0</v>
      </c>
      <c r="N14" s="28">
        <f>IF(OR($M14="",$K14=""),"",IF($M14&gt;=0.7/NPratos,IF($K14&gt;=MCmed,"Estrela","Burro de carga"),IF($K14&gt;=MCmed,"Quebra-cabeça","Cão")))</f>
        <v>0</v>
      </c>
      <c r="O14" s="30">
        <f>IF($N14="","",IF($N14="Estrela","Manter e destacar no cardápio",IF($N14="Burro de carga","Subir preço ou reduzir custo",IF($N14="Quebra-cabeça","Divulgar e sugerir ao cliente","Reformular ou retirar"))))</f>
        <v>0</v>
      </c>
      <c r="P14" s="31">
        <f>IF($H14="","",$H14+ROW()/1000000000)</f>
        <v>0</v>
      </c>
    </row>
    <row r="15" spans="1:16">
      <c r="A15" s="13"/>
      <c r="B15" s="13"/>
      <c r="C15" s="16"/>
      <c r="D15" s="18"/>
      <c r="E15" s="25"/>
      <c r="F15" s="24">
        <f>IF($A15="","",SUMIFS(Fichas!$G$5:$G$804,Fichas!$A$5:$A$804,$A15))</f>
        <v>0</v>
      </c>
      <c r="G15" s="26">
        <f>IF(OR($A15="",N($F15)=0),"",$F15/IF(N($C15)&gt;0,$C15,1))</f>
        <v>0</v>
      </c>
      <c r="H15" s="27">
        <f>IF(OR($G15="",N($D15)&lt;=0),"",$G15/$D15)</f>
        <v>0</v>
      </c>
      <c r="I15" s="28">
        <f>IF($A15="","",IF($G15="","Sem ficha",IF($H15="","Sem preço",IF($H15&gt;CMVMeta,"ACIMA DA META","OK"))))</f>
        <v>0</v>
      </c>
      <c r="J15" s="24">
        <f>IF($G15="","",ROUNDUP($G15/CMVMeta,0)+IF(ROUNDUP($G15/CMVMeta,0)-0.1&gt;=$G15/CMVMeta,-0.1,0.9))</f>
        <v>0</v>
      </c>
      <c r="K15" s="24">
        <f>IF(OR($G15="",N($D15)&lt;=0),"",$D15-$G15-$D15*ImpTaxa)</f>
        <v>0</v>
      </c>
      <c r="L15" s="24">
        <f>IF(OR($K15="",N($E15)&lt;=0),"",$K15*$E15)</f>
        <v>0</v>
      </c>
      <c r="M15" s="29">
        <f>IF(OR($A15="",N($E15)&lt;=0),"",$E15/SUM($E$5:$E$104))</f>
        <v>0</v>
      </c>
      <c r="N15" s="28">
        <f>IF(OR($M15="",$K15=""),"",IF($M15&gt;=0.7/NPratos,IF($K15&gt;=MCmed,"Estrela","Burro de carga"),IF($K15&gt;=MCmed,"Quebra-cabeça","Cão")))</f>
        <v>0</v>
      </c>
      <c r="O15" s="30">
        <f>IF($N15="","",IF($N15="Estrela","Manter e destacar no cardápio",IF($N15="Burro de carga","Subir preço ou reduzir custo",IF($N15="Quebra-cabeça","Divulgar e sugerir ao cliente","Reformular ou retirar"))))</f>
        <v>0</v>
      </c>
      <c r="P15" s="31">
        <f>IF($H15="","",$H15+ROW()/1000000000)</f>
        <v>0</v>
      </c>
    </row>
    <row r="16" spans="1:16">
      <c r="A16" s="13"/>
      <c r="B16" s="13"/>
      <c r="C16" s="16"/>
      <c r="D16" s="18"/>
      <c r="E16" s="25"/>
      <c r="F16" s="24">
        <f>IF($A16="","",SUMIFS(Fichas!$G$5:$G$804,Fichas!$A$5:$A$804,$A16))</f>
        <v>0</v>
      </c>
      <c r="G16" s="26">
        <f>IF(OR($A16="",N($F16)=0),"",$F16/IF(N($C16)&gt;0,$C16,1))</f>
        <v>0</v>
      </c>
      <c r="H16" s="27">
        <f>IF(OR($G16="",N($D16)&lt;=0),"",$G16/$D16)</f>
        <v>0</v>
      </c>
      <c r="I16" s="28">
        <f>IF($A16="","",IF($G16="","Sem ficha",IF($H16="","Sem preço",IF($H16&gt;CMVMeta,"ACIMA DA META","OK"))))</f>
        <v>0</v>
      </c>
      <c r="J16" s="24">
        <f>IF($G16="","",ROUNDUP($G16/CMVMeta,0)+IF(ROUNDUP($G16/CMVMeta,0)-0.1&gt;=$G16/CMVMeta,-0.1,0.9))</f>
        <v>0</v>
      </c>
      <c r="K16" s="24">
        <f>IF(OR($G16="",N($D16)&lt;=0),"",$D16-$G16-$D16*ImpTaxa)</f>
        <v>0</v>
      </c>
      <c r="L16" s="24">
        <f>IF(OR($K16="",N($E16)&lt;=0),"",$K16*$E16)</f>
        <v>0</v>
      </c>
      <c r="M16" s="29">
        <f>IF(OR($A16="",N($E16)&lt;=0),"",$E16/SUM($E$5:$E$104))</f>
        <v>0</v>
      </c>
      <c r="N16" s="28">
        <f>IF(OR($M16="",$K16=""),"",IF($M16&gt;=0.7/NPratos,IF($K16&gt;=MCmed,"Estrela","Burro de carga"),IF($K16&gt;=MCmed,"Quebra-cabeça","Cão")))</f>
        <v>0</v>
      </c>
      <c r="O16" s="30">
        <f>IF($N16="","",IF($N16="Estrela","Manter e destacar no cardápio",IF($N16="Burro de carga","Subir preço ou reduzir custo",IF($N16="Quebra-cabeça","Divulgar e sugerir ao cliente","Reformular ou retirar"))))</f>
        <v>0</v>
      </c>
      <c r="P16" s="31">
        <f>IF($H16="","",$H16+ROW()/1000000000)</f>
        <v>0</v>
      </c>
    </row>
    <row r="17" spans="1:16">
      <c r="A17" s="13"/>
      <c r="B17" s="13"/>
      <c r="C17" s="16"/>
      <c r="D17" s="18"/>
      <c r="E17" s="25"/>
      <c r="F17" s="24">
        <f>IF($A17="","",SUMIFS(Fichas!$G$5:$G$804,Fichas!$A$5:$A$804,$A17))</f>
        <v>0</v>
      </c>
      <c r="G17" s="26">
        <f>IF(OR($A17="",N($F17)=0),"",$F17/IF(N($C17)&gt;0,$C17,1))</f>
        <v>0</v>
      </c>
      <c r="H17" s="27">
        <f>IF(OR($G17="",N($D17)&lt;=0),"",$G17/$D17)</f>
        <v>0</v>
      </c>
      <c r="I17" s="28">
        <f>IF($A17="","",IF($G17="","Sem ficha",IF($H17="","Sem preço",IF($H17&gt;CMVMeta,"ACIMA DA META","OK"))))</f>
        <v>0</v>
      </c>
      <c r="J17" s="24">
        <f>IF($G17="","",ROUNDUP($G17/CMVMeta,0)+IF(ROUNDUP($G17/CMVMeta,0)-0.1&gt;=$G17/CMVMeta,-0.1,0.9))</f>
        <v>0</v>
      </c>
      <c r="K17" s="24">
        <f>IF(OR($G17="",N($D17)&lt;=0),"",$D17-$G17-$D17*ImpTaxa)</f>
        <v>0</v>
      </c>
      <c r="L17" s="24">
        <f>IF(OR($K17="",N($E17)&lt;=0),"",$K17*$E17)</f>
        <v>0</v>
      </c>
      <c r="M17" s="29">
        <f>IF(OR($A17="",N($E17)&lt;=0),"",$E17/SUM($E$5:$E$104))</f>
        <v>0</v>
      </c>
      <c r="N17" s="28">
        <f>IF(OR($M17="",$K17=""),"",IF($M17&gt;=0.7/NPratos,IF($K17&gt;=MCmed,"Estrela","Burro de carga"),IF($K17&gt;=MCmed,"Quebra-cabeça","Cão")))</f>
        <v>0</v>
      </c>
      <c r="O17" s="30">
        <f>IF($N17="","",IF($N17="Estrela","Manter e destacar no cardápio",IF($N17="Burro de carga","Subir preço ou reduzir custo",IF($N17="Quebra-cabeça","Divulgar e sugerir ao cliente","Reformular ou retirar"))))</f>
        <v>0</v>
      </c>
      <c r="P17" s="31">
        <f>IF($H17="","",$H17+ROW()/1000000000)</f>
        <v>0</v>
      </c>
    </row>
    <row r="18" spans="1:16">
      <c r="A18" s="13"/>
      <c r="B18" s="13"/>
      <c r="C18" s="16"/>
      <c r="D18" s="18"/>
      <c r="E18" s="25"/>
      <c r="F18" s="24">
        <f>IF($A18="","",SUMIFS(Fichas!$G$5:$G$804,Fichas!$A$5:$A$804,$A18))</f>
        <v>0</v>
      </c>
      <c r="G18" s="26">
        <f>IF(OR($A18="",N($F18)=0),"",$F18/IF(N($C18)&gt;0,$C18,1))</f>
        <v>0</v>
      </c>
      <c r="H18" s="27">
        <f>IF(OR($G18="",N($D18)&lt;=0),"",$G18/$D18)</f>
        <v>0</v>
      </c>
      <c r="I18" s="28">
        <f>IF($A18="","",IF($G18="","Sem ficha",IF($H18="","Sem preço",IF($H18&gt;CMVMeta,"ACIMA DA META","OK"))))</f>
        <v>0</v>
      </c>
      <c r="J18" s="24">
        <f>IF($G18="","",ROUNDUP($G18/CMVMeta,0)+IF(ROUNDUP($G18/CMVMeta,0)-0.1&gt;=$G18/CMVMeta,-0.1,0.9))</f>
        <v>0</v>
      </c>
      <c r="K18" s="24">
        <f>IF(OR($G18="",N($D18)&lt;=0),"",$D18-$G18-$D18*ImpTaxa)</f>
        <v>0</v>
      </c>
      <c r="L18" s="24">
        <f>IF(OR($K18="",N($E18)&lt;=0),"",$K18*$E18)</f>
        <v>0</v>
      </c>
      <c r="M18" s="29">
        <f>IF(OR($A18="",N($E18)&lt;=0),"",$E18/SUM($E$5:$E$104))</f>
        <v>0</v>
      </c>
      <c r="N18" s="28">
        <f>IF(OR($M18="",$K18=""),"",IF($M18&gt;=0.7/NPratos,IF($K18&gt;=MCmed,"Estrela","Burro de carga"),IF($K18&gt;=MCmed,"Quebra-cabeça","Cão")))</f>
        <v>0</v>
      </c>
      <c r="O18" s="30">
        <f>IF($N18="","",IF($N18="Estrela","Manter e destacar no cardápio",IF($N18="Burro de carga","Subir preço ou reduzir custo",IF($N18="Quebra-cabeça","Divulgar e sugerir ao cliente","Reformular ou retirar"))))</f>
        <v>0</v>
      </c>
      <c r="P18" s="31">
        <f>IF($H18="","",$H18+ROW()/1000000000)</f>
        <v>0</v>
      </c>
    </row>
    <row r="19" spans="1:16">
      <c r="A19" s="13"/>
      <c r="B19" s="13"/>
      <c r="C19" s="16"/>
      <c r="D19" s="18"/>
      <c r="E19" s="25"/>
      <c r="F19" s="24">
        <f>IF($A19="","",SUMIFS(Fichas!$G$5:$G$804,Fichas!$A$5:$A$804,$A19))</f>
        <v>0</v>
      </c>
      <c r="G19" s="26">
        <f>IF(OR($A19="",N($F19)=0),"",$F19/IF(N($C19)&gt;0,$C19,1))</f>
        <v>0</v>
      </c>
      <c r="H19" s="27">
        <f>IF(OR($G19="",N($D19)&lt;=0),"",$G19/$D19)</f>
        <v>0</v>
      </c>
      <c r="I19" s="28">
        <f>IF($A19="","",IF($G19="","Sem ficha",IF($H19="","Sem preço",IF($H19&gt;CMVMeta,"ACIMA DA META","OK"))))</f>
        <v>0</v>
      </c>
      <c r="J19" s="24">
        <f>IF($G19="","",ROUNDUP($G19/CMVMeta,0)+IF(ROUNDUP($G19/CMVMeta,0)-0.1&gt;=$G19/CMVMeta,-0.1,0.9))</f>
        <v>0</v>
      </c>
      <c r="K19" s="24">
        <f>IF(OR($G19="",N($D19)&lt;=0),"",$D19-$G19-$D19*ImpTaxa)</f>
        <v>0</v>
      </c>
      <c r="L19" s="24">
        <f>IF(OR($K19="",N($E19)&lt;=0),"",$K19*$E19)</f>
        <v>0</v>
      </c>
      <c r="M19" s="29">
        <f>IF(OR($A19="",N($E19)&lt;=0),"",$E19/SUM($E$5:$E$104))</f>
        <v>0</v>
      </c>
      <c r="N19" s="28">
        <f>IF(OR($M19="",$K19=""),"",IF($M19&gt;=0.7/NPratos,IF($K19&gt;=MCmed,"Estrela","Burro de carga"),IF($K19&gt;=MCmed,"Quebra-cabeça","Cão")))</f>
        <v>0</v>
      </c>
      <c r="O19" s="30">
        <f>IF($N19="","",IF($N19="Estrela","Manter e destacar no cardápio",IF($N19="Burro de carga","Subir preço ou reduzir custo",IF($N19="Quebra-cabeça","Divulgar e sugerir ao cliente","Reformular ou retirar"))))</f>
        <v>0</v>
      </c>
      <c r="P19" s="31">
        <f>IF($H19="","",$H19+ROW()/1000000000)</f>
        <v>0</v>
      </c>
    </row>
    <row r="20" spans="1:16">
      <c r="A20" s="13"/>
      <c r="B20" s="13"/>
      <c r="C20" s="16"/>
      <c r="D20" s="18"/>
      <c r="E20" s="25"/>
      <c r="F20" s="24">
        <f>IF($A20="","",SUMIFS(Fichas!$G$5:$G$804,Fichas!$A$5:$A$804,$A20))</f>
        <v>0</v>
      </c>
      <c r="G20" s="26">
        <f>IF(OR($A20="",N($F20)=0),"",$F20/IF(N($C20)&gt;0,$C20,1))</f>
        <v>0</v>
      </c>
      <c r="H20" s="27">
        <f>IF(OR($G20="",N($D20)&lt;=0),"",$G20/$D20)</f>
        <v>0</v>
      </c>
      <c r="I20" s="28">
        <f>IF($A20="","",IF($G20="","Sem ficha",IF($H20="","Sem preço",IF($H20&gt;CMVMeta,"ACIMA DA META","OK"))))</f>
        <v>0</v>
      </c>
      <c r="J20" s="24">
        <f>IF($G20="","",ROUNDUP($G20/CMVMeta,0)+IF(ROUNDUP($G20/CMVMeta,0)-0.1&gt;=$G20/CMVMeta,-0.1,0.9))</f>
        <v>0</v>
      </c>
      <c r="K20" s="24">
        <f>IF(OR($G20="",N($D20)&lt;=0),"",$D20-$G20-$D20*ImpTaxa)</f>
        <v>0</v>
      </c>
      <c r="L20" s="24">
        <f>IF(OR($K20="",N($E20)&lt;=0),"",$K20*$E20)</f>
        <v>0</v>
      </c>
      <c r="M20" s="29">
        <f>IF(OR($A20="",N($E20)&lt;=0),"",$E20/SUM($E$5:$E$104))</f>
        <v>0</v>
      </c>
      <c r="N20" s="28">
        <f>IF(OR($M20="",$K20=""),"",IF($M20&gt;=0.7/NPratos,IF($K20&gt;=MCmed,"Estrela","Burro de carga"),IF($K20&gt;=MCmed,"Quebra-cabeça","Cão")))</f>
        <v>0</v>
      </c>
      <c r="O20" s="30">
        <f>IF($N20="","",IF($N20="Estrela","Manter e destacar no cardápio",IF($N20="Burro de carga","Subir preço ou reduzir custo",IF($N20="Quebra-cabeça","Divulgar e sugerir ao cliente","Reformular ou retirar"))))</f>
        <v>0</v>
      </c>
      <c r="P20" s="31">
        <f>IF($H20="","",$H20+ROW()/1000000000)</f>
        <v>0</v>
      </c>
    </row>
    <row r="21" spans="1:16">
      <c r="A21" s="13"/>
      <c r="B21" s="13"/>
      <c r="C21" s="16"/>
      <c r="D21" s="18"/>
      <c r="E21" s="25"/>
      <c r="F21" s="24">
        <f>IF($A21="","",SUMIFS(Fichas!$G$5:$G$804,Fichas!$A$5:$A$804,$A21))</f>
        <v>0</v>
      </c>
      <c r="G21" s="26">
        <f>IF(OR($A21="",N($F21)=0),"",$F21/IF(N($C21)&gt;0,$C21,1))</f>
        <v>0</v>
      </c>
      <c r="H21" s="27">
        <f>IF(OR($G21="",N($D21)&lt;=0),"",$G21/$D21)</f>
        <v>0</v>
      </c>
      <c r="I21" s="28">
        <f>IF($A21="","",IF($G21="","Sem ficha",IF($H21="","Sem preço",IF($H21&gt;CMVMeta,"ACIMA DA META","OK"))))</f>
        <v>0</v>
      </c>
      <c r="J21" s="24">
        <f>IF($G21="","",ROUNDUP($G21/CMVMeta,0)+IF(ROUNDUP($G21/CMVMeta,0)-0.1&gt;=$G21/CMVMeta,-0.1,0.9))</f>
        <v>0</v>
      </c>
      <c r="K21" s="24">
        <f>IF(OR($G21="",N($D21)&lt;=0),"",$D21-$G21-$D21*ImpTaxa)</f>
        <v>0</v>
      </c>
      <c r="L21" s="24">
        <f>IF(OR($K21="",N($E21)&lt;=0),"",$K21*$E21)</f>
        <v>0</v>
      </c>
      <c r="M21" s="29">
        <f>IF(OR($A21="",N($E21)&lt;=0),"",$E21/SUM($E$5:$E$104))</f>
        <v>0</v>
      </c>
      <c r="N21" s="28">
        <f>IF(OR($M21="",$K21=""),"",IF($M21&gt;=0.7/NPratos,IF($K21&gt;=MCmed,"Estrela","Burro de carga"),IF($K21&gt;=MCmed,"Quebra-cabeça","Cão")))</f>
        <v>0</v>
      </c>
      <c r="O21" s="30">
        <f>IF($N21="","",IF($N21="Estrela","Manter e destacar no cardápio",IF($N21="Burro de carga","Subir preço ou reduzir custo",IF($N21="Quebra-cabeça","Divulgar e sugerir ao cliente","Reformular ou retirar"))))</f>
        <v>0</v>
      </c>
      <c r="P21" s="31">
        <f>IF($H21="","",$H21+ROW()/1000000000)</f>
        <v>0</v>
      </c>
    </row>
    <row r="22" spans="1:16">
      <c r="A22" s="13"/>
      <c r="B22" s="13"/>
      <c r="C22" s="16"/>
      <c r="D22" s="18"/>
      <c r="E22" s="25"/>
      <c r="F22" s="24">
        <f>IF($A22="","",SUMIFS(Fichas!$G$5:$G$804,Fichas!$A$5:$A$804,$A22))</f>
        <v>0</v>
      </c>
      <c r="G22" s="26">
        <f>IF(OR($A22="",N($F22)=0),"",$F22/IF(N($C22)&gt;0,$C22,1))</f>
        <v>0</v>
      </c>
      <c r="H22" s="27">
        <f>IF(OR($G22="",N($D22)&lt;=0),"",$G22/$D22)</f>
        <v>0</v>
      </c>
      <c r="I22" s="28">
        <f>IF($A22="","",IF($G22="","Sem ficha",IF($H22="","Sem preço",IF($H22&gt;CMVMeta,"ACIMA DA META","OK"))))</f>
        <v>0</v>
      </c>
      <c r="J22" s="24">
        <f>IF($G22="","",ROUNDUP($G22/CMVMeta,0)+IF(ROUNDUP($G22/CMVMeta,0)-0.1&gt;=$G22/CMVMeta,-0.1,0.9))</f>
        <v>0</v>
      </c>
      <c r="K22" s="24">
        <f>IF(OR($G22="",N($D22)&lt;=0),"",$D22-$G22-$D22*ImpTaxa)</f>
        <v>0</v>
      </c>
      <c r="L22" s="24">
        <f>IF(OR($K22="",N($E22)&lt;=0),"",$K22*$E22)</f>
        <v>0</v>
      </c>
      <c r="M22" s="29">
        <f>IF(OR($A22="",N($E22)&lt;=0),"",$E22/SUM($E$5:$E$104))</f>
        <v>0</v>
      </c>
      <c r="N22" s="28">
        <f>IF(OR($M22="",$K22=""),"",IF($M22&gt;=0.7/NPratos,IF($K22&gt;=MCmed,"Estrela","Burro de carga"),IF($K22&gt;=MCmed,"Quebra-cabeça","Cão")))</f>
        <v>0</v>
      </c>
      <c r="O22" s="30">
        <f>IF($N22="","",IF($N22="Estrela","Manter e destacar no cardápio",IF($N22="Burro de carga","Subir preço ou reduzir custo",IF($N22="Quebra-cabeça","Divulgar e sugerir ao cliente","Reformular ou retirar"))))</f>
        <v>0</v>
      </c>
      <c r="P22" s="31">
        <f>IF($H22="","",$H22+ROW()/1000000000)</f>
        <v>0</v>
      </c>
    </row>
    <row r="23" spans="1:16">
      <c r="A23" s="13"/>
      <c r="B23" s="13"/>
      <c r="C23" s="16"/>
      <c r="D23" s="18"/>
      <c r="E23" s="25"/>
      <c r="F23" s="24">
        <f>IF($A23="","",SUMIFS(Fichas!$G$5:$G$804,Fichas!$A$5:$A$804,$A23))</f>
        <v>0</v>
      </c>
      <c r="G23" s="26">
        <f>IF(OR($A23="",N($F23)=0),"",$F23/IF(N($C23)&gt;0,$C23,1))</f>
        <v>0</v>
      </c>
      <c r="H23" s="27">
        <f>IF(OR($G23="",N($D23)&lt;=0),"",$G23/$D23)</f>
        <v>0</v>
      </c>
      <c r="I23" s="28">
        <f>IF($A23="","",IF($G23="","Sem ficha",IF($H23="","Sem preço",IF($H23&gt;CMVMeta,"ACIMA DA META","OK"))))</f>
        <v>0</v>
      </c>
      <c r="J23" s="24">
        <f>IF($G23="","",ROUNDUP($G23/CMVMeta,0)+IF(ROUNDUP($G23/CMVMeta,0)-0.1&gt;=$G23/CMVMeta,-0.1,0.9))</f>
        <v>0</v>
      </c>
      <c r="K23" s="24">
        <f>IF(OR($G23="",N($D23)&lt;=0),"",$D23-$G23-$D23*ImpTaxa)</f>
        <v>0</v>
      </c>
      <c r="L23" s="24">
        <f>IF(OR($K23="",N($E23)&lt;=0),"",$K23*$E23)</f>
        <v>0</v>
      </c>
      <c r="M23" s="29">
        <f>IF(OR($A23="",N($E23)&lt;=0),"",$E23/SUM($E$5:$E$104))</f>
        <v>0</v>
      </c>
      <c r="N23" s="28">
        <f>IF(OR($M23="",$K23=""),"",IF($M23&gt;=0.7/NPratos,IF($K23&gt;=MCmed,"Estrela","Burro de carga"),IF($K23&gt;=MCmed,"Quebra-cabeça","Cão")))</f>
        <v>0</v>
      </c>
      <c r="O23" s="30">
        <f>IF($N23="","",IF($N23="Estrela","Manter e destacar no cardápio",IF($N23="Burro de carga","Subir preço ou reduzir custo",IF($N23="Quebra-cabeça","Divulgar e sugerir ao cliente","Reformular ou retirar"))))</f>
        <v>0</v>
      </c>
      <c r="P23" s="31">
        <f>IF($H23="","",$H23+ROW()/1000000000)</f>
        <v>0</v>
      </c>
    </row>
    <row r="24" spans="1:16">
      <c r="A24" s="13"/>
      <c r="B24" s="13"/>
      <c r="C24" s="16"/>
      <c r="D24" s="18"/>
      <c r="E24" s="25"/>
      <c r="F24" s="24">
        <f>IF($A24="","",SUMIFS(Fichas!$G$5:$G$804,Fichas!$A$5:$A$804,$A24))</f>
        <v>0</v>
      </c>
      <c r="G24" s="26">
        <f>IF(OR($A24="",N($F24)=0),"",$F24/IF(N($C24)&gt;0,$C24,1))</f>
        <v>0</v>
      </c>
      <c r="H24" s="27">
        <f>IF(OR($G24="",N($D24)&lt;=0),"",$G24/$D24)</f>
        <v>0</v>
      </c>
      <c r="I24" s="28">
        <f>IF($A24="","",IF($G24="","Sem ficha",IF($H24="","Sem preço",IF($H24&gt;CMVMeta,"ACIMA DA META","OK"))))</f>
        <v>0</v>
      </c>
      <c r="J24" s="24">
        <f>IF($G24="","",ROUNDUP($G24/CMVMeta,0)+IF(ROUNDUP($G24/CMVMeta,0)-0.1&gt;=$G24/CMVMeta,-0.1,0.9))</f>
        <v>0</v>
      </c>
      <c r="K24" s="24">
        <f>IF(OR($G24="",N($D24)&lt;=0),"",$D24-$G24-$D24*ImpTaxa)</f>
        <v>0</v>
      </c>
      <c r="L24" s="24">
        <f>IF(OR($K24="",N($E24)&lt;=0),"",$K24*$E24)</f>
        <v>0</v>
      </c>
      <c r="M24" s="29">
        <f>IF(OR($A24="",N($E24)&lt;=0),"",$E24/SUM($E$5:$E$104))</f>
        <v>0</v>
      </c>
      <c r="N24" s="28">
        <f>IF(OR($M24="",$K24=""),"",IF($M24&gt;=0.7/NPratos,IF($K24&gt;=MCmed,"Estrela","Burro de carga"),IF($K24&gt;=MCmed,"Quebra-cabeça","Cão")))</f>
        <v>0</v>
      </c>
      <c r="O24" s="30">
        <f>IF($N24="","",IF($N24="Estrela","Manter e destacar no cardápio",IF($N24="Burro de carga","Subir preço ou reduzir custo",IF($N24="Quebra-cabeça","Divulgar e sugerir ao cliente","Reformular ou retirar"))))</f>
        <v>0</v>
      </c>
      <c r="P24" s="31">
        <f>IF($H24="","",$H24+ROW()/1000000000)</f>
        <v>0</v>
      </c>
    </row>
    <row r="25" spans="1:16">
      <c r="A25" s="13"/>
      <c r="B25" s="13"/>
      <c r="C25" s="16"/>
      <c r="D25" s="18"/>
      <c r="E25" s="25"/>
      <c r="F25" s="24">
        <f>IF($A25="","",SUMIFS(Fichas!$G$5:$G$804,Fichas!$A$5:$A$804,$A25))</f>
        <v>0</v>
      </c>
      <c r="G25" s="26">
        <f>IF(OR($A25="",N($F25)=0),"",$F25/IF(N($C25)&gt;0,$C25,1))</f>
        <v>0</v>
      </c>
      <c r="H25" s="27">
        <f>IF(OR($G25="",N($D25)&lt;=0),"",$G25/$D25)</f>
        <v>0</v>
      </c>
      <c r="I25" s="28">
        <f>IF($A25="","",IF($G25="","Sem ficha",IF($H25="","Sem preço",IF($H25&gt;CMVMeta,"ACIMA DA META","OK"))))</f>
        <v>0</v>
      </c>
      <c r="J25" s="24">
        <f>IF($G25="","",ROUNDUP($G25/CMVMeta,0)+IF(ROUNDUP($G25/CMVMeta,0)-0.1&gt;=$G25/CMVMeta,-0.1,0.9))</f>
        <v>0</v>
      </c>
      <c r="K25" s="24">
        <f>IF(OR($G25="",N($D25)&lt;=0),"",$D25-$G25-$D25*ImpTaxa)</f>
        <v>0</v>
      </c>
      <c r="L25" s="24">
        <f>IF(OR($K25="",N($E25)&lt;=0),"",$K25*$E25)</f>
        <v>0</v>
      </c>
      <c r="M25" s="29">
        <f>IF(OR($A25="",N($E25)&lt;=0),"",$E25/SUM($E$5:$E$104))</f>
        <v>0</v>
      </c>
      <c r="N25" s="28">
        <f>IF(OR($M25="",$K25=""),"",IF($M25&gt;=0.7/NPratos,IF($K25&gt;=MCmed,"Estrela","Burro de carga"),IF($K25&gt;=MCmed,"Quebra-cabeça","Cão")))</f>
        <v>0</v>
      </c>
      <c r="O25" s="30">
        <f>IF($N25="","",IF($N25="Estrela","Manter e destacar no cardápio",IF($N25="Burro de carga","Subir preço ou reduzir custo",IF($N25="Quebra-cabeça","Divulgar e sugerir ao cliente","Reformular ou retirar"))))</f>
        <v>0</v>
      </c>
      <c r="P25" s="31">
        <f>IF($H25="","",$H25+ROW()/1000000000)</f>
        <v>0</v>
      </c>
    </row>
    <row r="26" spans="1:16">
      <c r="A26" s="13"/>
      <c r="B26" s="13"/>
      <c r="C26" s="16"/>
      <c r="D26" s="18"/>
      <c r="E26" s="25"/>
      <c r="F26" s="24">
        <f>IF($A26="","",SUMIFS(Fichas!$G$5:$G$804,Fichas!$A$5:$A$804,$A26))</f>
        <v>0</v>
      </c>
      <c r="G26" s="26">
        <f>IF(OR($A26="",N($F26)=0),"",$F26/IF(N($C26)&gt;0,$C26,1))</f>
        <v>0</v>
      </c>
      <c r="H26" s="27">
        <f>IF(OR($G26="",N($D26)&lt;=0),"",$G26/$D26)</f>
        <v>0</v>
      </c>
      <c r="I26" s="28">
        <f>IF($A26="","",IF($G26="","Sem ficha",IF($H26="","Sem preço",IF($H26&gt;CMVMeta,"ACIMA DA META","OK"))))</f>
        <v>0</v>
      </c>
      <c r="J26" s="24">
        <f>IF($G26="","",ROUNDUP($G26/CMVMeta,0)+IF(ROUNDUP($G26/CMVMeta,0)-0.1&gt;=$G26/CMVMeta,-0.1,0.9))</f>
        <v>0</v>
      </c>
      <c r="K26" s="24">
        <f>IF(OR($G26="",N($D26)&lt;=0),"",$D26-$G26-$D26*ImpTaxa)</f>
        <v>0</v>
      </c>
      <c r="L26" s="24">
        <f>IF(OR($K26="",N($E26)&lt;=0),"",$K26*$E26)</f>
        <v>0</v>
      </c>
      <c r="M26" s="29">
        <f>IF(OR($A26="",N($E26)&lt;=0),"",$E26/SUM($E$5:$E$104))</f>
        <v>0</v>
      </c>
      <c r="N26" s="28">
        <f>IF(OR($M26="",$K26=""),"",IF($M26&gt;=0.7/NPratos,IF($K26&gt;=MCmed,"Estrela","Burro de carga"),IF($K26&gt;=MCmed,"Quebra-cabeça","Cão")))</f>
        <v>0</v>
      </c>
      <c r="O26" s="30">
        <f>IF($N26="","",IF($N26="Estrela","Manter e destacar no cardápio",IF($N26="Burro de carga","Subir preço ou reduzir custo",IF($N26="Quebra-cabeça","Divulgar e sugerir ao cliente","Reformular ou retirar"))))</f>
        <v>0</v>
      </c>
      <c r="P26" s="31">
        <f>IF($H26="","",$H26+ROW()/1000000000)</f>
        <v>0</v>
      </c>
    </row>
    <row r="27" spans="1:16">
      <c r="A27" s="13"/>
      <c r="B27" s="13"/>
      <c r="C27" s="16"/>
      <c r="D27" s="18"/>
      <c r="E27" s="25"/>
      <c r="F27" s="24">
        <f>IF($A27="","",SUMIFS(Fichas!$G$5:$G$804,Fichas!$A$5:$A$804,$A27))</f>
        <v>0</v>
      </c>
      <c r="G27" s="26">
        <f>IF(OR($A27="",N($F27)=0),"",$F27/IF(N($C27)&gt;0,$C27,1))</f>
        <v>0</v>
      </c>
      <c r="H27" s="27">
        <f>IF(OR($G27="",N($D27)&lt;=0),"",$G27/$D27)</f>
        <v>0</v>
      </c>
      <c r="I27" s="28">
        <f>IF($A27="","",IF($G27="","Sem ficha",IF($H27="","Sem preço",IF($H27&gt;CMVMeta,"ACIMA DA META","OK"))))</f>
        <v>0</v>
      </c>
      <c r="J27" s="24">
        <f>IF($G27="","",ROUNDUP($G27/CMVMeta,0)+IF(ROUNDUP($G27/CMVMeta,0)-0.1&gt;=$G27/CMVMeta,-0.1,0.9))</f>
        <v>0</v>
      </c>
      <c r="K27" s="24">
        <f>IF(OR($G27="",N($D27)&lt;=0),"",$D27-$G27-$D27*ImpTaxa)</f>
        <v>0</v>
      </c>
      <c r="L27" s="24">
        <f>IF(OR($K27="",N($E27)&lt;=0),"",$K27*$E27)</f>
        <v>0</v>
      </c>
      <c r="M27" s="29">
        <f>IF(OR($A27="",N($E27)&lt;=0),"",$E27/SUM($E$5:$E$104))</f>
        <v>0</v>
      </c>
      <c r="N27" s="28">
        <f>IF(OR($M27="",$K27=""),"",IF($M27&gt;=0.7/NPratos,IF($K27&gt;=MCmed,"Estrela","Burro de carga"),IF($K27&gt;=MCmed,"Quebra-cabeça","Cão")))</f>
        <v>0</v>
      </c>
      <c r="O27" s="30">
        <f>IF($N27="","",IF($N27="Estrela","Manter e destacar no cardápio",IF($N27="Burro de carga","Subir preço ou reduzir custo",IF($N27="Quebra-cabeça","Divulgar e sugerir ao cliente","Reformular ou retirar"))))</f>
        <v>0</v>
      </c>
      <c r="P27" s="31">
        <f>IF($H27="","",$H27+ROW()/1000000000)</f>
        <v>0</v>
      </c>
    </row>
    <row r="28" spans="1:16">
      <c r="A28" s="13"/>
      <c r="B28" s="13"/>
      <c r="C28" s="16"/>
      <c r="D28" s="18"/>
      <c r="E28" s="25"/>
      <c r="F28" s="24">
        <f>IF($A28="","",SUMIFS(Fichas!$G$5:$G$804,Fichas!$A$5:$A$804,$A28))</f>
        <v>0</v>
      </c>
      <c r="G28" s="26">
        <f>IF(OR($A28="",N($F28)=0),"",$F28/IF(N($C28)&gt;0,$C28,1))</f>
        <v>0</v>
      </c>
      <c r="H28" s="27">
        <f>IF(OR($G28="",N($D28)&lt;=0),"",$G28/$D28)</f>
        <v>0</v>
      </c>
      <c r="I28" s="28">
        <f>IF($A28="","",IF($G28="","Sem ficha",IF($H28="","Sem preço",IF($H28&gt;CMVMeta,"ACIMA DA META","OK"))))</f>
        <v>0</v>
      </c>
      <c r="J28" s="24">
        <f>IF($G28="","",ROUNDUP($G28/CMVMeta,0)+IF(ROUNDUP($G28/CMVMeta,0)-0.1&gt;=$G28/CMVMeta,-0.1,0.9))</f>
        <v>0</v>
      </c>
      <c r="K28" s="24">
        <f>IF(OR($G28="",N($D28)&lt;=0),"",$D28-$G28-$D28*ImpTaxa)</f>
        <v>0</v>
      </c>
      <c r="L28" s="24">
        <f>IF(OR($K28="",N($E28)&lt;=0),"",$K28*$E28)</f>
        <v>0</v>
      </c>
      <c r="M28" s="29">
        <f>IF(OR($A28="",N($E28)&lt;=0),"",$E28/SUM($E$5:$E$104))</f>
        <v>0</v>
      </c>
      <c r="N28" s="28">
        <f>IF(OR($M28="",$K28=""),"",IF($M28&gt;=0.7/NPratos,IF($K28&gt;=MCmed,"Estrela","Burro de carga"),IF($K28&gt;=MCmed,"Quebra-cabeça","Cão")))</f>
        <v>0</v>
      </c>
      <c r="O28" s="30">
        <f>IF($N28="","",IF($N28="Estrela","Manter e destacar no cardápio",IF($N28="Burro de carga","Subir preço ou reduzir custo",IF($N28="Quebra-cabeça","Divulgar e sugerir ao cliente","Reformular ou retirar"))))</f>
        <v>0</v>
      </c>
      <c r="P28" s="31">
        <f>IF($H28="","",$H28+ROW()/1000000000)</f>
        <v>0</v>
      </c>
    </row>
    <row r="29" spans="1:16">
      <c r="A29" s="13"/>
      <c r="B29" s="13"/>
      <c r="C29" s="16"/>
      <c r="D29" s="18"/>
      <c r="E29" s="25"/>
      <c r="F29" s="24">
        <f>IF($A29="","",SUMIFS(Fichas!$G$5:$G$804,Fichas!$A$5:$A$804,$A29))</f>
        <v>0</v>
      </c>
      <c r="G29" s="26">
        <f>IF(OR($A29="",N($F29)=0),"",$F29/IF(N($C29)&gt;0,$C29,1))</f>
        <v>0</v>
      </c>
      <c r="H29" s="27">
        <f>IF(OR($G29="",N($D29)&lt;=0),"",$G29/$D29)</f>
        <v>0</v>
      </c>
      <c r="I29" s="28">
        <f>IF($A29="","",IF($G29="","Sem ficha",IF($H29="","Sem preço",IF($H29&gt;CMVMeta,"ACIMA DA META","OK"))))</f>
        <v>0</v>
      </c>
      <c r="J29" s="24">
        <f>IF($G29="","",ROUNDUP($G29/CMVMeta,0)+IF(ROUNDUP($G29/CMVMeta,0)-0.1&gt;=$G29/CMVMeta,-0.1,0.9))</f>
        <v>0</v>
      </c>
      <c r="K29" s="24">
        <f>IF(OR($G29="",N($D29)&lt;=0),"",$D29-$G29-$D29*ImpTaxa)</f>
        <v>0</v>
      </c>
      <c r="L29" s="24">
        <f>IF(OR($K29="",N($E29)&lt;=0),"",$K29*$E29)</f>
        <v>0</v>
      </c>
      <c r="M29" s="29">
        <f>IF(OR($A29="",N($E29)&lt;=0),"",$E29/SUM($E$5:$E$104))</f>
        <v>0</v>
      </c>
      <c r="N29" s="28">
        <f>IF(OR($M29="",$K29=""),"",IF($M29&gt;=0.7/NPratos,IF($K29&gt;=MCmed,"Estrela","Burro de carga"),IF($K29&gt;=MCmed,"Quebra-cabeça","Cão")))</f>
        <v>0</v>
      </c>
      <c r="O29" s="30">
        <f>IF($N29="","",IF($N29="Estrela","Manter e destacar no cardápio",IF($N29="Burro de carga","Subir preço ou reduzir custo",IF($N29="Quebra-cabeça","Divulgar e sugerir ao cliente","Reformular ou retirar"))))</f>
        <v>0</v>
      </c>
      <c r="P29" s="31">
        <f>IF($H29="","",$H29+ROW()/1000000000)</f>
        <v>0</v>
      </c>
    </row>
    <row r="30" spans="1:16">
      <c r="A30" s="13"/>
      <c r="B30" s="13"/>
      <c r="C30" s="16"/>
      <c r="D30" s="18"/>
      <c r="E30" s="25"/>
      <c r="F30" s="24">
        <f>IF($A30="","",SUMIFS(Fichas!$G$5:$G$804,Fichas!$A$5:$A$804,$A30))</f>
        <v>0</v>
      </c>
      <c r="G30" s="26">
        <f>IF(OR($A30="",N($F30)=0),"",$F30/IF(N($C30)&gt;0,$C30,1))</f>
        <v>0</v>
      </c>
      <c r="H30" s="27">
        <f>IF(OR($G30="",N($D30)&lt;=0),"",$G30/$D30)</f>
        <v>0</v>
      </c>
      <c r="I30" s="28">
        <f>IF($A30="","",IF($G30="","Sem ficha",IF($H30="","Sem preço",IF($H30&gt;CMVMeta,"ACIMA DA META","OK"))))</f>
        <v>0</v>
      </c>
      <c r="J30" s="24">
        <f>IF($G30="","",ROUNDUP($G30/CMVMeta,0)+IF(ROUNDUP($G30/CMVMeta,0)-0.1&gt;=$G30/CMVMeta,-0.1,0.9))</f>
        <v>0</v>
      </c>
      <c r="K30" s="24">
        <f>IF(OR($G30="",N($D30)&lt;=0),"",$D30-$G30-$D30*ImpTaxa)</f>
        <v>0</v>
      </c>
      <c r="L30" s="24">
        <f>IF(OR($K30="",N($E30)&lt;=0),"",$K30*$E30)</f>
        <v>0</v>
      </c>
      <c r="M30" s="29">
        <f>IF(OR($A30="",N($E30)&lt;=0),"",$E30/SUM($E$5:$E$104))</f>
        <v>0</v>
      </c>
      <c r="N30" s="28">
        <f>IF(OR($M30="",$K30=""),"",IF($M30&gt;=0.7/NPratos,IF($K30&gt;=MCmed,"Estrela","Burro de carga"),IF($K30&gt;=MCmed,"Quebra-cabeça","Cão")))</f>
        <v>0</v>
      </c>
      <c r="O30" s="30">
        <f>IF($N30="","",IF($N30="Estrela","Manter e destacar no cardápio",IF($N30="Burro de carga","Subir preço ou reduzir custo",IF($N30="Quebra-cabeça","Divulgar e sugerir ao cliente","Reformular ou retirar"))))</f>
        <v>0</v>
      </c>
      <c r="P30" s="31">
        <f>IF($H30="","",$H30+ROW()/1000000000)</f>
        <v>0</v>
      </c>
    </row>
    <row r="31" spans="1:16">
      <c r="A31" s="13"/>
      <c r="B31" s="13"/>
      <c r="C31" s="16"/>
      <c r="D31" s="18"/>
      <c r="E31" s="25"/>
      <c r="F31" s="24">
        <f>IF($A31="","",SUMIFS(Fichas!$G$5:$G$804,Fichas!$A$5:$A$804,$A31))</f>
        <v>0</v>
      </c>
      <c r="G31" s="26">
        <f>IF(OR($A31="",N($F31)=0),"",$F31/IF(N($C31)&gt;0,$C31,1))</f>
        <v>0</v>
      </c>
      <c r="H31" s="27">
        <f>IF(OR($G31="",N($D31)&lt;=0),"",$G31/$D31)</f>
        <v>0</v>
      </c>
      <c r="I31" s="28">
        <f>IF($A31="","",IF($G31="","Sem ficha",IF($H31="","Sem preço",IF($H31&gt;CMVMeta,"ACIMA DA META","OK"))))</f>
        <v>0</v>
      </c>
      <c r="J31" s="24">
        <f>IF($G31="","",ROUNDUP($G31/CMVMeta,0)+IF(ROUNDUP($G31/CMVMeta,0)-0.1&gt;=$G31/CMVMeta,-0.1,0.9))</f>
        <v>0</v>
      </c>
      <c r="K31" s="24">
        <f>IF(OR($G31="",N($D31)&lt;=0),"",$D31-$G31-$D31*ImpTaxa)</f>
        <v>0</v>
      </c>
      <c r="L31" s="24">
        <f>IF(OR($K31="",N($E31)&lt;=0),"",$K31*$E31)</f>
        <v>0</v>
      </c>
      <c r="M31" s="29">
        <f>IF(OR($A31="",N($E31)&lt;=0),"",$E31/SUM($E$5:$E$104))</f>
        <v>0</v>
      </c>
      <c r="N31" s="28">
        <f>IF(OR($M31="",$K31=""),"",IF($M31&gt;=0.7/NPratos,IF($K31&gt;=MCmed,"Estrela","Burro de carga"),IF($K31&gt;=MCmed,"Quebra-cabeça","Cão")))</f>
        <v>0</v>
      </c>
      <c r="O31" s="30">
        <f>IF($N31="","",IF($N31="Estrela","Manter e destacar no cardápio",IF($N31="Burro de carga","Subir preço ou reduzir custo",IF($N31="Quebra-cabeça","Divulgar e sugerir ao cliente","Reformular ou retirar"))))</f>
        <v>0</v>
      </c>
      <c r="P31" s="31">
        <f>IF($H31="","",$H31+ROW()/1000000000)</f>
        <v>0</v>
      </c>
    </row>
    <row r="32" spans="1:16">
      <c r="A32" s="13"/>
      <c r="B32" s="13"/>
      <c r="C32" s="16"/>
      <c r="D32" s="18"/>
      <c r="E32" s="25"/>
      <c r="F32" s="24">
        <f>IF($A32="","",SUMIFS(Fichas!$G$5:$G$804,Fichas!$A$5:$A$804,$A32))</f>
        <v>0</v>
      </c>
      <c r="G32" s="26">
        <f>IF(OR($A32="",N($F32)=0),"",$F32/IF(N($C32)&gt;0,$C32,1))</f>
        <v>0</v>
      </c>
      <c r="H32" s="27">
        <f>IF(OR($G32="",N($D32)&lt;=0),"",$G32/$D32)</f>
        <v>0</v>
      </c>
      <c r="I32" s="28">
        <f>IF($A32="","",IF($G32="","Sem ficha",IF($H32="","Sem preço",IF($H32&gt;CMVMeta,"ACIMA DA META","OK"))))</f>
        <v>0</v>
      </c>
      <c r="J32" s="24">
        <f>IF($G32="","",ROUNDUP($G32/CMVMeta,0)+IF(ROUNDUP($G32/CMVMeta,0)-0.1&gt;=$G32/CMVMeta,-0.1,0.9))</f>
        <v>0</v>
      </c>
      <c r="K32" s="24">
        <f>IF(OR($G32="",N($D32)&lt;=0),"",$D32-$G32-$D32*ImpTaxa)</f>
        <v>0</v>
      </c>
      <c r="L32" s="24">
        <f>IF(OR($K32="",N($E32)&lt;=0),"",$K32*$E32)</f>
        <v>0</v>
      </c>
      <c r="M32" s="29">
        <f>IF(OR($A32="",N($E32)&lt;=0),"",$E32/SUM($E$5:$E$104))</f>
        <v>0</v>
      </c>
      <c r="N32" s="28">
        <f>IF(OR($M32="",$K32=""),"",IF($M32&gt;=0.7/NPratos,IF($K32&gt;=MCmed,"Estrela","Burro de carga"),IF($K32&gt;=MCmed,"Quebra-cabeça","Cão")))</f>
        <v>0</v>
      </c>
      <c r="O32" s="30">
        <f>IF($N32="","",IF($N32="Estrela","Manter e destacar no cardápio",IF($N32="Burro de carga","Subir preço ou reduzir custo",IF($N32="Quebra-cabeça","Divulgar e sugerir ao cliente","Reformular ou retirar"))))</f>
        <v>0</v>
      </c>
      <c r="P32" s="31">
        <f>IF($H32="","",$H32+ROW()/1000000000)</f>
        <v>0</v>
      </c>
    </row>
    <row r="33" spans="1:16">
      <c r="A33" s="13"/>
      <c r="B33" s="13"/>
      <c r="C33" s="16"/>
      <c r="D33" s="18"/>
      <c r="E33" s="25"/>
      <c r="F33" s="24">
        <f>IF($A33="","",SUMIFS(Fichas!$G$5:$G$804,Fichas!$A$5:$A$804,$A33))</f>
        <v>0</v>
      </c>
      <c r="G33" s="26">
        <f>IF(OR($A33="",N($F33)=0),"",$F33/IF(N($C33)&gt;0,$C33,1))</f>
        <v>0</v>
      </c>
      <c r="H33" s="27">
        <f>IF(OR($G33="",N($D33)&lt;=0),"",$G33/$D33)</f>
        <v>0</v>
      </c>
      <c r="I33" s="28">
        <f>IF($A33="","",IF($G33="","Sem ficha",IF($H33="","Sem preço",IF($H33&gt;CMVMeta,"ACIMA DA META","OK"))))</f>
        <v>0</v>
      </c>
      <c r="J33" s="24">
        <f>IF($G33="","",ROUNDUP($G33/CMVMeta,0)+IF(ROUNDUP($G33/CMVMeta,0)-0.1&gt;=$G33/CMVMeta,-0.1,0.9))</f>
        <v>0</v>
      </c>
      <c r="K33" s="24">
        <f>IF(OR($G33="",N($D33)&lt;=0),"",$D33-$G33-$D33*ImpTaxa)</f>
        <v>0</v>
      </c>
      <c r="L33" s="24">
        <f>IF(OR($K33="",N($E33)&lt;=0),"",$K33*$E33)</f>
        <v>0</v>
      </c>
      <c r="M33" s="29">
        <f>IF(OR($A33="",N($E33)&lt;=0),"",$E33/SUM($E$5:$E$104))</f>
        <v>0</v>
      </c>
      <c r="N33" s="28">
        <f>IF(OR($M33="",$K33=""),"",IF($M33&gt;=0.7/NPratos,IF($K33&gt;=MCmed,"Estrela","Burro de carga"),IF($K33&gt;=MCmed,"Quebra-cabeça","Cão")))</f>
        <v>0</v>
      </c>
      <c r="O33" s="30">
        <f>IF($N33="","",IF($N33="Estrela","Manter e destacar no cardápio",IF($N33="Burro de carga","Subir preço ou reduzir custo",IF($N33="Quebra-cabeça","Divulgar e sugerir ao cliente","Reformular ou retirar"))))</f>
        <v>0</v>
      </c>
      <c r="P33" s="31">
        <f>IF($H33="","",$H33+ROW()/1000000000)</f>
        <v>0</v>
      </c>
    </row>
    <row r="34" spans="1:16">
      <c r="A34" s="13"/>
      <c r="B34" s="13"/>
      <c r="C34" s="16"/>
      <c r="D34" s="18"/>
      <c r="E34" s="25"/>
      <c r="F34" s="24">
        <f>IF($A34="","",SUMIFS(Fichas!$G$5:$G$804,Fichas!$A$5:$A$804,$A34))</f>
        <v>0</v>
      </c>
      <c r="G34" s="26">
        <f>IF(OR($A34="",N($F34)=0),"",$F34/IF(N($C34)&gt;0,$C34,1))</f>
        <v>0</v>
      </c>
      <c r="H34" s="27">
        <f>IF(OR($G34="",N($D34)&lt;=0),"",$G34/$D34)</f>
        <v>0</v>
      </c>
      <c r="I34" s="28">
        <f>IF($A34="","",IF($G34="","Sem ficha",IF($H34="","Sem preço",IF($H34&gt;CMVMeta,"ACIMA DA META","OK"))))</f>
        <v>0</v>
      </c>
      <c r="J34" s="24">
        <f>IF($G34="","",ROUNDUP($G34/CMVMeta,0)+IF(ROUNDUP($G34/CMVMeta,0)-0.1&gt;=$G34/CMVMeta,-0.1,0.9))</f>
        <v>0</v>
      </c>
      <c r="K34" s="24">
        <f>IF(OR($G34="",N($D34)&lt;=0),"",$D34-$G34-$D34*ImpTaxa)</f>
        <v>0</v>
      </c>
      <c r="L34" s="24">
        <f>IF(OR($K34="",N($E34)&lt;=0),"",$K34*$E34)</f>
        <v>0</v>
      </c>
      <c r="M34" s="29">
        <f>IF(OR($A34="",N($E34)&lt;=0),"",$E34/SUM($E$5:$E$104))</f>
        <v>0</v>
      </c>
      <c r="N34" s="28">
        <f>IF(OR($M34="",$K34=""),"",IF($M34&gt;=0.7/NPratos,IF($K34&gt;=MCmed,"Estrela","Burro de carga"),IF($K34&gt;=MCmed,"Quebra-cabeça","Cão")))</f>
        <v>0</v>
      </c>
      <c r="O34" s="30">
        <f>IF($N34="","",IF($N34="Estrela","Manter e destacar no cardápio",IF($N34="Burro de carga","Subir preço ou reduzir custo",IF($N34="Quebra-cabeça","Divulgar e sugerir ao cliente","Reformular ou retirar"))))</f>
        <v>0</v>
      </c>
      <c r="P34" s="31">
        <f>IF($H34="","",$H34+ROW()/1000000000)</f>
        <v>0</v>
      </c>
    </row>
    <row r="35" spans="1:16">
      <c r="A35" s="13"/>
      <c r="B35" s="13"/>
      <c r="C35" s="16"/>
      <c r="D35" s="18"/>
      <c r="E35" s="25"/>
      <c r="F35" s="24">
        <f>IF($A35="","",SUMIFS(Fichas!$G$5:$G$804,Fichas!$A$5:$A$804,$A35))</f>
        <v>0</v>
      </c>
      <c r="G35" s="26">
        <f>IF(OR($A35="",N($F35)=0),"",$F35/IF(N($C35)&gt;0,$C35,1))</f>
        <v>0</v>
      </c>
      <c r="H35" s="27">
        <f>IF(OR($G35="",N($D35)&lt;=0),"",$G35/$D35)</f>
        <v>0</v>
      </c>
      <c r="I35" s="28">
        <f>IF($A35="","",IF($G35="","Sem ficha",IF($H35="","Sem preço",IF($H35&gt;CMVMeta,"ACIMA DA META","OK"))))</f>
        <v>0</v>
      </c>
      <c r="J35" s="24">
        <f>IF($G35="","",ROUNDUP($G35/CMVMeta,0)+IF(ROUNDUP($G35/CMVMeta,0)-0.1&gt;=$G35/CMVMeta,-0.1,0.9))</f>
        <v>0</v>
      </c>
      <c r="K35" s="24">
        <f>IF(OR($G35="",N($D35)&lt;=0),"",$D35-$G35-$D35*ImpTaxa)</f>
        <v>0</v>
      </c>
      <c r="L35" s="24">
        <f>IF(OR($K35="",N($E35)&lt;=0),"",$K35*$E35)</f>
        <v>0</v>
      </c>
      <c r="M35" s="29">
        <f>IF(OR($A35="",N($E35)&lt;=0),"",$E35/SUM($E$5:$E$104))</f>
        <v>0</v>
      </c>
      <c r="N35" s="28">
        <f>IF(OR($M35="",$K35=""),"",IF($M35&gt;=0.7/NPratos,IF($K35&gt;=MCmed,"Estrela","Burro de carga"),IF($K35&gt;=MCmed,"Quebra-cabeça","Cão")))</f>
        <v>0</v>
      </c>
      <c r="O35" s="30">
        <f>IF($N35="","",IF($N35="Estrela","Manter e destacar no cardápio",IF($N35="Burro de carga","Subir preço ou reduzir custo",IF($N35="Quebra-cabeça","Divulgar e sugerir ao cliente","Reformular ou retirar"))))</f>
        <v>0</v>
      </c>
      <c r="P35" s="31">
        <f>IF($H35="","",$H35+ROW()/1000000000)</f>
        <v>0</v>
      </c>
    </row>
    <row r="36" spans="1:16">
      <c r="A36" s="13"/>
      <c r="B36" s="13"/>
      <c r="C36" s="16"/>
      <c r="D36" s="18"/>
      <c r="E36" s="25"/>
      <c r="F36" s="24">
        <f>IF($A36="","",SUMIFS(Fichas!$G$5:$G$804,Fichas!$A$5:$A$804,$A36))</f>
        <v>0</v>
      </c>
      <c r="G36" s="26">
        <f>IF(OR($A36="",N($F36)=0),"",$F36/IF(N($C36)&gt;0,$C36,1))</f>
        <v>0</v>
      </c>
      <c r="H36" s="27">
        <f>IF(OR($G36="",N($D36)&lt;=0),"",$G36/$D36)</f>
        <v>0</v>
      </c>
      <c r="I36" s="28">
        <f>IF($A36="","",IF($G36="","Sem ficha",IF($H36="","Sem preço",IF($H36&gt;CMVMeta,"ACIMA DA META","OK"))))</f>
        <v>0</v>
      </c>
      <c r="J36" s="24">
        <f>IF($G36="","",ROUNDUP($G36/CMVMeta,0)+IF(ROUNDUP($G36/CMVMeta,0)-0.1&gt;=$G36/CMVMeta,-0.1,0.9))</f>
        <v>0</v>
      </c>
      <c r="K36" s="24">
        <f>IF(OR($G36="",N($D36)&lt;=0),"",$D36-$G36-$D36*ImpTaxa)</f>
        <v>0</v>
      </c>
      <c r="L36" s="24">
        <f>IF(OR($K36="",N($E36)&lt;=0),"",$K36*$E36)</f>
        <v>0</v>
      </c>
      <c r="M36" s="29">
        <f>IF(OR($A36="",N($E36)&lt;=0),"",$E36/SUM($E$5:$E$104))</f>
        <v>0</v>
      </c>
      <c r="N36" s="28">
        <f>IF(OR($M36="",$K36=""),"",IF($M36&gt;=0.7/NPratos,IF($K36&gt;=MCmed,"Estrela","Burro de carga"),IF($K36&gt;=MCmed,"Quebra-cabeça","Cão")))</f>
        <v>0</v>
      </c>
      <c r="O36" s="30">
        <f>IF($N36="","",IF($N36="Estrela","Manter e destacar no cardápio",IF($N36="Burro de carga","Subir preço ou reduzir custo",IF($N36="Quebra-cabeça","Divulgar e sugerir ao cliente","Reformular ou retirar"))))</f>
        <v>0</v>
      </c>
      <c r="P36" s="31">
        <f>IF($H36="","",$H36+ROW()/1000000000)</f>
        <v>0</v>
      </c>
    </row>
    <row r="37" spans="1:16">
      <c r="A37" s="13"/>
      <c r="B37" s="13"/>
      <c r="C37" s="16"/>
      <c r="D37" s="18"/>
      <c r="E37" s="25"/>
      <c r="F37" s="24">
        <f>IF($A37="","",SUMIFS(Fichas!$G$5:$G$804,Fichas!$A$5:$A$804,$A37))</f>
        <v>0</v>
      </c>
      <c r="G37" s="26">
        <f>IF(OR($A37="",N($F37)=0),"",$F37/IF(N($C37)&gt;0,$C37,1))</f>
        <v>0</v>
      </c>
      <c r="H37" s="27">
        <f>IF(OR($G37="",N($D37)&lt;=0),"",$G37/$D37)</f>
        <v>0</v>
      </c>
      <c r="I37" s="28">
        <f>IF($A37="","",IF($G37="","Sem ficha",IF($H37="","Sem preço",IF($H37&gt;CMVMeta,"ACIMA DA META","OK"))))</f>
        <v>0</v>
      </c>
      <c r="J37" s="24">
        <f>IF($G37="","",ROUNDUP($G37/CMVMeta,0)+IF(ROUNDUP($G37/CMVMeta,0)-0.1&gt;=$G37/CMVMeta,-0.1,0.9))</f>
        <v>0</v>
      </c>
      <c r="K37" s="24">
        <f>IF(OR($G37="",N($D37)&lt;=0),"",$D37-$G37-$D37*ImpTaxa)</f>
        <v>0</v>
      </c>
      <c r="L37" s="24">
        <f>IF(OR($K37="",N($E37)&lt;=0),"",$K37*$E37)</f>
        <v>0</v>
      </c>
      <c r="M37" s="29">
        <f>IF(OR($A37="",N($E37)&lt;=0),"",$E37/SUM($E$5:$E$104))</f>
        <v>0</v>
      </c>
      <c r="N37" s="28">
        <f>IF(OR($M37="",$K37=""),"",IF($M37&gt;=0.7/NPratos,IF($K37&gt;=MCmed,"Estrela","Burro de carga"),IF($K37&gt;=MCmed,"Quebra-cabeça","Cão")))</f>
        <v>0</v>
      </c>
      <c r="O37" s="30">
        <f>IF($N37="","",IF($N37="Estrela","Manter e destacar no cardápio",IF($N37="Burro de carga","Subir preço ou reduzir custo",IF($N37="Quebra-cabeça","Divulgar e sugerir ao cliente","Reformular ou retirar"))))</f>
        <v>0</v>
      </c>
      <c r="P37" s="31">
        <f>IF($H37="","",$H37+ROW()/1000000000)</f>
        <v>0</v>
      </c>
    </row>
    <row r="38" spans="1:16">
      <c r="A38" s="13"/>
      <c r="B38" s="13"/>
      <c r="C38" s="16"/>
      <c r="D38" s="18"/>
      <c r="E38" s="25"/>
      <c r="F38" s="24">
        <f>IF($A38="","",SUMIFS(Fichas!$G$5:$G$804,Fichas!$A$5:$A$804,$A38))</f>
        <v>0</v>
      </c>
      <c r="G38" s="26">
        <f>IF(OR($A38="",N($F38)=0),"",$F38/IF(N($C38)&gt;0,$C38,1))</f>
        <v>0</v>
      </c>
      <c r="H38" s="27">
        <f>IF(OR($G38="",N($D38)&lt;=0),"",$G38/$D38)</f>
        <v>0</v>
      </c>
      <c r="I38" s="28">
        <f>IF($A38="","",IF($G38="","Sem ficha",IF($H38="","Sem preço",IF($H38&gt;CMVMeta,"ACIMA DA META","OK"))))</f>
        <v>0</v>
      </c>
      <c r="J38" s="24">
        <f>IF($G38="","",ROUNDUP($G38/CMVMeta,0)+IF(ROUNDUP($G38/CMVMeta,0)-0.1&gt;=$G38/CMVMeta,-0.1,0.9))</f>
        <v>0</v>
      </c>
      <c r="K38" s="24">
        <f>IF(OR($G38="",N($D38)&lt;=0),"",$D38-$G38-$D38*ImpTaxa)</f>
        <v>0</v>
      </c>
      <c r="L38" s="24">
        <f>IF(OR($K38="",N($E38)&lt;=0),"",$K38*$E38)</f>
        <v>0</v>
      </c>
      <c r="M38" s="29">
        <f>IF(OR($A38="",N($E38)&lt;=0),"",$E38/SUM($E$5:$E$104))</f>
        <v>0</v>
      </c>
      <c r="N38" s="28">
        <f>IF(OR($M38="",$K38=""),"",IF($M38&gt;=0.7/NPratos,IF($K38&gt;=MCmed,"Estrela","Burro de carga"),IF($K38&gt;=MCmed,"Quebra-cabeça","Cão")))</f>
        <v>0</v>
      </c>
      <c r="O38" s="30">
        <f>IF($N38="","",IF($N38="Estrela","Manter e destacar no cardápio",IF($N38="Burro de carga","Subir preço ou reduzir custo",IF($N38="Quebra-cabeça","Divulgar e sugerir ao cliente","Reformular ou retirar"))))</f>
        <v>0</v>
      </c>
      <c r="P38" s="31">
        <f>IF($H38="","",$H38+ROW()/1000000000)</f>
        <v>0</v>
      </c>
    </row>
    <row r="39" spans="1:16">
      <c r="A39" s="13"/>
      <c r="B39" s="13"/>
      <c r="C39" s="16"/>
      <c r="D39" s="18"/>
      <c r="E39" s="25"/>
      <c r="F39" s="24">
        <f>IF($A39="","",SUMIFS(Fichas!$G$5:$G$804,Fichas!$A$5:$A$804,$A39))</f>
        <v>0</v>
      </c>
      <c r="G39" s="26">
        <f>IF(OR($A39="",N($F39)=0),"",$F39/IF(N($C39)&gt;0,$C39,1))</f>
        <v>0</v>
      </c>
      <c r="H39" s="27">
        <f>IF(OR($G39="",N($D39)&lt;=0),"",$G39/$D39)</f>
        <v>0</v>
      </c>
      <c r="I39" s="28">
        <f>IF($A39="","",IF($G39="","Sem ficha",IF($H39="","Sem preço",IF($H39&gt;CMVMeta,"ACIMA DA META","OK"))))</f>
        <v>0</v>
      </c>
      <c r="J39" s="24">
        <f>IF($G39="","",ROUNDUP($G39/CMVMeta,0)+IF(ROUNDUP($G39/CMVMeta,0)-0.1&gt;=$G39/CMVMeta,-0.1,0.9))</f>
        <v>0</v>
      </c>
      <c r="K39" s="24">
        <f>IF(OR($G39="",N($D39)&lt;=0),"",$D39-$G39-$D39*ImpTaxa)</f>
        <v>0</v>
      </c>
      <c r="L39" s="24">
        <f>IF(OR($K39="",N($E39)&lt;=0),"",$K39*$E39)</f>
        <v>0</v>
      </c>
      <c r="M39" s="29">
        <f>IF(OR($A39="",N($E39)&lt;=0),"",$E39/SUM($E$5:$E$104))</f>
        <v>0</v>
      </c>
      <c r="N39" s="28">
        <f>IF(OR($M39="",$K39=""),"",IF($M39&gt;=0.7/NPratos,IF($K39&gt;=MCmed,"Estrela","Burro de carga"),IF($K39&gt;=MCmed,"Quebra-cabeça","Cão")))</f>
        <v>0</v>
      </c>
      <c r="O39" s="30">
        <f>IF($N39="","",IF($N39="Estrela","Manter e destacar no cardápio",IF($N39="Burro de carga","Subir preço ou reduzir custo",IF($N39="Quebra-cabeça","Divulgar e sugerir ao cliente","Reformular ou retirar"))))</f>
        <v>0</v>
      </c>
      <c r="P39" s="31">
        <f>IF($H39="","",$H39+ROW()/1000000000)</f>
        <v>0</v>
      </c>
    </row>
    <row r="40" spans="1:16">
      <c r="A40" s="13"/>
      <c r="B40" s="13"/>
      <c r="C40" s="16"/>
      <c r="D40" s="18"/>
      <c r="E40" s="25"/>
      <c r="F40" s="24">
        <f>IF($A40="","",SUMIFS(Fichas!$G$5:$G$804,Fichas!$A$5:$A$804,$A40))</f>
        <v>0</v>
      </c>
      <c r="G40" s="26">
        <f>IF(OR($A40="",N($F40)=0),"",$F40/IF(N($C40)&gt;0,$C40,1))</f>
        <v>0</v>
      </c>
      <c r="H40" s="27">
        <f>IF(OR($G40="",N($D40)&lt;=0),"",$G40/$D40)</f>
        <v>0</v>
      </c>
      <c r="I40" s="28">
        <f>IF($A40="","",IF($G40="","Sem ficha",IF($H40="","Sem preço",IF($H40&gt;CMVMeta,"ACIMA DA META","OK"))))</f>
        <v>0</v>
      </c>
      <c r="J40" s="24">
        <f>IF($G40="","",ROUNDUP($G40/CMVMeta,0)+IF(ROUNDUP($G40/CMVMeta,0)-0.1&gt;=$G40/CMVMeta,-0.1,0.9))</f>
        <v>0</v>
      </c>
      <c r="K40" s="24">
        <f>IF(OR($G40="",N($D40)&lt;=0),"",$D40-$G40-$D40*ImpTaxa)</f>
        <v>0</v>
      </c>
      <c r="L40" s="24">
        <f>IF(OR($K40="",N($E40)&lt;=0),"",$K40*$E40)</f>
        <v>0</v>
      </c>
      <c r="M40" s="29">
        <f>IF(OR($A40="",N($E40)&lt;=0),"",$E40/SUM($E$5:$E$104))</f>
        <v>0</v>
      </c>
      <c r="N40" s="28">
        <f>IF(OR($M40="",$K40=""),"",IF($M40&gt;=0.7/NPratos,IF($K40&gt;=MCmed,"Estrela","Burro de carga"),IF($K40&gt;=MCmed,"Quebra-cabeça","Cão")))</f>
        <v>0</v>
      </c>
      <c r="O40" s="30">
        <f>IF($N40="","",IF($N40="Estrela","Manter e destacar no cardápio",IF($N40="Burro de carga","Subir preço ou reduzir custo",IF($N40="Quebra-cabeça","Divulgar e sugerir ao cliente","Reformular ou retirar"))))</f>
        <v>0</v>
      </c>
      <c r="P40" s="31">
        <f>IF($H40="","",$H40+ROW()/1000000000)</f>
        <v>0</v>
      </c>
    </row>
    <row r="41" spans="1:16">
      <c r="A41" s="13"/>
      <c r="B41" s="13"/>
      <c r="C41" s="16"/>
      <c r="D41" s="18"/>
      <c r="E41" s="25"/>
      <c r="F41" s="24">
        <f>IF($A41="","",SUMIFS(Fichas!$G$5:$G$804,Fichas!$A$5:$A$804,$A41))</f>
        <v>0</v>
      </c>
      <c r="G41" s="26">
        <f>IF(OR($A41="",N($F41)=0),"",$F41/IF(N($C41)&gt;0,$C41,1))</f>
        <v>0</v>
      </c>
      <c r="H41" s="27">
        <f>IF(OR($G41="",N($D41)&lt;=0),"",$G41/$D41)</f>
        <v>0</v>
      </c>
      <c r="I41" s="28">
        <f>IF($A41="","",IF($G41="","Sem ficha",IF($H41="","Sem preço",IF($H41&gt;CMVMeta,"ACIMA DA META","OK"))))</f>
        <v>0</v>
      </c>
      <c r="J41" s="24">
        <f>IF($G41="","",ROUNDUP($G41/CMVMeta,0)+IF(ROUNDUP($G41/CMVMeta,0)-0.1&gt;=$G41/CMVMeta,-0.1,0.9))</f>
        <v>0</v>
      </c>
      <c r="K41" s="24">
        <f>IF(OR($G41="",N($D41)&lt;=0),"",$D41-$G41-$D41*ImpTaxa)</f>
        <v>0</v>
      </c>
      <c r="L41" s="24">
        <f>IF(OR($K41="",N($E41)&lt;=0),"",$K41*$E41)</f>
        <v>0</v>
      </c>
      <c r="M41" s="29">
        <f>IF(OR($A41="",N($E41)&lt;=0),"",$E41/SUM($E$5:$E$104))</f>
        <v>0</v>
      </c>
      <c r="N41" s="28">
        <f>IF(OR($M41="",$K41=""),"",IF($M41&gt;=0.7/NPratos,IF($K41&gt;=MCmed,"Estrela","Burro de carga"),IF($K41&gt;=MCmed,"Quebra-cabeça","Cão")))</f>
        <v>0</v>
      </c>
      <c r="O41" s="30">
        <f>IF($N41="","",IF($N41="Estrela","Manter e destacar no cardápio",IF($N41="Burro de carga","Subir preço ou reduzir custo",IF($N41="Quebra-cabeça","Divulgar e sugerir ao cliente","Reformular ou retirar"))))</f>
        <v>0</v>
      </c>
      <c r="P41" s="31">
        <f>IF($H41="","",$H41+ROW()/1000000000)</f>
        <v>0</v>
      </c>
    </row>
    <row r="42" spans="1:16">
      <c r="A42" s="13"/>
      <c r="B42" s="13"/>
      <c r="C42" s="16"/>
      <c r="D42" s="18"/>
      <c r="E42" s="25"/>
      <c r="F42" s="24">
        <f>IF($A42="","",SUMIFS(Fichas!$G$5:$G$804,Fichas!$A$5:$A$804,$A42))</f>
        <v>0</v>
      </c>
      <c r="G42" s="26">
        <f>IF(OR($A42="",N($F42)=0),"",$F42/IF(N($C42)&gt;0,$C42,1))</f>
        <v>0</v>
      </c>
      <c r="H42" s="27">
        <f>IF(OR($G42="",N($D42)&lt;=0),"",$G42/$D42)</f>
        <v>0</v>
      </c>
      <c r="I42" s="28">
        <f>IF($A42="","",IF($G42="","Sem ficha",IF($H42="","Sem preço",IF($H42&gt;CMVMeta,"ACIMA DA META","OK"))))</f>
        <v>0</v>
      </c>
      <c r="J42" s="24">
        <f>IF($G42="","",ROUNDUP($G42/CMVMeta,0)+IF(ROUNDUP($G42/CMVMeta,0)-0.1&gt;=$G42/CMVMeta,-0.1,0.9))</f>
        <v>0</v>
      </c>
      <c r="K42" s="24">
        <f>IF(OR($G42="",N($D42)&lt;=0),"",$D42-$G42-$D42*ImpTaxa)</f>
        <v>0</v>
      </c>
      <c r="L42" s="24">
        <f>IF(OR($K42="",N($E42)&lt;=0),"",$K42*$E42)</f>
        <v>0</v>
      </c>
      <c r="M42" s="29">
        <f>IF(OR($A42="",N($E42)&lt;=0),"",$E42/SUM($E$5:$E$104))</f>
        <v>0</v>
      </c>
      <c r="N42" s="28">
        <f>IF(OR($M42="",$K42=""),"",IF($M42&gt;=0.7/NPratos,IF($K42&gt;=MCmed,"Estrela","Burro de carga"),IF($K42&gt;=MCmed,"Quebra-cabeça","Cão")))</f>
        <v>0</v>
      </c>
      <c r="O42" s="30">
        <f>IF($N42="","",IF($N42="Estrela","Manter e destacar no cardápio",IF($N42="Burro de carga","Subir preço ou reduzir custo",IF($N42="Quebra-cabeça","Divulgar e sugerir ao cliente","Reformular ou retirar"))))</f>
        <v>0</v>
      </c>
      <c r="P42" s="31">
        <f>IF($H42="","",$H42+ROW()/1000000000)</f>
        <v>0</v>
      </c>
    </row>
    <row r="43" spans="1:16">
      <c r="A43" s="13"/>
      <c r="B43" s="13"/>
      <c r="C43" s="16"/>
      <c r="D43" s="18"/>
      <c r="E43" s="25"/>
      <c r="F43" s="24">
        <f>IF($A43="","",SUMIFS(Fichas!$G$5:$G$804,Fichas!$A$5:$A$804,$A43))</f>
        <v>0</v>
      </c>
      <c r="G43" s="26">
        <f>IF(OR($A43="",N($F43)=0),"",$F43/IF(N($C43)&gt;0,$C43,1))</f>
        <v>0</v>
      </c>
      <c r="H43" s="27">
        <f>IF(OR($G43="",N($D43)&lt;=0),"",$G43/$D43)</f>
        <v>0</v>
      </c>
      <c r="I43" s="28">
        <f>IF($A43="","",IF($G43="","Sem ficha",IF($H43="","Sem preço",IF($H43&gt;CMVMeta,"ACIMA DA META","OK"))))</f>
        <v>0</v>
      </c>
      <c r="J43" s="24">
        <f>IF($G43="","",ROUNDUP($G43/CMVMeta,0)+IF(ROUNDUP($G43/CMVMeta,0)-0.1&gt;=$G43/CMVMeta,-0.1,0.9))</f>
        <v>0</v>
      </c>
      <c r="K43" s="24">
        <f>IF(OR($G43="",N($D43)&lt;=0),"",$D43-$G43-$D43*ImpTaxa)</f>
        <v>0</v>
      </c>
      <c r="L43" s="24">
        <f>IF(OR($K43="",N($E43)&lt;=0),"",$K43*$E43)</f>
        <v>0</v>
      </c>
      <c r="M43" s="29">
        <f>IF(OR($A43="",N($E43)&lt;=0),"",$E43/SUM($E$5:$E$104))</f>
        <v>0</v>
      </c>
      <c r="N43" s="28">
        <f>IF(OR($M43="",$K43=""),"",IF($M43&gt;=0.7/NPratos,IF($K43&gt;=MCmed,"Estrela","Burro de carga"),IF($K43&gt;=MCmed,"Quebra-cabeça","Cão")))</f>
        <v>0</v>
      </c>
      <c r="O43" s="30">
        <f>IF($N43="","",IF($N43="Estrela","Manter e destacar no cardápio",IF($N43="Burro de carga","Subir preço ou reduzir custo",IF($N43="Quebra-cabeça","Divulgar e sugerir ao cliente","Reformular ou retirar"))))</f>
        <v>0</v>
      </c>
      <c r="P43" s="31">
        <f>IF($H43="","",$H43+ROW()/1000000000)</f>
        <v>0</v>
      </c>
    </row>
    <row r="44" spans="1:16">
      <c r="A44" s="13"/>
      <c r="B44" s="13"/>
      <c r="C44" s="16"/>
      <c r="D44" s="18"/>
      <c r="E44" s="25"/>
      <c r="F44" s="24">
        <f>IF($A44="","",SUMIFS(Fichas!$G$5:$G$804,Fichas!$A$5:$A$804,$A44))</f>
        <v>0</v>
      </c>
      <c r="G44" s="26">
        <f>IF(OR($A44="",N($F44)=0),"",$F44/IF(N($C44)&gt;0,$C44,1))</f>
        <v>0</v>
      </c>
      <c r="H44" s="27">
        <f>IF(OR($G44="",N($D44)&lt;=0),"",$G44/$D44)</f>
        <v>0</v>
      </c>
      <c r="I44" s="28">
        <f>IF($A44="","",IF($G44="","Sem ficha",IF($H44="","Sem preço",IF($H44&gt;CMVMeta,"ACIMA DA META","OK"))))</f>
        <v>0</v>
      </c>
      <c r="J44" s="24">
        <f>IF($G44="","",ROUNDUP($G44/CMVMeta,0)+IF(ROUNDUP($G44/CMVMeta,0)-0.1&gt;=$G44/CMVMeta,-0.1,0.9))</f>
        <v>0</v>
      </c>
      <c r="K44" s="24">
        <f>IF(OR($G44="",N($D44)&lt;=0),"",$D44-$G44-$D44*ImpTaxa)</f>
        <v>0</v>
      </c>
      <c r="L44" s="24">
        <f>IF(OR($K44="",N($E44)&lt;=0),"",$K44*$E44)</f>
        <v>0</v>
      </c>
      <c r="M44" s="29">
        <f>IF(OR($A44="",N($E44)&lt;=0),"",$E44/SUM($E$5:$E$104))</f>
        <v>0</v>
      </c>
      <c r="N44" s="28">
        <f>IF(OR($M44="",$K44=""),"",IF($M44&gt;=0.7/NPratos,IF($K44&gt;=MCmed,"Estrela","Burro de carga"),IF($K44&gt;=MCmed,"Quebra-cabeça","Cão")))</f>
        <v>0</v>
      </c>
      <c r="O44" s="30">
        <f>IF($N44="","",IF($N44="Estrela","Manter e destacar no cardápio",IF($N44="Burro de carga","Subir preço ou reduzir custo",IF($N44="Quebra-cabeça","Divulgar e sugerir ao cliente","Reformular ou retirar"))))</f>
        <v>0</v>
      </c>
      <c r="P44" s="31">
        <f>IF($H44="","",$H44+ROW()/1000000000)</f>
        <v>0</v>
      </c>
    </row>
    <row r="45" spans="1:16">
      <c r="A45" s="13"/>
      <c r="B45" s="13"/>
      <c r="C45" s="16"/>
      <c r="D45" s="18"/>
      <c r="E45" s="25"/>
      <c r="F45" s="24">
        <f>IF($A45="","",SUMIFS(Fichas!$G$5:$G$804,Fichas!$A$5:$A$804,$A45))</f>
        <v>0</v>
      </c>
      <c r="G45" s="26">
        <f>IF(OR($A45="",N($F45)=0),"",$F45/IF(N($C45)&gt;0,$C45,1))</f>
        <v>0</v>
      </c>
      <c r="H45" s="27">
        <f>IF(OR($G45="",N($D45)&lt;=0),"",$G45/$D45)</f>
        <v>0</v>
      </c>
      <c r="I45" s="28">
        <f>IF($A45="","",IF($G45="","Sem ficha",IF($H45="","Sem preço",IF($H45&gt;CMVMeta,"ACIMA DA META","OK"))))</f>
        <v>0</v>
      </c>
      <c r="J45" s="24">
        <f>IF($G45="","",ROUNDUP($G45/CMVMeta,0)+IF(ROUNDUP($G45/CMVMeta,0)-0.1&gt;=$G45/CMVMeta,-0.1,0.9))</f>
        <v>0</v>
      </c>
      <c r="K45" s="24">
        <f>IF(OR($G45="",N($D45)&lt;=0),"",$D45-$G45-$D45*ImpTaxa)</f>
        <v>0</v>
      </c>
      <c r="L45" s="24">
        <f>IF(OR($K45="",N($E45)&lt;=0),"",$K45*$E45)</f>
        <v>0</v>
      </c>
      <c r="M45" s="29">
        <f>IF(OR($A45="",N($E45)&lt;=0),"",$E45/SUM($E$5:$E$104))</f>
        <v>0</v>
      </c>
      <c r="N45" s="28">
        <f>IF(OR($M45="",$K45=""),"",IF($M45&gt;=0.7/NPratos,IF($K45&gt;=MCmed,"Estrela","Burro de carga"),IF($K45&gt;=MCmed,"Quebra-cabeça","Cão")))</f>
        <v>0</v>
      </c>
      <c r="O45" s="30">
        <f>IF($N45="","",IF($N45="Estrela","Manter e destacar no cardápio",IF($N45="Burro de carga","Subir preço ou reduzir custo",IF($N45="Quebra-cabeça","Divulgar e sugerir ao cliente","Reformular ou retirar"))))</f>
        <v>0</v>
      </c>
      <c r="P45" s="31">
        <f>IF($H45="","",$H45+ROW()/1000000000)</f>
        <v>0</v>
      </c>
    </row>
    <row r="46" spans="1:16">
      <c r="A46" s="13"/>
      <c r="B46" s="13"/>
      <c r="C46" s="16"/>
      <c r="D46" s="18"/>
      <c r="E46" s="25"/>
      <c r="F46" s="24">
        <f>IF($A46="","",SUMIFS(Fichas!$G$5:$G$804,Fichas!$A$5:$A$804,$A46))</f>
        <v>0</v>
      </c>
      <c r="G46" s="26">
        <f>IF(OR($A46="",N($F46)=0),"",$F46/IF(N($C46)&gt;0,$C46,1))</f>
        <v>0</v>
      </c>
      <c r="H46" s="27">
        <f>IF(OR($G46="",N($D46)&lt;=0),"",$G46/$D46)</f>
        <v>0</v>
      </c>
      <c r="I46" s="28">
        <f>IF($A46="","",IF($G46="","Sem ficha",IF($H46="","Sem preço",IF($H46&gt;CMVMeta,"ACIMA DA META","OK"))))</f>
        <v>0</v>
      </c>
      <c r="J46" s="24">
        <f>IF($G46="","",ROUNDUP($G46/CMVMeta,0)+IF(ROUNDUP($G46/CMVMeta,0)-0.1&gt;=$G46/CMVMeta,-0.1,0.9))</f>
        <v>0</v>
      </c>
      <c r="K46" s="24">
        <f>IF(OR($G46="",N($D46)&lt;=0),"",$D46-$G46-$D46*ImpTaxa)</f>
        <v>0</v>
      </c>
      <c r="L46" s="24">
        <f>IF(OR($K46="",N($E46)&lt;=0),"",$K46*$E46)</f>
        <v>0</v>
      </c>
      <c r="M46" s="29">
        <f>IF(OR($A46="",N($E46)&lt;=0),"",$E46/SUM($E$5:$E$104))</f>
        <v>0</v>
      </c>
      <c r="N46" s="28">
        <f>IF(OR($M46="",$K46=""),"",IF($M46&gt;=0.7/NPratos,IF($K46&gt;=MCmed,"Estrela","Burro de carga"),IF($K46&gt;=MCmed,"Quebra-cabeça","Cão")))</f>
        <v>0</v>
      </c>
      <c r="O46" s="30">
        <f>IF($N46="","",IF($N46="Estrela","Manter e destacar no cardápio",IF($N46="Burro de carga","Subir preço ou reduzir custo",IF($N46="Quebra-cabeça","Divulgar e sugerir ao cliente","Reformular ou retirar"))))</f>
        <v>0</v>
      </c>
      <c r="P46" s="31">
        <f>IF($H46="","",$H46+ROW()/1000000000)</f>
        <v>0</v>
      </c>
    </row>
    <row r="47" spans="1:16">
      <c r="A47" s="13"/>
      <c r="B47" s="13"/>
      <c r="C47" s="16"/>
      <c r="D47" s="18"/>
      <c r="E47" s="25"/>
      <c r="F47" s="24">
        <f>IF($A47="","",SUMIFS(Fichas!$G$5:$G$804,Fichas!$A$5:$A$804,$A47))</f>
        <v>0</v>
      </c>
      <c r="G47" s="26">
        <f>IF(OR($A47="",N($F47)=0),"",$F47/IF(N($C47)&gt;0,$C47,1))</f>
        <v>0</v>
      </c>
      <c r="H47" s="27">
        <f>IF(OR($G47="",N($D47)&lt;=0),"",$G47/$D47)</f>
        <v>0</v>
      </c>
      <c r="I47" s="28">
        <f>IF($A47="","",IF($G47="","Sem ficha",IF($H47="","Sem preço",IF($H47&gt;CMVMeta,"ACIMA DA META","OK"))))</f>
        <v>0</v>
      </c>
      <c r="J47" s="24">
        <f>IF($G47="","",ROUNDUP($G47/CMVMeta,0)+IF(ROUNDUP($G47/CMVMeta,0)-0.1&gt;=$G47/CMVMeta,-0.1,0.9))</f>
        <v>0</v>
      </c>
      <c r="K47" s="24">
        <f>IF(OR($G47="",N($D47)&lt;=0),"",$D47-$G47-$D47*ImpTaxa)</f>
        <v>0</v>
      </c>
      <c r="L47" s="24">
        <f>IF(OR($K47="",N($E47)&lt;=0),"",$K47*$E47)</f>
        <v>0</v>
      </c>
      <c r="M47" s="29">
        <f>IF(OR($A47="",N($E47)&lt;=0),"",$E47/SUM($E$5:$E$104))</f>
        <v>0</v>
      </c>
      <c r="N47" s="28">
        <f>IF(OR($M47="",$K47=""),"",IF($M47&gt;=0.7/NPratos,IF($K47&gt;=MCmed,"Estrela","Burro de carga"),IF($K47&gt;=MCmed,"Quebra-cabeça","Cão")))</f>
        <v>0</v>
      </c>
      <c r="O47" s="30">
        <f>IF($N47="","",IF($N47="Estrela","Manter e destacar no cardápio",IF($N47="Burro de carga","Subir preço ou reduzir custo",IF($N47="Quebra-cabeça","Divulgar e sugerir ao cliente","Reformular ou retirar"))))</f>
        <v>0</v>
      </c>
      <c r="P47" s="31">
        <f>IF($H47="","",$H47+ROW()/1000000000)</f>
        <v>0</v>
      </c>
    </row>
    <row r="48" spans="1:16">
      <c r="A48" s="13"/>
      <c r="B48" s="13"/>
      <c r="C48" s="16"/>
      <c r="D48" s="18"/>
      <c r="E48" s="25"/>
      <c r="F48" s="24">
        <f>IF($A48="","",SUMIFS(Fichas!$G$5:$G$804,Fichas!$A$5:$A$804,$A48))</f>
        <v>0</v>
      </c>
      <c r="G48" s="26">
        <f>IF(OR($A48="",N($F48)=0),"",$F48/IF(N($C48)&gt;0,$C48,1))</f>
        <v>0</v>
      </c>
      <c r="H48" s="27">
        <f>IF(OR($G48="",N($D48)&lt;=0),"",$G48/$D48)</f>
        <v>0</v>
      </c>
      <c r="I48" s="28">
        <f>IF($A48="","",IF($G48="","Sem ficha",IF($H48="","Sem preço",IF($H48&gt;CMVMeta,"ACIMA DA META","OK"))))</f>
        <v>0</v>
      </c>
      <c r="J48" s="24">
        <f>IF($G48="","",ROUNDUP($G48/CMVMeta,0)+IF(ROUNDUP($G48/CMVMeta,0)-0.1&gt;=$G48/CMVMeta,-0.1,0.9))</f>
        <v>0</v>
      </c>
      <c r="K48" s="24">
        <f>IF(OR($G48="",N($D48)&lt;=0),"",$D48-$G48-$D48*ImpTaxa)</f>
        <v>0</v>
      </c>
      <c r="L48" s="24">
        <f>IF(OR($K48="",N($E48)&lt;=0),"",$K48*$E48)</f>
        <v>0</v>
      </c>
      <c r="M48" s="29">
        <f>IF(OR($A48="",N($E48)&lt;=0),"",$E48/SUM($E$5:$E$104))</f>
        <v>0</v>
      </c>
      <c r="N48" s="28">
        <f>IF(OR($M48="",$K48=""),"",IF($M48&gt;=0.7/NPratos,IF($K48&gt;=MCmed,"Estrela","Burro de carga"),IF($K48&gt;=MCmed,"Quebra-cabeça","Cão")))</f>
        <v>0</v>
      </c>
      <c r="O48" s="30">
        <f>IF($N48="","",IF($N48="Estrela","Manter e destacar no cardápio",IF($N48="Burro de carga","Subir preço ou reduzir custo",IF($N48="Quebra-cabeça","Divulgar e sugerir ao cliente","Reformular ou retirar"))))</f>
        <v>0</v>
      </c>
      <c r="P48" s="31">
        <f>IF($H48="","",$H48+ROW()/1000000000)</f>
        <v>0</v>
      </c>
    </row>
    <row r="49" spans="1:16">
      <c r="A49" s="13"/>
      <c r="B49" s="13"/>
      <c r="C49" s="16"/>
      <c r="D49" s="18"/>
      <c r="E49" s="25"/>
      <c r="F49" s="24">
        <f>IF($A49="","",SUMIFS(Fichas!$G$5:$G$804,Fichas!$A$5:$A$804,$A49))</f>
        <v>0</v>
      </c>
      <c r="G49" s="26">
        <f>IF(OR($A49="",N($F49)=0),"",$F49/IF(N($C49)&gt;0,$C49,1))</f>
        <v>0</v>
      </c>
      <c r="H49" s="27">
        <f>IF(OR($G49="",N($D49)&lt;=0),"",$G49/$D49)</f>
        <v>0</v>
      </c>
      <c r="I49" s="28">
        <f>IF($A49="","",IF($G49="","Sem ficha",IF($H49="","Sem preço",IF($H49&gt;CMVMeta,"ACIMA DA META","OK"))))</f>
        <v>0</v>
      </c>
      <c r="J49" s="24">
        <f>IF($G49="","",ROUNDUP($G49/CMVMeta,0)+IF(ROUNDUP($G49/CMVMeta,0)-0.1&gt;=$G49/CMVMeta,-0.1,0.9))</f>
        <v>0</v>
      </c>
      <c r="K49" s="24">
        <f>IF(OR($G49="",N($D49)&lt;=0),"",$D49-$G49-$D49*ImpTaxa)</f>
        <v>0</v>
      </c>
      <c r="L49" s="24">
        <f>IF(OR($K49="",N($E49)&lt;=0),"",$K49*$E49)</f>
        <v>0</v>
      </c>
      <c r="M49" s="29">
        <f>IF(OR($A49="",N($E49)&lt;=0),"",$E49/SUM($E$5:$E$104))</f>
        <v>0</v>
      </c>
      <c r="N49" s="28">
        <f>IF(OR($M49="",$K49=""),"",IF($M49&gt;=0.7/NPratos,IF($K49&gt;=MCmed,"Estrela","Burro de carga"),IF($K49&gt;=MCmed,"Quebra-cabeça","Cão")))</f>
        <v>0</v>
      </c>
      <c r="O49" s="30">
        <f>IF($N49="","",IF($N49="Estrela","Manter e destacar no cardápio",IF($N49="Burro de carga","Subir preço ou reduzir custo",IF($N49="Quebra-cabeça","Divulgar e sugerir ao cliente","Reformular ou retirar"))))</f>
        <v>0</v>
      </c>
      <c r="P49" s="31">
        <f>IF($H49="","",$H49+ROW()/1000000000)</f>
        <v>0</v>
      </c>
    </row>
    <row r="50" spans="1:16">
      <c r="A50" s="13"/>
      <c r="B50" s="13"/>
      <c r="C50" s="16"/>
      <c r="D50" s="18"/>
      <c r="E50" s="25"/>
      <c r="F50" s="24">
        <f>IF($A50="","",SUMIFS(Fichas!$G$5:$G$804,Fichas!$A$5:$A$804,$A50))</f>
        <v>0</v>
      </c>
      <c r="G50" s="26">
        <f>IF(OR($A50="",N($F50)=0),"",$F50/IF(N($C50)&gt;0,$C50,1))</f>
        <v>0</v>
      </c>
      <c r="H50" s="27">
        <f>IF(OR($G50="",N($D50)&lt;=0),"",$G50/$D50)</f>
        <v>0</v>
      </c>
      <c r="I50" s="28">
        <f>IF($A50="","",IF($G50="","Sem ficha",IF($H50="","Sem preço",IF($H50&gt;CMVMeta,"ACIMA DA META","OK"))))</f>
        <v>0</v>
      </c>
      <c r="J50" s="24">
        <f>IF($G50="","",ROUNDUP($G50/CMVMeta,0)+IF(ROUNDUP($G50/CMVMeta,0)-0.1&gt;=$G50/CMVMeta,-0.1,0.9))</f>
        <v>0</v>
      </c>
      <c r="K50" s="24">
        <f>IF(OR($G50="",N($D50)&lt;=0),"",$D50-$G50-$D50*ImpTaxa)</f>
        <v>0</v>
      </c>
      <c r="L50" s="24">
        <f>IF(OR($K50="",N($E50)&lt;=0),"",$K50*$E50)</f>
        <v>0</v>
      </c>
      <c r="M50" s="29">
        <f>IF(OR($A50="",N($E50)&lt;=0),"",$E50/SUM($E$5:$E$104))</f>
        <v>0</v>
      </c>
      <c r="N50" s="28">
        <f>IF(OR($M50="",$K50=""),"",IF($M50&gt;=0.7/NPratos,IF($K50&gt;=MCmed,"Estrela","Burro de carga"),IF($K50&gt;=MCmed,"Quebra-cabeça","Cão")))</f>
        <v>0</v>
      </c>
      <c r="O50" s="30">
        <f>IF($N50="","",IF($N50="Estrela","Manter e destacar no cardápio",IF($N50="Burro de carga","Subir preço ou reduzir custo",IF($N50="Quebra-cabeça","Divulgar e sugerir ao cliente","Reformular ou retirar"))))</f>
        <v>0</v>
      </c>
      <c r="P50" s="31">
        <f>IF($H50="","",$H50+ROW()/1000000000)</f>
        <v>0</v>
      </c>
    </row>
    <row r="51" spans="1:16">
      <c r="A51" s="13"/>
      <c r="B51" s="13"/>
      <c r="C51" s="16"/>
      <c r="D51" s="18"/>
      <c r="E51" s="25"/>
      <c r="F51" s="24">
        <f>IF($A51="","",SUMIFS(Fichas!$G$5:$G$804,Fichas!$A$5:$A$804,$A51))</f>
        <v>0</v>
      </c>
      <c r="G51" s="26">
        <f>IF(OR($A51="",N($F51)=0),"",$F51/IF(N($C51)&gt;0,$C51,1))</f>
        <v>0</v>
      </c>
      <c r="H51" s="27">
        <f>IF(OR($G51="",N($D51)&lt;=0),"",$G51/$D51)</f>
        <v>0</v>
      </c>
      <c r="I51" s="28">
        <f>IF($A51="","",IF($G51="","Sem ficha",IF($H51="","Sem preço",IF($H51&gt;CMVMeta,"ACIMA DA META","OK"))))</f>
        <v>0</v>
      </c>
      <c r="J51" s="24">
        <f>IF($G51="","",ROUNDUP($G51/CMVMeta,0)+IF(ROUNDUP($G51/CMVMeta,0)-0.1&gt;=$G51/CMVMeta,-0.1,0.9))</f>
        <v>0</v>
      </c>
      <c r="K51" s="24">
        <f>IF(OR($G51="",N($D51)&lt;=0),"",$D51-$G51-$D51*ImpTaxa)</f>
        <v>0</v>
      </c>
      <c r="L51" s="24">
        <f>IF(OR($K51="",N($E51)&lt;=0),"",$K51*$E51)</f>
        <v>0</v>
      </c>
      <c r="M51" s="29">
        <f>IF(OR($A51="",N($E51)&lt;=0),"",$E51/SUM($E$5:$E$104))</f>
        <v>0</v>
      </c>
      <c r="N51" s="28">
        <f>IF(OR($M51="",$K51=""),"",IF($M51&gt;=0.7/NPratos,IF($K51&gt;=MCmed,"Estrela","Burro de carga"),IF($K51&gt;=MCmed,"Quebra-cabeça","Cão")))</f>
        <v>0</v>
      </c>
      <c r="O51" s="30">
        <f>IF($N51="","",IF($N51="Estrela","Manter e destacar no cardápio",IF($N51="Burro de carga","Subir preço ou reduzir custo",IF($N51="Quebra-cabeça","Divulgar e sugerir ao cliente","Reformular ou retirar"))))</f>
        <v>0</v>
      </c>
      <c r="P51" s="31">
        <f>IF($H51="","",$H51+ROW()/1000000000)</f>
        <v>0</v>
      </c>
    </row>
    <row r="52" spans="1:16">
      <c r="A52" s="13"/>
      <c r="B52" s="13"/>
      <c r="C52" s="16"/>
      <c r="D52" s="18"/>
      <c r="E52" s="25"/>
      <c r="F52" s="24">
        <f>IF($A52="","",SUMIFS(Fichas!$G$5:$G$804,Fichas!$A$5:$A$804,$A52))</f>
        <v>0</v>
      </c>
      <c r="G52" s="26">
        <f>IF(OR($A52="",N($F52)=0),"",$F52/IF(N($C52)&gt;0,$C52,1))</f>
        <v>0</v>
      </c>
      <c r="H52" s="27">
        <f>IF(OR($G52="",N($D52)&lt;=0),"",$G52/$D52)</f>
        <v>0</v>
      </c>
      <c r="I52" s="28">
        <f>IF($A52="","",IF($G52="","Sem ficha",IF($H52="","Sem preço",IF($H52&gt;CMVMeta,"ACIMA DA META","OK"))))</f>
        <v>0</v>
      </c>
      <c r="J52" s="24">
        <f>IF($G52="","",ROUNDUP($G52/CMVMeta,0)+IF(ROUNDUP($G52/CMVMeta,0)-0.1&gt;=$G52/CMVMeta,-0.1,0.9))</f>
        <v>0</v>
      </c>
      <c r="K52" s="24">
        <f>IF(OR($G52="",N($D52)&lt;=0),"",$D52-$G52-$D52*ImpTaxa)</f>
        <v>0</v>
      </c>
      <c r="L52" s="24">
        <f>IF(OR($K52="",N($E52)&lt;=0),"",$K52*$E52)</f>
        <v>0</v>
      </c>
      <c r="M52" s="29">
        <f>IF(OR($A52="",N($E52)&lt;=0),"",$E52/SUM($E$5:$E$104))</f>
        <v>0</v>
      </c>
      <c r="N52" s="28">
        <f>IF(OR($M52="",$K52=""),"",IF($M52&gt;=0.7/NPratos,IF($K52&gt;=MCmed,"Estrela","Burro de carga"),IF($K52&gt;=MCmed,"Quebra-cabeça","Cão")))</f>
        <v>0</v>
      </c>
      <c r="O52" s="30">
        <f>IF($N52="","",IF($N52="Estrela","Manter e destacar no cardápio",IF($N52="Burro de carga","Subir preço ou reduzir custo",IF($N52="Quebra-cabeça","Divulgar e sugerir ao cliente","Reformular ou retirar"))))</f>
        <v>0</v>
      </c>
      <c r="P52" s="31">
        <f>IF($H52="","",$H52+ROW()/1000000000)</f>
        <v>0</v>
      </c>
    </row>
    <row r="53" spans="1:16">
      <c r="A53" s="13"/>
      <c r="B53" s="13"/>
      <c r="C53" s="16"/>
      <c r="D53" s="18"/>
      <c r="E53" s="25"/>
      <c r="F53" s="24">
        <f>IF($A53="","",SUMIFS(Fichas!$G$5:$G$804,Fichas!$A$5:$A$804,$A53))</f>
        <v>0</v>
      </c>
      <c r="G53" s="26">
        <f>IF(OR($A53="",N($F53)=0),"",$F53/IF(N($C53)&gt;0,$C53,1))</f>
        <v>0</v>
      </c>
      <c r="H53" s="27">
        <f>IF(OR($G53="",N($D53)&lt;=0),"",$G53/$D53)</f>
        <v>0</v>
      </c>
      <c r="I53" s="28">
        <f>IF($A53="","",IF($G53="","Sem ficha",IF($H53="","Sem preço",IF($H53&gt;CMVMeta,"ACIMA DA META","OK"))))</f>
        <v>0</v>
      </c>
      <c r="J53" s="24">
        <f>IF($G53="","",ROUNDUP($G53/CMVMeta,0)+IF(ROUNDUP($G53/CMVMeta,0)-0.1&gt;=$G53/CMVMeta,-0.1,0.9))</f>
        <v>0</v>
      </c>
      <c r="K53" s="24">
        <f>IF(OR($G53="",N($D53)&lt;=0),"",$D53-$G53-$D53*ImpTaxa)</f>
        <v>0</v>
      </c>
      <c r="L53" s="24">
        <f>IF(OR($K53="",N($E53)&lt;=0),"",$K53*$E53)</f>
        <v>0</v>
      </c>
      <c r="M53" s="29">
        <f>IF(OR($A53="",N($E53)&lt;=0),"",$E53/SUM($E$5:$E$104))</f>
        <v>0</v>
      </c>
      <c r="N53" s="28">
        <f>IF(OR($M53="",$K53=""),"",IF($M53&gt;=0.7/NPratos,IF($K53&gt;=MCmed,"Estrela","Burro de carga"),IF($K53&gt;=MCmed,"Quebra-cabeça","Cão")))</f>
        <v>0</v>
      </c>
      <c r="O53" s="30">
        <f>IF($N53="","",IF($N53="Estrela","Manter e destacar no cardápio",IF($N53="Burro de carga","Subir preço ou reduzir custo",IF($N53="Quebra-cabeça","Divulgar e sugerir ao cliente","Reformular ou retirar"))))</f>
        <v>0</v>
      </c>
      <c r="P53" s="31">
        <f>IF($H53="","",$H53+ROW()/1000000000)</f>
        <v>0</v>
      </c>
    </row>
    <row r="54" spans="1:16">
      <c r="A54" s="13"/>
      <c r="B54" s="13"/>
      <c r="C54" s="16"/>
      <c r="D54" s="18"/>
      <c r="E54" s="25"/>
      <c r="F54" s="24">
        <f>IF($A54="","",SUMIFS(Fichas!$G$5:$G$804,Fichas!$A$5:$A$804,$A54))</f>
        <v>0</v>
      </c>
      <c r="G54" s="26">
        <f>IF(OR($A54="",N($F54)=0),"",$F54/IF(N($C54)&gt;0,$C54,1))</f>
        <v>0</v>
      </c>
      <c r="H54" s="27">
        <f>IF(OR($G54="",N($D54)&lt;=0),"",$G54/$D54)</f>
        <v>0</v>
      </c>
      <c r="I54" s="28">
        <f>IF($A54="","",IF($G54="","Sem ficha",IF($H54="","Sem preço",IF($H54&gt;CMVMeta,"ACIMA DA META","OK"))))</f>
        <v>0</v>
      </c>
      <c r="J54" s="24">
        <f>IF($G54="","",ROUNDUP($G54/CMVMeta,0)+IF(ROUNDUP($G54/CMVMeta,0)-0.1&gt;=$G54/CMVMeta,-0.1,0.9))</f>
        <v>0</v>
      </c>
      <c r="K54" s="24">
        <f>IF(OR($G54="",N($D54)&lt;=0),"",$D54-$G54-$D54*ImpTaxa)</f>
        <v>0</v>
      </c>
      <c r="L54" s="24">
        <f>IF(OR($K54="",N($E54)&lt;=0),"",$K54*$E54)</f>
        <v>0</v>
      </c>
      <c r="M54" s="29">
        <f>IF(OR($A54="",N($E54)&lt;=0),"",$E54/SUM($E$5:$E$104))</f>
        <v>0</v>
      </c>
      <c r="N54" s="28">
        <f>IF(OR($M54="",$K54=""),"",IF($M54&gt;=0.7/NPratos,IF($K54&gt;=MCmed,"Estrela","Burro de carga"),IF($K54&gt;=MCmed,"Quebra-cabeça","Cão")))</f>
        <v>0</v>
      </c>
      <c r="O54" s="30">
        <f>IF($N54="","",IF($N54="Estrela","Manter e destacar no cardápio",IF($N54="Burro de carga","Subir preço ou reduzir custo",IF($N54="Quebra-cabeça","Divulgar e sugerir ao cliente","Reformular ou retirar"))))</f>
        <v>0</v>
      </c>
      <c r="P54" s="31">
        <f>IF($H54="","",$H54+ROW()/1000000000)</f>
        <v>0</v>
      </c>
    </row>
    <row r="55" spans="1:16">
      <c r="A55" s="13"/>
      <c r="B55" s="13"/>
      <c r="C55" s="16"/>
      <c r="D55" s="18"/>
      <c r="E55" s="25"/>
      <c r="F55" s="24">
        <f>IF($A55="","",SUMIFS(Fichas!$G$5:$G$804,Fichas!$A$5:$A$804,$A55))</f>
        <v>0</v>
      </c>
      <c r="G55" s="26">
        <f>IF(OR($A55="",N($F55)=0),"",$F55/IF(N($C55)&gt;0,$C55,1))</f>
        <v>0</v>
      </c>
      <c r="H55" s="27">
        <f>IF(OR($G55="",N($D55)&lt;=0),"",$G55/$D55)</f>
        <v>0</v>
      </c>
      <c r="I55" s="28">
        <f>IF($A55="","",IF($G55="","Sem ficha",IF($H55="","Sem preço",IF($H55&gt;CMVMeta,"ACIMA DA META","OK"))))</f>
        <v>0</v>
      </c>
      <c r="J55" s="24">
        <f>IF($G55="","",ROUNDUP($G55/CMVMeta,0)+IF(ROUNDUP($G55/CMVMeta,0)-0.1&gt;=$G55/CMVMeta,-0.1,0.9))</f>
        <v>0</v>
      </c>
      <c r="K55" s="24">
        <f>IF(OR($G55="",N($D55)&lt;=0),"",$D55-$G55-$D55*ImpTaxa)</f>
        <v>0</v>
      </c>
      <c r="L55" s="24">
        <f>IF(OR($K55="",N($E55)&lt;=0),"",$K55*$E55)</f>
        <v>0</v>
      </c>
      <c r="M55" s="29">
        <f>IF(OR($A55="",N($E55)&lt;=0),"",$E55/SUM($E$5:$E$104))</f>
        <v>0</v>
      </c>
      <c r="N55" s="28">
        <f>IF(OR($M55="",$K55=""),"",IF($M55&gt;=0.7/NPratos,IF($K55&gt;=MCmed,"Estrela","Burro de carga"),IF($K55&gt;=MCmed,"Quebra-cabeça","Cão")))</f>
        <v>0</v>
      </c>
      <c r="O55" s="30">
        <f>IF($N55="","",IF($N55="Estrela","Manter e destacar no cardápio",IF($N55="Burro de carga","Subir preço ou reduzir custo",IF($N55="Quebra-cabeça","Divulgar e sugerir ao cliente","Reformular ou retirar"))))</f>
        <v>0</v>
      </c>
      <c r="P55" s="31">
        <f>IF($H55="","",$H55+ROW()/1000000000)</f>
        <v>0</v>
      </c>
    </row>
    <row r="56" spans="1:16">
      <c r="A56" s="13"/>
      <c r="B56" s="13"/>
      <c r="C56" s="16"/>
      <c r="D56" s="18"/>
      <c r="E56" s="25"/>
      <c r="F56" s="24">
        <f>IF($A56="","",SUMIFS(Fichas!$G$5:$G$804,Fichas!$A$5:$A$804,$A56))</f>
        <v>0</v>
      </c>
      <c r="G56" s="26">
        <f>IF(OR($A56="",N($F56)=0),"",$F56/IF(N($C56)&gt;0,$C56,1))</f>
        <v>0</v>
      </c>
      <c r="H56" s="27">
        <f>IF(OR($G56="",N($D56)&lt;=0),"",$G56/$D56)</f>
        <v>0</v>
      </c>
      <c r="I56" s="28">
        <f>IF($A56="","",IF($G56="","Sem ficha",IF($H56="","Sem preço",IF($H56&gt;CMVMeta,"ACIMA DA META","OK"))))</f>
        <v>0</v>
      </c>
      <c r="J56" s="24">
        <f>IF($G56="","",ROUNDUP($G56/CMVMeta,0)+IF(ROUNDUP($G56/CMVMeta,0)-0.1&gt;=$G56/CMVMeta,-0.1,0.9))</f>
        <v>0</v>
      </c>
      <c r="K56" s="24">
        <f>IF(OR($G56="",N($D56)&lt;=0),"",$D56-$G56-$D56*ImpTaxa)</f>
        <v>0</v>
      </c>
      <c r="L56" s="24">
        <f>IF(OR($K56="",N($E56)&lt;=0),"",$K56*$E56)</f>
        <v>0</v>
      </c>
      <c r="M56" s="29">
        <f>IF(OR($A56="",N($E56)&lt;=0),"",$E56/SUM($E$5:$E$104))</f>
        <v>0</v>
      </c>
      <c r="N56" s="28">
        <f>IF(OR($M56="",$K56=""),"",IF($M56&gt;=0.7/NPratos,IF($K56&gt;=MCmed,"Estrela","Burro de carga"),IF($K56&gt;=MCmed,"Quebra-cabeça","Cão")))</f>
        <v>0</v>
      </c>
      <c r="O56" s="30">
        <f>IF($N56="","",IF($N56="Estrela","Manter e destacar no cardápio",IF($N56="Burro de carga","Subir preço ou reduzir custo",IF($N56="Quebra-cabeça","Divulgar e sugerir ao cliente","Reformular ou retirar"))))</f>
        <v>0</v>
      </c>
      <c r="P56" s="31">
        <f>IF($H56="","",$H56+ROW()/1000000000)</f>
        <v>0</v>
      </c>
    </row>
    <row r="57" spans="1:16">
      <c r="A57" s="13"/>
      <c r="B57" s="13"/>
      <c r="C57" s="16"/>
      <c r="D57" s="18"/>
      <c r="E57" s="25"/>
      <c r="F57" s="24">
        <f>IF($A57="","",SUMIFS(Fichas!$G$5:$G$804,Fichas!$A$5:$A$804,$A57))</f>
        <v>0</v>
      </c>
      <c r="G57" s="26">
        <f>IF(OR($A57="",N($F57)=0),"",$F57/IF(N($C57)&gt;0,$C57,1))</f>
        <v>0</v>
      </c>
      <c r="H57" s="27">
        <f>IF(OR($G57="",N($D57)&lt;=0),"",$G57/$D57)</f>
        <v>0</v>
      </c>
      <c r="I57" s="28">
        <f>IF($A57="","",IF($G57="","Sem ficha",IF($H57="","Sem preço",IF($H57&gt;CMVMeta,"ACIMA DA META","OK"))))</f>
        <v>0</v>
      </c>
      <c r="J57" s="24">
        <f>IF($G57="","",ROUNDUP($G57/CMVMeta,0)+IF(ROUNDUP($G57/CMVMeta,0)-0.1&gt;=$G57/CMVMeta,-0.1,0.9))</f>
        <v>0</v>
      </c>
      <c r="K57" s="24">
        <f>IF(OR($G57="",N($D57)&lt;=0),"",$D57-$G57-$D57*ImpTaxa)</f>
        <v>0</v>
      </c>
      <c r="L57" s="24">
        <f>IF(OR($K57="",N($E57)&lt;=0),"",$K57*$E57)</f>
        <v>0</v>
      </c>
      <c r="M57" s="29">
        <f>IF(OR($A57="",N($E57)&lt;=0),"",$E57/SUM($E$5:$E$104))</f>
        <v>0</v>
      </c>
      <c r="N57" s="28">
        <f>IF(OR($M57="",$K57=""),"",IF($M57&gt;=0.7/NPratos,IF($K57&gt;=MCmed,"Estrela","Burro de carga"),IF($K57&gt;=MCmed,"Quebra-cabeça","Cão")))</f>
        <v>0</v>
      </c>
      <c r="O57" s="30">
        <f>IF($N57="","",IF($N57="Estrela","Manter e destacar no cardápio",IF($N57="Burro de carga","Subir preço ou reduzir custo",IF($N57="Quebra-cabeça","Divulgar e sugerir ao cliente","Reformular ou retirar"))))</f>
        <v>0</v>
      </c>
      <c r="P57" s="31">
        <f>IF($H57="","",$H57+ROW()/1000000000)</f>
        <v>0</v>
      </c>
    </row>
    <row r="58" spans="1:16">
      <c r="A58" s="13"/>
      <c r="B58" s="13"/>
      <c r="C58" s="16"/>
      <c r="D58" s="18"/>
      <c r="E58" s="25"/>
      <c r="F58" s="24">
        <f>IF($A58="","",SUMIFS(Fichas!$G$5:$G$804,Fichas!$A$5:$A$804,$A58))</f>
        <v>0</v>
      </c>
      <c r="G58" s="26">
        <f>IF(OR($A58="",N($F58)=0),"",$F58/IF(N($C58)&gt;0,$C58,1))</f>
        <v>0</v>
      </c>
      <c r="H58" s="27">
        <f>IF(OR($G58="",N($D58)&lt;=0),"",$G58/$D58)</f>
        <v>0</v>
      </c>
      <c r="I58" s="28">
        <f>IF($A58="","",IF($G58="","Sem ficha",IF($H58="","Sem preço",IF($H58&gt;CMVMeta,"ACIMA DA META","OK"))))</f>
        <v>0</v>
      </c>
      <c r="J58" s="24">
        <f>IF($G58="","",ROUNDUP($G58/CMVMeta,0)+IF(ROUNDUP($G58/CMVMeta,0)-0.1&gt;=$G58/CMVMeta,-0.1,0.9))</f>
        <v>0</v>
      </c>
      <c r="K58" s="24">
        <f>IF(OR($G58="",N($D58)&lt;=0),"",$D58-$G58-$D58*ImpTaxa)</f>
        <v>0</v>
      </c>
      <c r="L58" s="24">
        <f>IF(OR($K58="",N($E58)&lt;=0),"",$K58*$E58)</f>
        <v>0</v>
      </c>
      <c r="M58" s="29">
        <f>IF(OR($A58="",N($E58)&lt;=0),"",$E58/SUM($E$5:$E$104))</f>
        <v>0</v>
      </c>
      <c r="N58" s="28">
        <f>IF(OR($M58="",$K58=""),"",IF($M58&gt;=0.7/NPratos,IF($K58&gt;=MCmed,"Estrela","Burro de carga"),IF($K58&gt;=MCmed,"Quebra-cabeça","Cão")))</f>
        <v>0</v>
      </c>
      <c r="O58" s="30">
        <f>IF($N58="","",IF($N58="Estrela","Manter e destacar no cardápio",IF($N58="Burro de carga","Subir preço ou reduzir custo",IF($N58="Quebra-cabeça","Divulgar e sugerir ao cliente","Reformular ou retirar"))))</f>
        <v>0</v>
      </c>
      <c r="P58" s="31">
        <f>IF($H58="","",$H58+ROW()/1000000000)</f>
        <v>0</v>
      </c>
    </row>
    <row r="59" spans="1:16">
      <c r="A59" s="13"/>
      <c r="B59" s="13"/>
      <c r="C59" s="16"/>
      <c r="D59" s="18"/>
      <c r="E59" s="25"/>
      <c r="F59" s="24">
        <f>IF($A59="","",SUMIFS(Fichas!$G$5:$G$804,Fichas!$A$5:$A$804,$A59))</f>
        <v>0</v>
      </c>
      <c r="G59" s="26">
        <f>IF(OR($A59="",N($F59)=0),"",$F59/IF(N($C59)&gt;0,$C59,1))</f>
        <v>0</v>
      </c>
      <c r="H59" s="27">
        <f>IF(OR($G59="",N($D59)&lt;=0),"",$G59/$D59)</f>
        <v>0</v>
      </c>
      <c r="I59" s="28">
        <f>IF($A59="","",IF($G59="","Sem ficha",IF($H59="","Sem preço",IF($H59&gt;CMVMeta,"ACIMA DA META","OK"))))</f>
        <v>0</v>
      </c>
      <c r="J59" s="24">
        <f>IF($G59="","",ROUNDUP($G59/CMVMeta,0)+IF(ROUNDUP($G59/CMVMeta,0)-0.1&gt;=$G59/CMVMeta,-0.1,0.9))</f>
        <v>0</v>
      </c>
      <c r="K59" s="24">
        <f>IF(OR($G59="",N($D59)&lt;=0),"",$D59-$G59-$D59*ImpTaxa)</f>
        <v>0</v>
      </c>
      <c r="L59" s="24">
        <f>IF(OR($K59="",N($E59)&lt;=0),"",$K59*$E59)</f>
        <v>0</v>
      </c>
      <c r="M59" s="29">
        <f>IF(OR($A59="",N($E59)&lt;=0),"",$E59/SUM($E$5:$E$104))</f>
        <v>0</v>
      </c>
      <c r="N59" s="28">
        <f>IF(OR($M59="",$K59=""),"",IF($M59&gt;=0.7/NPratos,IF($K59&gt;=MCmed,"Estrela","Burro de carga"),IF($K59&gt;=MCmed,"Quebra-cabeça","Cão")))</f>
        <v>0</v>
      </c>
      <c r="O59" s="30">
        <f>IF($N59="","",IF($N59="Estrela","Manter e destacar no cardápio",IF($N59="Burro de carga","Subir preço ou reduzir custo",IF($N59="Quebra-cabeça","Divulgar e sugerir ao cliente","Reformular ou retirar"))))</f>
        <v>0</v>
      </c>
      <c r="P59" s="31">
        <f>IF($H59="","",$H59+ROW()/1000000000)</f>
        <v>0</v>
      </c>
    </row>
    <row r="60" spans="1:16">
      <c r="A60" s="13"/>
      <c r="B60" s="13"/>
      <c r="C60" s="16"/>
      <c r="D60" s="18"/>
      <c r="E60" s="25"/>
      <c r="F60" s="24">
        <f>IF($A60="","",SUMIFS(Fichas!$G$5:$G$804,Fichas!$A$5:$A$804,$A60))</f>
        <v>0</v>
      </c>
      <c r="G60" s="26">
        <f>IF(OR($A60="",N($F60)=0),"",$F60/IF(N($C60)&gt;0,$C60,1))</f>
        <v>0</v>
      </c>
      <c r="H60" s="27">
        <f>IF(OR($G60="",N($D60)&lt;=0),"",$G60/$D60)</f>
        <v>0</v>
      </c>
      <c r="I60" s="28">
        <f>IF($A60="","",IF($G60="","Sem ficha",IF($H60="","Sem preço",IF($H60&gt;CMVMeta,"ACIMA DA META","OK"))))</f>
        <v>0</v>
      </c>
      <c r="J60" s="24">
        <f>IF($G60="","",ROUNDUP($G60/CMVMeta,0)+IF(ROUNDUP($G60/CMVMeta,0)-0.1&gt;=$G60/CMVMeta,-0.1,0.9))</f>
        <v>0</v>
      </c>
      <c r="K60" s="24">
        <f>IF(OR($G60="",N($D60)&lt;=0),"",$D60-$G60-$D60*ImpTaxa)</f>
        <v>0</v>
      </c>
      <c r="L60" s="24">
        <f>IF(OR($K60="",N($E60)&lt;=0),"",$K60*$E60)</f>
        <v>0</v>
      </c>
      <c r="M60" s="29">
        <f>IF(OR($A60="",N($E60)&lt;=0),"",$E60/SUM($E$5:$E$104))</f>
        <v>0</v>
      </c>
      <c r="N60" s="28">
        <f>IF(OR($M60="",$K60=""),"",IF($M60&gt;=0.7/NPratos,IF($K60&gt;=MCmed,"Estrela","Burro de carga"),IF($K60&gt;=MCmed,"Quebra-cabeça","Cão")))</f>
        <v>0</v>
      </c>
      <c r="O60" s="30">
        <f>IF($N60="","",IF($N60="Estrela","Manter e destacar no cardápio",IF($N60="Burro de carga","Subir preço ou reduzir custo",IF($N60="Quebra-cabeça","Divulgar e sugerir ao cliente","Reformular ou retirar"))))</f>
        <v>0</v>
      </c>
      <c r="P60" s="31">
        <f>IF($H60="","",$H60+ROW()/1000000000)</f>
        <v>0</v>
      </c>
    </row>
    <row r="61" spans="1:16">
      <c r="A61" s="13"/>
      <c r="B61" s="13"/>
      <c r="C61" s="16"/>
      <c r="D61" s="18"/>
      <c r="E61" s="25"/>
      <c r="F61" s="24">
        <f>IF($A61="","",SUMIFS(Fichas!$G$5:$G$804,Fichas!$A$5:$A$804,$A61))</f>
        <v>0</v>
      </c>
      <c r="G61" s="26">
        <f>IF(OR($A61="",N($F61)=0),"",$F61/IF(N($C61)&gt;0,$C61,1))</f>
        <v>0</v>
      </c>
      <c r="H61" s="27">
        <f>IF(OR($G61="",N($D61)&lt;=0),"",$G61/$D61)</f>
        <v>0</v>
      </c>
      <c r="I61" s="28">
        <f>IF($A61="","",IF($G61="","Sem ficha",IF($H61="","Sem preço",IF($H61&gt;CMVMeta,"ACIMA DA META","OK"))))</f>
        <v>0</v>
      </c>
      <c r="J61" s="24">
        <f>IF($G61="","",ROUNDUP($G61/CMVMeta,0)+IF(ROUNDUP($G61/CMVMeta,0)-0.1&gt;=$G61/CMVMeta,-0.1,0.9))</f>
        <v>0</v>
      </c>
      <c r="K61" s="24">
        <f>IF(OR($G61="",N($D61)&lt;=0),"",$D61-$G61-$D61*ImpTaxa)</f>
        <v>0</v>
      </c>
      <c r="L61" s="24">
        <f>IF(OR($K61="",N($E61)&lt;=0),"",$K61*$E61)</f>
        <v>0</v>
      </c>
      <c r="M61" s="29">
        <f>IF(OR($A61="",N($E61)&lt;=0),"",$E61/SUM($E$5:$E$104))</f>
        <v>0</v>
      </c>
      <c r="N61" s="28">
        <f>IF(OR($M61="",$K61=""),"",IF($M61&gt;=0.7/NPratos,IF($K61&gt;=MCmed,"Estrela","Burro de carga"),IF($K61&gt;=MCmed,"Quebra-cabeça","Cão")))</f>
        <v>0</v>
      </c>
      <c r="O61" s="30">
        <f>IF($N61="","",IF($N61="Estrela","Manter e destacar no cardápio",IF($N61="Burro de carga","Subir preço ou reduzir custo",IF($N61="Quebra-cabeça","Divulgar e sugerir ao cliente","Reformular ou retirar"))))</f>
        <v>0</v>
      </c>
      <c r="P61" s="31">
        <f>IF($H61="","",$H61+ROW()/1000000000)</f>
        <v>0</v>
      </c>
    </row>
    <row r="62" spans="1:16">
      <c r="A62" s="13"/>
      <c r="B62" s="13"/>
      <c r="C62" s="16"/>
      <c r="D62" s="18"/>
      <c r="E62" s="25"/>
      <c r="F62" s="24">
        <f>IF($A62="","",SUMIFS(Fichas!$G$5:$G$804,Fichas!$A$5:$A$804,$A62))</f>
        <v>0</v>
      </c>
      <c r="G62" s="26">
        <f>IF(OR($A62="",N($F62)=0),"",$F62/IF(N($C62)&gt;0,$C62,1))</f>
        <v>0</v>
      </c>
      <c r="H62" s="27">
        <f>IF(OR($G62="",N($D62)&lt;=0),"",$G62/$D62)</f>
        <v>0</v>
      </c>
      <c r="I62" s="28">
        <f>IF($A62="","",IF($G62="","Sem ficha",IF($H62="","Sem preço",IF($H62&gt;CMVMeta,"ACIMA DA META","OK"))))</f>
        <v>0</v>
      </c>
      <c r="J62" s="24">
        <f>IF($G62="","",ROUNDUP($G62/CMVMeta,0)+IF(ROUNDUP($G62/CMVMeta,0)-0.1&gt;=$G62/CMVMeta,-0.1,0.9))</f>
        <v>0</v>
      </c>
      <c r="K62" s="24">
        <f>IF(OR($G62="",N($D62)&lt;=0),"",$D62-$G62-$D62*ImpTaxa)</f>
        <v>0</v>
      </c>
      <c r="L62" s="24">
        <f>IF(OR($K62="",N($E62)&lt;=0),"",$K62*$E62)</f>
        <v>0</v>
      </c>
      <c r="M62" s="29">
        <f>IF(OR($A62="",N($E62)&lt;=0),"",$E62/SUM($E$5:$E$104))</f>
        <v>0</v>
      </c>
      <c r="N62" s="28">
        <f>IF(OR($M62="",$K62=""),"",IF($M62&gt;=0.7/NPratos,IF($K62&gt;=MCmed,"Estrela","Burro de carga"),IF($K62&gt;=MCmed,"Quebra-cabeça","Cão")))</f>
        <v>0</v>
      </c>
      <c r="O62" s="30">
        <f>IF($N62="","",IF($N62="Estrela","Manter e destacar no cardápio",IF($N62="Burro de carga","Subir preço ou reduzir custo",IF($N62="Quebra-cabeça","Divulgar e sugerir ao cliente","Reformular ou retirar"))))</f>
        <v>0</v>
      </c>
      <c r="P62" s="31">
        <f>IF($H62="","",$H62+ROW()/1000000000)</f>
        <v>0</v>
      </c>
    </row>
    <row r="63" spans="1:16">
      <c r="A63" s="13"/>
      <c r="B63" s="13"/>
      <c r="C63" s="16"/>
      <c r="D63" s="18"/>
      <c r="E63" s="25"/>
      <c r="F63" s="24">
        <f>IF($A63="","",SUMIFS(Fichas!$G$5:$G$804,Fichas!$A$5:$A$804,$A63))</f>
        <v>0</v>
      </c>
      <c r="G63" s="26">
        <f>IF(OR($A63="",N($F63)=0),"",$F63/IF(N($C63)&gt;0,$C63,1))</f>
        <v>0</v>
      </c>
      <c r="H63" s="27">
        <f>IF(OR($G63="",N($D63)&lt;=0),"",$G63/$D63)</f>
        <v>0</v>
      </c>
      <c r="I63" s="28">
        <f>IF($A63="","",IF($G63="","Sem ficha",IF($H63="","Sem preço",IF($H63&gt;CMVMeta,"ACIMA DA META","OK"))))</f>
        <v>0</v>
      </c>
      <c r="J63" s="24">
        <f>IF($G63="","",ROUNDUP($G63/CMVMeta,0)+IF(ROUNDUP($G63/CMVMeta,0)-0.1&gt;=$G63/CMVMeta,-0.1,0.9))</f>
        <v>0</v>
      </c>
      <c r="K63" s="24">
        <f>IF(OR($G63="",N($D63)&lt;=0),"",$D63-$G63-$D63*ImpTaxa)</f>
        <v>0</v>
      </c>
      <c r="L63" s="24">
        <f>IF(OR($K63="",N($E63)&lt;=0),"",$K63*$E63)</f>
        <v>0</v>
      </c>
      <c r="M63" s="29">
        <f>IF(OR($A63="",N($E63)&lt;=0),"",$E63/SUM($E$5:$E$104))</f>
        <v>0</v>
      </c>
      <c r="N63" s="28">
        <f>IF(OR($M63="",$K63=""),"",IF($M63&gt;=0.7/NPratos,IF($K63&gt;=MCmed,"Estrela","Burro de carga"),IF($K63&gt;=MCmed,"Quebra-cabeça","Cão")))</f>
        <v>0</v>
      </c>
      <c r="O63" s="30">
        <f>IF($N63="","",IF($N63="Estrela","Manter e destacar no cardápio",IF($N63="Burro de carga","Subir preço ou reduzir custo",IF($N63="Quebra-cabeça","Divulgar e sugerir ao cliente","Reformular ou retirar"))))</f>
        <v>0</v>
      </c>
      <c r="P63" s="31">
        <f>IF($H63="","",$H63+ROW()/1000000000)</f>
        <v>0</v>
      </c>
    </row>
    <row r="64" spans="1:16">
      <c r="A64" s="13"/>
      <c r="B64" s="13"/>
      <c r="C64" s="16"/>
      <c r="D64" s="18"/>
      <c r="E64" s="25"/>
      <c r="F64" s="24">
        <f>IF($A64="","",SUMIFS(Fichas!$G$5:$G$804,Fichas!$A$5:$A$804,$A64))</f>
        <v>0</v>
      </c>
      <c r="G64" s="26">
        <f>IF(OR($A64="",N($F64)=0),"",$F64/IF(N($C64)&gt;0,$C64,1))</f>
        <v>0</v>
      </c>
      <c r="H64" s="27">
        <f>IF(OR($G64="",N($D64)&lt;=0),"",$G64/$D64)</f>
        <v>0</v>
      </c>
      <c r="I64" s="28">
        <f>IF($A64="","",IF($G64="","Sem ficha",IF($H64="","Sem preço",IF($H64&gt;CMVMeta,"ACIMA DA META","OK"))))</f>
        <v>0</v>
      </c>
      <c r="J64" s="24">
        <f>IF($G64="","",ROUNDUP($G64/CMVMeta,0)+IF(ROUNDUP($G64/CMVMeta,0)-0.1&gt;=$G64/CMVMeta,-0.1,0.9))</f>
        <v>0</v>
      </c>
      <c r="K64" s="24">
        <f>IF(OR($G64="",N($D64)&lt;=0),"",$D64-$G64-$D64*ImpTaxa)</f>
        <v>0</v>
      </c>
      <c r="L64" s="24">
        <f>IF(OR($K64="",N($E64)&lt;=0),"",$K64*$E64)</f>
        <v>0</v>
      </c>
      <c r="M64" s="29">
        <f>IF(OR($A64="",N($E64)&lt;=0),"",$E64/SUM($E$5:$E$104))</f>
        <v>0</v>
      </c>
      <c r="N64" s="28">
        <f>IF(OR($M64="",$K64=""),"",IF($M64&gt;=0.7/NPratos,IF($K64&gt;=MCmed,"Estrela","Burro de carga"),IF($K64&gt;=MCmed,"Quebra-cabeça","Cão")))</f>
        <v>0</v>
      </c>
      <c r="O64" s="30">
        <f>IF($N64="","",IF($N64="Estrela","Manter e destacar no cardápio",IF($N64="Burro de carga","Subir preço ou reduzir custo",IF($N64="Quebra-cabeça","Divulgar e sugerir ao cliente","Reformular ou retirar"))))</f>
        <v>0</v>
      </c>
      <c r="P64" s="31">
        <f>IF($H64="","",$H64+ROW()/1000000000)</f>
        <v>0</v>
      </c>
    </row>
    <row r="65" spans="1:16">
      <c r="A65" s="13"/>
      <c r="B65" s="13"/>
      <c r="C65" s="16"/>
      <c r="D65" s="18"/>
      <c r="E65" s="25"/>
      <c r="F65" s="24">
        <f>IF($A65="","",SUMIFS(Fichas!$G$5:$G$804,Fichas!$A$5:$A$804,$A65))</f>
        <v>0</v>
      </c>
      <c r="G65" s="26">
        <f>IF(OR($A65="",N($F65)=0),"",$F65/IF(N($C65)&gt;0,$C65,1))</f>
        <v>0</v>
      </c>
      <c r="H65" s="27">
        <f>IF(OR($G65="",N($D65)&lt;=0),"",$G65/$D65)</f>
        <v>0</v>
      </c>
      <c r="I65" s="28">
        <f>IF($A65="","",IF($G65="","Sem ficha",IF($H65="","Sem preço",IF($H65&gt;CMVMeta,"ACIMA DA META","OK"))))</f>
        <v>0</v>
      </c>
      <c r="J65" s="24">
        <f>IF($G65="","",ROUNDUP($G65/CMVMeta,0)+IF(ROUNDUP($G65/CMVMeta,0)-0.1&gt;=$G65/CMVMeta,-0.1,0.9))</f>
        <v>0</v>
      </c>
      <c r="K65" s="24">
        <f>IF(OR($G65="",N($D65)&lt;=0),"",$D65-$G65-$D65*ImpTaxa)</f>
        <v>0</v>
      </c>
      <c r="L65" s="24">
        <f>IF(OR($K65="",N($E65)&lt;=0),"",$K65*$E65)</f>
        <v>0</v>
      </c>
      <c r="M65" s="29">
        <f>IF(OR($A65="",N($E65)&lt;=0),"",$E65/SUM($E$5:$E$104))</f>
        <v>0</v>
      </c>
      <c r="N65" s="28">
        <f>IF(OR($M65="",$K65=""),"",IF($M65&gt;=0.7/NPratos,IF($K65&gt;=MCmed,"Estrela","Burro de carga"),IF($K65&gt;=MCmed,"Quebra-cabeça","Cão")))</f>
        <v>0</v>
      </c>
      <c r="O65" s="30">
        <f>IF($N65="","",IF($N65="Estrela","Manter e destacar no cardápio",IF($N65="Burro de carga","Subir preço ou reduzir custo",IF($N65="Quebra-cabeça","Divulgar e sugerir ao cliente","Reformular ou retirar"))))</f>
        <v>0</v>
      </c>
      <c r="P65" s="31">
        <f>IF($H65="","",$H65+ROW()/1000000000)</f>
        <v>0</v>
      </c>
    </row>
    <row r="66" spans="1:16">
      <c r="A66" s="13"/>
      <c r="B66" s="13"/>
      <c r="C66" s="16"/>
      <c r="D66" s="18"/>
      <c r="E66" s="25"/>
      <c r="F66" s="24">
        <f>IF($A66="","",SUMIFS(Fichas!$G$5:$G$804,Fichas!$A$5:$A$804,$A66))</f>
        <v>0</v>
      </c>
      <c r="G66" s="26">
        <f>IF(OR($A66="",N($F66)=0),"",$F66/IF(N($C66)&gt;0,$C66,1))</f>
        <v>0</v>
      </c>
      <c r="H66" s="27">
        <f>IF(OR($G66="",N($D66)&lt;=0),"",$G66/$D66)</f>
        <v>0</v>
      </c>
      <c r="I66" s="28">
        <f>IF($A66="","",IF($G66="","Sem ficha",IF($H66="","Sem preço",IF($H66&gt;CMVMeta,"ACIMA DA META","OK"))))</f>
        <v>0</v>
      </c>
      <c r="J66" s="24">
        <f>IF($G66="","",ROUNDUP($G66/CMVMeta,0)+IF(ROUNDUP($G66/CMVMeta,0)-0.1&gt;=$G66/CMVMeta,-0.1,0.9))</f>
        <v>0</v>
      </c>
      <c r="K66" s="24">
        <f>IF(OR($G66="",N($D66)&lt;=0),"",$D66-$G66-$D66*ImpTaxa)</f>
        <v>0</v>
      </c>
      <c r="L66" s="24">
        <f>IF(OR($K66="",N($E66)&lt;=0),"",$K66*$E66)</f>
        <v>0</v>
      </c>
      <c r="M66" s="29">
        <f>IF(OR($A66="",N($E66)&lt;=0),"",$E66/SUM($E$5:$E$104))</f>
        <v>0</v>
      </c>
      <c r="N66" s="28">
        <f>IF(OR($M66="",$K66=""),"",IF($M66&gt;=0.7/NPratos,IF($K66&gt;=MCmed,"Estrela","Burro de carga"),IF($K66&gt;=MCmed,"Quebra-cabeça","Cão")))</f>
        <v>0</v>
      </c>
      <c r="O66" s="30">
        <f>IF($N66="","",IF($N66="Estrela","Manter e destacar no cardápio",IF($N66="Burro de carga","Subir preço ou reduzir custo",IF($N66="Quebra-cabeça","Divulgar e sugerir ao cliente","Reformular ou retirar"))))</f>
        <v>0</v>
      </c>
      <c r="P66" s="31">
        <f>IF($H66="","",$H66+ROW()/1000000000)</f>
        <v>0</v>
      </c>
    </row>
    <row r="67" spans="1:16">
      <c r="A67" s="13"/>
      <c r="B67" s="13"/>
      <c r="C67" s="16"/>
      <c r="D67" s="18"/>
      <c r="E67" s="25"/>
      <c r="F67" s="24">
        <f>IF($A67="","",SUMIFS(Fichas!$G$5:$G$804,Fichas!$A$5:$A$804,$A67))</f>
        <v>0</v>
      </c>
      <c r="G67" s="26">
        <f>IF(OR($A67="",N($F67)=0),"",$F67/IF(N($C67)&gt;0,$C67,1))</f>
        <v>0</v>
      </c>
      <c r="H67" s="27">
        <f>IF(OR($G67="",N($D67)&lt;=0),"",$G67/$D67)</f>
        <v>0</v>
      </c>
      <c r="I67" s="28">
        <f>IF($A67="","",IF($G67="","Sem ficha",IF($H67="","Sem preço",IF($H67&gt;CMVMeta,"ACIMA DA META","OK"))))</f>
        <v>0</v>
      </c>
      <c r="J67" s="24">
        <f>IF($G67="","",ROUNDUP($G67/CMVMeta,0)+IF(ROUNDUP($G67/CMVMeta,0)-0.1&gt;=$G67/CMVMeta,-0.1,0.9))</f>
        <v>0</v>
      </c>
      <c r="K67" s="24">
        <f>IF(OR($G67="",N($D67)&lt;=0),"",$D67-$G67-$D67*ImpTaxa)</f>
        <v>0</v>
      </c>
      <c r="L67" s="24">
        <f>IF(OR($K67="",N($E67)&lt;=0),"",$K67*$E67)</f>
        <v>0</v>
      </c>
      <c r="M67" s="29">
        <f>IF(OR($A67="",N($E67)&lt;=0),"",$E67/SUM($E$5:$E$104))</f>
        <v>0</v>
      </c>
      <c r="N67" s="28">
        <f>IF(OR($M67="",$K67=""),"",IF($M67&gt;=0.7/NPratos,IF($K67&gt;=MCmed,"Estrela","Burro de carga"),IF($K67&gt;=MCmed,"Quebra-cabeça","Cão")))</f>
        <v>0</v>
      </c>
      <c r="O67" s="30">
        <f>IF($N67="","",IF($N67="Estrela","Manter e destacar no cardápio",IF($N67="Burro de carga","Subir preço ou reduzir custo",IF($N67="Quebra-cabeça","Divulgar e sugerir ao cliente","Reformular ou retirar"))))</f>
        <v>0</v>
      </c>
      <c r="P67" s="31">
        <f>IF($H67="","",$H67+ROW()/1000000000)</f>
        <v>0</v>
      </c>
    </row>
    <row r="68" spans="1:16">
      <c r="A68" s="13"/>
      <c r="B68" s="13"/>
      <c r="C68" s="16"/>
      <c r="D68" s="18"/>
      <c r="E68" s="25"/>
      <c r="F68" s="24">
        <f>IF($A68="","",SUMIFS(Fichas!$G$5:$G$804,Fichas!$A$5:$A$804,$A68))</f>
        <v>0</v>
      </c>
      <c r="G68" s="26">
        <f>IF(OR($A68="",N($F68)=0),"",$F68/IF(N($C68)&gt;0,$C68,1))</f>
        <v>0</v>
      </c>
      <c r="H68" s="27">
        <f>IF(OR($G68="",N($D68)&lt;=0),"",$G68/$D68)</f>
        <v>0</v>
      </c>
      <c r="I68" s="28">
        <f>IF($A68="","",IF($G68="","Sem ficha",IF($H68="","Sem preço",IF($H68&gt;CMVMeta,"ACIMA DA META","OK"))))</f>
        <v>0</v>
      </c>
      <c r="J68" s="24">
        <f>IF($G68="","",ROUNDUP($G68/CMVMeta,0)+IF(ROUNDUP($G68/CMVMeta,0)-0.1&gt;=$G68/CMVMeta,-0.1,0.9))</f>
        <v>0</v>
      </c>
      <c r="K68" s="24">
        <f>IF(OR($G68="",N($D68)&lt;=0),"",$D68-$G68-$D68*ImpTaxa)</f>
        <v>0</v>
      </c>
      <c r="L68" s="24">
        <f>IF(OR($K68="",N($E68)&lt;=0),"",$K68*$E68)</f>
        <v>0</v>
      </c>
      <c r="M68" s="29">
        <f>IF(OR($A68="",N($E68)&lt;=0),"",$E68/SUM($E$5:$E$104))</f>
        <v>0</v>
      </c>
      <c r="N68" s="28">
        <f>IF(OR($M68="",$K68=""),"",IF($M68&gt;=0.7/NPratos,IF($K68&gt;=MCmed,"Estrela","Burro de carga"),IF($K68&gt;=MCmed,"Quebra-cabeça","Cão")))</f>
        <v>0</v>
      </c>
      <c r="O68" s="30">
        <f>IF($N68="","",IF($N68="Estrela","Manter e destacar no cardápio",IF($N68="Burro de carga","Subir preço ou reduzir custo",IF($N68="Quebra-cabeça","Divulgar e sugerir ao cliente","Reformular ou retirar"))))</f>
        <v>0</v>
      </c>
      <c r="P68" s="31">
        <f>IF($H68="","",$H68+ROW()/1000000000)</f>
        <v>0</v>
      </c>
    </row>
    <row r="69" spans="1:16">
      <c r="A69" s="13"/>
      <c r="B69" s="13"/>
      <c r="C69" s="16"/>
      <c r="D69" s="18"/>
      <c r="E69" s="25"/>
      <c r="F69" s="24">
        <f>IF($A69="","",SUMIFS(Fichas!$G$5:$G$804,Fichas!$A$5:$A$804,$A69))</f>
        <v>0</v>
      </c>
      <c r="G69" s="26">
        <f>IF(OR($A69="",N($F69)=0),"",$F69/IF(N($C69)&gt;0,$C69,1))</f>
        <v>0</v>
      </c>
      <c r="H69" s="27">
        <f>IF(OR($G69="",N($D69)&lt;=0),"",$G69/$D69)</f>
        <v>0</v>
      </c>
      <c r="I69" s="28">
        <f>IF($A69="","",IF($G69="","Sem ficha",IF($H69="","Sem preço",IF($H69&gt;CMVMeta,"ACIMA DA META","OK"))))</f>
        <v>0</v>
      </c>
      <c r="J69" s="24">
        <f>IF($G69="","",ROUNDUP($G69/CMVMeta,0)+IF(ROUNDUP($G69/CMVMeta,0)-0.1&gt;=$G69/CMVMeta,-0.1,0.9))</f>
        <v>0</v>
      </c>
      <c r="K69" s="24">
        <f>IF(OR($G69="",N($D69)&lt;=0),"",$D69-$G69-$D69*ImpTaxa)</f>
        <v>0</v>
      </c>
      <c r="L69" s="24">
        <f>IF(OR($K69="",N($E69)&lt;=0),"",$K69*$E69)</f>
        <v>0</v>
      </c>
      <c r="M69" s="29">
        <f>IF(OR($A69="",N($E69)&lt;=0),"",$E69/SUM($E$5:$E$104))</f>
        <v>0</v>
      </c>
      <c r="N69" s="28">
        <f>IF(OR($M69="",$K69=""),"",IF($M69&gt;=0.7/NPratos,IF($K69&gt;=MCmed,"Estrela","Burro de carga"),IF($K69&gt;=MCmed,"Quebra-cabeça","Cão")))</f>
        <v>0</v>
      </c>
      <c r="O69" s="30">
        <f>IF($N69="","",IF($N69="Estrela","Manter e destacar no cardápio",IF($N69="Burro de carga","Subir preço ou reduzir custo",IF($N69="Quebra-cabeça","Divulgar e sugerir ao cliente","Reformular ou retirar"))))</f>
        <v>0</v>
      </c>
      <c r="P69" s="31">
        <f>IF($H69="","",$H69+ROW()/1000000000)</f>
        <v>0</v>
      </c>
    </row>
    <row r="70" spans="1:16">
      <c r="A70" s="13"/>
      <c r="B70" s="13"/>
      <c r="C70" s="16"/>
      <c r="D70" s="18"/>
      <c r="E70" s="25"/>
      <c r="F70" s="24">
        <f>IF($A70="","",SUMIFS(Fichas!$G$5:$G$804,Fichas!$A$5:$A$804,$A70))</f>
        <v>0</v>
      </c>
      <c r="G70" s="26">
        <f>IF(OR($A70="",N($F70)=0),"",$F70/IF(N($C70)&gt;0,$C70,1))</f>
        <v>0</v>
      </c>
      <c r="H70" s="27">
        <f>IF(OR($G70="",N($D70)&lt;=0),"",$G70/$D70)</f>
        <v>0</v>
      </c>
      <c r="I70" s="28">
        <f>IF($A70="","",IF($G70="","Sem ficha",IF($H70="","Sem preço",IF($H70&gt;CMVMeta,"ACIMA DA META","OK"))))</f>
        <v>0</v>
      </c>
      <c r="J70" s="24">
        <f>IF($G70="","",ROUNDUP($G70/CMVMeta,0)+IF(ROUNDUP($G70/CMVMeta,0)-0.1&gt;=$G70/CMVMeta,-0.1,0.9))</f>
        <v>0</v>
      </c>
      <c r="K70" s="24">
        <f>IF(OR($G70="",N($D70)&lt;=0),"",$D70-$G70-$D70*ImpTaxa)</f>
        <v>0</v>
      </c>
      <c r="L70" s="24">
        <f>IF(OR($K70="",N($E70)&lt;=0),"",$K70*$E70)</f>
        <v>0</v>
      </c>
      <c r="M70" s="29">
        <f>IF(OR($A70="",N($E70)&lt;=0),"",$E70/SUM($E$5:$E$104))</f>
        <v>0</v>
      </c>
      <c r="N70" s="28">
        <f>IF(OR($M70="",$K70=""),"",IF($M70&gt;=0.7/NPratos,IF($K70&gt;=MCmed,"Estrela","Burro de carga"),IF($K70&gt;=MCmed,"Quebra-cabeça","Cão")))</f>
        <v>0</v>
      </c>
      <c r="O70" s="30">
        <f>IF($N70="","",IF($N70="Estrela","Manter e destacar no cardápio",IF($N70="Burro de carga","Subir preço ou reduzir custo",IF($N70="Quebra-cabeça","Divulgar e sugerir ao cliente","Reformular ou retirar"))))</f>
        <v>0</v>
      </c>
      <c r="P70" s="31">
        <f>IF($H70="","",$H70+ROW()/1000000000)</f>
        <v>0</v>
      </c>
    </row>
    <row r="71" spans="1:16">
      <c r="A71" s="13"/>
      <c r="B71" s="13"/>
      <c r="C71" s="16"/>
      <c r="D71" s="18"/>
      <c r="E71" s="25"/>
      <c r="F71" s="24">
        <f>IF($A71="","",SUMIFS(Fichas!$G$5:$G$804,Fichas!$A$5:$A$804,$A71))</f>
        <v>0</v>
      </c>
      <c r="G71" s="26">
        <f>IF(OR($A71="",N($F71)=0),"",$F71/IF(N($C71)&gt;0,$C71,1))</f>
        <v>0</v>
      </c>
      <c r="H71" s="27">
        <f>IF(OR($G71="",N($D71)&lt;=0),"",$G71/$D71)</f>
        <v>0</v>
      </c>
      <c r="I71" s="28">
        <f>IF($A71="","",IF($G71="","Sem ficha",IF($H71="","Sem preço",IF($H71&gt;CMVMeta,"ACIMA DA META","OK"))))</f>
        <v>0</v>
      </c>
      <c r="J71" s="24">
        <f>IF($G71="","",ROUNDUP($G71/CMVMeta,0)+IF(ROUNDUP($G71/CMVMeta,0)-0.1&gt;=$G71/CMVMeta,-0.1,0.9))</f>
        <v>0</v>
      </c>
      <c r="K71" s="24">
        <f>IF(OR($G71="",N($D71)&lt;=0),"",$D71-$G71-$D71*ImpTaxa)</f>
        <v>0</v>
      </c>
      <c r="L71" s="24">
        <f>IF(OR($K71="",N($E71)&lt;=0),"",$K71*$E71)</f>
        <v>0</v>
      </c>
      <c r="M71" s="29">
        <f>IF(OR($A71="",N($E71)&lt;=0),"",$E71/SUM($E$5:$E$104))</f>
        <v>0</v>
      </c>
      <c r="N71" s="28">
        <f>IF(OR($M71="",$K71=""),"",IF($M71&gt;=0.7/NPratos,IF($K71&gt;=MCmed,"Estrela","Burro de carga"),IF($K71&gt;=MCmed,"Quebra-cabeça","Cão")))</f>
        <v>0</v>
      </c>
      <c r="O71" s="30">
        <f>IF($N71="","",IF($N71="Estrela","Manter e destacar no cardápio",IF($N71="Burro de carga","Subir preço ou reduzir custo",IF($N71="Quebra-cabeça","Divulgar e sugerir ao cliente","Reformular ou retirar"))))</f>
        <v>0</v>
      </c>
      <c r="P71" s="31">
        <f>IF($H71="","",$H71+ROW()/1000000000)</f>
        <v>0</v>
      </c>
    </row>
    <row r="72" spans="1:16">
      <c r="A72" s="13"/>
      <c r="B72" s="13"/>
      <c r="C72" s="16"/>
      <c r="D72" s="18"/>
      <c r="E72" s="25"/>
      <c r="F72" s="24">
        <f>IF($A72="","",SUMIFS(Fichas!$G$5:$G$804,Fichas!$A$5:$A$804,$A72))</f>
        <v>0</v>
      </c>
      <c r="G72" s="26">
        <f>IF(OR($A72="",N($F72)=0),"",$F72/IF(N($C72)&gt;0,$C72,1))</f>
        <v>0</v>
      </c>
      <c r="H72" s="27">
        <f>IF(OR($G72="",N($D72)&lt;=0),"",$G72/$D72)</f>
        <v>0</v>
      </c>
      <c r="I72" s="28">
        <f>IF($A72="","",IF($G72="","Sem ficha",IF($H72="","Sem preço",IF($H72&gt;CMVMeta,"ACIMA DA META","OK"))))</f>
        <v>0</v>
      </c>
      <c r="J72" s="24">
        <f>IF($G72="","",ROUNDUP($G72/CMVMeta,0)+IF(ROUNDUP($G72/CMVMeta,0)-0.1&gt;=$G72/CMVMeta,-0.1,0.9))</f>
        <v>0</v>
      </c>
      <c r="K72" s="24">
        <f>IF(OR($G72="",N($D72)&lt;=0),"",$D72-$G72-$D72*ImpTaxa)</f>
        <v>0</v>
      </c>
      <c r="L72" s="24">
        <f>IF(OR($K72="",N($E72)&lt;=0),"",$K72*$E72)</f>
        <v>0</v>
      </c>
      <c r="M72" s="29">
        <f>IF(OR($A72="",N($E72)&lt;=0),"",$E72/SUM($E$5:$E$104))</f>
        <v>0</v>
      </c>
      <c r="N72" s="28">
        <f>IF(OR($M72="",$K72=""),"",IF($M72&gt;=0.7/NPratos,IF($K72&gt;=MCmed,"Estrela","Burro de carga"),IF($K72&gt;=MCmed,"Quebra-cabeça","Cão")))</f>
        <v>0</v>
      </c>
      <c r="O72" s="30">
        <f>IF($N72="","",IF($N72="Estrela","Manter e destacar no cardápio",IF($N72="Burro de carga","Subir preço ou reduzir custo",IF($N72="Quebra-cabeça","Divulgar e sugerir ao cliente","Reformular ou retirar"))))</f>
        <v>0</v>
      </c>
      <c r="P72" s="31">
        <f>IF($H72="","",$H72+ROW()/1000000000)</f>
        <v>0</v>
      </c>
    </row>
    <row r="73" spans="1:16">
      <c r="A73" s="13"/>
      <c r="B73" s="13"/>
      <c r="C73" s="16"/>
      <c r="D73" s="18"/>
      <c r="E73" s="25"/>
      <c r="F73" s="24">
        <f>IF($A73="","",SUMIFS(Fichas!$G$5:$G$804,Fichas!$A$5:$A$804,$A73))</f>
        <v>0</v>
      </c>
      <c r="G73" s="26">
        <f>IF(OR($A73="",N($F73)=0),"",$F73/IF(N($C73)&gt;0,$C73,1))</f>
        <v>0</v>
      </c>
      <c r="H73" s="27">
        <f>IF(OR($G73="",N($D73)&lt;=0),"",$G73/$D73)</f>
        <v>0</v>
      </c>
      <c r="I73" s="28">
        <f>IF($A73="","",IF($G73="","Sem ficha",IF($H73="","Sem preço",IF($H73&gt;CMVMeta,"ACIMA DA META","OK"))))</f>
        <v>0</v>
      </c>
      <c r="J73" s="24">
        <f>IF($G73="","",ROUNDUP($G73/CMVMeta,0)+IF(ROUNDUP($G73/CMVMeta,0)-0.1&gt;=$G73/CMVMeta,-0.1,0.9))</f>
        <v>0</v>
      </c>
      <c r="K73" s="24">
        <f>IF(OR($G73="",N($D73)&lt;=0),"",$D73-$G73-$D73*ImpTaxa)</f>
        <v>0</v>
      </c>
      <c r="L73" s="24">
        <f>IF(OR($K73="",N($E73)&lt;=0),"",$K73*$E73)</f>
        <v>0</v>
      </c>
      <c r="M73" s="29">
        <f>IF(OR($A73="",N($E73)&lt;=0),"",$E73/SUM($E$5:$E$104))</f>
        <v>0</v>
      </c>
      <c r="N73" s="28">
        <f>IF(OR($M73="",$K73=""),"",IF($M73&gt;=0.7/NPratos,IF($K73&gt;=MCmed,"Estrela","Burro de carga"),IF($K73&gt;=MCmed,"Quebra-cabeça","Cão")))</f>
        <v>0</v>
      </c>
      <c r="O73" s="30">
        <f>IF($N73="","",IF($N73="Estrela","Manter e destacar no cardápio",IF($N73="Burro de carga","Subir preço ou reduzir custo",IF($N73="Quebra-cabeça","Divulgar e sugerir ao cliente","Reformular ou retirar"))))</f>
        <v>0</v>
      </c>
      <c r="P73" s="31">
        <f>IF($H73="","",$H73+ROW()/1000000000)</f>
        <v>0</v>
      </c>
    </row>
    <row r="74" spans="1:16">
      <c r="A74" s="13"/>
      <c r="B74" s="13"/>
      <c r="C74" s="16"/>
      <c r="D74" s="18"/>
      <c r="E74" s="25"/>
      <c r="F74" s="24">
        <f>IF($A74="","",SUMIFS(Fichas!$G$5:$G$804,Fichas!$A$5:$A$804,$A74))</f>
        <v>0</v>
      </c>
      <c r="G74" s="26">
        <f>IF(OR($A74="",N($F74)=0),"",$F74/IF(N($C74)&gt;0,$C74,1))</f>
        <v>0</v>
      </c>
      <c r="H74" s="27">
        <f>IF(OR($G74="",N($D74)&lt;=0),"",$G74/$D74)</f>
        <v>0</v>
      </c>
      <c r="I74" s="28">
        <f>IF($A74="","",IF($G74="","Sem ficha",IF($H74="","Sem preço",IF($H74&gt;CMVMeta,"ACIMA DA META","OK"))))</f>
        <v>0</v>
      </c>
      <c r="J74" s="24">
        <f>IF($G74="","",ROUNDUP($G74/CMVMeta,0)+IF(ROUNDUP($G74/CMVMeta,0)-0.1&gt;=$G74/CMVMeta,-0.1,0.9))</f>
        <v>0</v>
      </c>
      <c r="K74" s="24">
        <f>IF(OR($G74="",N($D74)&lt;=0),"",$D74-$G74-$D74*ImpTaxa)</f>
        <v>0</v>
      </c>
      <c r="L74" s="24">
        <f>IF(OR($K74="",N($E74)&lt;=0),"",$K74*$E74)</f>
        <v>0</v>
      </c>
      <c r="M74" s="29">
        <f>IF(OR($A74="",N($E74)&lt;=0),"",$E74/SUM($E$5:$E$104))</f>
        <v>0</v>
      </c>
      <c r="N74" s="28">
        <f>IF(OR($M74="",$K74=""),"",IF($M74&gt;=0.7/NPratos,IF($K74&gt;=MCmed,"Estrela","Burro de carga"),IF($K74&gt;=MCmed,"Quebra-cabeça","Cão")))</f>
        <v>0</v>
      </c>
      <c r="O74" s="30">
        <f>IF($N74="","",IF($N74="Estrela","Manter e destacar no cardápio",IF($N74="Burro de carga","Subir preço ou reduzir custo",IF($N74="Quebra-cabeça","Divulgar e sugerir ao cliente","Reformular ou retirar"))))</f>
        <v>0</v>
      </c>
      <c r="P74" s="31">
        <f>IF($H74="","",$H74+ROW()/1000000000)</f>
        <v>0</v>
      </c>
    </row>
    <row r="75" spans="1:16">
      <c r="A75" s="13"/>
      <c r="B75" s="13"/>
      <c r="C75" s="16"/>
      <c r="D75" s="18"/>
      <c r="E75" s="25"/>
      <c r="F75" s="24">
        <f>IF($A75="","",SUMIFS(Fichas!$G$5:$G$804,Fichas!$A$5:$A$804,$A75))</f>
        <v>0</v>
      </c>
      <c r="G75" s="26">
        <f>IF(OR($A75="",N($F75)=0),"",$F75/IF(N($C75)&gt;0,$C75,1))</f>
        <v>0</v>
      </c>
      <c r="H75" s="27">
        <f>IF(OR($G75="",N($D75)&lt;=0),"",$G75/$D75)</f>
        <v>0</v>
      </c>
      <c r="I75" s="28">
        <f>IF($A75="","",IF($G75="","Sem ficha",IF($H75="","Sem preço",IF($H75&gt;CMVMeta,"ACIMA DA META","OK"))))</f>
        <v>0</v>
      </c>
      <c r="J75" s="24">
        <f>IF($G75="","",ROUNDUP($G75/CMVMeta,0)+IF(ROUNDUP($G75/CMVMeta,0)-0.1&gt;=$G75/CMVMeta,-0.1,0.9))</f>
        <v>0</v>
      </c>
      <c r="K75" s="24">
        <f>IF(OR($G75="",N($D75)&lt;=0),"",$D75-$G75-$D75*ImpTaxa)</f>
        <v>0</v>
      </c>
      <c r="L75" s="24">
        <f>IF(OR($K75="",N($E75)&lt;=0),"",$K75*$E75)</f>
        <v>0</v>
      </c>
      <c r="M75" s="29">
        <f>IF(OR($A75="",N($E75)&lt;=0),"",$E75/SUM($E$5:$E$104))</f>
        <v>0</v>
      </c>
      <c r="N75" s="28">
        <f>IF(OR($M75="",$K75=""),"",IF($M75&gt;=0.7/NPratos,IF($K75&gt;=MCmed,"Estrela","Burro de carga"),IF($K75&gt;=MCmed,"Quebra-cabeça","Cão")))</f>
        <v>0</v>
      </c>
      <c r="O75" s="30">
        <f>IF($N75="","",IF($N75="Estrela","Manter e destacar no cardápio",IF($N75="Burro de carga","Subir preço ou reduzir custo",IF($N75="Quebra-cabeça","Divulgar e sugerir ao cliente","Reformular ou retirar"))))</f>
        <v>0</v>
      </c>
      <c r="P75" s="31">
        <f>IF($H75="","",$H75+ROW()/1000000000)</f>
        <v>0</v>
      </c>
    </row>
    <row r="76" spans="1:16">
      <c r="A76" s="13"/>
      <c r="B76" s="13"/>
      <c r="C76" s="16"/>
      <c r="D76" s="18"/>
      <c r="E76" s="25"/>
      <c r="F76" s="24">
        <f>IF($A76="","",SUMIFS(Fichas!$G$5:$G$804,Fichas!$A$5:$A$804,$A76))</f>
        <v>0</v>
      </c>
      <c r="G76" s="26">
        <f>IF(OR($A76="",N($F76)=0),"",$F76/IF(N($C76)&gt;0,$C76,1))</f>
        <v>0</v>
      </c>
      <c r="H76" s="27">
        <f>IF(OR($G76="",N($D76)&lt;=0),"",$G76/$D76)</f>
        <v>0</v>
      </c>
      <c r="I76" s="28">
        <f>IF($A76="","",IF($G76="","Sem ficha",IF($H76="","Sem preço",IF($H76&gt;CMVMeta,"ACIMA DA META","OK"))))</f>
        <v>0</v>
      </c>
      <c r="J76" s="24">
        <f>IF($G76="","",ROUNDUP($G76/CMVMeta,0)+IF(ROUNDUP($G76/CMVMeta,0)-0.1&gt;=$G76/CMVMeta,-0.1,0.9))</f>
        <v>0</v>
      </c>
      <c r="K76" s="24">
        <f>IF(OR($G76="",N($D76)&lt;=0),"",$D76-$G76-$D76*ImpTaxa)</f>
        <v>0</v>
      </c>
      <c r="L76" s="24">
        <f>IF(OR($K76="",N($E76)&lt;=0),"",$K76*$E76)</f>
        <v>0</v>
      </c>
      <c r="M76" s="29">
        <f>IF(OR($A76="",N($E76)&lt;=0),"",$E76/SUM($E$5:$E$104))</f>
        <v>0</v>
      </c>
      <c r="N76" s="28">
        <f>IF(OR($M76="",$K76=""),"",IF($M76&gt;=0.7/NPratos,IF($K76&gt;=MCmed,"Estrela","Burro de carga"),IF($K76&gt;=MCmed,"Quebra-cabeça","Cão")))</f>
        <v>0</v>
      </c>
      <c r="O76" s="30">
        <f>IF($N76="","",IF($N76="Estrela","Manter e destacar no cardápio",IF($N76="Burro de carga","Subir preço ou reduzir custo",IF($N76="Quebra-cabeça","Divulgar e sugerir ao cliente","Reformular ou retirar"))))</f>
        <v>0</v>
      </c>
      <c r="P76" s="31">
        <f>IF($H76="","",$H76+ROW()/1000000000)</f>
        <v>0</v>
      </c>
    </row>
    <row r="77" spans="1:16">
      <c r="A77" s="13"/>
      <c r="B77" s="13"/>
      <c r="C77" s="16"/>
      <c r="D77" s="18"/>
      <c r="E77" s="25"/>
      <c r="F77" s="24">
        <f>IF($A77="","",SUMIFS(Fichas!$G$5:$G$804,Fichas!$A$5:$A$804,$A77))</f>
        <v>0</v>
      </c>
      <c r="G77" s="26">
        <f>IF(OR($A77="",N($F77)=0),"",$F77/IF(N($C77)&gt;0,$C77,1))</f>
        <v>0</v>
      </c>
      <c r="H77" s="27">
        <f>IF(OR($G77="",N($D77)&lt;=0),"",$G77/$D77)</f>
        <v>0</v>
      </c>
      <c r="I77" s="28">
        <f>IF($A77="","",IF($G77="","Sem ficha",IF($H77="","Sem preço",IF($H77&gt;CMVMeta,"ACIMA DA META","OK"))))</f>
        <v>0</v>
      </c>
      <c r="J77" s="24">
        <f>IF($G77="","",ROUNDUP($G77/CMVMeta,0)+IF(ROUNDUP($G77/CMVMeta,0)-0.1&gt;=$G77/CMVMeta,-0.1,0.9))</f>
        <v>0</v>
      </c>
      <c r="K77" s="24">
        <f>IF(OR($G77="",N($D77)&lt;=0),"",$D77-$G77-$D77*ImpTaxa)</f>
        <v>0</v>
      </c>
      <c r="L77" s="24">
        <f>IF(OR($K77="",N($E77)&lt;=0),"",$K77*$E77)</f>
        <v>0</v>
      </c>
      <c r="M77" s="29">
        <f>IF(OR($A77="",N($E77)&lt;=0),"",$E77/SUM($E$5:$E$104))</f>
        <v>0</v>
      </c>
      <c r="N77" s="28">
        <f>IF(OR($M77="",$K77=""),"",IF($M77&gt;=0.7/NPratos,IF($K77&gt;=MCmed,"Estrela","Burro de carga"),IF($K77&gt;=MCmed,"Quebra-cabeça","Cão")))</f>
        <v>0</v>
      </c>
      <c r="O77" s="30">
        <f>IF($N77="","",IF($N77="Estrela","Manter e destacar no cardápio",IF($N77="Burro de carga","Subir preço ou reduzir custo",IF($N77="Quebra-cabeça","Divulgar e sugerir ao cliente","Reformular ou retirar"))))</f>
        <v>0</v>
      </c>
      <c r="P77" s="31">
        <f>IF($H77="","",$H77+ROW()/1000000000)</f>
        <v>0</v>
      </c>
    </row>
    <row r="78" spans="1:16">
      <c r="A78" s="13"/>
      <c r="B78" s="13"/>
      <c r="C78" s="16"/>
      <c r="D78" s="18"/>
      <c r="E78" s="25"/>
      <c r="F78" s="24">
        <f>IF($A78="","",SUMIFS(Fichas!$G$5:$G$804,Fichas!$A$5:$A$804,$A78))</f>
        <v>0</v>
      </c>
      <c r="G78" s="26">
        <f>IF(OR($A78="",N($F78)=0),"",$F78/IF(N($C78)&gt;0,$C78,1))</f>
        <v>0</v>
      </c>
      <c r="H78" s="27">
        <f>IF(OR($G78="",N($D78)&lt;=0),"",$G78/$D78)</f>
        <v>0</v>
      </c>
      <c r="I78" s="28">
        <f>IF($A78="","",IF($G78="","Sem ficha",IF($H78="","Sem preço",IF($H78&gt;CMVMeta,"ACIMA DA META","OK"))))</f>
        <v>0</v>
      </c>
      <c r="J78" s="24">
        <f>IF($G78="","",ROUNDUP($G78/CMVMeta,0)+IF(ROUNDUP($G78/CMVMeta,0)-0.1&gt;=$G78/CMVMeta,-0.1,0.9))</f>
        <v>0</v>
      </c>
      <c r="K78" s="24">
        <f>IF(OR($G78="",N($D78)&lt;=0),"",$D78-$G78-$D78*ImpTaxa)</f>
        <v>0</v>
      </c>
      <c r="L78" s="24">
        <f>IF(OR($K78="",N($E78)&lt;=0),"",$K78*$E78)</f>
        <v>0</v>
      </c>
      <c r="M78" s="29">
        <f>IF(OR($A78="",N($E78)&lt;=0),"",$E78/SUM($E$5:$E$104))</f>
        <v>0</v>
      </c>
      <c r="N78" s="28">
        <f>IF(OR($M78="",$K78=""),"",IF($M78&gt;=0.7/NPratos,IF($K78&gt;=MCmed,"Estrela","Burro de carga"),IF($K78&gt;=MCmed,"Quebra-cabeça","Cão")))</f>
        <v>0</v>
      </c>
      <c r="O78" s="30">
        <f>IF($N78="","",IF($N78="Estrela","Manter e destacar no cardápio",IF($N78="Burro de carga","Subir preço ou reduzir custo",IF($N78="Quebra-cabeça","Divulgar e sugerir ao cliente","Reformular ou retirar"))))</f>
        <v>0</v>
      </c>
      <c r="P78" s="31">
        <f>IF($H78="","",$H78+ROW()/1000000000)</f>
        <v>0</v>
      </c>
    </row>
    <row r="79" spans="1:16">
      <c r="A79" s="13"/>
      <c r="B79" s="13"/>
      <c r="C79" s="16"/>
      <c r="D79" s="18"/>
      <c r="E79" s="25"/>
      <c r="F79" s="24">
        <f>IF($A79="","",SUMIFS(Fichas!$G$5:$G$804,Fichas!$A$5:$A$804,$A79))</f>
        <v>0</v>
      </c>
      <c r="G79" s="26">
        <f>IF(OR($A79="",N($F79)=0),"",$F79/IF(N($C79)&gt;0,$C79,1))</f>
        <v>0</v>
      </c>
      <c r="H79" s="27">
        <f>IF(OR($G79="",N($D79)&lt;=0),"",$G79/$D79)</f>
        <v>0</v>
      </c>
      <c r="I79" s="28">
        <f>IF($A79="","",IF($G79="","Sem ficha",IF($H79="","Sem preço",IF($H79&gt;CMVMeta,"ACIMA DA META","OK"))))</f>
        <v>0</v>
      </c>
      <c r="J79" s="24">
        <f>IF($G79="","",ROUNDUP($G79/CMVMeta,0)+IF(ROUNDUP($G79/CMVMeta,0)-0.1&gt;=$G79/CMVMeta,-0.1,0.9))</f>
        <v>0</v>
      </c>
      <c r="K79" s="24">
        <f>IF(OR($G79="",N($D79)&lt;=0),"",$D79-$G79-$D79*ImpTaxa)</f>
        <v>0</v>
      </c>
      <c r="L79" s="24">
        <f>IF(OR($K79="",N($E79)&lt;=0),"",$K79*$E79)</f>
        <v>0</v>
      </c>
      <c r="M79" s="29">
        <f>IF(OR($A79="",N($E79)&lt;=0),"",$E79/SUM($E$5:$E$104))</f>
        <v>0</v>
      </c>
      <c r="N79" s="28">
        <f>IF(OR($M79="",$K79=""),"",IF($M79&gt;=0.7/NPratos,IF($K79&gt;=MCmed,"Estrela","Burro de carga"),IF($K79&gt;=MCmed,"Quebra-cabeça","Cão")))</f>
        <v>0</v>
      </c>
      <c r="O79" s="30">
        <f>IF($N79="","",IF($N79="Estrela","Manter e destacar no cardápio",IF($N79="Burro de carga","Subir preço ou reduzir custo",IF($N79="Quebra-cabeça","Divulgar e sugerir ao cliente","Reformular ou retirar"))))</f>
        <v>0</v>
      </c>
      <c r="P79" s="31">
        <f>IF($H79="","",$H79+ROW()/1000000000)</f>
        <v>0</v>
      </c>
    </row>
    <row r="80" spans="1:16">
      <c r="A80" s="13"/>
      <c r="B80" s="13"/>
      <c r="C80" s="16"/>
      <c r="D80" s="18"/>
      <c r="E80" s="25"/>
      <c r="F80" s="24">
        <f>IF($A80="","",SUMIFS(Fichas!$G$5:$G$804,Fichas!$A$5:$A$804,$A80))</f>
        <v>0</v>
      </c>
      <c r="G80" s="26">
        <f>IF(OR($A80="",N($F80)=0),"",$F80/IF(N($C80)&gt;0,$C80,1))</f>
        <v>0</v>
      </c>
      <c r="H80" s="27">
        <f>IF(OR($G80="",N($D80)&lt;=0),"",$G80/$D80)</f>
        <v>0</v>
      </c>
      <c r="I80" s="28">
        <f>IF($A80="","",IF($G80="","Sem ficha",IF($H80="","Sem preço",IF($H80&gt;CMVMeta,"ACIMA DA META","OK"))))</f>
        <v>0</v>
      </c>
      <c r="J80" s="24">
        <f>IF($G80="","",ROUNDUP($G80/CMVMeta,0)+IF(ROUNDUP($G80/CMVMeta,0)-0.1&gt;=$G80/CMVMeta,-0.1,0.9))</f>
        <v>0</v>
      </c>
      <c r="K80" s="24">
        <f>IF(OR($G80="",N($D80)&lt;=0),"",$D80-$G80-$D80*ImpTaxa)</f>
        <v>0</v>
      </c>
      <c r="L80" s="24">
        <f>IF(OR($K80="",N($E80)&lt;=0),"",$K80*$E80)</f>
        <v>0</v>
      </c>
      <c r="M80" s="29">
        <f>IF(OR($A80="",N($E80)&lt;=0),"",$E80/SUM($E$5:$E$104))</f>
        <v>0</v>
      </c>
      <c r="N80" s="28">
        <f>IF(OR($M80="",$K80=""),"",IF($M80&gt;=0.7/NPratos,IF($K80&gt;=MCmed,"Estrela","Burro de carga"),IF($K80&gt;=MCmed,"Quebra-cabeça","Cão")))</f>
        <v>0</v>
      </c>
      <c r="O80" s="30">
        <f>IF($N80="","",IF($N80="Estrela","Manter e destacar no cardápio",IF($N80="Burro de carga","Subir preço ou reduzir custo",IF($N80="Quebra-cabeça","Divulgar e sugerir ao cliente","Reformular ou retirar"))))</f>
        <v>0</v>
      </c>
      <c r="P80" s="31">
        <f>IF($H80="","",$H80+ROW()/1000000000)</f>
        <v>0</v>
      </c>
    </row>
    <row r="81" spans="1:16">
      <c r="A81" s="13"/>
      <c r="B81" s="13"/>
      <c r="C81" s="16"/>
      <c r="D81" s="18"/>
      <c r="E81" s="25"/>
      <c r="F81" s="24">
        <f>IF($A81="","",SUMIFS(Fichas!$G$5:$G$804,Fichas!$A$5:$A$804,$A81))</f>
        <v>0</v>
      </c>
      <c r="G81" s="26">
        <f>IF(OR($A81="",N($F81)=0),"",$F81/IF(N($C81)&gt;0,$C81,1))</f>
        <v>0</v>
      </c>
      <c r="H81" s="27">
        <f>IF(OR($G81="",N($D81)&lt;=0),"",$G81/$D81)</f>
        <v>0</v>
      </c>
      <c r="I81" s="28">
        <f>IF($A81="","",IF($G81="","Sem ficha",IF($H81="","Sem preço",IF($H81&gt;CMVMeta,"ACIMA DA META","OK"))))</f>
        <v>0</v>
      </c>
      <c r="J81" s="24">
        <f>IF($G81="","",ROUNDUP($G81/CMVMeta,0)+IF(ROUNDUP($G81/CMVMeta,0)-0.1&gt;=$G81/CMVMeta,-0.1,0.9))</f>
        <v>0</v>
      </c>
      <c r="K81" s="24">
        <f>IF(OR($G81="",N($D81)&lt;=0),"",$D81-$G81-$D81*ImpTaxa)</f>
        <v>0</v>
      </c>
      <c r="L81" s="24">
        <f>IF(OR($K81="",N($E81)&lt;=0),"",$K81*$E81)</f>
        <v>0</v>
      </c>
      <c r="M81" s="29">
        <f>IF(OR($A81="",N($E81)&lt;=0),"",$E81/SUM($E$5:$E$104))</f>
        <v>0</v>
      </c>
      <c r="N81" s="28">
        <f>IF(OR($M81="",$K81=""),"",IF($M81&gt;=0.7/NPratos,IF($K81&gt;=MCmed,"Estrela","Burro de carga"),IF($K81&gt;=MCmed,"Quebra-cabeça","Cão")))</f>
        <v>0</v>
      </c>
      <c r="O81" s="30">
        <f>IF($N81="","",IF($N81="Estrela","Manter e destacar no cardápio",IF($N81="Burro de carga","Subir preço ou reduzir custo",IF($N81="Quebra-cabeça","Divulgar e sugerir ao cliente","Reformular ou retirar"))))</f>
        <v>0</v>
      </c>
      <c r="P81" s="31">
        <f>IF($H81="","",$H81+ROW()/1000000000)</f>
        <v>0</v>
      </c>
    </row>
    <row r="82" spans="1:16">
      <c r="A82" s="13"/>
      <c r="B82" s="13"/>
      <c r="C82" s="16"/>
      <c r="D82" s="18"/>
      <c r="E82" s="25"/>
      <c r="F82" s="24">
        <f>IF($A82="","",SUMIFS(Fichas!$G$5:$G$804,Fichas!$A$5:$A$804,$A82))</f>
        <v>0</v>
      </c>
      <c r="G82" s="26">
        <f>IF(OR($A82="",N($F82)=0),"",$F82/IF(N($C82)&gt;0,$C82,1))</f>
        <v>0</v>
      </c>
      <c r="H82" s="27">
        <f>IF(OR($G82="",N($D82)&lt;=0),"",$G82/$D82)</f>
        <v>0</v>
      </c>
      <c r="I82" s="28">
        <f>IF($A82="","",IF($G82="","Sem ficha",IF($H82="","Sem preço",IF($H82&gt;CMVMeta,"ACIMA DA META","OK"))))</f>
        <v>0</v>
      </c>
      <c r="J82" s="24">
        <f>IF($G82="","",ROUNDUP($G82/CMVMeta,0)+IF(ROUNDUP($G82/CMVMeta,0)-0.1&gt;=$G82/CMVMeta,-0.1,0.9))</f>
        <v>0</v>
      </c>
      <c r="K82" s="24">
        <f>IF(OR($G82="",N($D82)&lt;=0),"",$D82-$G82-$D82*ImpTaxa)</f>
        <v>0</v>
      </c>
      <c r="L82" s="24">
        <f>IF(OR($K82="",N($E82)&lt;=0),"",$K82*$E82)</f>
        <v>0</v>
      </c>
      <c r="M82" s="29">
        <f>IF(OR($A82="",N($E82)&lt;=0),"",$E82/SUM($E$5:$E$104))</f>
        <v>0</v>
      </c>
      <c r="N82" s="28">
        <f>IF(OR($M82="",$K82=""),"",IF($M82&gt;=0.7/NPratos,IF($K82&gt;=MCmed,"Estrela","Burro de carga"),IF($K82&gt;=MCmed,"Quebra-cabeça","Cão")))</f>
        <v>0</v>
      </c>
      <c r="O82" s="30">
        <f>IF($N82="","",IF($N82="Estrela","Manter e destacar no cardápio",IF($N82="Burro de carga","Subir preço ou reduzir custo",IF($N82="Quebra-cabeça","Divulgar e sugerir ao cliente","Reformular ou retirar"))))</f>
        <v>0</v>
      </c>
      <c r="P82" s="31">
        <f>IF($H82="","",$H82+ROW()/1000000000)</f>
        <v>0</v>
      </c>
    </row>
    <row r="83" spans="1:16">
      <c r="A83" s="13"/>
      <c r="B83" s="13"/>
      <c r="C83" s="16"/>
      <c r="D83" s="18"/>
      <c r="E83" s="25"/>
      <c r="F83" s="24">
        <f>IF($A83="","",SUMIFS(Fichas!$G$5:$G$804,Fichas!$A$5:$A$804,$A83))</f>
        <v>0</v>
      </c>
      <c r="G83" s="26">
        <f>IF(OR($A83="",N($F83)=0),"",$F83/IF(N($C83)&gt;0,$C83,1))</f>
        <v>0</v>
      </c>
      <c r="H83" s="27">
        <f>IF(OR($G83="",N($D83)&lt;=0),"",$G83/$D83)</f>
        <v>0</v>
      </c>
      <c r="I83" s="28">
        <f>IF($A83="","",IF($G83="","Sem ficha",IF($H83="","Sem preço",IF($H83&gt;CMVMeta,"ACIMA DA META","OK"))))</f>
        <v>0</v>
      </c>
      <c r="J83" s="24">
        <f>IF($G83="","",ROUNDUP($G83/CMVMeta,0)+IF(ROUNDUP($G83/CMVMeta,0)-0.1&gt;=$G83/CMVMeta,-0.1,0.9))</f>
        <v>0</v>
      </c>
      <c r="K83" s="24">
        <f>IF(OR($G83="",N($D83)&lt;=0),"",$D83-$G83-$D83*ImpTaxa)</f>
        <v>0</v>
      </c>
      <c r="L83" s="24">
        <f>IF(OR($K83="",N($E83)&lt;=0),"",$K83*$E83)</f>
        <v>0</v>
      </c>
      <c r="M83" s="29">
        <f>IF(OR($A83="",N($E83)&lt;=0),"",$E83/SUM($E$5:$E$104))</f>
        <v>0</v>
      </c>
      <c r="N83" s="28">
        <f>IF(OR($M83="",$K83=""),"",IF($M83&gt;=0.7/NPratos,IF($K83&gt;=MCmed,"Estrela","Burro de carga"),IF($K83&gt;=MCmed,"Quebra-cabeça","Cão")))</f>
        <v>0</v>
      </c>
      <c r="O83" s="30">
        <f>IF($N83="","",IF($N83="Estrela","Manter e destacar no cardápio",IF($N83="Burro de carga","Subir preço ou reduzir custo",IF($N83="Quebra-cabeça","Divulgar e sugerir ao cliente","Reformular ou retirar"))))</f>
        <v>0</v>
      </c>
      <c r="P83" s="31">
        <f>IF($H83="","",$H83+ROW()/1000000000)</f>
        <v>0</v>
      </c>
    </row>
    <row r="84" spans="1:16">
      <c r="A84" s="13"/>
      <c r="B84" s="13"/>
      <c r="C84" s="16"/>
      <c r="D84" s="18"/>
      <c r="E84" s="25"/>
      <c r="F84" s="24">
        <f>IF($A84="","",SUMIFS(Fichas!$G$5:$G$804,Fichas!$A$5:$A$804,$A84))</f>
        <v>0</v>
      </c>
      <c r="G84" s="26">
        <f>IF(OR($A84="",N($F84)=0),"",$F84/IF(N($C84)&gt;0,$C84,1))</f>
        <v>0</v>
      </c>
      <c r="H84" s="27">
        <f>IF(OR($G84="",N($D84)&lt;=0),"",$G84/$D84)</f>
        <v>0</v>
      </c>
      <c r="I84" s="28">
        <f>IF($A84="","",IF($G84="","Sem ficha",IF($H84="","Sem preço",IF($H84&gt;CMVMeta,"ACIMA DA META","OK"))))</f>
        <v>0</v>
      </c>
      <c r="J84" s="24">
        <f>IF($G84="","",ROUNDUP($G84/CMVMeta,0)+IF(ROUNDUP($G84/CMVMeta,0)-0.1&gt;=$G84/CMVMeta,-0.1,0.9))</f>
        <v>0</v>
      </c>
      <c r="K84" s="24">
        <f>IF(OR($G84="",N($D84)&lt;=0),"",$D84-$G84-$D84*ImpTaxa)</f>
        <v>0</v>
      </c>
      <c r="L84" s="24">
        <f>IF(OR($K84="",N($E84)&lt;=0),"",$K84*$E84)</f>
        <v>0</v>
      </c>
      <c r="M84" s="29">
        <f>IF(OR($A84="",N($E84)&lt;=0),"",$E84/SUM($E$5:$E$104))</f>
        <v>0</v>
      </c>
      <c r="N84" s="28">
        <f>IF(OR($M84="",$K84=""),"",IF($M84&gt;=0.7/NPratos,IF($K84&gt;=MCmed,"Estrela","Burro de carga"),IF($K84&gt;=MCmed,"Quebra-cabeça","Cão")))</f>
        <v>0</v>
      </c>
      <c r="O84" s="30">
        <f>IF($N84="","",IF($N84="Estrela","Manter e destacar no cardápio",IF($N84="Burro de carga","Subir preço ou reduzir custo",IF($N84="Quebra-cabeça","Divulgar e sugerir ao cliente","Reformular ou retirar"))))</f>
        <v>0</v>
      </c>
      <c r="P84" s="31">
        <f>IF($H84="","",$H84+ROW()/1000000000)</f>
        <v>0</v>
      </c>
    </row>
    <row r="85" spans="1:16">
      <c r="A85" s="13"/>
      <c r="B85" s="13"/>
      <c r="C85" s="16"/>
      <c r="D85" s="18"/>
      <c r="E85" s="25"/>
      <c r="F85" s="24">
        <f>IF($A85="","",SUMIFS(Fichas!$G$5:$G$804,Fichas!$A$5:$A$804,$A85))</f>
        <v>0</v>
      </c>
      <c r="G85" s="26">
        <f>IF(OR($A85="",N($F85)=0),"",$F85/IF(N($C85)&gt;0,$C85,1))</f>
        <v>0</v>
      </c>
      <c r="H85" s="27">
        <f>IF(OR($G85="",N($D85)&lt;=0),"",$G85/$D85)</f>
        <v>0</v>
      </c>
      <c r="I85" s="28">
        <f>IF($A85="","",IF($G85="","Sem ficha",IF($H85="","Sem preço",IF($H85&gt;CMVMeta,"ACIMA DA META","OK"))))</f>
        <v>0</v>
      </c>
      <c r="J85" s="24">
        <f>IF($G85="","",ROUNDUP($G85/CMVMeta,0)+IF(ROUNDUP($G85/CMVMeta,0)-0.1&gt;=$G85/CMVMeta,-0.1,0.9))</f>
        <v>0</v>
      </c>
      <c r="K85" s="24">
        <f>IF(OR($G85="",N($D85)&lt;=0),"",$D85-$G85-$D85*ImpTaxa)</f>
        <v>0</v>
      </c>
      <c r="L85" s="24">
        <f>IF(OR($K85="",N($E85)&lt;=0),"",$K85*$E85)</f>
        <v>0</v>
      </c>
      <c r="M85" s="29">
        <f>IF(OR($A85="",N($E85)&lt;=0),"",$E85/SUM($E$5:$E$104))</f>
        <v>0</v>
      </c>
      <c r="N85" s="28">
        <f>IF(OR($M85="",$K85=""),"",IF($M85&gt;=0.7/NPratos,IF($K85&gt;=MCmed,"Estrela","Burro de carga"),IF($K85&gt;=MCmed,"Quebra-cabeça","Cão")))</f>
        <v>0</v>
      </c>
      <c r="O85" s="30">
        <f>IF($N85="","",IF($N85="Estrela","Manter e destacar no cardápio",IF($N85="Burro de carga","Subir preço ou reduzir custo",IF($N85="Quebra-cabeça","Divulgar e sugerir ao cliente","Reformular ou retirar"))))</f>
        <v>0</v>
      </c>
      <c r="P85" s="31">
        <f>IF($H85="","",$H85+ROW()/1000000000)</f>
        <v>0</v>
      </c>
    </row>
    <row r="86" spans="1:16">
      <c r="A86" s="13"/>
      <c r="B86" s="13"/>
      <c r="C86" s="16"/>
      <c r="D86" s="18"/>
      <c r="E86" s="25"/>
      <c r="F86" s="24">
        <f>IF($A86="","",SUMIFS(Fichas!$G$5:$G$804,Fichas!$A$5:$A$804,$A86))</f>
        <v>0</v>
      </c>
      <c r="G86" s="26">
        <f>IF(OR($A86="",N($F86)=0),"",$F86/IF(N($C86)&gt;0,$C86,1))</f>
        <v>0</v>
      </c>
      <c r="H86" s="27">
        <f>IF(OR($G86="",N($D86)&lt;=0),"",$G86/$D86)</f>
        <v>0</v>
      </c>
      <c r="I86" s="28">
        <f>IF($A86="","",IF($G86="","Sem ficha",IF($H86="","Sem preço",IF($H86&gt;CMVMeta,"ACIMA DA META","OK"))))</f>
        <v>0</v>
      </c>
      <c r="J86" s="24">
        <f>IF($G86="","",ROUNDUP($G86/CMVMeta,0)+IF(ROUNDUP($G86/CMVMeta,0)-0.1&gt;=$G86/CMVMeta,-0.1,0.9))</f>
        <v>0</v>
      </c>
      <c r="K86" s="24">
        <f>IF(OR($G86="",N($D86)&lt;=0),"",$D86-$G86-$D86*ImpTaxa)</f>
        <v>0</v>
      </c>
      <c r="L86" s="24">
        <f>IF(OR($K86="",N($E86)&lt;=0),"",$K86*$E86)</f>
        <v>0</v>
      </c>
      <c r="M86" s="29">
        <f>IF(OR($A86="",N($E86)&lt;=0),"",$E86/SUM($E$5:$E$104))</f>
        <v>0</v>
      </c>
      <c r="N86" s="28">
        <f>IF(OR($M86="",$K86=""),"",IF($M86&gt;=0.7/NPratos,IF($K86&gt;=MCmed,"Estrela","Burro de carga"),IF($K86&gt;=MCmed,"Quebra-cabeça","Cão")))</f>
        <v>0</v>
      </c>
      <c r="O86" s="30">
        <f>IF($N86="","",IF($N86="Estrela","Manter e destacar no cardápio",IF($N86="Burro de carga","Subir preço ou reduzir custo",IF($N86="Quebra-cabeça","Divulgar e sugerir ao cliente","Reformular ou retirar"))))</f>
        <v>0</v>
      </c>
      <c r="P86" s="31">
        <f>IF($H86="","",$H86+ROW()/1000000000)</f>
        <v>0</v>
      </c>
    </row>
    <row r="87" spans="1:16">
      <c r="A87" s="13"/>
      <c r="B87" s="13"/>
      <c r="C87" s="16"/>
      <c r="D87" s="18"/>
      <c r="E87" s="25"/>
      <c r="F87" s="24">
        <f>IF($A87="","",SUMIFS(Fichas!$G$5:$G$804,Fichas!$A$5:$A$804,$A87))</f>
        <v>0</v>
      </c>
      <c r="G87" s="26">
        <f>IF(OR($A87="",N($F87)=0),"",$F87/IF(N($C87)&gt;0,$C87,1))</f>
        <v>0</v>
      </c>
      <c r="H87" s="27">
        <f>IF(OR($G87="",N($D87)&lt;=0),"",$G87/$D87)</f>
        <v>0</v>
      </c>
      <c r="I87" s="28">
        <f>IF($A87="","",IF($G87="","Sem ficha",IF($H87="","Sem preço",IF($H87&gt;CMVMeta,"ACIMA DA META","OK"))))</f>
        <v>0</v>
      </c>
      <c r="J87" s="24">
        <f>IF($G87="","",ROUNDUP($G87/CMVMeta,0)+IF(ROUNDUP($G87/CMVMeta,0)-0.1&gt;=$G87/CMVMeta,-0.1,0.9))</f>
        <v>0</v>
      </c>
      <c r="K87" s="24">
        <f>IF(OR($G87="",N($D87)&lt;=0),"",$D87-$G87-$D87*ImpTaxa)</f>
        <v>0</v>
      </c>
      <c r="L87" s="24">
        <f>IF(OR($K87="",N($E87)&lt;=0),"",$K87*$E87)</f>
        <v>0</v>
      </c>
      <c r="M87" s="29">
        <f>IF(OR($A87="",N($E87)&lt;=0),"",$E87/SUM($E$5:$E$104))</f>
        <v>0</v>
      </c>
      <c r="N87" s="28">
        <f>IF(OR($M87="",$K87=""),"",IF($M87&gt;=0.7/NPratos,IF($K87&gt;=MCmed,"Estrela","Burro de carga"),IF($K87&gt;=MCmed,"Quebra-cabeça","Cão")))</f>
        <v>0</v>
      </c>
      <c r="O87" s="30">
        <f>IF($N87="","",IF($N87="Estrela","Manter e destacar no cardápio",IF($N87="Burro de carga","Subir preço ou reduzir custo",IF($N87="Quebra-cabeça","Divulgar e sugerir ao cliente","Reformular ou retirar"))))</f>
        <v>0</v>
      </c>
      <c r="P87" s="31">
        <f>IF($H87="","",$H87+ROW()/1000000000)</f>
        <v>0</v>
      </c>
    </row>
    <row r="88" spans="1:16">
      <c r="A88" s="13"/>
      <c r="B88" s="13"/>
      <c r="C88" s="16"/>
      <c r="D88" s="18"/>
      <c r="E88" s="25"/>
      <c r="F88" s="24">
        <f>IF($A88="","",SUMIFS(Fichas!$G$5:$G$804,Fichas!$A$5:$A$804,$A88))</f>
        <v>0</v>
      </c>
      <c r="G88" s="26">
        <f>IF(OR($A88="",N($F88)=0),"",$F88/IF(N($C88)&gt;0,$C88,1))</f>
        <v>0</v>
      </c>
      <c r="H88" s="27">
        <f>IF(OR($G88="",N($D88)&lt;=0),"",$G88/$D88)</f>
        <v>0</v>
      </c>
      <c r="I88" s="28">
        <f>IF($A88="","",IF($G88="","Sem ficha",IF($H88="","Sem preço",IF($H88&gt;CMVMeta,"ACIMA DA META","OK"))))</f>
        <v>0</v>
      </c>
      <c r="J88" s="24">
        <f>IF($G88="","",ROUNDUP($G88/CMVMeta,0)+IF(ROUNDUP($G88/CMVMeta,0)-0.1&gt;=$G88/CMVMeta,-0.1,0.9))</f>
        <v>0</v>
      </c>
      <c r="K88" s="24">
        <f>IF(OR($G88="",N($D88)&lt;=0),"",$D88-$G88-$D88*ImpTaxa)</f>
        <v>0</v>
      </c>
      <c r="L88" s="24">
        <f>IF(OR($K88="",N($E88)&lt;=0),"",$K88*$E88)</f>
        <v>0</v>
      </c>
      <c r="M88" s="29">
        <f>IF(OR($A88="",N($E88)&lt;=0),"",$E88/SUM($E$5:$E$104))</f>
        <v>0</v>
      </c>
      <c r="N88" s="28">
        <f>IF(OR($M88="",$K88=""),"",IF($M88&gt;=0.7/NPratos,IF($K88&gt;=MCmed,"Estrela","Burro de carga"),IF($K88&gt;=MCmed,"Quebra-cabeça","Cão")))</f>
        <v>0</v>
      </c>
      <c r="O88" s="30">
        <f>IF($N88="","",IF($N88="Estrela","Manter e destacar no cardápio",IF($N88="Burro de carga","Subir preço ou reduzir custo",IF($N88="Quebra-cabeça","Divulgar e sugerir ao cliente","Reformular ou retirar"))))</f>
        <v>0</v>
      </c>
      <c r="P88" s="31">
        <f>IF($H88="","",$H88+ROW()/1000000000)</f>
        <v>0</v>
      </c>
    </row>
    <row r="89" spans="1:16">
      <c r="A89" s="13"/>
      <c r="B89" s="13"/>
      <c r="C89" s="16"/>
      <c r="D89" s="18"/>
      <c r="E89" s="25"/>
      <c r="F89" s="24">
        <f>IF($A89="","",SUMIFS(Fichas!$G$5:$G$804,Fichas!$A$5:$A$804,$A89))</f>
        <v>0</v>
      </c>
      <c r="G89" s="26">
        <f>IF(OR($A89="",N($F89)=0),"",$F89/IF(N($C89)&gt;0,$C89,1))</f>
        <v>0</v>
      </c>
      <c r="H89" s="27">
        <f>IF(OR($G89="",N($D89)&lt;=0),"",$G89/$D89)</f>
        <v>0</v>
      </c>
      <c r="I89" s="28">
        <f>IF($A89="","",IF($G89="","Sem ficha",IF($H89="","Sem preço",IF($H89&gt;CMVMeta,"ACIMA DA META","OK"))))</f>
        <v>0</v>
      </c>
      <c r="J89" s="24">
        <f>IF($G89="","",ROUNDUP($G89/CMVMeta,0)+IF(ROUNDUP($G89/CMVMeta,0)-0.1&gt;=$G89/CMVMeta,-0.1,0.9))</f>
        <v>0</v>
      </c>
      <c r="K89" s="24">
        <f>IF(OR($G89="",N($D89)&lt;=0),"",$D89-$G89-$D89*ImpTaxa)</f>
        <v>0</v>
      </c>
      <c r="L89" s="24">
        <f>IF(OR($K89="",N($E89)&lt;=0),"",$K89*$E89)</f>
        <v>0</v>
      </c>
      <c r="M89" s="29">
        <f>IF(OR($A89="",N($E89)&lt;=0),"",$E89/SUM($E$5:$E$104))</f>
        <v>0</v>
      </c>
      <c r="N89" s="28">
        <f>IF(OR($M89="",$K89=""),"",IF($M89&gt;=0.7/NPratos,IF($K89&gt;=MCmed,"Estrela","Burro de carga"),IF($K89&gt;=MCmed,"Quebra-cabeça","Cão")))</f>
        <v>0</v>
      </c>
      <c r="O89" s="30">
        <f>IF($N89="","",IF($N89="Estrela","Manter e destacar no cardápio",IF($N89="Burro de carga","Subir preço ou reduzir custo",IF($N89="Quebra-cabeça","Divulgar e sugerir ao cliente","Reformular ou retirar"))))</f>
        <v>0</v>
      </c>
      <c r="P89" s="31">
        <f>IF($H89="","",$H89+ROW()/1000000000)</f>
        <v>0</v>
      </c>
    </row>
    <row r="90" spans="1:16">
      <c r="A90" s="13"/>
      <c r="B90" s="13"/>
      <c r="C90" s="16"/>
      <c r="D90" s="18"/>
      <c r="E90" s="25"/>
      <c r="F90" s="24">
        <f>IF($A90="","",SUMIFS(Fichas!$G$5:$G$804,Fichas!$A$5:$A$804,$A90))</f>
        <v>0</v>
      </c>
      <c r="G90" s="26">
        <f>IF(OR($A90="",N($F90)=0),"",$F90/IF(N($C90)&gt;0,$C90,1))</f>
        <v>0</v>
      </c>
      <c r="H90" s="27">
        <f>IF(OR($G90="",N($D90)&lt;=0),"",$G90/$D90)</f>
        <v>0</v>
      </c>
      <c r="I90" s="28">
        <f>IF($A90="","",IF($G90="","Sem ficha",IF($H90="","Sem preço",IF($H90&gt;CMVMeta,"ACIMA DA META","OK"))))</f>
        <v>0</v>
      </c>
      <c r="J90" s="24">
        <f>IF($G90="","",ROUNDUP($G90/CMVMeta,0)+IF(ROUNDUP($G90/CMVMeta,0)-0.1&gt;=$G90/CMVMeta,-0.1,0.9))</f>
        <v>0</v>
      </c>
      <c r="K90" s="24">
        <f>IF(OR($G90="",N($D90)&lt;=0),"",$D90-$G90-$D90*ImpTaxa)</f>
        <v>0</v>
      </c>
      <c r="L90" s="24">
        <f>IF(OR($K90="",N($E90)&lt;=0),"",$K90*$E90)</f>
        <v>0</v>
      </c>
      <c r="M90" s="29">
        <f>IF(OR($A90="",N($E90)&lt;=0),"",$E90/SUM($E$5:$E$104))</f>
        <v>0</v>
      </c>
      <c r="N90" s="28">
        <f>IF(OR($M90="",$K90=""),"",IF($M90&gt;=0.7/NPratos,IF($K90&gt;=MCmed,"Estrela","Burro de carga"),IF($K90&gt;=MCmed,"Quebra-cabeça","Cão")))</f>
        <v>0</v>
      </c>
      <c r="O90" s="30">
        <f>IF($N90="","",IF($N90="Estrela","Manter e destacar no cardápio",IF($N90="Burro de carga","Subir preço ou reduzir custo",IF($N90="Quebra-cabeça","Divulgar e sugerir ao cliente","Reformular ou retirar"))))</f>
        <v>0</v>
      </c>
      <c r="P90" s="31">
        <f>IF($H90="","",$H90+ROW()/1000000000)</f>
        <v>0</v>
      </c>
    </row>
    <row r="91" spans="1:16">
      <c r="A91" s="13"/>
      <c r="B91" s="13"/>
      <c r="C91" s="16"/>
      <c r="D91" s="18"/>
      <c r="E91" s="25"/>
      <c r="F91" s="24">
        <f>IF($A91="","",SUMIFS(Fichas!$G$5:$G$804,Fichas!$A$5:$A$804,$A91))</f>
        <v>0</v>
      </c>
      <c r="G91" s="26">
        <f>IF(OR($A91="",N($F91)=0),"",$F91/IF(N($C91)&gt;0,$C91,1))</f>
        <v>0</v>
      </c>
      <c r="H91" s="27">
        <f>IF(OR($G91="",N($D91)&lt;=0),"",$G91/$D91)</f>
        <v>0</v>
      </c>
      <c r="I91" s="28">
        <f>IF($A91="","",IF($G91="","Sem ficha",IF($H91="","Sem preço",IF($H91&gt;CMVMeta,"ACIMA DA META","OK"))))</f>
        <v>0</v>
      </c>
      <c r="J91" s="24">
        <f>IF($G91="","",ROUNDUP($G91/CMVMeta,0)+IF(ROUNDUP($G91/CMVMeta,0)-0.1&gt;=$G91/CMVMeta,-0.1,0.9))</f>
        <v>0</v>
      </c>
      <c r="K91" s="24">
        <f>IF(OR($G91="",N($D91)&lt;=0),"",$D91-$G91-$D91*ImpTaxa)</f>
        <v>0</v>
      </c>
      <c r="L91" s="24">
        <f>IF(OR($K91="",N($E91)&lt;=0),"",$K91*$E91)</f>
        <v>0</v>
      </c>
      <c r="M91" s="29">
        <f>IF(OR($A91="",N($E91)&lt;=0),"",$E91/SUM($E$5:$E$104))</f>
        <v>0</v>
      </c>
      <c r="N91" s="28">
        <f>IF(OR($M91="",$K91=""),"",IF($M91&gt;=0.7/NPratos,IF($K91&gt;=MCmed,"Estrela","Burro de carga"),IF($K91&gt;=MCmed,"Quebra-cabeça","Cão")))</f>
        <v>0</v>
      </c>
      <c r="O91" s="30">
        <f>IF($N91="","",IF($N91="Estrela","Manter e destacar no cardápio",IF($N91="Burro de carga","Subir preço ou reduzir custo",IF($N91="Quebra-cabeça","Divulgar e sugerir ao cliente","Reformular ou retirar"))))</f>
        <v>0</v>
      </c>
      <c r="P91" s="31">
        <f>IF($H91="","",$H91+ROW()/1000000000)</f>
        <v>0</v>
      </c>
    </row>
    <row r="92" spans="1:16">
      <c r="A92" s="13"/>
      <c r="B92" s="13"/>
      <c r="C92" s="16"/>
      <c r="D92" s="18"/>
      <c r="E92" s="25"/>
      <c r="F92" s="24">
        <f>IF($A92="","",SUMIFS(Fichas!$G$5:$G$804,Fichas!$A$5:$A$804,$A92))</f>
        <v>0</v>
      </c>
      <c r="G92" s="26">
        <f>IF(OR($A92="",N($F92)=0),"",$F92/IF(N($C92)&gt;0,$C92,1))</f>
        <v>0</v>
      </c>
      <c r="H92" s="27">
        <f>IF(OR($G92="",N($D92)&lt;=0),"",$G92/$D92)</f>
        <v>0</v>
      </c>
      <c r="I92" s="28">
        <f>IF($A92="","",IF($G92="","Sem ficha",IF($H92="","Sem preço",IF($H92&gt;CMVMeta,"ACIMA DA META","OK"))))</f>
        <v>0</v>
      </c>
      <c r="J92" s="24">
        <f>IF($G92="","",ROUNDUP($G92/CMVMeta,0)+IF(ROUNDUP($G92/CMVMeta,0)-0.1&gt;=$G92/CMVMeta,-0.1,0.9))</f>
        <v>0</v>
      </c>
      <c r="K92" s="24">
        <f>IF(OR($G92="",N($D92)&lt;=0),"",$D92-$G92-$D92*ImpTaxa)</f>
        <v>0</v>
      </c>
      <c r="L92" s="24">
        <f>IF(OR($K92="",N($E92)&lt;=0),"",$K92*$E92)</f>
        <v>0</v>
      </c>
      <c r="M92" s="29">
        <f>IF(OR($A92="",N($E92)&lt;=0),"",$E92/SUM($E$5:$E$104))</f>
        <v>0</v>
      </c>
      <c r="N92" s="28">
        <f>IF(OR($M92="",$K92=""),"",IF($M92&gt;=0.7/NPratos,IF($K92&gt;=MCmed,"Estrela","Burro de carga"),IF($K92&gt;=MCmed,"Quebra-cabeça","Cão")))</f>
        <v>0</v>
      </c>
      <c r="O92" s="30">
        <f>IF($N92="","",IF($N92="Estrela","Manter e destacar no cardápio",IF($N92="Burro de carga","Subir preço ou reduzir custo",IF($N92="Quebra-cabeça","Divulgar e sugerir ao cliente","Reformular ou retirar"))))</f>
        <v>0</v>
      </c>
      <c r="P92" s="31">
        <f>IF($H92="","",$H92+ROW()/1000000000)</f>
        <v>0</v>
      </c>
    </row>
    <row r="93" spans="1:16">
      <c r="A93" s="13"/>
      <c r="B93" s="13"/>
      <c r="C93" s="16"/>
      <c r="D93" s="18"/>
      <c r="E93" s="25"/>
      <c r="F93" s="24">
        <f>IF($A93="","",SUMIFS(Fichas!$G$5:$G$804,Fichas!$A$5:$A$804,$A93))</f>
        <v>0</v>
      </c>
      <c r="G93" s="26">
        <f>IF(OR($A93="",N($F93)=0),"",$F93/IF(N($C93)&gt;0,$C93,1))</f>
        <v>0</v>
      </c>
      <c r="H93" s="27">
        <f>IF(OR($G93="",N($D93)&lt;=0),"",$G93/$D93)</f>
        <v>0</v>
      </c>
      <c r="I93" s="28">
        <f>IF($A93="","",IF($G93="","Sem ficha",IF($H93="","Sem preço",IF($H93&gt;CMVMeta,"ACIMA DA META","OK"))))</f>
        <v>0</v>
      </c>
      <c r="J93" s="24">
        <f>IF($G93="","",ROUNDUP($G93/CMVMeta,0)+IF(ROUNDUP($G93/CMVMeta,0)-0.1&gt;=$G93/CMVMeta,-0.1,0.9))</f>
        <v>0</v>
      </c>
      <c r="K93" s="24">
        <f>IF(OR($G93="",N($D93)&lt;=0),"",$D93-$G93-$D93*ImpTaxa)</f>
        <v>0</v>
      </c>
      <c r="L93" s="24">
        <f>IF(OR($K93="",N($E93)&lt;=0),"",$K93*$E93)</f>
        <v>0</v>
      </c>
      <c r="M93" s="29">
        <f>IF(OR($A93="",N($E93)&lt;=0),"",$E93/SUM($E$5:$E$104))</f>
        <v>0</v>
      </c>
      <c r="N93" s="28">
        <f>IF(OR($M93="",$K93=""),"",IF($M93&gt;=0.7/NPratos,IF($K93&gt;=MCmed,"Estrela","Burro de carga"),IF($K93&gt;=MCmed,"Quebra-cabeça","Cão")))</f>
        <v>0</v>
      </c>
      <c r="O93" s="30">
        <f>IF($N93="","",IF($N93="Estrela","Manter e destacar no cardápio",IF($N93="Burro de carga","Subir preço ou reduzir custo",IF($N93="Quebra-cabeça","Divulgar e sugerir ao cliente","Reformular ou retirar"))))</f>
        <v>0</v>
      </c>
      <c r="P93" s="31">
        <f>IF($H93="","",$H93+ROW()/1000000000)</f>
        <v>0</v>
      </c>
    </row>
    <row r="94" spans="1:16">
      <c r="A94" s="13"/>
      <c r="B94" s="13"/>
      <c r="C94" s="16"/>
      <c r="D94" s="18"/>
      <c r="E94" s="25"/>
      <c r="F94" s="24">
        <f>IF($A94="","",SUMIFS(Fichas!$G$5:$G$804,Fichas!$A$5:$A$804,$A94))</f>
        <v>0</v>
      </c>
      <c r="G94" s="26">
        <f>IF(OR($A94="",N($F94)=0),"",$F94/IF(N($C94)&gt;0,$C94,1))</f>
        <v>0</v>
      </c>
      <c r="H94" s="27">
        <f>IF(OR($G94="",N($D94)&lt;=0),"",$G94/$D94)</f>
        <v>0</v>
      </c>
      <c r="I94" s="28">
        <f>IF($A94="","",IF($G94="","Sem ficha",IF($H94="","Sem preço",IF($H94&gt;CMVMeta,"ACIMA DA META","OK"))))</f>
        <v>0</v>
      </c>
      <c r="J94" s="24">
        <f>IF($G94="","",ROUNDUP($G94/CMVMeta,0)+IF(ROUNDUP($G94/CMVMeta,0)-0.1&gt;=$G94/CMVMeta,-0.1,0.9))</f>
        <v>0</v>
      </c>
      <c r="K94" s="24">
        <f>IF(OR($G94="",N($D94)&lt;=0),"",$D94-$G94-$D94*ImpTaxa)</f>
        <v>0</v>
      </c>
      <c r="L94" s="24">
        <f>IF(OR($K94="",N($E94)&lt;=0),"",$K94*$E94)</f>
        <v>0</v>
      </c>
      <c r="M94" s="29">
        <f>IF(OR($A94="",N($E94)&lt;=0),"",$E94/SUM($E$5:$E$104))</f>
        <v>0</v>
      </c>
      <c r="N94" s="28">
        <f>IF(OR($M94="",$K94=""),"",IF($M94&gt;=0.7/NPratos,IF($K94&gt;=MCmed,"Estrela","Burro de carga"),IF($K94&gt;=MCmed,"Quebra-cabeça","Cão")))</f>
        <v>0</v>
      </c>
      <c r="O94" s="30">
        <f>IF($N94="","",IF($N94="Estrela","Manter e destacar no cardápio",IF($N94="Burro de carga","Subir preço ou reduzir custo",IF($N94="Quebra-cabeça","Divulgar e sugerir ao cliente","Reformular ou retirar"))))</f>
        <v>0</v>
      </c>
      <c r="P94" s="31">
        <f>IF($H94="","",$H94+ROW()/1000000000)</f>
        <v>0</v>
      </c>
    </row>
    <row r="95" spans="1:16">
      <c r="A95" s="13"/>
      <c r="B95" s="13"/>
      <c r="C95" s="16"/>
      <c r="D95" s="18"/>
      <c r="E95" s="25"/>
      <c r="F95" s="24">
        <f>IF($A95="","",SUMIFS(Fichas!$G$5:$G$804,Fichas!$A$5:$A$804,$A95))</f>
        <v>0</v>
      </c>
      <c r="G95" s="26">
        <f>IF(OR($A95="",N($F95)=0),"",$F95/IF(N($C95)&gt;0,$C95,1))</f>
        <v>0</v>
      </c>
      <c r="H95" s="27">
        <f>IF(OR($G95="",N($D95)&lt;=0),"",$G95/$D95)</f>
        <v>0</v>
      </c>
      <c r="I95" s="28">
        <f>IF($A95="","",IF($G95="","Sem ficha",IF($H95="","Sem preço",IF($H95&gt;CMVMeta,"ACIMA DA META","OK"))))</f>
        <v>0</v>
      </c>
      <c r="J95" s="24">
        <f>IF($G95="","",ROUNDUP($G95/CMVMeta,0)+IF(ROUNDUP($G95/CMVMeta,0)-0.1&gt;=$G95/CMVMeta,-0.1,0.9))</f>
        <v>0</v>
      </c>
      <c r="K95" s="24">
        <f>IF(OR($G95="",N($D95)&lt;=0),"",$D95-$G95-$D95*ImpTaxa)</f>
        <v>0</v>
      </c>
      <c r="L95" s="24">
        <f>IF(OR($K95="",N($E95)&lt;=0),"",$K95*$E95)</f>
        <v>0</v>
      </c>
      <c r="M95" s="29">
        <f>IF(OR($A95="",N($E95)&lt;=0),"",$E95/SUM($E$5:$E$104))</f>
        <v>0</v>
      </c>
      <c r="N95" s="28">
        <f>IF(OR($M95="",$K95=""),"",IF($M95&gt;=0.7/NPratos,IF($K95&gt;=MCmed,"Estrela","Burro de carga"),IF($K95&gt;=MCmed,"Quebra-cabeça","Cão")))</f>
        <v>0</v>
      </c>
      <c r="O95" s="30">
        <f>IF($N95="","",IF($N95="Estrela","Manter e destacar no cardápio",IF($N95="Burro de carga","Subir preço ou reduzir custo",IF($N95="Quebra-cabeça","Divulgar e sugerir ao cliente","Reformular ou retirar"))))</f>
        <v>0</v>
      </c>
      <c r="P95" s="31">
        <f>IF($H95="","",$H95+ROW()/1000000000)</f>
        <v>0</v>
      </c>
    </row>
    <row r="96" spans="1:16">
      <c r="A96" s="13"/>
      <c r="B96" s="13"/>
      <c r="C96" s="16"/>
      <c r="D96" s="18"/>
      <c r="E96" s="25"/>
      <c r="F96" s="24">
        <f>IF($A96="","",SUMIFS(Fichas!$G$5:$G$804,Fichas!$A$5:$A$804,$A96))</f>
        <v>0</v>
      </c>
      <c r="G96" s="26">
        <f>IF(OR($A96="",N($F96)=0),"",$F96/IF(N($C96)&gt;0,$C96,1))</f>
        <v>0</v>
      </c>
      <c r="H96" s="27">
        <f>IF(OR($G96="",N($D96)&lt;=0),"",$G96/$D96)</f>
        <v>0</v>
      </c>
      <c r="I96" s="28">
        <f>IF($A96="","",IF($G96="","Sem ficha",IF($H96="","Sem preço",IF($H96&gt;CMVMeta,"ACIMA DA META","OK"))))</f>
        <v>0</v>
      </c>
      <c r="J96" s="24">
        <f>IF($G96="","",ROUNDUP($G96/CMVMeta,0)+IF(ROUNDUP($G96/CMVMeta,0)-0.1&gt;=$G96/CMVMeta,-0.1,0.9))</f>
        <v>0</v>
      </c>
      <c r="K96" s="24">
        <f>IF(OR($G96="",N($D96)&lt;=0),"",$D96-$G96-$D96*ImpTaxa)</f>
        <v>0</v>
      </c>
      <c r="L96" s="24">
        <f>IF(OR($K96="",N($E96)&lt;=0),"",$K96*$E96)</f>
        <v>0</v>
      </c>
      <c r="M96" s="29">
        <f>IF(OR($A96="",N($E96)&lt;=0),"",$E96/SUM($E$5:$E$104))</f>
        <v>0</v>
      </c>
      <c r="N96" s="28">
        <f>IF(OR($M96="",$K96=""),"",IF($M96&gt;=0.7/NPratos,IF($K96&gt;=MCmed,"Estrela","Burro de carga"),IF($K96&gt;=MCmed,"Quebra-cabeça","Cão")))</f>
        <v>0</v>
      </c>
      <c r="O96" s="30">
        <f>IF($N96="","",IF($N96="Estrela","Manter e destacar no cardápio",IF($N96="Burro de carga","Subir preço ou reduzir custo",IF($N96="Quebra-cabeça","Divulgar e sugerir ao cliente","Reformular ou retirar"))))</f>
        <v>0</v>
      </c>
      <c r="P96" s="31">
        <f>IF($H96="","",$H96+ROW()/1000000000)</f>
        <v>0</v>
      </c>
    </row>
    <row r="97" spans="1:16">
      <c r="A97" s="13"/>
      <c r="B97" s="13"/>
      <c r="C97" s="16"/>
      <c r="D97" s="18"/>
      <c r="E97" s="25"/>
      <c r="F97" s="24">
        <f>IF($A97="","",SUMIFS(Fichas!$G$5:$G$804,Fichas!$A$5:$A$804,$A97))</f>
        <v>0</v>
      </c>
      <c r="G97" s="26">
        <f>IF(OR($A97="",N($F97)=0),"",$F97/IF(N($C97)&gt;0,$C97,1))</f>
        <v>0</v>
      </c>
      <c r="H97" s="27">
        <f>IF(OR($G97="",N($D97)&lt;=0),"",$G97/$D97)</f>
        <v>0</v>
      </c>
      <c r="I97" s="28">
        <f>IF($A97="","",IF($G97="","Sem ficha",IF($H97="","Sem preço",IF($H97&gt;CMVMeta,"ACIMA DA META","OK"))))</f>
        <v>0</v>
      </c>
      <c r="J97" s="24">
        <f>IF($G97="","",ROUNDUP($G97/CMVMeta,0)+IF(ROUNDUP($G97/CMVMeta,0)-0.1&gt;=$G97/CMVMeta,-0.1,0.9))</f>
        <v>0</v>
      </c>
      <c r="K97" s="24">
        <f>IF(OR($G97="",N($D97)&lt;=0),"",$D97-$G97-$D97*ImpTaxa)</f>
        <v>0</v>
      </c>
      <c r="L97" s="24">
        <f>IF(OR($K97="",N($E97)&lt;=0),"",$K97*$E97)</f>
        <v>0</v>
      </c>
      <c r="M97" s="29">
        <f>IF(OR($A97="",N($E97)&lt;=0),"",$E97/SUM($E$5:$E$104))</f>
        <v>0</v>
      </c>
      <c r="N97" s="28">
        <f>IF(OR($M97="",$K97=""),"",IF($M97&gt;=0.7/NPratos,IF($K97&gt;=MCmed,"Estrela","Burro de carga"),IF($K97&gt;=MCmed,"Quebra-cabeça","Cão")))</f>
        <v>0</v>
      </c>
      <c r="O97" s="30">
        <f>IF($N97="","",IF($N97="Estrela","Manter e destacar no cardápio",IF($N97="Burro de carga","Subir preço ou reduzir custo",IF($N97="Quebra-cabeça","Divulgar e sugerir ao cliente","Reformular ou retirar"))))</f>
        <v>0</v>
      </c>
      <c r="P97" s="31">
        <f>IF($H97="","",$H97+ROW()/1000000000)</f>
        <v>0</v>
      </c>
    </row>
    <row r="98" spans="1:16">
      <c r="A98" s="13"/>
      <c r="B98" s="13"/>
      <c r="C98" s="16"/>
      <c r="D98" s="18"/>
      <c r="E98" s="25"/>
      <c r="F98" s="24">
        <f>IF($A98="","",SUMIFS(Fichas!$G$5:$G$804,Fichas!$A$5:$A$804,$A98))</f>
        <v>0</v>
      </c>
      <c r="G98" s="26">
        <f>IF(OR($A98="",N($F98)=0),"",$F98/IF(N($C98)&gt;0,$C98,1))</f>
        <v>0</v>
      </c>
      <c r="H98" s="27">
        <f>IF(OR($G98="",N($D98)&lt;=0),"",$G98/$D98)</f>
        <v>0</v>
      </c>
      <c r="I98" s="28">
        <f>IF($A98="","",IF($G98="","Sem ficha",IF($H98="","Sem preço",IF($H98&gt;CMVMeta,"ACIMA DA META","OK"))))</f>
        <v>0</v>
      </c>
      <c r="J98" s="24">
        <f>IF($G98="","",ROUNDUP($G98/CMVMeta,0)+IF(ROUNDUP($G98/CMVMeta,0)-0.1&gt;=$G98/CMVMeta,-0.1,0.9))</f>
        <v>0</v>
      </c>
      <c r="K98" s="24">
        <f>IF(OR($G98="",N($D98)&lt;=0),"",$D98-$G98-$D98*ImpTaxa)</f>
        <v>0</v>
      </c>
      <c r="L98" s="24">
        <f>IF(OR($K98="",N($E98)&lt;=0),"",$K98*$E98)</f>
        <v>0</v>
      </c>
      <c r="M98" s="29">
        <f>IF(OR($A98="",N($E98)&lt;=0),"",$E98/SUM($E$5:$E$104))</f>
        <v>0</v>
      </c>
      <c r="N98" s="28">
        <f>IF(OR($M98="",$K98=""),"",IF($M98&gt;=0.7/NPratos,IF($K98&gt;=MCmed,"Estrela","Burro de carga"),IF($K98&gt;=MCmed,"Quebra-cabeça","Cão")))</f>
        <v>0</v>
      </c>
      <c r="O98" s="30">
        <f>IF($N98="","",IF($N98="Estrela","Manter e destacar no cardápio",IF($N98="Burro de carga","Subir preço ou reduzir custo",IF($N98="Quebra-cabeça","Divulgar e sugerir ao cliente","Reformular ou retirar"))))</f>
        <v>0</v>
      </c>
      <c r="P98" s="31">
        <f>IF($H98="","",$H98+ROW()/1000000000)</f>
        <v>0</v>
      </c>
    </row>
    <row r="99" spans="1:16">
      <c r="A99" s="13"/>
      <c r="B99" s="13"/>
      <c r="C99" s="16"/>
      <c r="D99" s="18"/>
      <c r="E99" s="25"/>
      <c r="F99" s="24">
        <f>IF($A99="","",SUMIFS(Fichas!$G$5:$G$804,Fichas!$A$5:$A$804,$A99))</f>
        <v>0</v>
      </c>
      <c r="G99" s="26">
        <f>IF(OR($A99="",N($F99)=0),"",$F99/IF(N($C99)&gt;0,$C99,1))</f>
        <v>0</v>
      </c>
      <c r="H99" s="27">
        <f>IF(OR($G99="",N($D99)&lt;=0),"",$G99/$D99)</f>
        <v>0</v>
      </c>
      <c r="I99" s="28">
        <f>IF($A99="","",IF($G99="","Sem ficha",IF($H99="","Sem preço",IF($H99&gt;CMVMeta,"ACIMA DA META","OK"))))</f>
        <v>0</v>
      </c>
      <c r="J99" s="24">
        <f>IF($G99="","",ROUNDUP($G99/CMVMeta,0)+IF(ROUNDUP($G99/CMVMeta,0)-0.1&gt;=$G99/CMVMeta,-0.1,0.9))</f>
        <v>0</v>
      </c>
      <c r="K99" s="24">
        <f>IF(OR($G99="",N($D99)&lt;=0),"",$D99-$G99-$D99*ImpTaxa)</f>
        <v>0</v>
      </c>
      <c r="L99" s="24">
        <f>IF(OR($K99="",N($E99)&lt;=0),"",$K99*$E99)</f>
        <v>0</v>
      </c>
      <c r="M99" s="29">
        <f>IF(OR($A99="",N($E99)&lt;=0),"",$E99/SUM($E$5:$E$104))</f>
        <v>0</v>
      </c>
      <c r="N99" s="28">
        <f>IF(OR($M99="",$K99=""),"",IF($M99&gt;=0.7/NPratos,IF($K99&gt;=MCmed,"Estrela","Burro de carga"),IF($K99&gt;=MCmed,"Quebra-cabeça","Cão")))</f>
        <v>0</v>
      </c>
      <c r="O99" s="30">
        <f>IF($N99="","",IF($N99="Estrela","Manter e destacar no cardápio",IF($N99="Burro de carga","Subir preço ou reduzir custo",IF($N99="Quebra-cabeça","Divulgar e sugerir ao cliente","Reformular ou retirar"))))</f>
        <v>0</v>
      </c>
      <c r="P99" s="31">
        <f>IF($H99="","",$H99+ROW()/1000000000)</f>
        <v>0</v>
      </c>
    </row>
    <row r="100" spans="1:16">
      <c r="A100" s="13"/>
      <c r="B100" s="13"/>
      <c r="C100" s="16"/>
      <c r="D100" s="18"/>
      <c r="E100" s="25"/>
      <c r="F100" s="24">
        <f>IF($A100="","",SUMIFS(Fichas!$G$5:$G$804,Fichas!$A$5:$A$804,$A100))</f>
        <v>0</v>
      </c>
      <c r="G100" s="26">
        <f>IF(OR($A100="",N($F100)=0),"",$F100/IF(N($C100)&gt;0,$C100,1))</f>
        <v>0</v>
      </c>
      <c r="H100" s="27">
        <f>IF(OR($G100="",N($D100)&lt;=0),"",$G100/$D100)</f>
        <v>0</v>
      </c>
      <c r="I100" s="28">
        <f>IF($A100="","",IF($G100="","Sem ficha",IF($H100="","Sem preço",IF($H100&gt;CMVMeta,"ACIMA DA META","OK"))))</f>
        <v>0</v>
      </c>
      <c r="J100" s="24">
        <f>IF($G100="","",ROUNDUP($G100/CMVMeta,0)+IF(ROUNDUP($G100/CMVMeta,0)-0.1&gt;=$G100/CMVMeta,-0.1,0.9))</f>
        <v>0</v>
      </c>
      <c r="K100" s="24">
        <f>IF(OR($G100="",N($D100)&lt;=0),"",$D100-$G100-$D100*ImpTaxa)</f>
        <v>0</v>
      </c>
      <c r="L100" s="24">
        <f>IF(OR($K100="",N($E100)&lt;=0),"",$K100*$E100)</f>
        <v>0</v>
      </c>
      <c r="M100" s="29">
        <f>IF(OR($A100="",N($E100)&lt;=0),"",$E100/SUM($E$5:$E$104))</f>
        <v>0</v>
      </c>
      <c r="N100" s="28">
        <f>IF(OR($M100="",$K100=""),"",IF($M100&gt;=0.7/NPratos,IF($K100&gt;=MCmed,"Estrela","Burro de carga"),IF($K100&gt;=MCmed,"Quebra-cabeça","Cão")))</f>
        <v>0</v>
      </c>
      <c r="O100" s="30">
        <f>IF($N100="","",IF($N100="Estrela","Manter e destacar no cardápio",IF($N100="Burro de carga","Subir preço ou reduzir custo",IF($N100="Quebra-cabeça","Divulgar e sugerir ao cliente","Reformular ou retirar"))))</f>
        <v>0</v>
      </c>
      <c r="P100" s="31">
        <f>IF($H100="","",$H100+ROW()/1000000000)</f>
        <v>0</v>
      </c>
    </row>
    <row r="101" spans="1:16">
      <c r="A101" s="13"/>
      <c r="B101" s="13"/>
      <c r="C101" s="16"/>
      <c r="D101" s="18"/>
      <c r="E101" s="25"/>
      <c r="F101" s="24">
        <f>IF($A101="","",SUMIFS(Fichas!$G$5:$G$804,Fichas!$A$5:$A$804,$A101))</f>
        <v>0</v>
      </c>
      <c r="G101" s="26">
        <f>IF(OR($A101="",N($F101)=0),"",$F101/IF(N($C101)&gt;0,$C101,1))</f>
        <v>0</v>
      </c>
      <c r="H101" s="27">
        <f>IF(OR($G101="",N($D101)&lt;=0),"",$G101/$D101)</f>
        <v>0</v>
      </c>
      <c r="I101" s="28">
        <f>IF($A101="","",IF($G101="","Sem ficha",IF($H101="","Sem preço",IF($H101&gt;CMVMeta,"ACIMA DA META","OK"))))</f>
        <v>0</v>
      </c>
      <c r="J101" s="24">
        <f>IF($G101="","",ROUNDUP($G101/CMVMeta,0)+IF(ROUNDUP($G101/CMVMeta,0)-0.1&gt;=$G101/CMVMeta,-0.1,0.9))</f>
        <v>0</v>
      </c>
      <c r="K101" s="24">
        <f>IF(OR($G101="",N($D101)&lt;=0),"",$D101-$G101-$D101*ImpTaxa)</f>
        <v>0</v>
      </c>
      <c r="L101" s="24">
        <f>IF(OR($K101="",N($E101)&lt;=0),"",$K101*$E101)</f>
        <v>0</v>
      </c>
      <c r="M101" s="29">
        <f>IF(OR($A101="",N($E101)&lt;=0),"",$E101/SUM($E$5:$E$104))</f>
        <v>0</v>
      </c>
      <c r="N101" s="28">
        <f>IF(OR($M101="",$K101=""),"",IF($M101&gt;=0.7/NPratos,IF($K101&gt;=MCmed,"Estrela","Burro de carga"),IF($K101&gt;=MCmed,"Quebra-cabeça","Cão")))</f>
        <v>0</v>
      </c>
      <c r="O101" s="30">
        <f>IF($N101="","",IF($N101="Estrela","Manter e destacar no cardápio",IF($N101="Burro de carga","Subir preço ou reduzir custo",IF($N101="Quebra-cabeça","Divulgar e sugerir ao cliente","Reformular ou retirar"))))</f>
        <v>0</v>
      </c>
      <c r="P101" s="31">
        <f>IF($H101="","",$H101+ROW()/1000000000)</f>
        <v>0</v>
      </c>
    </row>
    <row r="102" spans="1:16">
      <c r="A102" s="13"/>
      <c r="B102" s="13"/>
      <c r="C102" s="16"/>
      <c r="D102" s="18"/>
      <c r="E102" s="25"/>
      <c r="F102" s="24">
        <f>IF($A102="","",SUMIFS(Fichas!$G$5:$G$804,Fichas!$A$5:$A$804,$A102))</f>
        <v>0</v>
      </c>
      <c r="G102" s="26">
        <f>IF(OR($A102="",N($F102)=0),"",$F102/IF(N($C102)&gt;0,$C102,1))</f>
        <v>0</v>
      </c>
      <c r="H102" s="27">
        <f>IF(OR($G102="",N($D102)&lt;=0),"",$G102/$D102)</f>
        <v>0</v>
      </c>
      <c r="I102" s="28">
        <f>IF($A102="","",IF($G102="","Sem ficha",IF($H102="","Sem preço",IF($H102&gt;CMVMeta,"ACIMA DA META","OK"))))</f>
        <v>0</v>
      </c>
      <c r="J102" s="24">
        <f>IF($G102="","",ROUNDUP($G102/CMVMeta,0)+IF(ROUNDUP($G102/CMVMeta,0)-0.1&gt;=$G102/CMVMeta,-0.1,0.9))</f>
        <v>0</v>
      </c>
      <c r="K102" s="24">
        <f>IF(OR($G102="",N($D102)&lt;=0),"",$D102-$G102-$D102*ImpTaxa)</f>
        <v>0</v>
      </c>
      <c r="L102" s="24">
        <f>IF(OR($K102="",N($E102)&lt;=0),"",$K102*$E102)</f>
        <v>0</v>
      </c>
      <c r="M102" s="29">
        <f>IF(OR($A102="",N($E102)&lt;=0),"",$E102/SUM($E$5:$E$104))</f>
        <v>0</v>
      </c>
      <c r="N102" s="28">
        <f>IF(OR($M102="",$K102=""),"",IF($M102&gt;=0.7/NPratos,IF($K102&gt;=MCmed,"Estrela","Burro de carga"),IF($K102&gt;=MCmed,"Quebra-cabeça","Cão")))</f>
        <v>0</v>
      </c>
      <c r="O102" s="30">
        <f>IF($N102="","",IF($N102="Estrela","Manter e destacar no cardápio",IF($N102="Burro de carga","Subir preço ou reduzir custo",IF($N102="Quebra-cabeça","Divulgar e sugerir ao cliente","Reformular ou retirar"))))</f>
        <v>0</v>
      </c>
      <c r="P102" s="31">
        <f>IF($H102="","",$H102+ROW()/1000000000)</f>
        <v>0</v>
      </c>
    </row>
    <row r="103" spans="1:16">
      <c r="A103" s="13"/>
      <c r="B103" s="13"/>
      <c r="C103" s="16"/>
      <c r="D103" s="18"/>
      <c r="E103" s="25"/>
      <c r="F103" s="24">
        <f>IF($A103="","",SUMIFS(Fichas!$G$5:$G$804,Fichas!$A$5:$A$804,$A103))</f>
        <v>0</v>
      </c>
      <c r="G103" s="26">
        <f>IF(OR($A103="",N($F103)=0),"",$F103/IF(N($C103)&gt;0,$C103,1))</f>
        <v>0</v>
      </c>
      <c r="H103" s="27">
        <f>IF(OR($G103="",N($D103)&lt;=0),"",$G103/$D103)</f>
        <v>0</v>
      </c>
      <c r="I103" s="28">
        <f>IF($A103="","",IF($G103="","Sem ficha",IF($H103="","Sem preço",IF($H103&gt;CMVMeta,"ACIMA DA META","OK"))))</f>
        <v>0</v>
      </c>
      <c r="J103" s="24">
        <f>IF($G103="","",ROUNDUP($G103/CMVMeta,0)+IF(ROUNDUP($G103/CMVMeta,0)-0.1&gt;=$G103/CMVMeta,-0.1,0.9))</f>
        <v>0</v>
      </c>
      <c r="K103" s="24">
        <f>IF(OR($G103="",N($D103)&lt;=0),"",$D103-$G103-$D103*ImpTaxa)</f>
        <v>0</v>
      </c>
      <c r="L103" s="24">
        <f>IF(OR($K103="",N($E103)&lt;=0),"",$K103*$E103)</f>
        <v>0</v>
      </c>
      <c r="M103" s="29">
        <f>IF(OR($A103="",N($E103)&lt;=0),"",$E103/SUM($E$5:$E$104))</f>
        <v>0</v>
      </c>
      <c r="N103" s="28">
        <f>IF(OR($M103="",$K103=""),"",IF($M103&gt;=0.7/NPratos,IF($K103&gt;=MCmed,"Estrela","Burro de carga"),IF($K103&gt;=MCmed,"Quebra-cabeça","Cão")))</f>
        <v>0</v>
      </c>
      <c r="O103" s="30">
        <f>IF($N103="","",IF($N103="Estrela","Manter e destacar no cardápio",IF($N103="Burro de carga","Subir preço ou reduzir custo",IF($N103="Quebra-cabeça","Divulgar e sugerir ao cliente","Reformular ou retirar"))))</f>
        <v>0</v>
      </c>
      <c r="P103" s="31">
        <f>IF($H103="","",$H103+ROW()/1000000000)</f>
        <v>0</v>
      </c>
    </row>
    <row r="104" spans="1:16">
      <c r="A104" s="13"/>
      <c r="B104" s="13"/>
      <c r="C104" s="16"/>
      <c r="D104" s="18"/>
      <c r="E104" s="25"/>
      <c r="F104" s="24">
        <f>IF($A104="","",SUMIFS(Fichas!$G$5:$G$804,Fichas!$A$5:$A$804,$A104))</f>
        <v>0</v>
      </c>
      <c r="G104" s="26">
        <f>IF(OR($A104="",N($F104)=0),"",$F104/IF(N($C104)&gt;0,$C104,1))</f>
        <v>0</v>
      </c>
      <c r="H104" s="27">
        <f>IF(OR($G104="",N($D104)&lt;=0),"",$G104/$D104)</f>
        <v>0</v>
      </c>
      <c r="I104" s="28">
        <f>IF($A104="","",IF($G104="","Sem ficha",IF($H104="","Sem preço",IF($H104&gt;CMVMeta,"ACIMA DA META","OK"))))</f>
        <v>0</v>
      </c>
      <c r="J104" s="24">
        <f>IF($G104="","",ROUNDUP($G104/CMVMeta,0)+IF(ROUNDUP($G104/CMVMeta,0)-0.1&gt;=$G104/CMVMeta,-0.1,0.9))</f>
        <v>0</v>
      </c>
      <c r="K104" s="24">
        <f>IF(OR($G104="",N($D104)&lt;=0),"",$D104-$G104-$D104*ImpTaxa)</f>
        <v>0</v>
      </c>
      <c r="L104" s="24">
        <f>IF(OR($K104="",N($E104)&lt;=0),"",$K104*$E104)</f>
        <v>0</v>
      </c>
      <c r="M104" s="29">
        <f>IF(OR($A104="",N($E104)&lt;=0),"",$E104/SUM($E$5:$E$104))</f>
        <v>0</v>
      </c>
      <c r="N104" s="28">
        <f>IF(OR($M104="",$K104=""),"",IF($M104&gt;=0.7/NPratos,IF($K104&gt;=MCmed,"Estrela","Burro de carga"),IF($K104&gt;=MCmed,"Quebra-cabeça","Cão")))</f>
        <v>0</v>
      </c>
      <c r="O104" s="30">
        <f>IF($N104="","",IF($N104="Estrela","Manter e destacar no cardápio",IF($N104="Burro de carga","Subir preço ou reduzir custo",IF($N104="Quebra-cabeça","Divulgar e sugerir ao cliente","Reformular ou retirar"))))</f>
        <v>0</v>
      </c>
      <c r="P104" s="31">
        <f>IF($H104="","",$H104+ROW()/1000000000)</f>
        <v>0</v>
      </c>
    </row>
  </sheetData>
  <autoFilter ref="A4:P104"/>
  <mergeCells count="2">
    <mergeCell ref="A1:P1"/>
    <mergeCell ref="A2:P2"/>
  </mergeCells>
  <conditionalFormatting sqref="I5:I104">
    <cfRule type="cellIs" dxfId="1" priority="1" operator="equal">
      <formula>"ACIMA DA META"</formula>
    </cfRule>
    <cfRule type="cellIs" dxfId="2" priority="2" operator="equal">
      <formula>"OK"</formula>
    </cfRule>
    <cfRule type="cellIs" dxfId="3" priority="3" operator="equal">
      <formula>"Sem ficha"</formula>
    </cfRule>
  </conditionalFormatting>
  <conditionalFormatting sqref="N5:N104">
    <cfRule type="cellIs" dxfId="4" priority="4" operator="equal">
      <formula>"Estrela"</formula>
    </cfRule>
    <cfRule type="cellIs" dxfId="5" priority="5" operator="equal">
      <formula>"Burro de carga"</formula>
    </cfRule>
    <cfRule type="cellIs" dxfId="6" priority="6" operator="equal">
      <formula>"Quebra-cabeça"</formula>
    </cfRule>
    <cfRule type="cellIs" dxfId="7" priority="7" operator="equal">
      <formula>"Cão"</formula>
    </cfRule>
  </conditionalFormatting>
  <dataValidations count="3">
    <dataValidation type="list" allowBlank="1" showInputMessage="1" showErrorMessage="1" errorTitle="Valor inválido" error="Escolha um item da lista." sqref="B5:B104">
      <formula1>CatPrato</formula1>
    </dataValidation>
    <dataValidation type="decimal" operator="greaterThanOrEqual" allowBlank="1" showInputMessage="1" showErrorMessage="1" errorTitle="Valor inválido" error="Digite um número maior ou igual a 1." sqref="C5:C104">
      <formula1>1</formula1>
    </dataValidation>
    <dataValidation type="decimal" operator="greaterThanOrEqual" allowBlank="1" showInputMessage="1" showErrorMessage="1" errorTitle="Valor inválido" error="Digite um número maior ou igual a 0." sqref="D5:E1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Ficha Técnica e CMV para Restaurantes&amp;R&amp;8Página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99999"/>
    <pageSetUpPr fitToPage="1"/>
  </sheetPr>
  <dimension ref="A1:B2"/>
  <sheetViews>
    <sheetView showGridLines="0" workbookViewId="0"/>
  </sheetViews>
  <sheetFormatPr defaultRowHeight="15"/>
  <sheetData>
    <row r="1" spans="1:2">
      <c r="A1" t="s">
        <v>108</v>
      </c>
      <c r="B1">
        <f>SUMPRODUCT(--(Pratos!$E$5:$E$104&gt;0),--ISNUMBER(Pratos!$G$5:$G$104))</f>
        <v>0</v>
      </c>
    </row>
    <row r="2" spans="1:2">
      <c r="A2" t="s">
        <v>109</v>
      </c>
      <c r="B2">
        <f>IFERROR(SUMPRODUCT(Pratos!$K$5:$K$104,Pratos!$E$5:$E$104)/SUMPRODUCT(--ISNUMBER(Pratos!$K$5:$K$104),Pratos!$E$5:$E$104),0)</f>
        <v>0</v>
      </c>
    </row>
  </sheetData>
  <pageMargins left="0.7" right="0.7" top="0.75" bottom="0.75" header="0.3" footer="0.3"/>
  <pageSetup paperSize="9" fitToHeight="0" orientation="landscape"/>
  <headerFooter>
    <oddFooter>&amp;L&amp;8Carvex XLS - Ficha Técnica e CMV para Restaurantes&amp;R&amp;8Página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5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32.7109375" customWidth="1"/>
    <col min="3" max="3" width="11.7109375" customWidth="1"/>
    <col min="4" max="4" width="22.7109375" customWidth="1"/>
    <col min="5" max="5" width="24.7109375" customWidth="1"/>
    <col min="6" max="6" width="9.7109375" customWidth="1"/>
    <col min="7" max="7" width="15.7109375" customWidth="1"/>
    <col min="8" max="8" width="10.7109375" customWidth="1"/>
  </cols>
  <sheetData>
    <row r="1" spans="1:8" ht="36" customHeight="1">
      <c r="A1" s="1" t="s">
        <v>110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111</v>
      </c>
      <c r="B2" s="2"/>
      <c r="C2" s="2"/>
      <c r="D2" s="2"/>
      <c r="E2" s="2"/>
      <c r="F2" s="2"/>
      <c r="G2" s="2"/>
      <c r="H2" s="2"/>
    </row>
    <row r="4" spans="1:8" ht="32" customHeight="1">
      <c r="A4" s="10" t="s">
        <v>112</v>
      </c>
      <c r="B4" s="10" t="s">
        <v>75</v>
      </c>
      <c r="C4" s="10" t="s">
        <v>113</v>
      </c>
      <c r="D4" s="10" t="s">
        <v>114</v>
      </c>
      <c r="E4" s="10" t="s">
        <v>87</v>
      </c>
      <c r="F4" s="10" t="s">
        <v>76</v>
      </c>
      <c r="G4" s="10" t="s">
        <v>115</v>
      </c>
      <c r="H4" s="10" t="s">
        <v>116</v>
      </c>
    </row>
    <row r="5" spans="1:8">
      <c r="A5" s="15"/>
      <c r="B5" s="13"/>
      <c r="C5" s="19"/>
      <c r="D5" s="13"/>
      <c r="E5" s="13"/>
      <c r="F5" s="23">
        <f>IF($B5="","",IFERROR(INDEX(InsUnid,MATCH($B5,InsNome,0)),""))</f>
        <v>0</v>
      </c>
      <c r="G5" s="24">
        <f>IF(OR($B5="",$C5=""),"",$C5*IFERROR(INDEX(InsBruto,MATCH($B5,InsNome,0)),0))</f>
        <v>0</v>
      </c>
      <c r="H5" s="32">
        <f>IF($A5="","",DATE(YEAR($A5),MONTH($A5),1))</f>
        <v>0</v>
      </c>
    </row>
    <row r="6" spans="1:8">
      <c r="A6" s="15"/>
      <c r="B6" s="13"/>
      <c r="C6" s="19"/>
      <c r="D6" s="13"/>
      <c r="E6" s="13"/>
      <c r="F6" s="23">
        <f>IF($B6="","",IFERROR(INDEX(InsUnid,MATCH($B6,InsNome,0)),""))</f>
        <v>0</v>
      </c>
      <c r="G6" s="24">
        <f>IF(OR($B6="",$C6=""),"",$C6*IFERROR(INDEX(InsBruto,MATCH($B6,InsNome,0)),0))</f>
        <v>0</v>
      </c>
      <c r="H6" s="32">
        <f>IF($A6="","",DATE(YEAR($A6),MONTH($A6),1))</f>
        <v>0</v>
      </c>
    </row>
    <row r="7" spans="1:8">
      <c r="A7" s="15"/>
      <c r="B7" s="13"/>
      <c r="C7" s="19"/>
      <c r="D7" s="13"/>
      <c r="E7" s="13"/>
      <c r="F7" s="23">
        <f>IF($B7="","",IFERROR(INDEX(InsUnid,MATCH($B7,InsNome,0)),""))</f>
        <v>0</v>
      </c>
      <c r="G7" s="24">
        <f>IF(OR($B7="",$C7=""),"",$C7*IFERROR(INDEX(InsBruto,MATCH($B7,InsNome,0)),0))</f>
        <v>0</v>
      </c>
      <c r="H7" s="32">
        <f>IF($A7="","",DATE(YEAR($A7),MONTH($A7),1))</f>
        <v>0</v>
      </c>
    </row>
    <row r="8" spans="1:8">
      <c r="A8" s="15"/>
      <c r="B8" s="13"/>
      <c r="C8" s="19"/>
      <c r="D8" s="13"/>
      <c r="E8" s="13"/>
      <c r="F8" s="23">
        <f>IF($B8="","",IFERROR(INDEX(InsUnid,MATCH($B8,InsNome,0)),""))</f>
        <v>0</v>
      </c>
      <c r="G8" s="24">
        <f>IF(OR($B8="",$C8=""),"",$C8*IFERROR(INDEX(InsBruto,MATCH($B8,InsNome,0)),0))</f>
        <v>0</v>
      </c>
      <c r="H8" s="32">
        <f>IF($A8="","",DATE(YEAR($A8),MONTH($A8),1))</f>
        <v>0</v>
      </c>
    </row>
    <row r="9" spans="1:8">
      <c r="A9" s="15"/>
      <c r="B9" s="13"/>
      <c r="C9" s="19"/>
      <c r="D9" s="13"/>
      <c r="E9" s="13"/>
      <c r="F9" s="23">
        <f>IF($B9="","",IFERROR(INDEX(InsUnid,MATCH($B9,InsNome,0)),""))</f>
        <v>0</v>
      </c>
      <c r="G9" s="24">
        <f>IF(OR($B9="",$C9=""),"",$C9*IFERROR(INDEX(InsBruto,MATCH($B9,InsNome,0)),0))</f>
        <v>0</v>
      </c>
      <c r="H9" s="32">
        <f>IF($A9="","",DATE(YEAR($A9),MONTH($A9),1))</f>
        <v>0</v>
      </c>
    </row>
    <row r="10" spans="1:8">
      <c r="A10" s="15"/>
      <c r="B10" s="13"/>
      <c r="C10" s="19"/>
      <c r="D10" s="13"/>
      <c r="E10" s="13"/>
      <c r="F10" s="23">
        <f>IF($B10="","",IFERROR(INDEX(InsUnid,MATCH($B10,InsNome,0)),""))</f>
        <v>0</v>
      </c>
      <c r="G10" s="24">
        <f>IF(OR($B10="",$C10=""),"",$C10*IFERROR(INDEX(InsBruto,MATCH($B10,InsNome,0)),0))</f>
        <v>0</v>
      </c>
      <c r="H10" s="32">
        <f>IF($A10="","",DATE(YEAR($A10),MONTH($A10),1))</f>
        <v>0</v>
      </c>
    </row>
    <row r="11" spans="1:8">
      <c r="A11" s="15"/>
      <c r="B11" s="13"/>
      <c r="C11" s="19"/>
      <c r="D11" s="13"/>
      <c r="E11" s="13"/>
      <c r="F11" s="23">
        <f>IF($B11="","",IFERROR(INDEX(InsUnid,MATCH($B11,InsNome,0)),""))</f>
        <v>0</v>
      </c>
      <c r="G11" s="24">
        <f>IF(OR($B11="",$C11=""),"",$C11*IFERROR(INDEX(InsBruto,MATCH($B11,InsNome,0)),0))</f>
        <v>0</v>
      </c>
      <c r="H11" s="32">
        <f>IF($A11="","",DATE(YEAR($A11),MONTH($A11),1))</f>
        <v>0</v>
      </c>
    </row>
    <row r="12" spans="1:8">
      <c r="A12" s="15"/>
      <c r="B12" s="13"/>
      <c r="C12" s="19"/>
      <c r="D12" s="13"/>
      <c r="E12" s="13"/>
      <c r="F12" s="23">
        <f>IF($B12="","",IFERROR(INDEX(InsUnid,MATCH($B12,InsNome,0)),""))</f>
        <v>0</v>
      </c>
      <c r="G12" s="24">
        <f>IF(OR($B12="",$C12=""),"",$C12*IFERROR(INDEX(InsBruto,MATCH($B12,InsNome,0)),0))</f>
        <v>0</v>
      </c>
      <c r="H12" s="32">
        <f>IF($A12="","",DATE(YEAR($A12),MONTH($A12),1))</f>
        <v>0</v>
      </c>
    </row>
    <row r="13" spans="1:8">
      <c r="A13" s="15"/>
      <c r="B13" s="13"/>
      <c r="C13" s="19"/>
      <c r="D13" s="13"/>
      <c r="E13" s="13"/>
      <c r="F13" s="23">
        <f>IF($B13="","",IFERROR(INDEX(InsUnid,MATCH($B13,InsNome,0)),""))</f>
        <v>0</v>
      </c>
      <c r="G13" s="24">
        <f>IF(OR($B13="",$C13=""),"",$C13*IFERROR(INDEX(InsBruto,MATCH($B13,InsNome,0)),0))</f>
        <v>0</v>
      </c>
      <c r="H13" s="32">
        <f>IF($A13="","",DATE(YEAR($A13),MONTH($A13),1))</f>
        <v>0</v>
      </c>
    </row>
    <row r="14" spans="1:8">
      <c r="A14" s="15"/>
      <c r="B14" s="13"/>
      <c r="C14" s="19"/>
      <c r="D14" s="13"/>
      <c r="E14" s="13"/>
      <c r="F14" s="23">
        <f>IF($B14="","",IFERROR(INDEX(InsUnid,MATCH($B14,InsNome,0)),""))</f>
        <v>0</v>
      </c>
      <c r="G14" s="24">
        <f>IF(OR($B14="",$C14=""),"",$C14*IFERROR(INDEX(InsBruto,MATCH($B14,InsNome,0)),0))</f>
        <v>0</v>
      </c>
      <c r="H14" s="32">
        <f>IF($A14="","",DATE(YEAR($A14),MONTH($A14),1))</f>
        <v>0</v>
      </c>
    </row>
    <row r="15" spans="1:8">
      <c r="A15" s="15"/>
      <c r="B15" s="13"/>
      <c r="C15" s="19"/>
      <c r="D15" s="13"/>
      <c r="E15" s="13"/>
      <c r="F15" s="23">
        <f>IF($B15="","",IFERROR(INDEX(InsUnid,MATCH($B15,InsNome,0)),""))</f>
        <v>0</v>
      </c>
      <c r="G15" s="24">
        <f>IF(OR($B15="",$C15=""),"",$C15*IFERROR(INDEX(InsBruto,MATCH($B15,InsNome,0)),0))</f>
        <v>0</v>
      </c>
      <c r="H15" s="32">
        <f>IF($A15="","",DATE(YEAR($A15),MONTH($A15),1))</f>
        <v>0</v>
      </c>
    </row>
    <row r="16" spans="1:8">
      <c r="A16" s="15"/>
      <c r="B16" s="13"/>
      <c r="C16" s="19"/>
      <c r="D16" s="13"/>
      <c r="E16" s="13"/>
      <c r="F16" s="23">
        <f>IF($B16="","",IFERROR(INDEX(InsUnid,MATCH($B16,InsNome,0)),""))</f>
        <v>0</v>
      </c>
      <c r="G16" s="24">
        <f>IF(OR($B16="",$C16=""),"",$C16*IFERROR(INDEX(InsBruto,MATCH($B16,InsNome,0)),0))</f>
        <v>0</v>
      </c>
      <c r="H16" s="32">
        <f>IF($A16="","",DATE(YEAR($A16),MONTH($A16),1))</f>
        <v>0</v>
      </c>
    </row>
    <row r="17" spans="1:8">
      <c r="A17" s="15"/>
      <c r="B17" s="13"/>
      <c r="C17" s="19"/>
      <c r="D17" s="13"/>
      <c r="E17" s="13"/>
      <c r="F17" s="23">
        <f>IF($B17="","",IFERROR(INDEX(InsUnid,MATCH($B17,InsNome,0)),""))</f>
        <v>0</v>
      </c>
      <c r="G17" s="24">
        <f>IF(OR($B17="",$C17=""),"",$C17*IFERROR(INDEX(InsBruto,MATCH($B17,InsNome,0)),0))</f>
        <v>0</v>
      </c>
      <c r="H17" s="32">
        <f>IF($A17="","",DATE(YEAR($A17),MONTH($A17),1))</f>
        <v>0</v>
      </c>
    </row>
    <row r="18" spans="1:8">
      <c r="A18" s="15"/>
      <c r="B18" s="13"/>
      <c r="C18" s="19"/>
      <c r="D18" s="13"/>
      <c r="E18" s="13"/>
      <c r="F18" s="23">
        <f>IF($B18="","",IFERROR(INDEX(InsUnid,MATCH($B18,InsNome,0)),""))</f>
        <v>0</v>
      </c>
      <c r="G18" s="24">
        <f>IF(OR($B18="",$C18=""),"",$C18*IFERROR(INDEX(InsBruto,MATCH($B18,InsNome,0)),0))</f>
        <v>0</v>
      </c>
      <c r="H18" s="32">
        <f>IF($A18="","",DATE(YEAR($A18),MONTH($A18),1))</f>
        <v>0</v>
      </c>
    </row>
    <row r="19" spans="1:8">
      <c r="A19" s="15"/>
      <c r="B19" s="13"/>
      <c r="C19" s="19"/>
      <c r="D19" s="13"/>
      <c r="E19" s="13"/>
      <c r="F19" s="23">
        <f>IF($B19="","",IFERROR(INDEX(InsUnid,MATCH($B19,InsNome,0)),""))</f>
        <v>0</v>
      </c>
      <c r="G19" s="24">
        <f>IF(OR($B19="",$C19=""),"",$C19*IFERROR(INDEX(InsBruto,MATCH($B19,InsNome,0)),0))</f>
        <v>0</v>
      </c>
      <c r="H19" s="32">
        <f>IF($A19="","",DATE(YEAR($A19),MONTH($A19),1))</f>
        <v>0</v>
      </c>
    </row>
    <row r="20" spans="1:8">
      <c r="A20" s="15"/>
      <c r="B20" s="13"/>
      <c r="C20" s="19"/>
      <c r="D20" s="13"/>
      <c r="E20" s="13"/>
      <c r="F20" s="23">
        <f>IF($B20="","",IFERROR(INDEX(InsUnid,MATCH($B20,InsNome,0)),""))</f>
        <v>0</v>
      </c>
      <c r="G20" s="24">
        <f>IF(OR($B20="",$C20=""),"",$C20*IFERROR(INDEX(InsBruto,MATCH($B20,InsNome,0)),0))</f>
        <v>0</v>
      </c>
      <c r="H20" s="32">
        <f>IF($A20="","",DATE(YEAR($A20),MONTH($A20),1))</f>
        <v>0</v>
      </c>
    </row>
    <row r="21" spans="1:8">
      <c r="A21" s="15"/>
      <c r="B21" s="13"/>
      <c r="C21" s="19"/>
      <c r="D21" s="13"/>
      <c r="E21" s="13"/>
      <c r="F21" s="23">
        <f>IF($B21="","",IFERROR(INDEX(InsUnid,MATCH($B21,InsNome,0)),""))</f>
        <v>0</v>
      </c>
      <c r="G21" s="24">
        <f>IF(OR($B21="",$C21=""),"",$C21*IFERROR(INDEX(InsBruto,MATCH($B21,InsNome,0)),0))</f>
        <v>0</v>
      </c>
      <c r="H21" s="32">
        <f>IF($A21="","",DATE(YEAR($A21),MONTH($A21),1))</f>
        <v>0</v>
      </c>
    </row>
    <row r="22" spans="1:8">
      <c r="A22" s="15"/>
      <c r="B22" s="13"/>
      <c r="C22" s="19"/>
      <c r="D22" s="13"/>
      <c r="E22" s="13"/>
      <c r="F22" s="23">
        <f>IF($B22="","",IFERROR(INDEX(InsUnid,MATCH($B22,InsNome,0)),""))</f>
        <v>0</v>
      </c>
      <c r="G22" s="24">
        <f>IF(OR($B22="",$C22=""),"",$C22*IFERROR(INDEX(InsBruto,MATCH($B22,InsNome,0)),0))</f>
        <v>0</v>
      </c>
      <c r="H22" s="32">
        <f>IF($A22="","",DATE(YEAR($A22),MONTH($A22),1))</f>
        <v>0</v>
      </c>
    </row>
    <row r="23" spans="1:8">
      <c r="A23" s="15"/>
      <c r="B23" s="13"/>
      <c r="C23" s="19"/>
      <c r="D23" s="13"/>
      <c r="E23" s="13"/>
      <c r="F23" s="23">
        <f>IF($B23="","",IFERROR(INDEX(InsUnid,MATCH($B23,InsNome,0)),""))</f>
        <v>0</v>
      </c>
      <c r="G23" s="24">
        <f>IF(OR($B23="",$C23=""),"",$C23*IFERROR(INDEX(InsBruto,MATCH($B23,InsNome,0)),0))</f>
        <v>0</v>
      </c>
      <c r="H23" s="32">
        <f>IF($A23="","",DATE(YEAR($A23),MONTH($A23),1))</f>
        <v>0</v>
      </c>
    </row>
    <row r="24" spans="1:8">
      <c r="A24" s="15"/>
      <c r="B24" s="13"/>
      <c r="C24" s="19"/>
      <c r="D24" s="13"/>
      <c r="E24" s="13"/>
      <c r="F24" s="23">
        <f>IF($B24="","",IFERROR(INDEX(InsUnid,MATCH($B24,InsNome,0)),""))</f>
        <v>0</v>
      </c>
      <c r="G24" s="24">
        <f>IF(OR($B24="",$C24=""),"",$C24*IFERROR(INDEX(InsBruto,MATCH($B24,InsNome,0)),0))</f>
        <v>0</v>
      </c>
      <c r="H24" s="32">
        <f>IF($A24="","",DATE(YEAR($A24),MONTH($A24),1))</f>
        <v>0</v>
      </c>
    </row>
    <row r="25" spans="1:8">
      <c r="A25" s="15"/>
      <c r="B25" s="13"/>
      <c r="C25" s="19"/>
      <c r="D25" s="13"/>
      <c r="E25" s="13"/>
      <c r="F25" s="23">
        <f>IF($B25="","",IFERROR(INDEX(InsUnid,MATCH($B25,InsNome,0)),""))</f>
        <v>0</v>
      </c>
      <c r="G25" s="24">
        <f>IF(OR($B25="",$C25=""),"",$C25*IFERROR(INDEX(InsBruto,MATCH($B25,InsNome,0)),0))</f>
        <v>0</v>
      </c>
      <c r="H25" s="32">
        <f>IF($A25="","",DATE(YEAR($A25),MONTH($A25),1))</f>
        <v>0</v>
      </c>
    </row>
    <row r="26" spans="1:8">
      <c r="A26" s="15"/>
      <c r="B26" s="13"/>
      <c r="C26" s="19"/>
      <c r="D26" s="13"/>
      <c r="E26" s="13"/>
      <c r="F26" s="23">
        <f>IF($B26="","",IFERROR(INDEX(InsUnid,MATCH($B26,InsNome,0)),""))</f>
        <v>0</v>
      </c>
      <c r="G26" s="24">
        <f>IF(OR($B26="",$C26=""),"",$C26*IFERROR(INDEX(InsBruto,MATCH($B26,InsNome,0)),0))</f>
        <v>0</v>
      </c>
      <c r="H26" s="32">
        <f>IF($A26="","",DATE(YEAR($A26),MONTH($A26),1))</f>
        <v>0</v>
      </c>
    </row>
    <row r="27" spans="1:8">
      <c r="A27" s="15"/>
      <c r="B27" s="13"/>
      <c r="C27" s="19"/>
      <c r="D27" s="13"/>
      <c r="E27" s="13"/>
      <c r="F27" s="23">
        <f>IF($B27="","",IFERROR(INDEX(InsUnid,MATCH($B27,InsNome,0)),""))</f>
        <v>0</v>
      </c>
      <c r="G27" s="24">
        <f>IF(OR($B27="",$C27=""),"",$C27*IFERROR(INDEX(InsBruto,MATCH($B27,InsNome,0)),0))</f>
        <v>0</v>
      </c>
      <c r="H27" s="32">
        <f>IF($A27="","",DATE(YEAR($A27),MONTH($A27),1))</f>
        <v>0</v>
      </c>
    </row>
    <row r="28" spans="1:8">
      <c r="A28" s="15"/>
      <c r="B28" s="13"/>
      <c r="C28" s="19"/>
      <c r="D28" s="13"/>
      <c r="E28" s="13"/>
      <c r="F28" s="23">
        <f>IF($B28="","",IFERROR(INDEX(InsUnid,MATCH($B28,InsNome,0)),""))</f>
        <v>0</v>
      </c>
      <c r="G28" s="24">
        <f>IF(OR($B28="",$C28=""),"",$C28*IFERROR(INDEX(InsBruto,MATCH($B28,InsNome,0)),0))</f>
        <v>0</v>
      </c>
      <c r="H28" s="32">
        <f>IF($A28="","",DATE(YEAR($A28),MONTH($A28),1))</f>
        <v>0</v>
      </c>
    </row>
    <row r="29" spans="1:8">
      <c r="A29" s="15"/>
      <c r="B29" s="13"/>
      <c r="C29" s="19"/>
      <c r="D29" s="13"/>
      <c r="E29" s="13"/>
      <c r="F29" s="23">
        <f>IF($B29="","",IFERROR(INDEX(InsUnid,MATCH($B29,InsNome,0)),""))</f>
        <v>0</v>
      </c>
      <c r="G29" s="24">
        <f>IF(OR($B29="",$C29=""),"",$C29*IFERROR(INDEX(InsBruto,MATCH($B29,InsNome,0)),0))</f>
        <v>0</v>
      </c>
      <c r="H29" s="32">
        <f>IF($A29="","",DATE(YEAR($A29),MONTH($A29),1))</f>
        <v>0</v>
      </c>
    </row>
    <row r="30" spans="1:8">
      <c r="A30" s="15"/>
      <c r="B30" s="13"/>
      <c r="C30" s="19"/>
      <c r="D30" s="13"/>
      <c r="E30" s="13"/>
      <c r="F30" s="23">
        <f>IF($B30="","",IFERROR(INDEX(InsUnid,MATCH($B30,InsNome,0)),""))</f>
        <v>0</v>
      </c>
      <c r="G30" s="24">
        <f>IF(OR($B30="",$C30=""),"",$C30*IFERROR(INDEX(InsBruto,MATCH($B30,InsNome,0)),0))</f>
        <v>0</v>
      </c>
      <c r="H30" s="32">
        <f>IF($A30="","",DATE(YEAR($A30),MONTH($A30),1))</f>
        <v>0</v>
      </c>
    </row>
    <row r="31" spans="1:8">
      <c r="A31" s="15"/>
      <c r="B31" s="13"/>
      <c r="C31" s="19"/>
      <c r="D31" s="13"/>
      <c r="E31" s="13"/>
      <c r="F31" s="23">
        <f>IF($B31="","",IFERROR(INDEX(InsUnid,MATCH($B31,InsNome,0)),""))</f>
        <v>0</v>
      </c>
      <c r="G31" s="24">
        <f>IF(OR($B31="",$C31=""),"",$C31*IFERROR(INDEX(InsBruto,MATCH($B31,InsNome,0)),0))</f>
        <v>0</v>
      </c>
      <c r="H31" s="32">
        <f>IF($A31="","",DATE(YEAR($A31),MONTH($A31),1))</f>
        <v>0</v>
      </c>
    </row>
    <row r="32" spans="1:8">
      <c r="A32" s="15"/>
      <c r="B32" s="13"/>
      <c r="C32" s="19"/>
      <c r="D32" s="13"/>
      <c r="E32" s="13"/>
      <c r="F32" s="23">
        <f>IF($B32="","",IFERROR(INDEX(InsUnid,MATCH($B32,InsNome,0)),""))</f>
        <v>0</v>
      </c>
      <c r="G32" s="24">
        <f>IF(OR($B32="",$C32=""),"",$C32*IFERROR(INDEX(InsBruto,MATCH($B32,InsNome,0)),0))</f>
        <v>0</v>
      </c>
      <c r="H32" s="32">
        <f>IF($A32="","",DATE(YEAR($A32),MONTH($A32),1))</f>
        <v>0</v>
      </c>
    </row>
    <row r="33" spans="1:8">
      <c r="A33" s="15"/>
      <c r="B33" s="13"/>
      <c r="C33" s="19"/>
      <c r="D33" s="13"/>
      <c r="E33" s="13"/>
      <c r="F33" s="23">
        <f>IF($B33="","",IFERROR(INDEX(InsUnid,MATCH($B33,InsNome,0)),""))</f>
        <v>0</v>
      </c>
      <c r="G33" s="24">
        <f>IF(OR($B33="",$C33=""),"",$C33*IFERROR(INDEX(InsBruto,MATCH($B33,InsNome,0)),0))</f>
        <v>0</v>
      </c>
      <c r="H33" s="32">
        <f>IF($A33="","",DATE(YEAR($A33),MONTH($A33),1))</f>
        <v>0</v>
      </c>
    </row>
    <row r="34" spans="1:8">
      <c r="A34" s="15"/>
      <c r="B34" s="13"/>
      <c r="C34" s="19"/>
      <c r="D34" s="13"/>
      <c r="E34" s="13"/>
      <c r="F34" s="23">
        <f>IF($B34="","",IFERROR(INDEX(InsUnid,MATCH($B34,InsNome,0)),""))</f>
        <v>0</v>
      </c>
      <c r="G34" s="24">
        <f>IF(OR($B34="",$C34=""),"",$C34*IFERROR(INDEX(InsBruto,MATCH($B34,InsNome,0)),0))</f>
        <v>0</v>
      </c>
      <c r="H34" s="32">
        <f>IF($A34="","",DATE(YEAR($A34),MONTH($A34),1))</f>
        <v>0</v>
      </c>
    </row>
    <row r="35" spans="1:8">
      <c r="A35" s="15"/>
      <c r="B35" s="13"/>
      <c r="C35" s="19"/>
      <c r="D35" s="13"/>
      <c r="E35" s="13"/>
      <c r="F35" s="23">
        <f>IF($B35="","",IFERROR(INDEX(InsUnid,MATCH($B35,InsNome,0)),""))</f>
        <v>0</v>
      </c>
      <c r="G35" s="24">
        <f>IF(OR($B35="",$C35=""),"",$C35*IFERROR(INDEX(InsBruto,MATCH($B35,InsNome,0)),0))</f>
        <v>0</v>
      </c>
      <c r="H35" s="32">
        <f>IF($A35="","",DATE(YEAR($A35),MONTH($A35),1))</f>
        <v>0</v>
      </c>
    </row>
    <row r="36" spans="1:8">
      <c r="A36" s="15"/>
      <c r="B36" s="13"/>
      <c r="C36" s="19"/>
      <c r="D36" s="13"/>
      <c r="E36" s="13"/>
      <c r="F36" s="23">
        <f>IF($B36="","",IFERROR(INDEX(InsUnid,MATCH($B36,InsNome,0)),""))</f>
        <v>0</v>
      </c>
      <c r="G36" s="24">
        <f>IF(OR($B36="",$C36=""),"",$C36*IFERROR(INDEX(InsBruto,MATCH($B36,InsNome,0)),0))</f>
        <v>0</v>
      </c>
      <c r="H36" s="32">
        <f>IF($A36="","",DATE(YEAR($A36),MONTH($A36),1))</f>
        <v>0</v>
      </c>
    </row>
    <row r="37" spans="1:8">
      <c r="A37" s="15"/>
      <c r="B37" s="13"/>
      <c r="C37" s="19"/>
      <c r="D37" s="13"/>
      <c r="E37" s="13"/>
      <c r="F37" s="23">
        <f>IF($B37="","",IFERROR(INDEX(InsUnid,MATCH($B37,InsNome,0)),""))</f>
        <v>0</v>
      </c>
      <c r="G37" s="24">
        <f>IF(OR($B37="",$C37=""),"",$C37*IFERROR(INDEX(InsBruto,MATCH($B37,InsNome,0)),0))</f>
        <v>0</v>
      </c>
      <c r="H37" s="32">
        <f>IF($A37="","",DATE(YEAR($A37),MONTH($A37),1))</f>
        <v>0</v>
      </c>
    </row>
    <row r="38" spans="1:8">
      <c r="A38" s="15"/>
      <c r="B38" s="13"/>
      <c r="C38" s="19"/>
      <c r="D38" s="13"/>
      <c r="E38" s="13"/>
      <c r="F38" s="23">
        <f>IF($B38="","",IFERROR(INDEX(InsUnid,MATCH($B38,InsNome,0)),""))</f>
        <v>0</v>
      </c>
      <c r="G38" s="24">
        <f>IF(OR($B38="",$C38=""),"",$C38*IFERROR(INDEX(InsBruto,MATCH($B38,InsNome,0)),0))</f>
        <v>0</v>
      </c>
      <c r="H38" s="32">
        <f>IF($A38="","",DATE(YEAR($A38),MONTH($A38),1))</f>
        <v>0</v>
      </c>
    </row>
    <row r="39" spans="1:8">
      <c r="A39" s="15"/>
      <c r="B39" s="13"/>
      <c r="C39" s="19"/>
      <c r="D39" s="13"/>
      <c r="E39" s="13"/>
      <c r="F39" s="23">
        <f>IF($B39="","",IFERROR(INDEX(InsUnid,MATCH($B39,InsNome,0)),""))</f>
        <v>0</v>
      </c>
      <c r="G39" s="24">
        <f>IF(OR($B39="",$C39=""),"",$C39*IFERROR(INDEX(InsBruto,MATCH($B39,InsNome,0)),0))</f>
        <v>0</v>
      </c>
      <c r="H39" s="32">
        <f>IF($A39="","",DATE(YEAR($A39),MONTH($A39),1))</f>
        <v>0</v>
      </c>
    </row>
    <row r="40" spans="1:8">
      <c r="A40" s="15"/>
      <c r="B40" s="13"/>
      <c r="C40" s="19"/>
      <c r="D40" s="13"/>
      <c r="E40" s="13"/>
      <c r="F40" s="23">
        <f>IF($B40="","",IFERROR(INDEX(InsUnid,MATCH($B40,InsNome,0)),""))</f>
        <v>0</v>
      </c>
      <c r="G40" s="24">
        <f>IF(OR($B40="",$C40=""),"",$C40*IFERROR(INDEX(InsBruto,MATCH($B40,InsNome,0)),0))</f>
        <v>0</v>
      </c>
      <c r="H40" s="32">
        <f>IF($A40="","",DATE(YEAR($A40),MONTH($A40),1))</f>
        <v>0</v>
      </c>
    </row>
    <row r="41" spans="1:8">
      <c r="A41" s="15"/>
      <c r="B41" s="13"/>
      <c r="C41" s="19"/>
      <c r="D41" s="13"/>
      <c r="E41" s="13"/>
      <c r="F41" s="23">
        <f>IF($B41="","",IFERROR(INDEX(InsUnid,MATCH($B41,InsNome,0)),""))</f>
        <v>0</v>
      </c>
      <c r="G41" s="24">
        <f>IF(OR($B41="",$C41=""),"",$C41*IFERROR(INDEX(InsBruto,MATCH($B41,InsNome,0)),0))</f>
        <v>0</v>
      </c>
      <c r="H41" s="32">
        <f>IF($A41="","",DATE(YEAR($A41),MONTH($A41),1))</f>
        <v>0</v>
      </c>
    </row>
    <row r="42" spans="1:8">
      <c r="A42" s="15"/>
      <c r="B42" s="13"/>
      <c r="C42" s="19"/>
      <c r="D42" s="13"/>
      <c r="E42" s="13"/>
      <c r="F42" s="23">
        <f>IF($B42="","",IFERROR(INDEX(InsUnid,MATCH($B42,InsNome,0)),""))</f>
        <v>0</v>
      </c>
      <c r="G42" s="24">
        <f>IF(OR($B42="",$C42=""),"",$C42*IFERROR(INDEX(InsBruto,MATCH($B42,InsNome,0)),0))</f>
        <v>0</v>
      </c>
      <c r="H42" s="32">
        <f>IF($A42="","",DATE(YEAR($A42),MONTH($A42),1))</f>
        <v>0</v>
      </c>
    </row>
    <row r="43" spans="1:8">
      <c r="A43" s="15"/>
      <c r="B43" s="13"/>
      <c r="C43" s="19"/>
      <c r="D43" s="13"/>
      <c r="E43" s="13"/>
      <c r="F43" s="23">
        <f>IF($B43="","",IFERROR(INDEX(InsUnid,MATCH($B43,InsNome,0)),""))</f>
        <v>0</v>
      </c>
      <c r="G43" s="24">
        <f>IF(OR($B43="",$C43=""),"",$C43*IFERROR(INDEX(InsBruto,MATCH($B43,InsNome,0)),0))</f>
        <v>0</v>
      </c>
      <c r="H43" s="32">
        <f>IF($A43="","",DATE(YEAR($A43),MONTH($A43),1))</f>
        <v>0</v>
      </c>
    </row>
    <row r="44" spans="1:8">
      <c r="A44" s="15"/>
      <c r="B44" s="13"/>
      <c r="C44" s="19"/>
      <c r="D44" s="13"/>
      <c r="E44" s="13"/>
      <c r="F44" s="23">
        <f>IF($B44="","",IFERROR(INDEX(InsUnid,MATCH($B44,InsNome,0)),""))</f>
        <v>0</v>
      </c>
      <c r="G44" s="24">
        <f>IF(OR($B44="",$C44=""),"",$C44*IFERROR(INDEX(InsBruto,MATCH($B44,InsNome,0)),0))</f>
        <v>0</v>
      </c>
      <c r="H44" s="32">
        <f>IF($A44="","",DATE(YEAR($A44),MONTH($A44),1))</f>
        <v>0</v>
      </c>
    </row>
    <row r="45" spans="1:8">
      <c r="A45" s="15"/>
      <c r="B45" s="13"/>
      <c r="C45" s="19"/>
      <c r="D45" s="13"/>
      <c r="E45" s="13"/>
      <c r="F45" s="23">
        <f>IF($B45="","",IFERROR(INDEX(InsUnid,MATCH($B45,InsNome,0)),""))</f>
        <v>0</v>
      </c>
      <c r="G45" s="24">
        <f>IF(OR($B45="",$C45=""),"",$C45*IFERROR(INDEX(InsBruto,MATCH($B45,InsNome,0)),0))</f>
        <v>0</v>
      </c>
      <c r="H45" s="32">
        <f>IF($A45="","",DATE(YEAR($A45),MONTH($A45),1))</f>
        <v>0</v>
      </c>
    </row>
    <row r="46" spans="1:8">
      <c r="A46" s="15"/>
      <c r="B46" s="13"/>
      <c r="C46" s="19"/>
      <c r="D46" s="13"/>
      <c r="E46" s="13"/>
      <c r="F46" s="23">
        <f>IF($B46="","",IFERROR(INDEX(InsUnid,MATCH($B46,InsNome,0)),""))</f>
        <v>0</v>
      </c>
      <c r="G46" s="24">
        <f>IF(OR($B46="",$C46=""),"",$C46*IFERROR(INDEX(InsBruto,MATCH($B46,InsNome,0)),0))</f>
        <v>0</v>
      </c>
      <c r="H46" s="32">
        <f>IF($A46="","",DATE(YEAR($A46),MONTH($A46),1))</f>
        <v>0</v>
      </c>
    </row>
    <row r="47" spans="1:8">
      <c r="A47" s="15"/>
      <c r="B47" s="13"/>
      <c r="C47" s="19"/>
      <c r="D47" s="13"/>
      <c r="E47" s="13"/>
      <c r="F47" s="23">
        <f>IF($B47="","",IFERROR(INDEX(InsUnid,MATCH($B47,InsNome,0)),""))</f>
        <v>0</v>
      </c>
      <c r="G47" s="24">
        <f>IF(OR($B47="",$C47=""),"",$C47*IFERROR(INDEX(InsBruto,MATCH($B47,InsNome,0)),0))</f>
        <v>0</v>
      </c>
      <c r="H47" s="32">
        <f>IF($A47="","",DATE(YEAR($A47),MONTH($A47),1))</f>
        <v>0</v>
      </c>
    </row>
    <row r="48" spans="1:8">
      <c r="A48" s="15"/>
      <c r="B48" s="13"/>
      <c r="C48" s="19"/>
      <c r="D48" s="13"/>
      <c r="E48" s="13"/>
      <c r="F48" s="23">
        <f>IF($B48="","",IFERROR(INDEX(InsUnid,MATCH($B48,InsNome,0)),""))</f>
        <v>0</v>
      </c>
      <c r="G48" s="24">
        <f>IF(OR($B48="",$C48=""),"",$C48*IFERROR(INDEX(InsBruto,MATCH($B48,InsNome,0)),0))</f>
        <v>0</v>
      </c>
      <c r="H48" s="32">
        <f>IF($A48="","",DATE(YEAR($A48),MONTH($A48),1))</f>
        <v>0</v>
      </c>
    </row>
    <row r="49" spans="1:8">
      <c r="A49" s="15"/>
      <c r="B49" s="13"/>
      <c r="C49" s="19"/>
      <c r="D49" s="13"/>
      <c r="E49" s="13"/>
      <c r="F49" s="23">
        <f>IF($B49="","",IFERROR(INDEX(InsUnid,MATCH($B49,InsNome,0)),""))</f>
        <v>0</v>
      </c>
      <c r="G49" s="24">
        <f>IF(OR($B49="",$C49=""),"",$C49*IFERROR(INDEX(InsBruto,MATCH($B49,InsNome,0)),0))</f>
        <v>0</v>
      </c>
      <c r="H49" s="32">
        <f>IF($A49="","",DATE(YEAR($A49),MONTH($A49),1))</f>
        <v>0</v>
      </c>
    </row>
    <row r="50" spans="1:8">
      <c r="A50" s="15"/>
      <c r="B50" s="13"/>
      <c r="C50" s="19"/>
      <c r="D50" s="13"/>
      <c r="E50" s="13"/>
      <c r="F50" s="23">
        <f>IF($B50="","",IFERROR(INDEX(InsUnid,MATCH($B50,InsNome,0)),""))</f>
        <v>0</v>
      </c>
      <c r="G50" s="24">
        <f>IF(OR($B50="",$C50=""),"",$C50*IFERROR(INDEX(InsBruto,MATCH($B50,InsNome,0)),0))</f>
        <v>0</v>
      </c>
      <c r="H50" s="32">
        <f>IF($A50="","",DATE(YEAR($A50),MONTH($A50),1))</f>
        <v>0</v>
      </c>
    </row>
    <row r="51" spans="1:8">
      <c r="A51" s="15"/>
      <c r="B51" s="13"/>
      <c r="C51" s="19"/>
      <c r="D51" s="13"/>
      <c r="E51" s="13"/>
      <c r="F51" s="23">
        <f>IF($B51="","",IFERROR(INDEX(InsUnid,MATCH($B51,InsNome,0)),""))</f>
        <v>0</v>
      </c>
      <c r="G51" s="24">
        <f>IF(OR($B51="",$C51=""),"",$C51*IFERROR(INDEX(InsBruto,MATCH($B51,InsNome,0)),0))</f>
        <v>0</v>
      </c>
      <c r="H51" s="32">
        <f>IF($A51="","",DATE(YEAR($A51),MONTH($A51),1))</f>
        <v>0</v>
      </c>
    </row>
    <row r="52" spans="1:8">
      <c r="A52" s="15"/>
      <c r="B52" s="13"/>
      <c r="C52" s="19"/>
      <c r="D52" s="13"/>
      <c r="E52" s="13"/>
      <c r="F52" s="23">
        <f>IF($B52="","",IFERROR(INDEX(InsUnid,MATCH($B52,InsNome,0)),""))</f>
        <v>0</v>
      </c>
      <c r="G52" s="24">
        <f>IF(OR($B52="",$C52=""),"",$C52*IFERROR(INDEX(InsBruto,MATCH($B52,InsNome,0)),0))</f>
        <v>0</v>
      </c>
      <c r="H52" s="32">
        <f>IF($A52="","",DATE(YEAR($A52),MONTH($A52),1))</f>
        <v>0</v>
      </c>
    </row>
    <row r="53" spans="1:8">
      <c r="A53" s="15"/>
      <c r="B53" s="13"/>
      <c r="C53" s="19"/>
      <c r="D53" s="13"/>
      <c r="E53" s="13"/>
      <c r="F53" s="23">
        <f>IF($B53="","",IFERROR(INDEX(InsUnid,MATCH($B53,InsNome,0)),""))</f>
        <v>0</v>
      </c>
      <c r="G53" s="24">
        <f>IF(OR($B53="",$C53=""),"",$C53*IFERROR(INDEX(InsBruto,MATCH($B53,InsNome,0)),0))</f>
        <v>0</v>
      </c>
      <c r="H53" s="32">
        <f>IF($A53="","",DATE(YEAR($A53),MONTH($A53),1))</f>
        <v>0</v>
      </c>
    </row>
    <row r="54" spans="1:8">
      <c r="A54" s="15"/>
      <c r="B54" s="13"/>
      <c r="C54" s="19"/>
      <c r="D54" s="13"/>
      <c r="E54" s="13"/>
      <c r="F54" s="23">
        <f>IF($B54="","",IFERROR(INDEX(InsUnid,MATCH($B54,InsNome,0)),""))</f>
        <v>0</v>
      </c>
      <c r="G54" s="24">
        <f>IF(OR($B54="",$C54=""),"",$C54*IFERROR(INDEX(InsBruto,MATCH($B54,InsNome,0)),0))</f>
        <v>0</v>
      </c>
      <c r="H54" s="32">
        <f>IF($A54="","",DATE(YEAR($A54),MONTH($A54),1))</f>
        <v>0</v>
      </c>
    </row>
    <row r="55" spans="1:8">
      <c r="A55" s="15"/>
      <c r="B55" s="13"/>
      <c r="C55" s="19"/>
      <c r="D55" s="13"/>
      <c r="E55" s="13"/>
      <c r="F55" s="23">
        <f>IF($B55="","",IFERROR(INDEX(InsUnid,MATCH($B55,InsNome,0)),""))</f>
        <v>0</v>
      </c>
      <c r="G55" s="24">
        <f>IF(OR($B55="",$C55=""),"",$C55*IFERROR(INDEX(InsBruto,MATCH($B55,InsNome,0)),0))</f>
        <v>0</v>
      </c>
      <c r="H55" s="32">
        <f>IF($A55="","",DATE(YEAR($A55),MONTH($A55),1))</f>
        <v>0</v>
      </c>
    </row>
    <row r="56" spans="1:8">
      <c r="A56" s="15"/>
      <c r="B56" s="13"/>
      <c r="C56" s="19"/>
      <c r="D56" s="13"/>
      <c r="E56" s="13"/>
      <c r="F56" s="23">
        <f>IF($B56="","",IFERROR(INDEX(InsUnid,MATCH($B56,InsNome,0)),""))</f>
        <v>0</v>
      </c>
      <c r="G56" s="24">
        <f>IF(OR($B56="",$C56=""),"",$C56*IFERROR(INDEX(InsBruto,MATCH($B56,InsNome,0)),0))</f>
        <v>0</v>
      </c>
      <c r="H56" s="32">
        <f>IF($A56="","",DATE(YEAR($A56),MONTH($A56),1))</f>
        <v>0</v>
      </c>
    </row>
    <row r="57" spans="1:8">
      <c r="A57" s="15"/>
      <c r="B57" s="13"/>
      <c r="C57" s="19"/>
      <c r="D57" s="13"/>
      <c r="E57" s="13"/>
      <c r="F57" s="23">
        <f>IF($B57="","",IFERROR(INDEX(InsUnid,MATCH($B57,InsNome,0)),""))</f>
        <v>0</v>
      </c>
      <c r="G57" s="24">
        <f>IF(OR($B57="",$C57=""),"",$C57*IFERROR(INDEX(InsBruto,MATCH($B57,InsNome,0)),0))</f>
        <v>0</v>
      </c>
      <c r="H57" s="32">
        <f>IF($A57="","",DATE(YEAR($A57),MONTH($A57),1))</f>
        <v>0</v>
      </c>
    </row>
    <row r="58" spans="1:8">
      <c r="A58" s="15"/>
      <c r="B58" s="13"/>
      <c r="C58" s="19"/>
      <c r="D58" s="13"/>
      <c r="E58" s="13"/>
      <c r="F58" s="23">
        <f>IF($B58="","",IFERROR(INDEX(InsUnid,MATCH($B58,InsNome,0)),""))</f>
        <v>0</v>
      </c>
      <c r="G58" s="24">
        <f>IF(OR($B58="",$C58=""),"",$C58*IFERROR(INDEX(InsBruto,MATCH($B58,InsNome,0)),0))</f>
        <v>0</v>
      </c>
      <c r="H58" s="32">
        <f>IF($A58="","",DATE(YEAR($A58),MONTH($A58),1))</f>
        <v>0</v>
      </c>
    </row>
    <row r="59" spans="1:8">
      <c r="A59" s="15"/>
      <c r="B59" s="13"/>
      <c r="C59" s="19"/>
      <c r="D59" s="13"/>
      <c r="E59" s="13"/>
      <c r="F59" s="23">
        <f>IF($B59="","",IFERROR(INDEX(InsUnid,MATCH($B59,InsNome,0)),""))</f>
        <v>0</v>
      </c>
      <c r="G59" s="24">
        <f>IF(OR($B59="",$C59=""),"",$C59*IFERROR(INDEX(InsBruto,MATCH($B59,InsNome,0)),0))</f>
        <v>0</v>
      </c>
      <c r="H59" s="32">
        <f>IF($A59="","",DATE(YEAR($A59),MONTH($A59),1))</f>
        <v>0</v>
      </c>
    </row>
    <row r="60" spans="1:8">
      <c r="A60" s="15"/>
      <c r="B60" s="13"/>
      <c r="C60" s="19"/>
      <c r="D60" s="13"/>
      <c r="E60" s="13"/>
      <c r="F60" s="23">
        <f>IF($B60="","",IFERROR(INDEX(InsUnid,MATCH($B60,InsNome,0)),""))</f>
        <v>0</v>
      </c>
      <c r="G60" s="24">
        <f>IF(OR($B60="",$C60=""),"",$C60*IFERROR(INDEX(InsBruto,MATCH($B60,InsNome,0)),0))</f>
        <v>0</v>
      </c>
      <c r="H60" s="32">
        <f>IF($A60="","",DATE(YEAR($A60),MONTH($A60),1))</f>
        <v>0</v>
      </c>
    </row>
    <row r="61" spans="1:8">
      <c r="A61" s="15"/>
      <c r="B61" s="13"/>
      <c r="C61" s="19"/>
      <c r="D61" s="13"/>
      <c r="E61" s="13"/>
      <c r="F61" s="23">
        <f>IF($B61="","",IFERROR(INDEX(InsUnid,MATCH($B61,InsNome,0)),""))</f>
        <v>0</v>
      </c>
      <c r="G61" s="24">
        <f>IF(OR($B61="",$C61=""),"",$C61*IFERROR(INDEX(InsBruto,MATCH($B61,InsNome,0)),0))</f>
        <v>0</v>
      </c>
      <c r="H61" s="32">
        <f>IF($A61="","",DATE(YEAR($A61),MONTH($A61),1))</f>
        <v>0</v>
      </c>
    </row>
    <row r="62" spans="1:8">
      <c r="A62" s="15"/>
      <c r="B62" s="13"/>
      <c r="C62" s="19"/>
      <c r="D62" s="13"/>
      <c r="E62" s="13"/>
      <c r="F62" s="23">
        <f>IF($B62="","",IFERROR(INDEX(InsUnid,MATCH($B62,InsNome,0)),""))</f>
        <v>0</v>
      </c>
      <c r="G62" s="24">
        <f>IF(OR($B62="",$C62=""),"",$C62*IFERROR(INDEX(InsBruto,MATCH($B62,InsNome,0)),0))</f>
        <v>0</v>
      </c>
      <c r="H62" s="32">
        <f>IF($A62="","",DATE(YEAR($A62),MONTH($A62),1))</f>
        <v>0</v>
      </c>
    </row>
    <row r="63" spans="1:8">
      <c r="A63" s="15"/>
      <c r="B63" s="13"/>
      <c r="C63" s="19"/>
      <c r="D63" s="13"/>
      <c r="E63" s="13"/>
      <c r="F63" s="23">
        <f>IF($B63="","",IFERROR(INDEX(InsUnid,MATCH($B63,InsNome,0)),""))</f>
        <v>0</v>
      </c>
      <c r="G63" s="24">
        <f>IF(OR($B63="",$C63=""),"",$C63*IFERROR(INDEX(InsBruto,MATCH($B63,InsNome,0)),0))</f>
        <v>0</v>
      </c>
      <c r="H63" s="32">
        <f>IF($A63="","",DATE(YEAR($A63),MONTH($A63),1))</f>
        <v>0</v>
      </c>
    </row>
    <row r="64" spans="1:8">
      <c r="A64" s="15"/>
      <c r="B64" s="13"/>
      <c r="C64" s="19"/>
      <c r="D64" s="13"/>
      <c r="E64" s="13"/>
      <c r="F64" s="23">
        <f>IF($B64="","",IFERROR(INDEX(InsUnid,MATCH($B64,InsNome,0)),""))</f>
        <v>0</v>
      </c>
      <c r="G64" s="24">
        <f>IF(OR($B64="",$C64=""),"",$C64*IFERROR(INDEX(InsBruto,MATCH($B64,InsNome,0)),0))</f>
        <v>0</v>
      </c>
      <c r="H64" s="32">
        <f>IF($A64="","",DATE(YEAR($A64),MONTH($A64),1))</f>
        <v>0</v>
      </c>
    </row>
    <row r="65" spans="1:8">
      <c r="A65" s="15"/>
      <c r="B65" s="13"/>
      <c r="C65" s="19"/>
      <c r="D65" s="13"/>
      <c r="E65" s="13"/>
      <c r="F65" s="23">
        <f>IF($B65="","",IFERROR(INDEX(InsUnid,MATCH($B65,InsNome,0)),""))</f>
        <v>0</v>
      </c>
      <c r="G65" s="24">
        <f>IF(OR($B65="",$C65=""),"",$C65*IFERROR(INDEX(InsBruto,MATCH($B65,InsNome,0)),0))</f>
        <v>0</v>
      </c>
      <c r="H65" s="32">
        <f>IF($A65="","",DATE(YEAR($A65),MONTH($A65),1))</f>
        <v>0</v>
      </c>
    </row>
    <row r="66" spans="1:8">
      <c r="A66" s="15"/>
      <c r="B66" s="13"/>
      <c r="C66" s="19"/>
      <c r="D66" s="13"/>
      <c r="E66" s="13"/>
      <c r="F66" s="23">
        <f>IF($B66="","",IFERROR(INDEX(InsUnid,MATCH($B66,InsNome,0)),""))</f>
        <v>0</v>
      </c>
      <c r="G66" s="24">
        <f>IF(OR($B66="",$C66=""),"",$C66*IFERROR(INDEX(InsBruto,MATCH($B66,InsNome,0)),0))</f>
        <v>0</v>
      </c>
      <c r="H66" s="32">
        <f>IF($A66="","",DATE(YEAR($A66),MONTH($A66),1))</f>
        <v>0</v>
      </c>
    </row>
    <row r="67" spans="1:8">
      <c r="A67" s="15"/>
      <c r="B67" s="13"/>
      <c r="C67" s="19"/>
      <c r="D67" s="13"/>
      <c r="E67" s="13"/>
      <c r="F67" s="23">
        <f>IF($B67="","",IFERROR(INDEX(InsUnid,MATCH($B67,InsNome,0)),""))</f>
        <v>0</v>
      </c>
      <c r="G67" s="24">
        <f>IF(OR($B67="",$C67=""),"",$C67*IFERROR(INDEX(InsBruto,MATCH($B67,InsNome,0)),0))</f>
        <v>0</v>
      </c>
      <c r="H67" s="32">
        <f>IF($A67="","",DATE(YEAR($A67),MONTH($A67),1))</f>
        <v>0</v>
      </c>
    </row>
    <row r="68" spans="1:8">
      <c r="A68" s="15"/>
      <c r="B68" s="13"/>
      <c r="C68" s="19"/>
      <c r="D68" s="13"/>
      <c r="E68" s="13"/>
      <c r="F68" s="23">
        <f>IF($B68="","",IFERROR(INDEX(InsUnid,MATCH($B68,InsNome,0)),""))</f>
        <v>0</v>
      </c>
      <c r="G68" s="24">
        <f>IF(OR($B68="",$C68=""),"",$C68*IFERROR(INDEX(InsBruto,MATCH($B68,InsNome,0)),0))</f>
        <v>0</v>
      </c>
      <c r="H68" s="32">
        <f>IF($A68="","",DATE(YEAR($A68),MONTH($A68),1))</f>
        <v>0</v>
      </c>
    </row>
    <row r="69" spans="1:8">
      <c r="A69" s="15"/>
      <c r="B69" s="13"/>
      <c r="C69" s="19"/>
      <c r="D69" s="13"/>
      <c r="E69" s="13"/>
      <c r="F69" s="23">
        <f>IF($B69="","",IFERROR(INDEX(InsUnid,MATCH($B69,InsNome,0)),""))</f>
        <v>0</v>
      </c>
      <c r="G69" s="24">
        <f>IF(OR($B69="",$C69=""),"",$C69*IFERROR(INDEX(InsBruto,MATCH($B69,InsNome,0)),0))</f>
        <v>0</v>
      </c>
      <c r="H69" s="32">
        <f>IF($A69="","",DATE(YEAR($A69),MONTH($A69),1))</f>
        <v>0</v>
      </c>
    </row>
    <row r="70" spans="1:8">
      <c r="A70" s="15"/>
      <c r="B70" s="13"/>
      <c r="C70" s="19"/>
      <c r="D70" s="13"/>
      <c r="E70" s="13"/>
      <c r="F70" s="23">
        <f>IF($B70="","",IFERROR(INDEX(InsUnid,MATCH($B70,InsNome,0)),""))</f>
        <v>0</v>
      </c>
      <c r="G70" s="24">
        <f>IF(OR($B70="",$C70=""),"",$C70*IFERROR(INDEX(InsBruto,MATCH($B70,InsNome,0)),0))</f>
        <v>0</v>
      </c>
      <c r="H70" s="32">
        <f>IF($A70="","",DATE(YEAR($A70),MONTH($A70),1))</f>
        <v>0</v>
      </c>
    </row>
    <row r="71" spans="1:8">
      <c r="A71" s="15"/>
      <c r="B71" s="13"/>
      <c r="C71" s="19"/>
      <c r="D71" s="13"/>
      <c r="E71" s="13"/>
      <c r="F71" s="23">
        <f>IF($B71="","",IFERROR(INDEX(InsUnid,MATCH($B71,InsNome,0)),""))</f>
        <v>0</v>
      </c>
      <c r="G71" s="24">
        <f>IF(OR($B71="",$C71=""),"",$C71*IFERROR(INDEX(InsBruto,MATCH($B71,InsNome,0)),0))</f>
        <v>0</v>
      </c>
      <c r="H71" s="32">
        <f>IF($A71="","",DATE(YEAR($A71),MONTH($A71),1))</f>
        <v>0</v>
      </c>
    </row>
    <row r="72" spans="1:8">
      <c r="A72" s="15"/>
      <c r="B72" s="13"/>
      <c r="C72" s="19"/>
      <c r="D72" s="13"/>
      <c r="E72" s="13"/>
      <c r="F72" s="23">
        <f>IF($B72="","",IFERROR(INDEX(InsUnid,MATCH($B72,InsNome,0)),""))</f>
        <v>0</v>
      </c>
      <c r="G72" s="24">
        <f>IF(OR($B72="",$C72=""),"",$C72*IFERROR(INDEX(InsBruto,MATCH($B72,InsNome,0)),0))</f>
        <v>0</v>
      </c>
      <c r="H72" s="32">
        <f>IF($A72="","",DATE(YEAR($A72),MONTH($A72),1))</f>
        <v>0</v>
      </c>
    </row>
    <row r="73" spans="1:8">
      <c r="A73" s="15"/>
      <c r="B73" s="13"/>
      <c r="C73" s="19"/>
      <c r="D73" s="13"/>
      <c r="E73" s="13"/>
      <c r="F73" s="23">
        <f>IF($B73="","",IFERROR(INDEX(InsUnid,MATCH($B73,InsNome,0)),""))</f>
        <v>0</v>
      </c>
      <c r="G73" s="24">
        <f>IF(OR($B73="",$C73=""),"",$C73*IFERROR(INDEX(InsBruto,MATCH($B73,InsNome,0)),0))</f>
        <v>0</v>
      </c>
      <c r="H73" s="32">
        <f>IF($A73="","",DATE(YEAR($A73),MONTH($A73),1))</f>
        <v>0</v>
      </c>
    </row>
    <row r="74" spans="1:8">
      <c r="A74" s="15"/>
      <c r="B74" s="13"/>
      <c r="C74" s="19"/>
      <c r="D74" s="13"/>
      <c r="E74" s="13"/>
      <c r="F74" s="23">
        <f>IF($B74="","",IFERROR(INDEX(InsUnid,MATCH($B74,InsNome,0)),""))</f>
        <v>0</v>
      </c>
      <c r="G74" s="24">
        <f>IF(OR($B74="",$C74=""),"",$C74*IFERROR(INDEX(InsBruto,MATCH($B74,InsNome,0)),0))</f>
        <v>0</v>
      </c>
      <c r="H74" s="32">
        <f>IF($A74="","",DATE(YEAR($A74),MONTH($A74),1))</f>
        <v>0</v>
      </c>
    </row>
    <row r="75" spans="1:8">
      <c r="A75" s="15"/>
      <c r="B75" s="13"/>
      <c r="C75" s="19"/>
      <c r="D75" s="13"/>
      <c r="E75" s="13"/>
      <c r="F75" s="23">
        <f>IF($B75="","",IFERROR(INDEX(InsUnid,MATCH($B75,InsNome,0)),""))</f>
        <v>0</v>
      </c>
      <c r="G75" s="24">
        <f>IF(OR($B75="",$C75=""),"",$C75*IFERROR(INDEX(InsBruto,MATCH($B75,InsNome,0)),0))</f>
        <v>0</v>
      </c>
      <c r="H75" s="32">
        <f>IF($A75="","",DATE(YEAR($A75),MONTH($A75),1))</f>
        <v>0</v>
      </c>
    </row>
    <row r="76" spans="1:8">
      <c r="A76" s="15"/>
      <c r="B76" s="13"/>
      <c r="C76" s="19"/>
      <c r="D76" s="13"/>
      <c r="E76" s="13"/>
      <c r="F76" s="23">
        <f>IF($B76="","",IFERROR(INDEX(InsUnid,MATCH($B76,InsNome,0)),""))</f>
        <v>0</v>
      </c>
      <c r="G76" s="24">
        <f>IF(OR($B76="",$C76=""),"",$C76*IFERROR(INDEX(InsBruto,MATCH($B76,InsNome,0)),0))</f>
        <v>0</v>
      </c>
      <c r="H76" s="32">
        <f>IF($A76="","",DATE(YEAR($A76),MONTH($A76),1))</f>
        <v>0</v>
      </c>
    </row>
    <row r="77" spans="1:8">
      <c r="A77" s="15"/>
      <c r="B77" s="13"/>
      <c r="C77" s="19"/>
      <c r="D77" s="13"/>
      <c r="E77" s="13"/>
      <c r="F77" s="23">
        <f>IF($B77="","",IFERROR(INDEX(InsUnid,MATCH($B77,InsNome,0)),""))</f>
        <v>0</v>
      </c>
      <c r="G77" s="24">
        <f>IF(OR($B77="",$C77=""),"",$C77*IFERROR(INDEX(InsBruto,MATCH($B77,InsNome,0)),0))</f>
        <v>0</v>
      </c>
      <c r="H77" s="32">
        <f>IF($A77="","",DATE(YEAR($A77),MONTH($A77),1))</f>
        <v>0</v>
      </c>
    </row>
    <row r="78" spans="1:8">
      <c r="A78" s="15"/>
      <c r="B78" s="13"/>
      <c r="C78" s="19"/>
      <c r="D78" s="13"/>
      <c r="E78" s="13"/>
      <c r="F78" s="23">
        <f>IF($B78="","",IFERROR(INDEX(InsUnid,MATCH($B78,InsNome,0)),""))</f>
        <v>0</v>
      </c>
      <c r="G78" s="24">
        <f>IF(OR($B78="",$C78=""),"",$C78*IFERROR(INDEX(InsBruto,MATCH($B78,InsNome,0)),0))</f>
        <v>0</v>
      </c>
      <c r="H78" s="32">
        <f>IF($A78="","",DATE(YEAR($A78),MONTH($A78),1))</f>
        <v>0</v>
      </c>
    </row>
    <row r="79" spans="1:8">
      <c r="A79" s="15"/>
      <c r="B79" s="13"/>
      <c r="C79" s="19"/>
      <c r="D79" s="13"/>
      <c r="E79" s="13"/>
      <c r="F79" s="23">
        <f>IF($B79="","",IFERROR(INDEX(InsUnid,MATCH($B79,InsNome,0)),""))</f>
        <v>0</v>
      </c>
      <c r="G79" s="24">
        <f>IF(OR($B79="",$C79=""),"",$C79*IFERROR(INDEX(InsBruto,MATCH($B79,InsNome,0)),0))</f>
        <v>0</v>
      </c>
      <c r="H79" s="32">
        <f>IF($A79="","",DATE(YEAR($A79),MONTH($A79),1))</f>
        <v>0</v>
      </c>
    </row>
    <row r="80" spans="1:8">
      <c r="A80" s="15"/>
      <c r="B80" s="13"/>
      <c r="C80" s="19"/>
      <c r="D80" s="13"/>
      <c r="E80" s="13"/>
      <c r="F80" s="23">
        <f>IF($B80="","",IFERROR(INDEX(InsUnid,MATCH($B80,InsNome,0)),""))</f>
        <v>0</v>
      </c>
      <c r="G80" s="24">
        <f>IF(OR($B80="",$C80=""),"",$C80*IFERROR(INDEX(InsBruto,MATCH($B80,InsNome,0)),0))</f>
        <v>0</v>
      </c>
      <c r="H80" s="32">
        <f>IF($A80="","",DATE(YEAR($A80),MONTH($A80),1))</f>
        <v>0</v>
      </c>
    </row>
    <row r="81" spans="1:8">
      <c r="A81" s="15"/>
      <c r="B81" s="13"/>
      <c r="C81" s="19"/>
      <c r="D81" s="13"/>
      <c r="E81" s="13"/>
      <c r="F81" s="23">
        <f>IF($B81="","",IFERROR(INDEX(InsUnid,MATCH($B81,InsNome,0)),""))</f>
        <v>0</v>
      </c>
      <c r="G81" s="24">
        <f>IF(OR($B81="",$C81=""),"",$C81*IFERROR(INDEX(InsBruto,MATCH($B81,InsNome,0)),0))</f>
        <v>0</v>
      </c>
      <c r="H81" s="32">
        <f>IF($A81="","",DATE(YEAR($A81),MONTH($A81),1))</f>
        <v>0</v>
      </c>
    </row>
    <row r="82" spans="1:8">
      <c r="A82" s="15"/>
      <c r="B82" s="13"/>
      <c r="C82" s="19"/>
      <c r="D82" s="13"/>
      <c r="E82" s="13"/>
      <c r="F82" s="23">
        <f>IF($B82="","",IFERROR(INDEX(InsUnid,MATCH($B82,InsNome,0)),""))</f>
        <v>0</v>
      </c>
      <c r="G82" s="24">
        <f>IF(OR($B82="",$C82=""),"",$C82*IFERROR(INDEX(InsBruto,MATCH($B82,InsNome,0)),0))</f>
        <v>0</v>
      </c>
      <c r="H82" s="32">
        <f>IF($A82="","",DATE(YEAR($A82),MONTH($A82),1))</f>
        <v>0</v>
      </c>
    </row>
    <row r="83" spans="1:8">
      <c r="A83" s="15"/>
      <c r="B83" s="13"/>
      <c r="C83" s="19"/>
      <c r="D83" s="13"/>
      <c r="E83" s="13"/>
      <c r="F83" s="23">
        <f>IF($B83="","",IFERROR(INDEX(InsUnid,MATCH($B83,InsNome,0)),""))</f>
        <v>0</v>
      </c>
      <c r="G83" s="24">
        <f>IF(OR($B83="",$C83=""),"",$C83*IFERROR(INDEX(InsBruto,MATCH($B83,InsNome,0)),0))</f>
        <v>0</v>
      </c>
      <c r="H83" s="32">
        <f>IF($A83="","",DATE(YEAR($A83),MONTH($A83),1))</f>
        <v>0</v>
      </c>
    </row>
    <row r="84" spans="1:8">
      <c r="A84" s="15"/>
      <c r="B84" s="13"/>
      <c r="C84" s="19"/>
      <c r="D84" s="13"/>
      <c r="E84" s="13"/>
      <c r="F84" s="23">
        <f>IF($B84="","",IFERROR(INDEX(InsUnid,MATCH($B84,InsNome,0)),""))</f>
        <v>0</v>
      </c>
      <c r="G84" s="24">
        <f>IF(OR($B84="",$C84=""),"",$C84*IFERROR(INDEX(InsBruto,MATCH($B84,InsNome,0)),0))</f>
        <v>0</v>
      </c>
      <c r="H84" s="32">
        <f>IF($A84="","",DATE(YEAR($A84),MONTH($A84),1))</f>
        <v>0</v>
      </c>
    </row>
    <row r="85" spans="1:8">
      <c r="A85" s="15"/>
      <c r="B85" s="13"/>
      <c r="C85" s="19"/>
      <c r="D85" s="13"/>
      <c r="E85" s="13"/>
      <c r="F85" s="23">
        <f>IF($B85="","",IFERROR(INDEX(InsUnid,MATCH($B85,InsNome,0)),""))</f>
        <v>0</v>
      </c>
      <c r="G85" s="24">
        <f>IF(OR($B85="",$C85=""),"",$C85*IFERROR(INDEX(InsBruto,MATCH($B85,InsNome,0)),0))</f>
        <v>0</v>
      </c>
      <c r="H85" s="32">
        <f>IF($A85="","",DATE(YEAR($A85),MONTH($A85),1))</f>
        <v>0</v>
      </c>
    </row>
    <row r="86" spans="1:8">
      <c r="A86" s="15"/>
      <c r="B86" s="13"/>
      <c r="C86" s="19"/>
      <c r="D86" s="13"/>
      <c r="E86" s="13"/>
      <c r="F86" s="23">
        <f>IF($B86="","",IFERROR(INDEX(InsUnid,MATCH($B86,InsNome,0)),""))</f>
        <v>0</v>
      </c>
      <c r="G86" s="24">
        <f>IF(OR($B86="",$C86=""),"",$C86*IFERROR(INDEX(InsBruto,MATCH($B86,InsNome,0)),0))</f>
        <v>0</v>
      </c>
      <c r="H86" s="32">
        <f>IF($A86="","",DATE(YEAR($A86),MONTH($A86),1))</f>
        <v>0</v>
      </c>
    </row>
    <row r="87" spans="1:8">
      <c r="A87" s="15"/>
      <c r="B87" s="13"/>
      <c r="C87" s="19"/>
      <c r="D87" s="13"/>
      <c r="E87" s="13"/>
      <c r="F87" s="23">
        <f>IF($B87="","",IFERROR(INDEX(InsUnid,MATCH($B87,InsNome,0)),""))</f>
        <v>0</v>
      </c>
      <c r="G87" s="24">
        <f>IF(OR($B87="",$C87=""),"",$C87*IFERROR(INDEX(InsBruto,MATCH($B87,InsNome,0)),0))</f>
        <v>0</v>
      </c>
      <c r="H87" s="32">
        <f>IF($A87="","",DATE(YEAR($A87),MONTH($A87),1))</f>
        <v>0</v>
      </c>
    </row>
    <row r="88" spans="1:8">
      <c r="A88" s="15"/>
      <c r="B88" s="13"/>
      <c r="C88" s="19"/>
      <c r="D88" s="13"/>
      <c r="E88" s="13"/>
      <c r="F88" s="23">
        <f>IF($B88="","",IFERROR(INDEX(InsUnid,MATCH($B88,InsNome,0)),""))</f>
        <v>0</v>
      </c>
      <c r="G88" s="24">
        <f>IF(OR($B88="",$C88=""),"",$C88*IFERROR(INDEX(InsBruto,MATCH($B88,InsNome,0)),0))</f>
        <v>0</v>
      </c>
      <c r="H88" s="32">
        <f>IF($A88="","",DATE(YEAR($A88),MONTH($A88),1))</f>
        <v>0</v>
      </c>
    </row>
    <row r="89" spans="1:8">
      <c r="A89" s="15"/>
      <c r="B89" s="13"/>
      <c r="C89" s="19"/>
      <c r="D89" s="13"/>
      <c r="E89" s="13"/>
      <c r="F89" s="23">
        <f>IF($B89="","",IFERROR(INDEX(InsUnid,MATCH($B89,InsNome,0)),""))</f>
        <v>0</v>
      </c>
      <c r="G89" s="24">
        <f>IF(OR($B89="",$C89=""),"",$C89*IFERROR(INDEX(InsBruto,MATCH($B89,InsNome,0)),0))</f>
        <v>0</v>
      </c>
      <c r="H89" s="32">
        <f>IF($A89="","",DATE(YEAR($A89),MONTH($A89),1))</f>
        <v>0</v>
      </c>
    </row>
    <row r="90" spans="1:8">
      <c r="A90" s="15"/>
      <c r="B90" s="13"/>
      <c r="C90" s="19"/>
      <c r="D90" s="13"/>
      <c r="E90" s="13"/>
      <c r="F90" s="23">
        <f>IF($B90="","",IFERROR(INDEX(InsUnid,MATCH($B90,InsNome,0)),""))</f>
        <v>0</v>
      </c>
      <c r="G90" s="24">
        <f>IF(OR($B90="",$C90=""),"",$C90*IFERROR(INDEX(InsBruto,MATCH($B90,InsNome,0)),0))</f>
        <v>0</v>
      </c>
      <c r="H90" s="32">
        <f>IF($A90="","",DATE(YEAR($A90),MONTH($A90),1))</f>
        <v>0</v>
      </c>
    </row>
    <row r="91" spans="1:8">
      <c r="A91" s="15"/>
      <c r="B91" s="13"/>
      <c r="C91" s="19"/>
      <c r="D91" s="13"/>
      <c r="E91" s="13"/>
      <c r="F91" s="23">
        <f>IF($B91="","",IFERROR(INDEX(InsUnid,MATCH($B91,InsNome,0)),""))</f>
        <v>0</v>
      </c>
      <c r="G91" s="24">
        <f>IF(OR($B91="",$C91=""),"",$C91*IFERROR(INDEX(InsBruto,MATCH($B91,InsNome,0)),0))</f>
        <v>0</v>
      </c>
      <c r="H91" s="32">
        <f>IF($A91="","",DATE(YEAR($A91),MONTH($A91),1))</f>
        <v>0</v>
      </c>
    </row>
    <row r="92" spans="1:8">
      <c r="A92" s="15"/>
      <c r="B92" s="13"/>
      <c r="C92" s="19"/>
      <c r="D92" s="13"/>
      <c r="E92" s="13"/>
      <c r="F92" s="23">
        <f>IF($B92="","",IFERROR(INDEX(InsUnid,MATCH($B92,InsNome,0)),""))</f>
        <v>0</v>
      </c>
      <c r="G92" s="24">
        <f>IF(OR($B92="",$C92=""),"",$C92*IFERROR(INDEX(InsBruto,MATCH($B92,InsNome,0)),0))</f>
        <v>0</v>
      </c>
      <c r="H92" s="32">
        <f>IF($A92="","",DATE(YEAR($A92),MONTH($A92),1))</f>
        <v>0</v>
      </c>
    </row>
    <row r="93" spans="1:8">
      <c r="A93" s="15"/>
      <c r="B93" s="13"/>
      <c r="C93" s="19"/>
      <c r="D93" s="13"/>
      <c r="E93" s="13"/>
      <c r="F93" s="23">
        <f>IF($B93="","",IFERROR(INDEX(InsUnid,MATCH($B93,InsNome,0)),""))</f>
        <v>0</v>
      </c>
      <c r="G93" s="24">
        <f>IF(OR($B93="",$C93=""),"",$C93*IFERROR(INDEX(InsBruto,MATCH($B93,InsNome,0)),0))</f>
        <v>0</v>
      </c>
      <c r="H93" s="32">
        <f>IF($A93="","",DATE(YEAR($A93),MONTH($A93),1))</f>
        <v>0</v>
      </c>
    </row>
    <row r="94" spans="1:8">
      <c r="A94" s="15"/>
      <c r="B94" s="13"/>
      <c r="C94" s="19"/>
      <c r="D94" s="13"/>
      <c r="E94" s="13"/>
      <c r="F94" s="23">
        <f>IF($B94="","",IFERROR(INDEX(InsUnid,MATCH($B94,InsNome,0)),""))</f>
        <v>0</v>
      </c>
      <c r="G94" s="24">
        <f>IF(OR($B94="",$C94=""),"",$C94*IFERROR(INDEX(InsBruto,MATCH($B94,InsNome,0)),0))</f>
        <v>0</v>
      </c>
      <c r="H94" s="32">
        <f>IF($A94="","",DATE(YEAR($A94),MONTH($A94),1))</f>
        <v>0</v>
      </c>
    </row>
    <row r="95" spans="1:8">
      <c r="A95" s="15"/>
      <c r="B95" s="13"/>
      <c r="C95" s="19"/>
      <c r="D95" s="13"/>
      <c r="E95" s="13"/>
      <c r="F95" s="23">
        <f>IF($B95="","",IFERROR(INDEX(InsUnid,MATCH($B95,InsNome,0)),""))</f>
        <v>0</v>
      </c>
      <c r="G95" s="24">
        <f>IF(OR($B95="",$C95=""),"",$C95*IFERROR(INDEX(InsBruto,MATCH($B95,InsNome,0)),0))</f>
        <v>0</v>
      </c>
      <c r="H95" s="32">
        <f>IF($A95="","",DATE(YEAR($A95),MONTH($A95),1))</f>
        <v>0</v>
      </c>
    </row>
    <row r="96" spans="1:8">
      <c r="A96" s="15"/>
      <c r="B96" s="13"/>
      <c r="C96" s="19"/>
      <c r="D96" s="13"/>
      <c r="E96" s="13"/>
      <c r="F96" s="23">
        <f>IF($B96="","",IFERROR(INDEX(InsUnid,MATCH($B96,InsNome,0)),""))</f>
        <v>0</v>
      </c>
      <c r="G96" s="24">
        <f>IF(OR($B96="",$C96=""),"",$C96*IFERROR(INDEX(InsBruto,MATCH($B96,InsNome,0)),0))</f>
        <v>0</v>
      </c>
      <c r="H96" s="32">
        <f>IF($A96="","",DATE(YEAR($A96),MONTH($A96),1))</f>
        <v>0</v>
      </c>
    </row>
    <row r="97" spans="1:8">
      <c r="A97" s="15"/>
      <c r="B97" s="13"/>
      <c r="C97" s="19"/>
      <c r="D97" s="13"/>
      <c r="E97" s="13"/>
      <c r="F97" s="23">
        <f>IF($B97="","",IFERROR(INDEX(InsUnid,MATCH($B97,InsNome,0)),""))</f>
        <v>0</v>
      </c>
      <c r="G97" s="24">
        <f>IF(OR($B97="",$C97=""),"",$C97*IFERROR(INDEX(InsBruto,MATCH($B97,InsNome,0)),0))</f>
        <v>0</v>
      </c>
      <c r="H97" s="32">
        <f>IF($A97="","",DATE(YEAR($A97),MONTH($A97),1))</f>
        <v>0</v>
      </c>
    </row>
    <row r="98" spans="1:8">
      <c r="A98" s="15"/>
      <c r="B98" s="13"/>
      <c r="C98" s="19"/>
      <c r="D98" s="13"/>
      <c r="E98" s="13"/>
      <c r="F98" s="23">
        <f>IF($B98="","",IFERROR(INDEX(InsUnid,MATCH($B98,InsNome,0)),""))</f>
        <v>0</v>
      </c>
      <c r="G98" s="24">
        <f>IF(OR($B98="",$C98=""),"",$C98*IFERROR(INDEX(InsBruto,MATCH($B98,InsNome,0)),0))</f>
        <v>0</v>
      </c>
      <c r="H98" s="32">
        <f>IF($A98="","",DATE(YEAR($A98),MONTH($A98),1))</f>
        <v>0</v>
      </c>
    </row>
    <row r="99" spans="1:8">
      <c r="A99" s="15"/>
      <c r="B99" s="13"/>
      <c r="C99" s="19"/>
      <c r="D99" s="13"/>
      <c r="E99" s="13"/>
      <c r="F99" s="23">
        <f>IF($B99="","",IFERROR(INDEX(InsUnid,MATCH($B99,InsNome,0)),""))</f>
        <v>0</v>
      </c>
      <c r="G99" s="24">
        <f>IF(OR($B99="",$C99=""),"",$C99*IFERROR(INDEX(InsBruto,MATCH($B99,InsNome,0)),0))</f>
        <v>0</v>
      </c>
      <c r="H99" s="32">
        <f>IF($A99="","",DATE(YEAR($A99),MONTH($A99),1))</f>
        <v>0</v>
      </c>
    </row>
    <row r="100" spans="1:8">
      <c r="A100" s="15"/>
      <c r="B100" s="13"/>
      <c r="C100" s="19"/>
      <c r="D100" s="13"/>
      <c r="E100" s="13"/>
      <c r="F100" s="23">
        <f>IF($B100="","",IFERROR(INDEX(InsUnid,MATCH($B100,InsNome,0)),""))</f>
        <v>0</v>
      </c>
      <c r="G100" s="24">
        <f>IF(OR($B100="",$C100=""),"",$C100*IFERROR(INDEX(InsBruto,MATCH($B100,InsNome,0)),0))</f>
        <v>0</v>
      </c>
      <c r="H100" s="32">
        <f>IF($A100="","",DATE(YEAR($A100),MONTH($A100),1))</f>
        <v>0</v>
      </c>
    </row>
    <row r="101" spans="1:8">
      <c r="A101" s="15"/>
      <c r="B101" s="13"/>
      <c r="C101" s="19"/>
      <c r="D101" s="13"/>
      <c r="E101" s="13"/>
      <c r="F101" s="23">
        <f>IF($B101="","",IFERROR(INDEX(InsUnid,MATCH($B101,InsNome,0)),""))</f>
        <v>0</v>
      </c>
      <c r="G101" s="24">
        <f>IF(OR($B101="",$C101=""),"",$C101*IFERROR(INDEX(InsBruto,MATCH($B101,InsNome,0)),0))</f>
        <v>0</v>
      </c>
      <c r="H101" s="32">
        <f>IF($A101="","",DATE(YEAR($A101),MONTH($A101),1))</f>
        <v>0</v>
      </c>
    </row>
    <row r="102" spans="1:8">
      <c r="A102" s="15"/>
      <c r="B102" s="13"/>
      <c r="C102" s="19"/>
      <c r="D102" s="13"/>
      <c r="E102" s="13"/>
      <c r="F102" s="23">
        <f>IF($B102="","",IFERROR(INDEX(InsUnid,MATCH($B102,InsNome,0)),""))</f>
        <v>0</v>
      </c>
      <c r="G102" s="24">
        <f>IF(OR($B102="",$C102=""),"",$C102*IFERROR(INDEX(InsBruto,MATCH($B102,InsNome,0)),0))</f>
        <v>0</v>
      </c>
      <c r="H102" s="32">
        <f>IF($A102="","",DATE(YEAR($A102),MONTH($A102),1))</f>
        <v>0</v>
      </c>
    </row>
    <row r="103" spans="1:8">
      <c r="A103" s="15"/>
      <c r="B103" s="13"/>
      <c r="C103" s="19"/>
      <c r="D103" s="13"/>
      <c r="E103" s="13"/>
      <c r="F103" s="23">
        <f>IF($B103="","",IFERROR(INDEX(InsUnid,MATCH($B103,InsNome,0)),""))</f>
        <v>0</v>
      </c>
      <c r="G103" s="24">
        <f>IF(OR($B103="",$C103=""),"",$C103*IFERROR(INDEX(InsBruto,MATCH($B103,InsNome,0)),0))</f>
        <v>0</v>
      </c>
      <c r="H103" s="32">
        <f>IF($A103="","",DATE(YEAR($A103),MONTH($A103),1))</f>
        <v>0</v>
      </c>
    </row>
    <row r="104" spans="1:8">
      <c r="A104" s="15"/>
      <c r="B104" s="13"/>
      <c r="C104" s="19"/>
      <c r="D104" s="13"/>
      <c r="E104" s="13"/>
      <c r="F104" s="23">
        <f>IF($B104="","",IFERROR(INDEX(InsUnid,MATCH($B104,InsNome,0)),""))</f>
        <v>0</v>
      </c>
      <c r="G104" s="24">
        <f>IF(OR($B104="",$C104=""),"",$C104*IFERROR(INDEX(InsBruto,MATCH($B104,InsNome,0)),0))</f>
        <v>0</v>
      </c>
      <c r="H104" s="32">
        <f>IF($A104="","",DATE(YEAR($A104),MONTH($A104),1))</f>
        <v>0</v>
      </c>
    </row>
    <row r="105" spans="1:8">
      <c r="A105" s="15"/>
      <c r="B105" s="13"/>
      <c r="C105" s="19"/>
      <c r="D105" s="13"/>
      <c r="E105" s="13"/>
      <c r="F105" s="23">
        <f>IF($B105="","",IFERROR(INDEX(InsUnid,MATCH($B105,InsNome,0)),""))</f>
        <v>0</v>
      </c>
      <c r="G105" s="24">
        <f>IF(OR($B105="",$C105=""),"",$C105*IFERROR(INDEX(InsBruto,MATCH($B105,InsNome,0)),0))</f>
        <v>0</v>
      </c>
      <c r="H105" s="32">
        <f>IF($A105="","",DATE(YEAR($A105),MONTH($A105),1))</f>
        <v>0</v>
      </c>
    </row>
    <row r="106" spans="1:8">
      <c r="A106" s="15"/>
      <c r="B106" s="13"/>
      <c r="C106" s="19"/>
      <c r="D106" s="13"/>
      <c r="E106" s="13"/>
      <c r="F106" s="23">
        <f>IF($B106="","",IFERROR(INDEX(InsUnid,MATCH($B106,InsNome,0)),""))</f>
        <v>0</v>
      </c>
      <c r="G106" s="24">
        <f>IF(OR($B106="",$C106=""),"",$C106*IFERROR(INDEX(InsBruto,MATCH($B106,InsNome,0)),0))</f>
        <v>0</v>
      </c>
      <c r="H106" s="32">
        <f>IF($A106="","",DATE(YEAR($A106),MONTH($A106),1))</f>
        <v>0</v>
      </c>
    </row>
    <row r="107" spans="1:8">
      <c r="A107" s="15"/>
      <c r="B107" s="13"/>
      <c r="C107" s="19"/>
      <c r="D107" s="13"/>
      <c r="E107" s="13"/>
      <c r="F107" s="23">
        <f>IF($B107="","",IFERROR(INDEX(InsUnid,MATCH($B107,InsNome,0)),""))</f>
        <v>0</v>
      </c>
      <c r="G107" s="24">
        <f>IF(OR($B107="",$C107=""),"",$C107*IFERROR(INDEX(InsBruto,MATCH($B107,InsNome,0)),0))</f>
        <v>0</v>
      </c>
      <c r="H107" s="32">
        <f>IF($A107="","",DATE(YEAR($A107),MONTH($A107),1))</f>
        <v>0</v>
      </c>
    </row>
    <row r="108" spans="1:8">
      <c r="A108" s="15"/>
      <c r="B108" s="13"/>
      <c r="C108" s="19"/>
      <c r="D108" s="13"/>
      <c r="E108" s="13"/>
      <c r="F108" s="23">
        <f>IF($B108="","",IFERROR(INDEX(InsUnid,MATCH($B108,InsNome,0)),""))</f>
        <v>0</v>
      </c>
      <c r="G108" s="24">
        <f>IF(OR($B108="",$C108=""),"",$C108*IFERROR(INDEX(InsBruto,MATCH($B108,InsNome,0)),0))</f>
        <v>0</v>
      </c>
      <c r="H108" s="32">
        <f>IF($A108="","",DATE(YEAR($A108),MONTH($A108),1))</f>
        <v>0</v>
      </c>
    </row>
    <row r="109" spans="1:8">
      <c r="A109" s="15"/>
      <c r="B109" s="13"/>
      <c r="C109" s="19"/>
      <c r="D109" s="13"/>
      <c r="E109" s="13"/>
      <c r="F109" s="23">
        <f>IF($B109="","",IFERROR(INDEX(InsUnid,MATCH($B109,InsNome,0)),""))</f>
        <v>0</v>
      </c>
      <c r="G109" s="24">
        <f>IF(OR($B109="",$C109=""),"",$C109*IFERROR(INDEX(InsBruto,MATCH($B109,InsNome,0)),0))</f>
        <v>0</v>
      </c>
      <c r="H109" s="32">
        <f>IF($A109="","",DATE(YEAR($A109),MONTH($A109),1))</f>
        <v>0</v>
      </c>
    </row>
    <row r="110" spans="1:8">
      <c r="A110" s="15"/>
      <c r="B110" s="13"/>
      <c r="C110" s="19"/>
      <c r="D110" s="13"/>
      <c r="E110" s="13"/>
      <c r="F110" s="23">
        <f>IF($B110="","",IFERROR(INDEX(InsUnid,MATCH($B110,InsNome,0)),""))</f>
        <v>0</v>
      </c>
      <c r="G110" s="24">
        <f>IF(OR($B110="",$C110=""),"",$C110*IFERROR(INDEX(InsBruto,MATCH($B110,InsNome,0)),0))</f>
        <v>0</v>
      </c>
      <c r="H110" s="32">
        <f>IF($A110="","",DATE(YEAR($A110),MONTH($A110),1))</f>
        <v>0</v>
      </c>
    </row>
    <row r="111" spans="1:8">
      <c r="A111" s="15"/>
      <c r="B111" s="13"/>
      <c r="C111" s="19"/>
      <c r="D111" s="13"/>
      <c r="E111" s="13"/>
      <c r="F111" s="23">
        <f>IF($B111="","",IFERROR(INDEX(InsUnid,MATCH($B111,InsNome,0)),""))</f>
        <v>0</v>
      </c>
      <c r="G111" s="24">
        <f>IF(OR($B111="",$C111=""),"",$C111*IFERROR(INDEX(InsBruto,MATCH($B111,InsNome,0)),0))</f>
        <v>0</v>
      </c>
      <c r="H111" s="32">
        <f>IF($A111="","",DATE(YEAR($A111),MONTH($A111),1))</f>
        <v>0</v>
      </c>
    </row>
    <row r="112" spans="1:8">
      <c r="A112" s="15"/>
      <c r="B112" s="13"/>
      <c r="C112" s="19"/>
      <c r="D112" s="13"/>
      <c r="E112" s="13"/>
      <c r="F112" s="23">
        <f>IF($B112="","",IFERROR(INDEX(InsUnid,MATCH($B112,InsNome,0)),""))</f>
        <v>0</v>
      </c>
      <c r="G112" s="24">
        <f>IF(OR($B112="",$C112=""),"",$C112*IFERROR(INDEX(InsBruto,MATCH($B112,InsNome,0)),0))</f>
        <v>0</v>
      </c>
      <c r="H112" s="32">
        <f>IF($A112="","",DATE(YEAR($A112),MONTH($A112),1))</f>
        <v>0</v>
      </c>
    </row>
    <row r="113" spans="1:8">
      <c r="A113" s="15"/>
      <c r="B113" s="13"/>
      <c r="C113" s="19"/>
      <c r="D113" s="13"/>
      <c r="E113" s="13"/>
      <c r="F113" s="23">
        <f>IF($B113="","",IFERROR(INDEX(InsUnid,MATCH($B113,InsNome,0)),""))</f>
        <v>0</v>
      </c>
      <c r="G113" s="24">
        <f>IF(OR($B113="",$C113=""),"",$C113*IFERROR(INDEX(InsBruto,MATCH($B113,InsNome,0)),0))</f>
        <v>0</v>
      </c>
      <c r="H113" s="32">
        <f>IF($A113="","",DATE(YEAR($A113),MONTH($A113),1))</f>
        <v>0</v>
      </c>
    </row>
    <row r="114" spans="1:8">
      <c r="A114" s="15"/>
      <c r="B114" s="13"/>
      <c r="C114" s="19"/>
      <c r="D114" s="13"/>
      <c r="E114" s="13"/>
      <c r="F114" s="23">
        <f>IF($B114="","",IFERROR(INDEX(InsUnid,MATCH($B114,InsNome,0)),""))</f>
        <v>0</v>
      </c>
      <c r="G114" s="24">
        <f>IF(OR($B114="",$C114=""),"",$C114*IFERROR(INDEX(InsBruto,MATCH($B114,InsNome,0)),0))</f>
        <v>0</v>
      </c>
      <c r="H114" s="32">
        <f>IF($A114="","",DATE(YEAR($A114),MONTH($A114),1))</f>
        <v>0</v>
      </c>
    </row>
    <row r="115" spans="1:8">
      <c r="A115" s="15"/>
      <c r="B115" s="13"/>
      <c r="C115" s="19"/>
      <c r="D115" s="13"/>
      <c r="E115" s="13"/>
      <c r="F115" s="23">
        <f>IF($B115="","",IFERROR(INDEX(InsUnid,MATCH($B115,InsNome,0)),""))</f>
        <v>0</v>
      </c>
      <c r="G115" s="24">
        <f>IF(OR($B115="",$C115=""),"",$C115*IFERROR(INDEX(InsBruto,MATCH($B115,InsNome,0)),0))</f>
        <v>0</v>
      </c>
      <c r="H115" s="32">
        <f>IF($A115="","",DATE(YEAR($A115),MONTH($A115),1))</f>
        <v>0</v>
      </c>
    </row>
    <row r="116" spans="1:8">
      <c r="A116" s="15"/>
      <c r="B116" s="13"/>
      <c r="C116" s="19"/>
      <c r="D116" s="13"/>
      <c r="E116" s="13"/>
      <c r="F116" s="23">
        <f>IF($B116="","",IFERROR(INDEX(InsUnid,MATCH($B116,InsNome,0)),""))</f>
        <v>0</v>
      </c>
      <c r="G116" s="24">
        <f>IF(OR($B116="",$C116=""),"",$C116*IFERROR(INDEX(InsBruto,MATCH($B116,InsNome,0)),0))</f>
        <v>0</v>
      </c>
      <c r="H116" s="32">
        <f>IF($A116="","",DATE(YEAR($A116),MONTH($A116),1))</f>
        <v>0</v>
      </c>
    </row>
    <row r="117" spans="1:8">
      <c r="A117" s="15"/>
      <c r="B117" s="13"/>
      <c r="C117" s="19"/>
      <c r="D117" s="13"/>
      <c r="E117" s="13"/>
      <c r="F117" s="23">
        <f>IF($B117="","",IFERROR(INDEX(InsUnid,MATCH($B117,InsNome,0)),""))</f>
        <v>0</v>
      </c>
      <c r="G117" s="24">
        <f>IF(OR($B117="",$C117=""),"",$C117*IFERROR(INDEX(InsBruto,MATCH($B117,InsNome,0)),0))</f>
        <v>0</v>
      </c>
      <c r="H117" s="32">
        <f>IF($A117="","",DATE(YEAR($A117),MONTH($A117),1))</f>
        <v>0</v>
      </c>
    </row>
    <row r="118" spans="1:8">
      <c r="A118" s="15"/>
      <c r="B118" s="13"/>
      <c r="C118" s="19"/>
      <c r="D118" s="13"/>
      <c r="E118" s="13"/>
      <c r="F118" s="23">
        <f>IF($B118="","",IFERROR(INDEX(InsUnid,MATCH($B118,InsNome,0)),""))</f>
        <v>0</v>
      </c>
      <c r="G118" s="24">
        <f>IF(OR($B118="",$C118=""),"",$C118*IFERROR(INDEX(InsBruto,MATCH($B118,InsNome,0)),0))</f>
        <v>0</v>
      </c>
      <c r="H118" s="32">
        <f>IF($A118="","",DATE(YEAR($A118),MONTH($A118),1))</f>
        <v>0</v>
      </c>
    </row>
    <row r="119" spans="1:8">
      <c r="A119" s="15"/>
      <c r="B119" s="13"/>
      <c r="C119" s="19"/>
      <c r="D119" s="13"/>
      <c r="E119" s="13"/>
      <c r="F119" s="23">
        <f>IF($B119="","",IFERROR(INDEX(InsUnid,MATCH($B119,InsNome,0)),""))</f>
        <v>0</v>
      </c>
      <c r="G119" s="24">
        <f>IF(OR($B119="",$C119=""),"",$C119*IFERROR(INDEX(InsBruto,MATCH($B119,InsNome,0)),0))</f>
        <v>0</v>
      </c>
      <c r="H119" s="32">
        <f>IF($A119="","",DATE(YEAR($A119),MONTH($A119),1))</f>
        <v>0</v>
      </c>
    </row>
    <row r="120" spans="1:8">
      <c r="A120" s="15"/>
      <c r="B120" s="13"/>
      <c r="C120" s="19"/>
      <c r="D120" s="13"/>
      <c r="E120" s="13"/>
      <c r="F120" s="23">
        <f>IF($B120="","",IFERROR(INDEX(InsUnid,MATCH($B120,InsNome,0)),""))</f>
        <v>0</v>
      </c>
      <c r="G120" s="24">
        <f>IF(OR($B120="",$C120=""),"",$C120*IFERROR(INDEX(InsBruto,MATCH($B120,InsNome,0)),0))</f>
        <v>0</v>
      </c>
      <c r="H120" s="32">
        <f>IF($A120="","",DATE(YEAR($A120),MONTH($A120),1))</f>
        <v>0</v>
      </c>
    </row>
    <row r="121" spans="1:8">
      <c r="A121" s="15"/>
      <c r="B121" s="13"/>
      <c r="C121" s="19"/>
      <c r="D121" s="13"/>
      <c r="E121" s="13"/>
      <c r="F121" s="23">
        <f>IF($B121="","",IFERROR(INDEX(InsUnid,MATCH($B121,InsNome,0)),""))</f>
        <v>0</v>
      </c>
      <c r="G121" s="24">
        <f>IF(OR($B121="",$C121=""),"",$C121*IFERROR(INDEX(InsBruto,MATCH($B121,InsNome,0)),0))</f>
        <v>0</v>
      </c>
      <c r="H121" s="32">
        <f>IF($A121="","",DATE(YEAR($A121),MONTH($A121),1))</f>
        <v>0</v>
      </c>
    </row>
    <row r="122" spans="1:8">
      <c r="A122" s="15"/>
      <c r="B122" s="13"/>
      <c r="C122" s="19"/>
      <c r="D122" s="13"/>
      <c r="E122" s="13"/>
      <c r="F122" s="23">
        <f>IF($B122="","",IFERROR(INDEX(InsUnid,MATCH($B122,InsNome,0)),""))</f>
        <v>0</v>
      </c>
      <c r="G122" s="24">
        <f>IF(OR($B122="",$C122=""),"",$C122*IFERROR(INDEX(InsBruto,MATCH($B122,InsNome,0)),0))</f>
        <v>0</v>
      </c>
      <c r="H122" s="32">
        <f>IF($A122="","",DATE(YEAR($A122),MONTH($A122),1))</f>
        <v>0</v>
      </c>
    </row>
    <row r="123" spans="1:8">
      <c r="A123" s="15"/>
      <c r="B123" s="13"/>
      <c r="C123" s="19"/>
      <c r="D123" s="13"/>
      <c r="E123" s="13"/>
      <c r="F123" s="23">
        <f>IF($B123="","",IFERROR(INDEX(InsUnid,MATCH($B123,InsNome,0)),""))</f>
        <v>0</v>
      </c>
      <c r="G123" s="24">
        <f>IF(OR($B123="",$C123=""),"",$C123*IFERROR(INDEX(InsBruto,MATCH($B123,InsNome,0)),0))</f>
        <v>0</v>
      </c>
      <c r="H123" s="32">
        <f>IF($A123="","",DATE(YEAR($A123),MONTH($A123),1))</f>
        <v>0</v>
      </c>
    </row>
    <row r="124" spans="1:8">
      <c r="A124" s="15"/>
      <c r="B124" s="13"/>
      <c r="C124" s="19"/>
      <c r="D124" s="13"/>
      <c r="E124" s="13"/>
      <c r="F124" s="23">
        <f>IF($B124="","",IFERROR(INDEX(InsUnid,MATCH($B124,InsNome,0)),""))</f>
        <v>0</v>
      </c>
      <c r="G124" s="24">
        <f>IF(OR($B124="",$C124=""),"",$C124*IFERROR(INDEX(InsBruto,MATCH($B124,InsNome,0)),0))</f>
        <v>0</v>
      </c>
      <c r="H124" s="32">
        <f>IF($A124="","",DATE(YEAR($A124),MONTH($A124),1))</f>
        <v>0</v>
      </c>
    </row>
    <row r="125" spans="1:8">
      <c r="A125" s="15"/>
      <c r="B125" s="13"/>
      <c r="C125" s="19"/>
      <c r="D125" s="13"/>
      <c r="E125" s="13"/>
      <c r="F125" s="23">
        <f>IF($B125="","",IFERROR(INDEX(InsUnid,MATCH($B125,InsNome,0)),""))</f>
        <v>0</v>
      </c>
      <c r="G125" s="24">
        <f>IF(OR($B125="",$C125=""),"",$C125*IFERROR(INDEX(InsBruto,MATCH($B125,InsNome,0)),0))</f>
        <v>0</v>
      </c>
      <c r="H125" s="32">
        <f>IF($A125="","",DATE(YEAR($A125),MONTH($A125),1))</f>
        <v>0</v>
      </c>
    </row>
    <row r="126" spans="1:8">
      <c r="A126" s="15"/>
      <c r="B126" s="13"/>
      <c r="C126" s="19"/>
      <c r="D126" s="13"/>
      <c r="E126" s="13"/>
      <c r="F126" s="23">
        <f>IF($B126="","",IFERROR(INDEX(InsUnid,MATCH($B126,InsNome,0)),""))</f>
        <v>0</v>
      </c>
      <c r="G126" s="24">
        <f>IF(OR($B126="",$C126=""),"",$C126*IFERROR(INDEX(InsBruto,MATCH($B126,InsNome,0)),0))</f>
        <v>0</v>
      </c>
      <c r="H126" s="32">
        <f>IF($A126="","",DATE(YEAR($A126),MONTH($A126),1))</f>
        <v>0</v>
      </c>
    </row>
    <row r="127" spans="1:8">
      <c r="A127" s="15"/>
      <c r="B127" s="13"/>
      <c r="C127" s="19"/>
      <c r="D127" s="13"/>
      <c r="E127" s="13"/>
      <c r="F127" s="23">
        <f>IF($B127="","",IFERROR(INDEX(InsUnid,MATCH($B127,InsNome,0)),""))</f>
        <v>0</v>
      </c>
      <c r="G127" s="24">
        <f>IF(OR($B127="",$C127=""),"",$C127*IFERROR(INDEX(InsBruto,MATCH($B127,InsNome,0)),0))</f>
        <v>0</v>
      </c>
      <c r="H127" s="32">
        <f>IF($A127="","",DATE(YEAR($A127),MONTH($A127),1))</f>
        <v>0</v>
      </c>
    </row>
    <row r="128" spans="1:8">
      <c r="A128" s="15"/>
      <c r="B128" s="13"/>
      <c r="C128" s="19"/>
      <c r="D128" s="13"/>
      <c r="E128" s="13"/>
      <c r="F128" s="23">
        <f>IF($B128="","",IFERROR(INDEX(InsUnid,MATCH($B128,InsNome,0)),""))</f>
        <v>0</v>
      </c>
      <c r="G128" s="24">
        <f>IF(OR($B128="",$C128=""),"",$C128*IFERROR(INDEX(InsBruto,MATCH($B128,InsNome,0)),0))</f>
        <v>0</v>
      </c>
      <c r="H128" s="32">
        <f>IF($A128="","",DATE(YEAR($A128),MONTH($A128),1))</f>
        <v>0</v>
      </c>
    </row>
    <row r="129" spans="1:8">
      <c r="A129" s="15"/>
      <c r="B129" s="13"/>
      <c r="C129" s="19"/>
      <c r="D129" s="13"/>
      <c r="E129" s="13"/>
      <c r="F129" s="23">
        <f>IF($B129="","",IFERROR(INDEX(InsUnid,MATCH($B129,InsNome,0)),""))</f>
        <v>0</v>
      </c>
      <c r="G129" s="24">
        <f>IF(OR($B129="",$C129=""),"",$C129*IFERROR(INDEX(InsBruto,MATCH($B129,InsNome,0)),0))</f>
        <v>0</v>
      </c>
      <c r="H129" s="32">
        <f>IF($A129="","",DATE(YEAR($A129),MONTH($A129),1))</f>
        <v>0</v>
      </c>
    </row>
    <row r="130" spans="1:8">
      <c r="A130" s="15"/>
      <c r="B130" s="13"/>
      <c r="C130" s="19"/>
      <c r="D130" s="13"/>
      <c r="E130" s="13"/>
      <c r="F130" s="23">
        <f>IF($B130="","",IFERROR(INDEX(InsUnid,MATCH($B130,InsNome,0)),""))</f>
        <v>0</v>
      </c>
      <c r="G130" s="24">
        <f>IF(OR($B130="",$C130=""),"",$C130*IFERROR(INDEX(InsBruto,MATCH($B130,InsNome,0)),0))</f>
        <v>0</v>
      </c>
      <c r="H130" s="32">
        <f>IF($A130="","",DATE(YEAR($A130),MONTH($A130),1))</f>
        <v>0</v>
      </c>
    </row>
    <row r="131" spans="1:8">
      <c r="A131" s="15"/>
      <c r="B131" s="13"/>
      <c r="C131" s="19"/>
      <c r="D131" s="13"/>
      <c r="E131" s="13"/>
      <c r="F131" s="23">
        <f>IF($B131="","",IFERROR(INDEX(InsUnid,MATCH($B131,InsNome,0)),""))</f>
        <v>0</v>
      </c>
      <c r="G131" s="24">
        <f>IF(OR($B131="",$C131=""),"",$C131*IFERROR(INDEX(InsBruto,MATCH($B131,InsNome,0)),0))</f>
        <v>0</v>
      </c>
      <c r="H131" s="32">
        <f>IF($A131="","",DATE(YEAR($A131),MONTH($A131),1))</f>
        <v>0</v>
      </c>
    </row>
    <row r="132" spans="1:8">
      <c r="A132" s="15"/>
      <c r="B132" s="13"/>
      <c r="C132" s="19"/>
      <c r="D132" s="13"/>
      <c r="E132" s="13"/>
      <c r="F132" s="23">
        <f>IF($B132="","",IFERROR(INDEX(InsUnid,MATCH($B132,InsNome,0)),""))</f>
        <v>0</v>
      </c>
      <c r="G132" s="24">
        <f>IF(OR($B132="",$C132=""),"",$C132*IFERROR(INDEX(InsBruto,MATCH($B132,InsNome,0)),0))</f>
        <v>0</v>
      </c>
      <c r="H132" s="32">
        <f>IF($A132="","",DATE(YEAR($A132),MONTH($A132),1))</f>
        <v>0</v>
      </c>
    </row>
    <row r="133" spans="1:8">
      <c r="A133" s="15"/>
      <c r="B133" s="13"/>
      <c r="C133" s="19"/>
      <c r="D133" s="13"/>
      <c r="E133" s="13"/>
      <c r="F133" s="23">
        <f>IF($B133="","",IFERROR(INDEX(InsUnid,MATCH($B133,InsNome,0)),""))</f>
        <v>0</v>
      </c>
      <c r="G133" s="24">
        <f>IF(OR($B133="",$C133=""),"",$C133*IFERROR(INDEX(InsBruto,MATCH($B133,InsNome,0)),0))</f>
        <v>0</v>
      </c>
      <c r="H133" s="32">
        <f>IF($A133="","",DATE(YEAR($A133),MONTH($A133),1))</f>
        <v>0</v>
      </c>
    </row>
    <row r="134" spans="1:8">
      <c r="A134" s="15"/>
      <c r="B134" s="13"/>
      <c r="C134" s="19"/>
      <c r="D134" s="13"/>
      <c r="E134" s="13"/>
      <c r="F134" s="23">
        <f>IF($B134="","",IFERROR(INDEX(InsUnid,MATCH($B134,InsNome,0)),""))</f>
        <v>0</v>
      </c>
      <c r="G134" s="24">
        <f>IF(OR($B134="",$C134=""),"",$C134*IFERROR(INDEX(InsBruto,MATCH($B134,InsNome,0)),0))</f>
        <v>0</v>
      </c>
      <c r="H134" s="32">
        <f>IF($A134="","",DATE(YEAR($A134),MONTH($A134),1))</f>
        <v>0</v>
      </c>
    </row>
    <row r="135" spans="1:8">
      <c r="A135" s="15"/>
      <c r="B135" s="13"/>
      <c r="C135" s="19"/>
      <c r="D135" s="13"/>
      <c r="E135" s="13"/>
      <c r="F135" s="23">
        <f>IF($B135="","",IFERROR(INDEX(InsUnid,MATCH($B135,InsNome,0)),""))</f>
        <v>0</v>
      </c>
      <c r="G135" s="24">
        <f>IF(OR($B135="",$C135=""),"",$C135*IFERROR(INDEX(InsBruto,MATCH($B135,InsNome,0)),0))</f>
        <v>0</v>
      </c>
      <c r="H135" s="32">
        <f>IF($A135="","",DATE(YEAR($A135),MONTH($A135),1))</f>
        <v>0</v>
      </c>
    </row>
    <row r="136" spans="1:8">
      <c r="A136" s="15"/>
      <c r="B136" s="13"/>
      <c r="C136" s="19"/>
      <c r="D136" s="13"/>
      <c r="E136" s="13"/>
      <c r="F136" s="23">
        <f>IF($B136="","",IFERROR(INDEX(InsUnid,MATCH($B136,InsNome,0)),""))</f>
        <v>0</v>
      </c>
      <c r="G136" s="24">
        <f>IF(OR($B136="",$C136=""),"",$C136*IFERROR(INDEX(InsBruto,MATCH($B136,InsNome,0)),0))</f>
        <v>0</v>
      </c>
      <c r="H136" s="32">
        <f>IF($A136="","",DATE(YEAR($A136),MONTH($A136),1))</f>
        <v>0</v>
      </c>
    </row>
    <row r="137" spans="1:8">
      <c r="A137" s="15"/>
      <c r="B137" s="13"/>
      <c r="C137" s="19"/>
      <c r="D137" s="13"/>
      <c r="E137" s="13"/>
      <c r="F137" s="23">
        <f>IF($B137="","",IFERROR(INDEX(InsUnid,MATCH($B137,InsNome,0)),""))</f>
        <v>0</v>
      </c>
      <c r="G137" s="24">
        <f>IF(OR($B137="",$C137=""),"",$C137*IFERROR(INDEX(InsBruto,MATCH($B137,InsNome,0)),0))</f>
        <v>0</v>
      </c>
      <c r="H137" s="32">
        <f>IF($A137="","",DATE(YEAR($A137),MONTH($A137),1))</f>
        <v>0</v>
      </c>
    </row>
    <row r="138" spans="1:8">
      <c r="A138" s="15"/>
      <c r="B138" s="13"/>
      <c r="C138" s="19"/>
      <c r="D138" s="13"/>
      <c r="E138" s="13"/>
      <c r="F138" s="23">
        <f>IF($B138="","",IFERROR(INDEX(InsUnid,MATCH($B138,InsNome,0)),""))</f>
        <v>0</v>
      </c>
      <c r="G138" s="24">
        <f>IF(OR($B138="",$C138=""),"",$C138*IFERROR(INDEX(InsBruto,MATCH($B138,InsNome,0)),0))</f>
        <v>0</v>
      </c>
      <c r="H138" s="32">
        <f>IF($A138="","",DATE(YEAR($A138),MONTH($A138),1))</f>
        <v>0</v>
      </c>
    </row>
    <row r="139" spans="1:8">
      <c r="A139" s="15"/>
      <c r="B139" s="13"/>
      <c r="C139" s="19"/>
      <c r="D139" s="13"/>
      <c r="E139" s="13"/>
      <c r="F139" s="23">
        <f>IF($B139="","",IFERROR(INDEX(InsUnid,MATCH($B139,InsNome,0)),""))</f>
        <v>0</v>
      </c>
      <c r="G139" s="24">
        <f>IF(OR($B139="",$C139=""),"",$C139*IFERROR(INDEX(InsBruto,MATCH($B139,InsNome,0)),0))</f>
        <v>0</v>
      </c>
      <c r="H139" s="32">
        <f>IF($A139="","",DATE(YEAR($A139),MONTH($A139),1))</f>
        <v>0</v>
      </c>
    </row>
    <row r="140" spans="1:8">
      <c r="A140" s="15"/>
      <c r="B140" s="13"/>
      <c r="C140" s="19"/>
      <c r="D140" s="13"/>
      <c r="E140" s="13"/>
      <c r="F140" s="23">
        <f>IF($B140="","",IFERROR(INDEX(InsUnid,MATCH($B140,InsNome,0)),""))</f>
        <v>0</v>
      </c>
      <c r="G140" s="24">
        <f>IF(OR($B140="",$C140=""),"",$C140*IFERROR(INDEX(InsBruto,MATCH($B140,InsNome,0)),0))</f>
        <v>0</v>
      </c>
      <c r="H140" s="32">
        <f>IF($A140="","",DATE(YEAR($A140),MONTH($A140),1))</f>
        <v>0</v>
      </c>
    </row>
    <row r="141" spans="1:8">
      <c r="A141" s="15"/>
      <c r="B141" s="13"/>
      <c r="C141" s="19"/>
      <c r="D141" s="13"/>
      <c r="E141" s="13"/>
      <c r="F141" s="23">
        <f>IF($B141="","",IFERROR(INDEX(InsUnid,MATCH($B141,InsNome,0)),""))</f>
        <v>0</v>
      </c>
      <c r="G141" s="24">
        <f>IF(OR($B141="",$C141=""),"",$C141*IFERROR(INDEX(InsBruto,MATCH($B141,InsNome,0)),0))</f>
        <v>0</v>
      </c>
      <c r="H141" s="32">
        <f>IF($A141="","",DATE(YEAR($A141),MONTH($A141),1))</f>
        <v>0</v>
      </c>
    </row>
    <row r="142" spans="1:8">
      <c r="A142" s="15"/>
      <c r="B142" s="13"/>
      <c r="C142" s="19"/>
      <c r="D142" s="13"/>
      <c r="E142" s="13"/>
      <c r="F142" s="23">
        <f>IF($B142="","",IFERROR(INDEX(InsUnid,MATCH($B142,InsNome,0)),""))</f>
        <v>0</v>
      </c>
      <c r="G142" s="24">
        <f>IF(OR($B142="",$C142=""),"",$C142*IFERROR(INDEX(InsBruto,MATCH($B142,InsNome,0)),0))</f>
        <v>0</v>
      </c>
      <c r="H142" s="32">
        <f>IF($A142="","",DATE(YEAR($A142),MONTH($A142),1))</f>
        <v>0</v>
      </c>
    </row>
    <row r="143" spans="1:8">
      <c r="A143" s="15"/>
      <c r="B143" s="13"/>
      <c r="C143" s="19"/>
      <c r="D143" s="13"/>
      <c r="E143" s="13"/>
      <c r="F143" s="23">
        <f>IF($B143="","",IFERROR(INDEX(InsUnid,MATCH($B143,InsNome,0)),""))</f>
        <v>0</v>
      </c>
      <c r="G143" s="24">
        <f>IF(OR($B143="",$C143=""),"",$C143*IFERROR(INDEX(InsBruto,MATCH($B143,InsNome,0)),0))</f>
        <v>0</v>
      </c>
      <c r="H143" s="32">
        <f>IF($A143="","",DATE(YEAR($A143),MONTH($A143),1))</f>
        <v>0</v>
      </c>
    </row>
    <row r="144" spans="1:8">
      <c r="A144" s="15"/>
      <c r="B144" s="13"/>
      <c r="C144" s="19"/>
      <c r="D144" s="13"/>
      <c r="E144" s="13"/>
      <c r="F144" s="23">
        <f>IF($B144="","",IFERROR(INDEX(InsUnid,MATCH($B144,InsNome,0)),""))</f>
        <v>0</v>
      </c>
      <c r="G144" s="24">
        <f>IF(OR($B144="",$C144=""),"",$C144*IFERROR(INDEX(InsBruto,MATCH($B144,InsNome,0)),0))</f>
        <v>0</v>
      </c>
      <c r="H144" s="32">
        <f>IF($A144="","",DATE(YEAR($A144),MONTH($A144),1))</f>
        <v>0</v>
      </c>
    </row>
    <row r="145" spans="1:8">
      <c r="A145" s="15"/>
      <c r="B145" s="13"/>
      <c r="C145" s="19"/>
      <c r="D145" s="13"/>
      <c r="E145" s="13"/>
      <c r="F145" s="23">
        <f>IF($B145="","",IFERROR(INDEX(InsUnid,MATCH($B145,InsNome,0)),""))</f>
        <v>0</v>
      </c>
      <c r="G145" s="24">
        <f>IF(OR($B145="",$C145=""),"",$C145*IFERROR(INDEX(InsBruto,MATCH($B145,InsNome,0)),0))</f>
        <v>0</v>
      </c>
      <c r="H145" s="32">
        <f>IF($A145="","",DATE(YEAR($A145),MONTH($A145),1))</f>
        <v>0</v>
      </c>
    </row>
    <row r="146" spans="1:8">
      <c r="A146" s="15"/>
      <c r="B146" s="13"/>
      <c r="C146" s="19"/>
      <c r="D146" s="13"/>
      <c r="E146" s="13"/>
      <c r="F146" s="23">
        <f>IF($B146="","",IFERROR(INDEX(InsUnid,MATCH($B146,InsNome,0)),""))</f>
        <v>0</v>
      </c>
      <c r="G146" s="24">
        <f>IF(OR($B146="",$C146=""),"",$C146*IFERROR(INDEX(InsBruto,MATCH($B146,InsNome,0)),0))</f>
        <v>0</v>
      </c>
      <c r="H146" s="32">
        <f>IF($A146="","",DATE(YEAR($A146),MONTH($A146),1))</f>
        <v>0</v>
      </c>
    </row>
    <row r="147" spans="1:8">
      <c r="A147" s="15"/>
      <c r="B147" s="13"/>
      <c r="C147" s="19"/>
      <c r="D147" s="13"/>
      <c r="E147" s="13"/>
      <c r="F147" s="23">
        <f>IF($B147="","",IFERROR(INDEX(InsUnid,MATCH($B147,InsNome,0)),""))</f>
        <v>0</v>
      </c>
      <c r="G147" s="24">
        <f>IF(OR($B147="",$C147=""),"",$C147*IFERROR(INDEX(InsBruto,MATCH($B147,InsNome,0)),0))</f>
        <v>0</v>
      </c>
      <c r="H147" s="32">
        <f>IF($A147="","",DATE(YEAR($A147),MONTH($A147),1))</f>
        <v>0</v>
      </c>
    </row>
    <row r="148" spans="1:8">
      <c r="A148" s="15"/>
      <c r="B148" s="13"/>
      <c r="C148" s="19"/>
      <c r="D148" s="13"/>
      <c r="E148" s="13"/>
      <c r="F148" s="23">
        <f>IF($B148="","",IFERROR(INDEX(InsUnid,MATCH($B148,InsNome,0)),""))</f>
        <v>0</v>
      </c>
      <c r="G148" s="24">
        <f>IF(OR($B148="",$C148=""),"",$C148*IFERROR(INDEX(InsBruto,MATCH($B148,InsNome,0)),0))</f>
        <v>0</v>
      </c>
      <c r="H148" s="32">
        <f>IF($A148="","",DATE(YEAR($A148),MONTH($A148),1))</f>
        <v>0</v>
      </c>
    </row>
    <row r="149" spans="1:8">
      <c r="A149" s="15"/>
      <c r="B149" s="13"/>
      <c r="C149" s="19"/>
      <c r="D149" s="13"/>
      <c r="E149" s="13"/>
      <c r="F149" s="23">
        <f>IF($B149="","",IFERROR(INDEX(InsUnid,MATCH($B149,InsNome,0)),""))</f>
        <v>0</v>
      </c>
      <c r="G149" s="24">
        <f>IF(OR($B149="",$C149=""),"",$C149*IFERROR(INDEX(InsBruto,MATCH($B149,InsNome,0)),0))</f>
        <v>0</v>
      </c>
      <c r="H149" s="32">
        <f>IF($A149="","",DATE(YEAR($A149),MONTH($A149),1))</f>
        <v>0</v>
      </c>
    </row>
    <row r="150" spans="1:8">
      <c r="A150" s="15"/>
      <c r="B150" s="13"/>
      <c r="C150" s="19"/>
      <c r="D150" s="13"/>
      <c r="E150" s="13"/>
      <c r="F150" s="23">
        <f>IF($B150="","",IFERROR(INDEX(InsUnid,MATCH($B150,InsNome,0)),""))</f>
        <v>0</v>
      </c>
      <c r="G150" s="24">
        <f>IF(OR($B150="",$C150=""),"",$C150*IFERROR(INDEX(InsBruto,MATCH($B150,InsNome,0)),0))</f>
        <v>0</v>
      </c>
      <c r="H150" s="32">
        <f>IF($A150="","",DATE(YEAR($A150),MONTH($A150),1))</f>
        <v>0</v>
      </c>
    </row>
    <row r="151" spans="1:8">
      <c r="A151" s="15"/>
      <c r="B151" s="13"/>
      <c r="C151" s="19"/>
      <c r="D151" s="13"/>
      <c r="E151" s="13"/>
      <c r="F151" s="23">
        <f>IF($B151="","",IFERROR(INDEX(InsUnid,MATCH($B151,InsNome,0)),""))</f>
        <v>0</v>
      </c>
      <c r="G151" s="24">
        <f>IF(OR($B151="",$C151=""),"",$C151*IFERROR(INDEX(InsBruto,MATCH($B151,InsNome,0)),0))</f>
        <v>0</v>
      </c>
      <c r="H151" s="32">
        <f>IF($A151="","",DATE(YEAR($A151),MONTH($A151),1))</f>
        <v>0</v>
      </c>
    </row>
    <row r="152" spans="1:8">
      <c r="A152" s="15"/>
      <c r="B152" s="13"/>
      <c r="C152" s="19"/>
      <c r="D152" s="13"/>
      <c r="E152" s="13"/>
      <c r="F152" s="23">
        <f>IF($B152="","",IFERROR(INDEX(InsUnid,MATCH($B152,InsNome,0)),""))</f>
        <v>0</v>
      </c>
      <c r="G152" s="24">
        <f>IF(OR($B152="",$C152=""),"",$C152*IFERROR(INDEX(InsBruto,MATCH($B152,InsNome,0)),0))</f>
        <v>0</v>
      </c>
      <c r="H152" s="32">
        <f>IF($A152="","",DATE(YEAR($A152),MONTH($A152),1))</f>
        <v>0</v>
      </c>
    </row>
    <row r="153" spans="1:8">
      <c r="A153" s="15"/>
      <c r="B153" s="13"/>
      <c r="C153" s="19"/>
      <c r="D153" s="13"/>
      <c r="E153" s="13"/>
      <c r="F153" s="23">
        <f>IF($B153="","",IFERROR(INDEX(InsUnid,MATCH($B153,InsNome,0)),""))</f>
        <v>0</v>
      </c>
      <c r="G153" s="24">
        <f>IF(OR($B153="",$C153=""),"",$C153*IFERROR(INDEX(InsBruto,MATCH($B153,InsNome,0)),0))</f>
        <v>0</v>
      </c>
      <c r="H153" s="32">
        <f>IF($A153="","",DATE(YEAR($A153),MONTH($A153),1))</f>
        <v>0</v>
      </c>
    </row>
    <row r="154" spans="1:8">
      <c r="A154" s="15"/>
      <c r="B154" s="13"/>
      <c r="C154" s="19"/>
      <c r="D154" s="13"/>
      <c r="E154" s="13"/>
      <c r="F154" s="23">
        <f>IF($B154="","",IFERROR(INDEX(InsUnid,MATCH($B154,InsNome,0)),""))</f>
        <v>0</v>
      </c>
      <c r="G154" s="24">
        <f>IF(OR($B154="",$C154=""),"",$C154*IFERROR(INDEX(InsBruto,MATCH($B154,InsNome,0)),0))</f>
        <v>0</v>
      </c>
      <c r="H154" s="32">
        <f>IF($A154="","",DATE(YEAR($A154),MONTH($A154),1))</f>
        <v>0</v>
      </c>
    </row>
    <row r="155" spans="1:8">
      <c r="A155" s="15"/>
      <c r="B155" s="13"/>
      <c r="C155" s="19"/>
      <c r="D155" s="13"/>
      <c r="E155" s="13"/>
      <c r="F155" s="23">
        <f>IF($B155="","",IFERROR(INDEX(InsUnid,MATCH($B155,InsNome,0)),""))</f>
        <v>0</v>
      </c>
      <c r="G155" s="24">
        <f>IF(OR($B155="",$C155=""),"",$C155*IFERROR(INDEX(InsBruto,MATCH($B155,InsNome,0)),0))</f>
        <v>0</v>
      </c>
      <c r="H155" s="32">
        <f>IF($A155="","",DATE(YEAR($A155),MONTH($A155),1))</f>
        <v>0</v>
      </c>
    </row>
    <row r="156" spans="1:8">
      <c r="A156" s="15"/>
      <c r="B156" s="13"/>
      <c r="C156" s="19"/>
      <c r="D156" s="13"/>
      <c r="E156" s="13"/>
      <c r="F156" s="23">
        <f>IF($B156="","",IFERROR(INDEX(InsUnid,MATCH($B156,InsNome,0)),""))</f>
        <v>0</v>
      </c>
      <c r="G156" s="24">
        <f>IF(OR($B156="",$C156=""),"",$C156*IFERROR(INDEX(InsBruto,MATCH($B156,InsNome,0)),0))</f>
        <v>0</v>
      </c>
      <c r="H156" s="32">
        <f>IF($A156="","",DATE(YEAR($A156),MONTH($A156),1))</f>
        <v>0</v>
      </c>
    </row>
    <row r="157" spans="1:8">
      <c r="A157" s="15"/>
      <c r="B157" s="13"/>
      <c r="C157" s="19"/>
      <c r="D157" s="13"/>
      <c r="E157" s="13"/>
      <c r="F157" s="23">
        <f>IF($B157="","",IFERROR(INDEX(InsUnid,MATCH($B157,InsNome,0)),""))</f>
        <v>0</v>
      </c>
      <c r="G157" s="24">
        <f>IF(OR($B157="",$C157=""),"",$C157*IFERROR(INDEX(InsBruto,MATCH($B157,InsNome,0)),0))</f>
        <v>0</v>
      </c>
      <c r="H157" s="32">
        <f>IF($A157="","",DATE(YEAR($A157),MONTH($A157),1))</f>
        <v>0</v>
      </c>
    </row>
    <row r="158" spans="1:8">
      <c r="A158" s="15"/>
      <c r="B158" s="13"/>
      <c r="C158" s="19"/>
      <c r="D158" s="13"/>
      <c r="E158" s="13"/>
      <c r="F158" s="23">
        <f>IF($B158="","",IFERROR(INDEX(InsUnid,MATCH($B158,InsNome,0)),""))</f>
        <v>0</v>
      </c>
      <c r="G158" s="24">
        <f>IF(OR($B158="",$C158=""),"",$C158*IFERROR(INDEX(InsBruto,MATCH($B158,InsNome,0)),0))</f>
        <v>0</v>
      </c>
      <c r="H158" s="32">
        <f>IF($A158="","",DATE(YEAR($A158),MONTH($A158),1))</f>
        <v>0</v>
      </c>
    </row>
    <row r="159" spans="1:8">
      <c r="A159" s="15"/>
      <c r="B159" s="13"/>
      <c r="C159" s="19"/>
      <c r="D159" s="13"/>
      <c r="E159" s="13"/>
      <c r="F159" s="23">
        <f>IF($B159="","",IFERROR(INDEX(InsUnid,MATCH($B159,InsNome,0)),""))</f>
        <v>0</v>
      </c>
      <c r="G159" s="24">
        <f>IF(OR($B159="",$C159=""),"",$C159*IFERROR(INDEX(InsBruto,MATCH($B159,InsNome,0)),0))</f>
        <v>0</v>
      </c>
      <c r="H159" s="32">
        <f>IF($A159="","",DATE(YEAR($A159),MONTH($A159),1))</f>
        <v>0</v>
      </c>
    </row>
    <row r="160" spans="1:8">
      <c r="A160" s="15"/>
      <c r="B160" s="13"/>
      <c r="C160" s="19"/>
      <c r="D160" s="13"/>
      <c r="E160" s="13"/>
      <c r="F160" s="23">
        <f>IF($B160="","",IFERROR(INDEX(InsUnid,MATCH($B160,InsNome,0)),""))</f>
        <v>0</v>
      </c>
      <c r="G160" s="24">
        <f>IF(OR($B160="",$C160=""),"",$C160*IFERROR(INDEX(InsBruto,MATCH($B160,InsNome,0)),0))</f>
        <v>0</v>
      </c>
      <c r="H160" s="32">
        <f>IF($A160="","",DATE(YEAR($A160),MONTH($A160),1))</f>
        <v>0</v>
      </c>
    </row>
    <row r="161" spans="1:8">
      <c r="A161" s="15"/>
      <c r="B161" s="13"/>
      <c r="C161" s="19"/>
      <c r="D161" s="13"/>
      <c r="E161" s="13"/>
      <c r="F161" s="23">
        <f>IF($B161="","",IFERROR(INDEX(InsUnid,MATCH($B161,InsNome,0)),""))</f>
        <v>0</v>
      </c>
      <c r="G161" s="24">
        <f>IF(OR($B161="",$C161=""),"",$C161*IFERROR(INDEX(InsBruto,MATCH($B161,InsNome,0)),0))</f>
        <v>0</v>
      </c>
      <c r="H161" s="32">
        <f>IF($A161="","",DATE(YEAR($A161),MONTH($A161),1))</f>
        <v>0</v>
      </c>
    </row>
    <row r="162" spans="1:8">
      <c r="A162" s="15"/>
      <c r="B162" s="13"/>
      <c r="C162" s="19"/>
      <c r="D162" s="13"/>
      <c r="E162" s="13"/>
      <c r="F162" s="23">
        <f>IF($B162="","",IFERROR(INDEX(InsUnid,MATCH($B162,InsNome,0)),""))</f>
        <v>0</v>
      </c>
      <c r="G162" s="24">
        <f>IF(OR($B162="",$C162=""),"",$C162*IFERROR(INDEX(InsBruto,MATCH($B162,InsNome,0)),0))</f>
        <v>0</v>
      </c>
      <c r="H162" s="32">
        <f>IF($A162="","",DATE(YEAR($A162),MONTH($A162),1))</f>
        <v>0</v>
      </c>
    </row>
    <row r="163" spans="1:8">
      <c r="A163" s="15"/>
      <c r="B163" s="13"/>
      <c r="C163" s="19"/>
      <c r="D163" s="13"/>
      <c r="E163" s="13"/>
      <c r="F163" s="23">
        <f>IF($B163="","",IFERROR(INDEX(InsUnid,MATCH($B163,InsNome,0)),""))</f>
        <v>0</v>
      </c>
      <c r="G163" s="24">
        <f>IF(OR($B163="",$C163=""),"",$C163*IFERROR(INDEX(InsBruto,MATCH($B163,InsNome,0)),0))</f>
        <v>0</v>
      </c>
      <c r="H163" s="32">
        <f>IF($A163="","",DATE(YEAR($A163),MONTH($A163),1))</f>
        <v>0</v>
      </c>
    </row>
    <row r="164" spans="1:8">
      <c r="A164" s="15"/>
      <c r="B164" s="13"/>
      <c r="C164" s="19"/>
      <c r="D164" s="13"/>
      <c r="E164" s="13"/>
      <c r="F164" s="23">
        <f>IF($B164="","",IFERROR(INDEX(InsUnid,MATCH($B164,InsNome,0)),""))</f>
        <v>0</v>
      </c>
      <c r="G164" s="24">
        <f>IF(OR($B164="",$C164=""),"",$C164*IFERROR(INDEX(InsBruto,MATCH($B164,InsNome,0)),0))</f>
        <v>0</v>
      </c>
      <c r="H164" s="32">
        <f>IF($A164="","",DATE(YEAR($A164),MONTH($A164),1))</f>
        <v>0</v>
      </c>
    </row>
    <row r="165" spans="1:8">
      <c r="A165" s="15"/>
      <c r="B165" s="13"/>
      <c r="C165" s="19"/>
      <c r="D165" s="13"/>
      <c r="E165" s="13"/>
      <c r="F165" s="23">
        <f>IF($B165="","",IFERROR(INDEX(InsUnid,MATCH($B165,InsNome,0)),""))</f>
        <v>0</v>
      </c>
      <c r="G165" s="24">
        <f>IF(OR($B165="",$C165=""),"",$C165*IFERROR(INDEX(InsBruto,MATCH($B165,InsNome,0)),0))</f>
        <v>0</v>
      </c>
      <c r="H165" s="32">
        <f>IF($A165="","",DATE(YEAR($A165),MONTH($A165),1))</f>
        <v>0</v>
      </c>
    </row>
    <row r="166" spans="1:8">
      <c r="A166" s="15"/>
      <c r="B166" s="13"/>
      <c r="C166" s="19"/>
      <c r="D166" s="13"/>
      <c r="E166" s="13"/>
      <c r="F166" s="23">
        <f>IF($B166="","",IFERROR(INDEX(InsUnid,MATCH($B166,InsNome,0)),""))</f>
        <v>0</v>
      </c>
      <c r="G166" s="24">
        <f>IF(OR($B166="",$C166=""),"",$C166*IFERROR(INDEX(InsBruto,MATCH($B166,InsNome,0)),0))</f>
        <v>0</v>
      </c>
      <c r="H166" s="32">
        <f>IF($A166="","",DATE(YEAR($A166),MONTH($A166),1))</f>
        <v>0</v>
      </c>
    </row>
    <row r="167" spans="1:8">
      <c r="A167" s="15"/>
      <c r="B167" s="13"/>
      <c r="C167" s="19"/>
      <c r="D167" s="13"/>
      <c r="E167" s="13"/>
      <c r="F167" s="23">
        <f>IF($B167="","",IFERROR(INDEX(InsUnid,MATCH($B167,InsNome,0)),""))</f>
        <v>0</v>
      </c>
      <c r="G167" s="24">
        <f>IF(OR($B167="",$C167=""),"",$C167*IFERROR(INDEX(InsBruto,MATCH($B167,InsNome,0)),0))</f>
        <v>0</v>
      </c>
      <c r="H167" s="32">
        <f>IF($A167="","",DATE(YEAR($A167),MONTH($A167),1))</f>
        <v>0</v>
      </c>
    </row>
    <row r="168" spans="1:8">
      <c r="A168" s="15"/>
      <c r="B168" s="13"/>
      <c r="C168" s="19"/>
      <c r="D168" s="13"/>
      <c r="E168" s="13"/>
      <c r="F168" s="23">
        <f>IF($B168="","",IFERROR(INDEX(InsUnid,MATCH($B168,InsNome,0)),""))</f>
        <v>0</v>
      </c>
      <c r="G168" s="24">
        <f>IF(OR($B168="",$C168=""),"",$C168*IFERROR(INDEX(InsBruto,MATCH($B168,InsNome,0)),0))</f>
        <v>0</v>
      </c>
      <c r="H168" s="32">
        <f>IF($A168="","",DATE(YEAR($A168),MONTH($A168),1))</f>
        <v>0</v>
      </c>
    </row>
    <row r="169" spans="1:8">
      <c r="A169" s="15"/>
      <c r="B169" s="13"/>
      <c r="C169" s="19"/>
      <c r="D169" s="13"/>
      <c r="E169" s="13"/>
      <c r="F169" s="23">
        <f>IF($B169="","",IFERROR(INDEX(InsUnid,MATCH($B169,InsNome,0)),""))</f>
        <v>0</v>
      </c>
      <c r="G169" s="24">
        <f>IF(OR($B169="",$C169=""),"",$C169*IFERROR(INDEX(InsBruto,MATCH($B169,InsNome,0)),0))</f>
        <v>0</v>
      </c>
      <c r="H169" s="32">
        <f>IF($A169="","",DATE(YEAR($A169),MONTH($A169),1))</f>
        <v>0</v>
      </c>
    </row>
    <row r="170" spans="1:8">
      <c r="A170" s="15"/>
      <c r="B170" s="13"/>
      <c r="C170" s="19"/>
      <c r="D170" s="13"/>
      <c r="E170" s="13"/>
      <c r="F170" s="23">
        <f>IF($B170="","",IFERROR(INDEX(InsUnid,MATCH($B170,InsNome,0)),""))</f>
        <v>0</v>
      </c>
      <c r="G170" s="24">
        <f>IF(OR($B170="",$C170=""),"",$C170*IFERROR(INDEX(InsBruto,MATCH($B170,InsNome,0)),0))</f>
        <v>0</v>
      </c>
      <c r="H170" s="32">
        <f>IF($A170="","",DATE(YEAR($A170),MONTH($A170),1))</f>
        <v>0</v>
      </c>
    </row>
    <row r="171" spans="1:8">
      <c r="A171" s="15"/>
      <c r="B171" s="13"/>
      <c r="C171" s="19"/>
      <c r="D171" s="13"/>
      <c r="E171" s="13"/>
      <c r="F171" s="23">
        <f>IF($B171="","",IFERROR(INDEX(InsUnid,MATCH($B171,InsNome,0)),""))</f>
        <v>0</v>
      </c>
      <c r="G171" s="24">
        <f>IF(OR($B171="",$C171=""),"",$C171*IFERROR(INDEX(InsBruto,MATCH($B171,InsNome,0)),0))</f>
        <v>0</v>
      </c>
      <c r="H171" s="32">
        <f>IF($A171="","",DATE(YEAR($A171),MONTH($A171),1))</f>
        <v>0</v>
      </c>
    </row>
    <row r="172" spans="1:8">
      <c r="A172" s="15"/>
      <c r="B172" s="13"/>
      <c r="C172" s="19"/>
      <c r="D172" s="13"/>
      <c r="E172" s="13"/>
      <c r="F172" s="23">
        <f>IF($B172="","",IFERROR(INDEX(InsUnid,MATCH($B172,InsNome,0)),""))</f>
        <v>0</v>
      </c>
      <c r="G172" s="24">
        <f>IF(OR($B172="",$C172=""),"",$C172*IFERROR(INDEX(InsBruto,MATCH($B172,InsNome,0)),0))</f>
        <v>0</v>
      </c>
      <c r="H172" s="32">
        <f>IF($A172="","",DATE(YEAR($A172),MONTH($A172),1))</f>
        <v>0</v>
      </c>
    </row>
    <row r="173" spans="1:8">
      <c r="A173" s="15"/>
      <c r="B173" s="13"/>
      <c r="C173" s="19"/>
      <c r="D173" s="13"/>
      <c r="E173" s="13"/>
      <c r="F173" s="23">
        <f>IF($B173="","",IFERROR(INDEX(InsUnid,MATCH($B173,InsNome,0)),""))</f>
        <v>0</v>
      </c>
      <c r="G173" s="24">
        <f>IF(OR($B173="",$C173=""),"",$C173*IFERROR(INDEX(InsBruto,MATCH($B173,InsNome,0)),0))</f>
        <v>0</v>
      </c>
      <c r="H173" s="32">
        <f>IF($A173="","",DATE(YEAR($A173),MONTH($A173),1))</f>
        <v>0</v>
      </c>
    </row>
    <row r="174" spans="1:8">
      <c r="A174" s="15"/>
      <c r="B174" s="13"/>
      <c r="C174" s="19"/>
      <c r="D174" s="13"/>
      <c r="E174" s="13"/>
      <c r="F174" s="23">
        <f>IF($B174="","",IFERROR(INDEX(InsUnid,MATCH($B174,InsNome,0)),""))</f>
        <v>0</v>
      </c>
      <c r="G174" s="24">
        <f>IF(OR($B174="",$C174=""),"",$C174*IFERROR(INDEX(InsBruto,MATCH($B174,InsNome,0)),0))</f>
        <v>0</v>
      </c>
      <c r="H174" s="32">
        <f>IF($A174="","",DATE(YEAR($A174),MONTH($A174),1))</f>
        <v>0</v>
      </c>
    </row>
    <row r="175" spans="1:8">
      <c r="A175" s="15"/>
      <c r="B175" s="13"/>
      <c r="C175" s="19"/>
      <c r="D175" s="13"/>
      <c r="E175" s="13"/>
      <c r="F175" s="23">
        <f>IF($B175="","",IFERROR(INDEX(InsUnid,MATCH($B175,InsNome,0)),""))</f>
        <v>0</v>
      </c>
      <c r="G175" s="24">
        <f>IF(OR($B175="",$C175=""),"",$C175*IFERROR(INDEX(InsBruto,MATCH($B175,InsNome,0)),0))</f>
        <v>0</v>
      </c>
      <c r="H175" s="32">
        <f>IF($A175="","",DATE(YEAR($A175),MONTH($A175),1))</f>
        <v>0</v>
      </c>
    </row>
    <row r="176" spans="1:8">
      <c r="A176" s="15"/>
      <c r="B176" s="13"/>
      <c r="C176" s="19"/>
      <c r="D176" s="13"/>
      <c r="E176" s="13"/>
      <c r="F176" s="23">
        <f>IF($B176="","",IFERROR(INDEX(InsUnid,MATCH($B176,InsNome,0)),""))</f>
        <v>0</v>
      </c>
      <c r="G176" s="24">
        <f>IF(OR($B176="",$C176=""),"",$C176*IFERROR(INDEX(InsBruto,MATCH($B176,InsNome,0)),0))</f>
        <v>0</v>
      </c>
      <c r="H176" s="32">
        <f>IF($A176="","",DATE(YEAR($A176),MONTH($A176),1))</f>
        <v>0</v>
      </c>
    </row>
    <row r="177" spans="1:8">
      <c r="A177" s="15"/>
      <c r="B177" s="13"/>
      <c r="C177" s="19"/>
      <c r="D177" s="13"/>
      <c r="E177" s="13"/>
      <c r="F177" s="23">
        <f>IF($B177="","",IFERROR(INDEX(InsUnid,MATCH($B177,InsNome,0)),""))</f>
        <v>0</v>
      </c>
      <c r="G177" s="24">
        <f>IF(OR($B177="",$C177=""),"",$C177*IFERROR(INDEX(InsBruto,MATCH($B177,InsNome,0)),0))</f>
        <v>0</v>
      </c>
      <c r="H177" s="32">
        <f>IF($A177="","",DATE(YEAR($A177),MONTH($A177),1))</f>
        <v>0</v>
      </c>
    </row>
    <row r="178" spans="1:8">
      <c r="A178" s="15"/>
      <c r="B178" s="13"/>
      <c r="C178" s="19"/>
      <c r="D178" s="13"/>
      <c r="E178" s="13"/>
      <c r="F178" s="23">
        <f>IF($B178="","",IFERROR(INDEX(InsUnid,MATCH($B178,InsNome,0)),""))</f>
        <v>0</v>
      </c>
      <c r="G178" s="24">
        <f>IF(OR($B178="",$C178=""),"",$C178*IFERROR(INDEX(InsBruto,MATCH($B178,InsNome,0)),0))</f>
        <v>0</v>
      </c>
      <c r="H178" s="32">
        <f>IF($A178="","",DATE(YEAR($A178),MONTH($A178),1))</f>
        <v>0</v>
      </c>
    </row>
    <row r="179" spans="1:8">
      <c r="A179" s="15"/>
      <c r="B179" s="13"/>
      <c r="C179" s="19"/>
      <c r="D179" s="13"/>
      <c r="E179" s="13"/>
      <c r="F179" s="23">
        <f>IF($B179="","",IFERROR(INDEX(InsUnid,MATCH($B179,InsNome,0)),""))</f>
        <v>0</v>
      </c>
      <c r="G179" s="24">
        <f>IF(OR($B179="",$C179=""),"",$C179*IFERROR(INDEX(InsBruto,MATCH($B179,InsNome,0)),0))</f>
        <v>0</v>
      </c>
      <c r="H179" s="32">
        <f>IF($A179="","",DATE(YEAR($A179),MONTH($A179),1))</f>
        <v>0</v>
      </c>
    </row>
    <row r="180" spans="1:8">
      <c r="A180" s="15"/>
      <c r="B180" s="13"/>
      <c r="C180" s="19"/>
      <c r="D180" s="13"/>
      <c r="E180" s="13"/>
      <c r="F180" s="23">
        <f>IF($B180="","",IFERROR(INDEX(InsUnid,MATCH($B180,InsNome,0)),""))</f>
        <v>0</v>
      </c>
      <c r="G180" s="24">
        <f>IF(OR($B180="",$C180=""),"",$C180*IFERROR(INDEX(InsBruto,MATCH($B180,InsNome,0)),0))</f>
        <v>0</v>
      </c>
      <c r="H180" s="32">
        <f>IF($A180="","",DATE(YEAR($A180),MONTH($A180),1))</f>
        <v>0</v>
      </c>
    </row>
    <row r="181" spans="1:8">
      <c r="A181" s="15"/>
      <c r="B181" s="13"/>
      <c r="C181" s="19"/>
      <c r="D181" s="13"/>
      <c r="E181" s="13"/>
      <c r="F181" s="23">
        <f>IF($B181="","",IFERROR(INDEX(InsUnid,MATCH($B181,InsNome,0)),""))</f>
        <v>0</v>
      </c>
      <c r="G181" s="24">
        <f>IF(OR($B181="",$C181=""),"",$C181*IFERROR(INDEX(InsBruto,MATCH($B181,InsNome,0)),0))</f>
        <v>0</v>
      </c>
      <c r="H181" s="32">
        <f>IF($A181="","",DATE(YEAR($A181),MONTH($A181),1))</f>
        <v>0</v>
      </c>
    </row>
    <row r="182" spans="1:8">
      <c r="A182" s="15"/>
      <c r="B182" s="13"/>
      <c r="C182" s="19"/>
      <c r="D182" s="13"/>
      <c r="E182" s="13"/>
      <c r="F182" s="23">
        <f>IF($B182="","",IFERROR(INDEX(InsUnid,MATCH($B182,InsNome,0)),""))</f>
        <v>0</v>
      </c>
      <c r="G182" s="24">
        <f>IF(OR($B182="",$C182=""),"",$C182*IFERROR(INDEX(InsBruto,MATCH($B182,InsNome,0)),0))</f>
        <v>0</v>
      </c>
      <c r="H182" s="32">
        <f>IF($A182="","",DATE(YEAR($A182),MONTH($A182),1))</f>
        <v>0</v>
      </c>
    </row>
    <row r="183" spans="1:8">
      <c r="A183" s="15"/>
      <c r="B183" s="13"/>
      <c r="C183" s="19"/>
      <c r="D183" s="13"/>
      <c r="E183" s="13"/>
      <c r="F183" s="23">
        <f>IF($B183="","",IFERROR(INDEX(InsUnid,MATCH($B183,InsNome,0)),""))</f>
        <v>0</v>
      </c>
      <c r="G183" s="24">
        <f>IF(OR($B183="",$C183=""),"",$C183*IFERROR(INDEX(InsBruto,MATCH($B183,InsNome,0)),0))</f>
        <v>0</v>
      </c>
      <c r="H183" s="32">
        <f>IF($A183="","",DATE(YEAR($A183),MONTH($A183),1))</f>
        <v>0</v>
      </c>
    </row>
    <row r="184" spans="1:8">
      <c r="A184" s="15"/>
      <c r="B184" s="13"/>
      <c r="C184" s="19"/>
      <c r="D184" s="13"/>
      <c r="E184" s="13"/>
      <c r="F184" s="23">
        <f>IF($B184="","",IFERROR(INDEX(InsUnid,MATCH($B184,InsNome,0)),""))</f>
        <v>0</v>
      </c>
      <c r="G184" s="24">
        <f>IF(OR($B184="",$C184=""),"",$C184*IFERROR(INDEX(InsBruto,MATCH($B184,InsNome,0)),0))</f>
        <v>0</v>
      </c>
      <c r="H184" s="32">
        <f>IF($A184="","",DATE(YEAR($A184),MONTH($A184),1))</f>
        <v>0</v>
      </c>
    </row>
    <row r="185" spans="1:8">
      <c r="A185" s="15"/>
      <c r="B185" s="13"/>
      <c r="C185" s="19"/>
      <c r="D185" s="13"/>
      <c r="E185" s="13"/>
      <c r="F185" s="23">
        <f>IF($B185="","",IFERROR(INDEX(InsUnid,MATCH($B185,InsNome,0)),""))</f>
        <v>0</v>
      </c>
      <c r="G185" s="24">
        <f>IF(OR($B185="",$C185=""),"",$C185*IFERROR(INDEX(InsBruto,MATCH($B185,InsNome,0)),0))</f>
        <v>0</v>
      </c>
      <c r="H185" s="32">
        <f>IF($A185="","",DATE(YEAR($A185),MONTH($A185),1))</f>
        <v>0</v>
      </c>
    </row>
    <row r="186" spans="1:8">
      <c r="A186" s="15"/>
      <c r="B186" s="13"/>
      <c r="C186" s="19"/>
      <c r="D186" s="13"/>
      <c r="E186" s="13"/>
      <c r="F186" s="23">
        <f>IF($B186="","",IFERROR(INDEX(InsUnid,MATCH($B186,InsNome,0)),""))</f>
        <v>0</v>
      </c>
      <c r="G186" s="24">
        <f>IF(OR($B186="",$C186=""),"",$C186*IFERROR(INDEX(InsBruto,MATCH($B186,InsNome,0)),0))</f>
        <v>0</v>
      </c>
      <c r="H186" s="32">
        <f>IF($A186="","",DATE(YEAR($A186),MONTH($A186),1))</f>
        <v>0</v>
      </c>
    </row>
    <row r="187" spans="1:8">
      <c r="A187" s="15"/>
      <c r="B187" s="13"/>
      <c r="C187" s="19"/>
      <c r="D187" s="13"/>
      <c r="E187" s="13"/>
      <c r="F187" s="23">
        <f>IF($B187="","",IFERROR(INDEX(InsUnid,MATCH($B187,InsNome,0)),""))</f>
        <v>0</v>
      </c>
      <c r="G187" s="24">
        <f>IF(OR($B187="",$C187=""),"",$C187*IFERROR(INDEX(InsBruto,MATCH($B187,InsNome,0)),0))</f>
        <v>0</v>
      </c>
      <c r="H187" s="32">
        <f>IF($A187="","",DATE(YEAR($A187),MONTH($A187),1))</f>
        <v>0</v>
      </c>
    </row>
    <row r="188" spans="1:8">
      <c r="A188" s="15"/>
      <c r="B188" s="13"/>
      <c r="C188" s="19"/>
      <c r="D188" s="13"/>
      <c r="E188" s="13"/>
      <c r="F188" s="23">
        <f>IF($B188="","",IFERROR(INDEX(InsUnid,MATCH($B188,InsNome,0)),""))</f>
        <v>0</v>
      </c>
      <c r="G188" s="24">
        <f>IF(OR($B188="",$C188=""),"",$C188*IFERROR(INDEX(InsBruto,MATCH($B188,InsNome,0)),0))</f>
        <v>0</v>
      </c>
      <c r="H188" s="32">
        <f>IF($A188="","",DATE(YEAR($A188),MONTH($A188),1))</f>
        <v>0</v>
      </c>
    </row>
    <row r="189" spans="1:8">
      <c r="A189" s="15"/>
      <c r="B189" s="13"/>
      <c r="C189" s="19"/>
      <c r="D189" s="13"/>
      <c r="E189" s="13"/>
      <c r="F189" s="23">
        <f>IF($B189="","",IFERROR(INDEX(InsUnid,MATCH($B189,InsNome,0)),""))</f>
        <v>0</v>
      </c>
      <c r="G189" s="24">
        <f>IF(OR($B189="",$C189=""),"",$C189*IFERROR(INDEX(InsBruto,MATCH($B189,InsNome,0)),0))</f>
        <v>0</v>
      </c>
      <c r="H189" s="32">
        <f>IF($A189="","",DATE(YEAR($A189),MONTH($A189),1))</f>
        <v>0</v>
      </c>
    </row>
    <row r="190" spans="1:8">
      <c r="A190" s="15"/>
      <c r="B190" s="13"/>
      <c r="C190" s="19"/>
      <c r="D190" s="13"/>
      <c r="E190" s="13"/>
      <c r="F190" s="23">
        <f>IF($B190="","",IFERROR(INDEX(InsUnid,MATCH($B190,InsNome,0)),""))</f>
        <v>0</v>
      </c>
      <c r="G190" s="24">
        <f>IF(OR($B190="",$C190=""),"",$C190*IFERROR(INDEX(InsBruto,MATCH($B190,InsNome,0)),0))</f>
        <v>0</v>
      </c>
      <c r="H190" s="32">
        <f>IF($A190="","",DATE(YEAR($A190),MONTH($A190),1))</f>
        <v>0</v>
      </c>
    </row>
    <row r="191" spans="1:8">
      <c r="A191" s="15"/>
      <c r="B191" s="13"/>
      <c r="C191" s="19"/>
      <c r="D191" s="13"/>
      <c r="E191" s="13"/>
      <c r="F191" s="23">
        <f>IF($B191="","",IFERROR(INDEX(InsUnid,MATCH($B191,InsNome,0)),""))</f>
        <v>0</v>
      </c>
      <c r="G191" s="24">
        <f>IF(OR($B191="",$C191=""),"",$C191*IFERROR(INDEX(InsBruto,MATCH($B191,InsNome,0)),0))</f>
        <v>0</v>
      </c>
      <c r="H191" s="32">
        <f>IF($A191="","",DATE(YEAR($A191),MONTH($A191),1))</f>
        <v>0</v>
      </c>
    </row>
    <row r="192" spans="1:8">
      <c r="A192" s="15"/>
      <c r="B192" s="13"/>
      <c r="C192" s="19"/>
      <c r="D192" s="13"/>
      <c r="E192" s="13"/>
      <c r="F192" s="23">
        <f>IF($B192="","",IFERROR(INDEX(InsUnid,MATCH($B192,InsNome,0)),""))</f>
        <v>0</v>
      </c>
      <c r="G192" s="24">
        <f>IF(OR($B192="",$C192=""),"",$C192*IFERROR(INDEX(InsBruto,MATCH($B192,InsNome,0)),0))</f>
        <v>0</v>
      </c>
      <c r="H192" s="32">
        <f>IF($A192="","",DATE(YEAR($A192),MONTH($A192),1))</f>
        <v>0</v>
      </c>
    </row>
    <row r="193" spans="1:8">
      <c r="A193" s="15"/>
      <c r="B193" s="13"/>
      <c r="C193" s="19"/>
      <c r="D193" s="13"/>
      <c r="E193" s="13"/>
      <c r="F193" s="23">
        <f>IF($B193="","",IFERROR(INDEX(InsUnid,MATCH($B193,InsNome,0)),""))</f>
        <v>0</v>
      </c>
      <c r="G193" s="24">
        <f>IF(OR($B193="",$C193=""),"",$C193*IFERROR(INDEX(InsBruto,MATCH($B193,InsNome,0)),0))</f>
        <v>0</v>
      </c>
      <c r="H193" s="32">
        <f>IF($A193="","",DATE(YEAR($A193),MONTH($A193),1))</f>
        <v>0</v>
      </c>
    </row>
    <row r="194" spans="1:8">
      <c r="A194" s="15"/>
      <c r="B194" s="13"/>
      <c r="C194" s="19"/>
      <c r="D194" s="13"/>
      <c r="E194" s="13"/>
      <c r="F194" s="23">
        <f>IF($B194="","",IFERROR(INDEX(InsUnid,MATCH($B194,InsNome,0)),""))</f>
        <v>0</v>
      </c>
      <c r="G194" s="24">
        <f>IF(OR($B194="",$C194=""),"",$C194*IFERROR(INDEX(InsBruto,MATCH($B194,InsNome,0)),0))</f>
        <v>0</v>
      </c>
      <c r="H194" s="32">
        <f>IF($A194="","",DATE(YEAR($A194),MONTH($A194),1))</f>
        <v>0</v>
      </c>
    </row>
    <row r="195" spans="1:8">
      <c r="A195" s="15"/>
      <c r="B195" s="13"/>
      <c r="C195" s="19"/>
      <c r="D195" s="13"/>
      <c r="E195" s="13"/>
      <c r="F195" s="23">
        <f>IF($B195="","",IFERROR(INDEX(InsUnid,MATCH($B195,InsNome,0)),""))</f>
        <v>0</v>
      </c>
      <c r="G195" s="24">
        <f>IF(OR($B195="",$C195=""),"",$C195*IFERROR(INDEX(InsBruto,MATCH($B195,InsNome,0)),0))</f>
        <v>0</v>
      </c>
      <c r="H195" s="32">
        <f>IF($A195="","",DATE(YEAR($A195),MONTH($A195),1))</f>
        <v>0</v>
      </c>
    </row>
    <row r="196" spans="1:8">
      <c r="A196" s="15"/>
      <c r="B196" s="13"/>
      <c r="C196" s="19"/>
      <c r="D196" s="13"/>
      <c r="E196" s="13"/>
      <c r="F196" s="23">
        <f>IF($B196="","",IFERROR(INDEX(InsUnid,MATCH($B196,InsNome,0)),""))</f>
        <v>0</v>
      </c>
      <c r="G196" s="24">
        <f>IF(OR($B196="",$C196=""),"",$C196*IFERROR(INDEX(InsBruto,MATCH($B196,InsNome,0)),0))</f>
        <v>0</v>
      </c>
      <c r="H196" s="32">
        <f>IF($A196="","",DATE(YEAR($A196),MONTH($A196),1))</f>
        <v>0</v>
      </c>
    </row>
    <row r="197" spans="1:8">
      <c r="A197" s="15"/>
      <c r="B197" s="13"/>
      <c r="C197" s="19"/>
      <c r="D197" s="13"/>
      <c r="E197" s="13"/>
      <c r="F197" s="23">
        <f>IF($B197="","",IFERROR(INDEX(InsUnid,MATCH($B197,InsNome,0)),""))</f>
        <v>0</v>
      </c>
      <c r="G197" s="24">
        <f>IF(OR($B197="",$C197=""),"",$C197*IFERROR(INDEX(InsBruto,MATCH($B197,InsNome,0)),0))</f>
        <v>0</v>
      </c>
      <c r="H197" s="32">
        <f>IF($A197="","",DATE(YEAR($A197),MONTH($A197),1))</f>
        <v>0</v>
      </c>
    </row>
    <row r="198" spans="1:8">
      <c r="A198" s="15"/>
      <c r="B198" s="13"/>
      <c r="C198" s="19"/>
      <c r="D198" s="13"/>
      <c r="E198" s="13"/>
      <c r="F198" s="23">
        <f>IF($B198="","",IFERROR(INDEX(InsUnid,MATCH($B198,InsNome,0)),""))</f>
        <v>0</v>
      </c>
      <c r="G198" s="24">
        <f>IF(OR($B198="",$C198=""),"",$C198*IFERROR(INDEX(InsBruto,MATCH($B198,InsNome,0)),0))</f>
        <v>0</v>
      </c>
      <c r="H198" s="32">
        <f>IF($A198="","",DATE(YEAR($A198),MONTH($A198),1))</f>
        <v>0</v>
      </c>
    </row>
    <row r="199" spans="1:8">
      <c r="A199" s="15"/>
      <c r="B199" s="13"/>
      <c r="C199" s="19"/>
      <c r="D199" s="13"/>
      <c r="E199" s="13"/>
      <c r="F199" s="23">
        <f>IF($B199="","",IFERROR(INDEX(InsUnid,MATCH($B199,InsNome,0)),""))</f>
        <v>0</v>
      </c>
      <c r="G199" s="24">
        <f>IF(OR($B199="",$C199=""),"",$C199*IFERROR(INDEX(InsBruto,MATCH($B199,InsNome,0)),0))</f>
        <v>0</v>
      </c>
      <c r="H199" s="32">
        <f>IF($A199="","",DATE(YEAR($A199),MONTH($A199),1))</f>
        <v>0</v>
      </c>
    </row>
    <row r="200" spans="1:8">
      <c r="A200" s="15"/>
      <c r="B200" s="13"/>
      <c r="C200" s="19"/>
      <c r="D200" s="13"/>
      <c r="E200" s="13"/>
      <c r="F200" s="23">
        <f>IF($B200="","",IFERROR(INDEX(InsUnid,MATCH($B200,InsNome,0)),""))</f>
        <v>0</v>
      </c>
      <c r="G200" s="24">
        <f>IF(OR($B200="",$C200=""),"",$C200*IFERROR(INDEX(InsBruto,MATCH($B200,InsNome,0)),0))</f>
        <v>0</v>
      </c>
      <c r="H200" s="32">
        <f>IF($A200="","",DATE(YEAR($A200),MONTH($A200),1))</f>
        <v>0</v>
      </c>
    </row>
    <row r="201" spans="1:8">
      <c r="A201" s="15"/>
      <c r="B201" s="13"/>
      <c r="C201" s="19"/>
      <c r="D201" s="13"/>
      <c r="E201" s="13"/>
      <c r="F201" s="23">
        <f>IF($B201="","",IFERROR(INDEX(InsUnid,MATCH($B201,InsNome,0)),""))</f>
        <v>0</v>
      </c>
      <c r="G201" s="24">
        <f>IF(OR($B201="",$C201=""),"",$C201*IFERROR(INDEX(InsBruto,MATCH($B201,InsNome,0)),0))</f>
        <v>0</v>
      </c>
      <c r="H201" s="32">
        <f>IF($A201="","",DATE(YEAR($A201),MONTH($A201),1))</f>
        <v>0</v>
      </c>
    </row>
    <row r="202" spans="1:8">
      <c r="A202" s="15"/>
      <c r="B202" s="13"/>
      <c r="C202" s="19"/>
      <c r="D202" s="13"/>
      <c r="E202" s="13"/>
      <c r="F202" s="23">
        <f>IF($B202="","",IFERROR(INDEX(InsUnid,MATCH($B202,InsNome,0)),""))</f>
        <v>0</v>
      </c>
      <c r="G202" s="24">
        <f>IF(OR($B202="",$C202=""),"",$C202*IFERROR(INDEX(InsBruto,MATCH($B202,InsNome,0)),0))</f>
        <v>0</v>
      </c>
      <c r="H202" s="32">
        <f>IF($A202="","",DATE(YEAR($A202),MONTH($A202),1))</f>
        <v>0</v>
      </c>
    </row>
    <row r="203" spans="1:8">
      <c r="A203" s="15"/>
      <c r="B203" s="13"/>
      <c r="C203" s="19"/>
      <c r="D203" s="13"/>
      <c r="E203" s="13"/>
      <c r="F203" s="23">
        <f>IF($B203="","",IFERROR(INDEX(InsUnid,MATCH($B203,InsNome,0)),""))</f>
        <v>0</v>
      </c>
      <c r="G203" s="24">
        <f>IF(OR($B203="",$C203=""),"",$C203*IFERROR(INDEX(InsBruto,MATCH($B203,InsNome,0)),0))</f>
        <v>0</v>
      </c>
      <c r="H203" s="32">
        <f>IF($A203="","",DATE(YEAR($A203),MONTH($A203),1))</f>
        <v>0</v>
      </c>
    </row>
    <row r="204" spans="1:8">
      <c r="A204" s="15"/>
      <c r="B204" s="13"/>
      <c r="C204" s="19"/>
      <c r="D204" s="13"/>
      <c r="E204" s="13"/>
      <c r="F204" s="23">
        <f>IF($B204="","",IFERROR(INDEX(InsUnid,MATCH($B204,InsNome,0)),""))</f>
        <v>0</v>
      </c>
      <c r="G204" s="24">
        <f>IF(OR($B204="",$C204=""),"",$C204*IFERROR(INDEX(InsBruto,MATCH($B204,InsNome,0)),0))</f>
        <v>0</v>
      </c>
      <c r="H204" s="32">
        <f>IF($A204="","",DATE(YEAR($A204),MONTH($A204),1))</f>
        <v>0</v>
      </c>
    </row>
    <row r="205" spans="1:8">
      <c r="A205" s="15"/>
      <c r="B205" s="13"/>
      <c r="C205" s="19"/>
      <c r="D205" s="13"/>
      <c r="E205" s="13"/>
      <c r="F205" s="23">
        <f>IF($B205="","",IFERROR(INDEX(InsUnid,MATCH($B205,InsNome,0)),""))</f>
        <v>0</v>
      </c>
      <c r="G205" s="24">
        <f>IF(OR($B205="",$C205=""),"",$C205*IFERROR(INDEX(InsBruto,MATCH($B205,InsNome,0)),0))</f>
        <v>0</v>
      </c>
      <c r="H205" s="32">
        <f>IF($A205="","",DATE(YEAR($A205),MONTH($A205),1))</f>
        <v>0</v>
      </c>
    </row>
    <row r="206" spans="1:8">
      <c r="A206" s="15"/>
      <c r="B206" s="13"/>
      <c r="C206" s="19"/>
      <c r="D206" s="13"/>
      <c r="E206" s="13"/>
      <c r="F206" s="23">
        <f>IF($B206="","",IFERROR(INDEX(InsUnid,MATCH($B206,InsNome,0)),""))</f>
        <v>0</v>
      </c>
      <c r="G206" s="24">
        <f>IF(OR($B206="",$C206=""),"",$C206*IFERROR(INDEX(InsBruto,MATCH($B206,InsNome,0)),0))</f>
        <v>0</v>
      </c>
      <c r="H206" s="32">
        <f>IF($A206="","",DATE(YEAR($A206),MONTH($A206),1))</f>
        <v>0</v>
      </c>
    </row>
    <row r="207" spans="1:8">
      <c r="A207" s="15"/>
      <c r="B207" s="13"/>
      <c r="C207" s="19"/>
      <c r="D207" s="13"/>
      <c r="E207" s="13"/>
      <c r="F207" s="23">
        <f>IF($B207="","",IFERROR(INDEX(InsUnid,MATCH($B207,InsNome,0)),""))</f>
        <v>0</v>
      </c>
      <c r="G207" s="24">
        <f>IF(OR($B207="",$C207=""),"",$C207*IFERROR(INDEX(InsBruto,MATCH($B207,InsNome,0)),0))</f>
        <v>0</v>
      </c>
      <c r="H207" s="32">
        <f>IF($A207="","",DATE(YEAR($A207),MONTH($A207),1))</f>
        <v>0</v>
      </c>
    </row>
    <row r="208" spans="1:8">
      <c r="A208" s="15"/>
      <c r="B208" s="13"/>
      <c r="C208" s="19"/>
      <c r="D208" s="13"/>
      <c r="E208" s="13"/>
      <c r="F208" s="23">
        <f>IF($B208="","",IFERROR(INDEX(InsUnid,MATCH($B208,InsNome,0)),""))</f>
        <v>0</v>
      </c>
      <c r="G208" s="24">
        <f>IF(OR($B208="",$C208=""),"",$C208*IFERROR(INDEX(InsBruto,MATCH($B208,InsNome,0)),0))</f>
        <v>0</v>
      </c>
      <c r="H208" s="32">
        <f>IF($A208="","",DATE(YEAR($A208),MONTH($A208),1))</f>
        <v>0</v>
      </c>
    </row>
    <row r="209" spans="1:8">
      <c r="A209" s="15"/>
      <c r="B209" s="13"/>
      <c r="C209" s="19"/>
      <c r="D209" s="13"/>
      <c r="E209" s="13"/>
      <c r="F209" s="23">
        <f>IF($B209="","",IFERROR(INDEX(InsUnid,MATCH($B209,InsNome,0)),""))</f>
        <v>0</v>
      </c>
      <c r="G209" s="24">
        <f>IF(OR($B209="",$C209=""),"",$C209*IFERROR(INDEX(InsBruto,MATCH($B209,InsNome,0)),0))</f>
        <v>0</v>
      </c>
      <c r="H209" s="32">
        <f>IF($A209="","",DATE(YEAR($A209),MONTH($A209),1))</f>
        <v>0</v>
      </c>
    </row>
    <row r="210" spans="1:8">
      <c r="A210" s="15"/>
      <c r="B210" s="13"/>
      <c r="C210" s="19"/>
      <c r="D210" s="13"/>
      <c r="E210" s="13"/>
      <c r="F210" s="23">
        <f>IF($B210="","",IFERROR(INDEX(InsUnid,MATCH($B210,InsNome,0)),""))</f>
        <v>0</v>
      </c>
      <c r="G210" s="24">
        <f>IF(OR($B210="",$C210=""),"",$C210*IFERROR(INDEX(InsBruto,MATCH($B210,InsNome,0)),0))</f>
        <v>0</v>
      </c>
      <c r="H210" s="32">
        <f>IF($A210="","",DATE(YEAR($A210),MONTH($A210),1))</f>
        <v>0</v>
      </c>
    </row>
    <row r="211" spans="1:8">
      <c r="A211" s="15"/>
      <c r="B211" s="13"/>
      <c r="C211" s="19"/>
      <c r="D211" s="13"/>
      <c r="E211" s="13"/>
      <c r="F211" s="23">
        <f>IF($B211="","",IFERROR(INDEX(InsUnid,MATCH($B211,InsNome,0)),""))</f>
        <v>0</v>
      </c>
      <c r="G211" s="24">
        <f>IF(OR($B211="",$C211=""),"",$C211*IFERROR(INDEX(InsBruto,MATCH($B211,InsNome,0)),0))</f>
        <v>0</v>
      </c>
      <c r="H211" s="32">
        <f>IF($A211="","",DATE(YEAR($A211),MONTH($A211),1))</f>
        <v>0</v>
      </c>
    </row>
    <row r="212" spans="1:8">
      <c r="A212" s="15"/>
      <c r="B212" s="13"/>
      <c r="C212" s="19"/>
      <c r="D212" s="13"/>
      <c r="E212" s="13"/>
      <c r="F212" s="23">
        <f>IF($B212="","",IFERROR(INDEX(InsUnid,MATCH($B212,InsNome,0)),""))</f>
        <v>0</v>
      </c>
      <c r="G212" s="24">
        <f>IF(OR($B212="",$C212=""),"",$C212*IFERROR(INDEX(InsBruto,MATCH($B212,InsNome,0)),0))</f>
        <v>0</v>
      </c>
      <c r="H212" s="32">
        <f>IF($A212="","",DATE(YEAR($A212),MONTH($A212),1))</f>
        <v>0</v>
      </c>
    </row>
    <row r="213" spans="1:8">
      <c r="A213" s="15"/>
      <c r="B213" s="13"/>
      <c r="C213" s="19"/>
      <c r="D213" s="13"/>
      <c r="E213" s="13"/>
      <c r="F213" s="23">
        <f>IF($B213="","",IFERROR(INDEX(InsUnid,MATCH($B213,InsNome,0)),""))</f>
        <v>0</v>
      </c>
      <c r="G213" s="24">
        <f>IF(OR($B213="",$C213=""),"",$C213*IFERROR(INDEX(InsBruto,MATCH($B213,InsNome,0)),0))</f>
        <v>0</v>
      </c>
      <c r="H213" s="32">
        <f>IF($A213="","",DATE(YEAR($A213),MONTH($A213),1))</f>
        <v>0</v>
      </c>
    </row>
    <row r="214" spans="1:8">
      <c r="A214" s="15"/>
      <c r="B214" s="13"/>
      <c r="C214" s="19"/>
      <c r="D214" s="13"/>
      <c r="E214" s="13"/>
      <c r="F214" s="23">
        <f>IF($B214="","",IFERROR(INDEX(InsUnid,MATCH($B214,InsNome,0)),""))</f>
        <v>0</v>
      </c>
      <c r="G214" s="24">
        <f>IF(OR($B214="",$C214=""),"",$C214*IFERROR(INDEX(InsBruto,MATCH($B214,InsNome,0)),0))</f>
        <v>0</v>
      </c>
      <c r="H214" s="32">
        <f>IF($A214="","",DATE(YEAR($A214),MONTH($A214),1))</f>
        <v>0</v>
      </c>
    </row>
    <row r="215" spans="1:8">
      <c r="A215" s="15"/>
      <c r="B215" s="13"/>
      <c r="C215" s="19"/>
      <c r="D215" s="13"/>
      <c r="E215" s="13"/>
      <c r="F215" s="23">
        <f>IF($B215="","",IFERROR(INDEX(InsUnid,MATCH($B215,InsNome,0)),""))</f>
        <v>0</v>
      </c>
      <c r="G215" s="24">
        <f>IF(OR($B215="",$C215=""),"",$C215*IFERROR(INDEX(InsBruto,MATCH($B215,InsNome,0)),0))</f>
        <v>0</v>
      </c>
      <c r="H215" s="32">
        <f>IF($A215="","",DATE(YEAR($A215),MONTH($A215),1))</f>
        <v>0</v>
      </c>
    </row>
    <row r="216" spans="1:8">
      <c r="A216" s="15"/>
      <c r="B216" s="13"/>
      <c r="C216" s="19"/>
      <c r="D216" s="13"/>
      <c r="E216" s="13"/>
      <c r="F216" s="23">
        <f>IF($B216="","",IFERROR(INDEX(InsUnid,MATCH($B216,InsNome,0)),""))</f>
        <v>0</v>
      </c>
      <c r="G216" s="24">
        <f>IF(OR($B216="",$C216=""),"",$C216*IFERROR(INDEX(InsBruto,MATCH($B216,InsNome,0)),0))</f>
        <v>0</v>
      </c>
      <c r="H216" s="32">
        <f>IF($A216="","",DATE(YEAR($A216),MONTH($A216),1))</f>
        <v>0</v>
      </c>
    </row>
    <row r="217" spans="1:8">
      <c r="A217" s="15"/>
      <c r="B217" s="13"/>
      <c r="C217" s="19"/>
      <c r="D217" s="13"/>
      <c r="E217" s="13"/>
      <c r="F217" s="23">
        <f>IF($B217="","",IFERROR(INDEX(InsUnid,MATCH($B217,InsNome,0)),""))</f>
        <v>0</v>
      </c>
      <c r="G217" s="24">
        <f>IF(OR($B217="",$C217=""),"",$C217*IFERROR(INDEX(InsBruto,MATCH($B217,InsNome,0)),0))</f>
        <v>0</v>
      </c>
      <c r="H217" s="32">
        <f>IF($A217="","",DATE(YEAR($A217),MONTH($A217),1))</f>
        <v>0</v>
      </c>
    </row>
    <row r="218" spans="1:8">
      <c r="A218" s="15"/>
      <c r="B218" s="13"/>
      <c r="C218" s="19"/>
      <c r="D218" s="13"/>
      <c r="E218" s="13"/>
      <c r="F218" s="23">
        <f>IF($B218="","",IFERROR(INDEX(InsUnid,MATCH($B218,InsNome,0)),""))</f>
        <v>0</v>
      </c>
      <c r="G218" s="24">
        <f>IF(OR($B218="",$C218=""),"",$C218*IFERROR(INDEX(InsBruto,MATCH($B218,InsNome,0)),0))</f>
        <v>0</v>
      </c>
      <c r="H218" s="32">
        <f>IF($A218="","",DATE(YEAR($A218),MONTH($A218),1))</f>
        <v>0</v>
      </c>
    </row>
    <row r="219" spans="1:8">
      <c r="A219" s="15"/>
      <c r="B219" s="13"/>
      <c r="C219" s="19"/>
      <c r="D219" s="13"/>
      <c r="E219" s="13"/>
      <c r="F219" s="23">
        <f>IF($B219="","",IFERROR(INDEX(InsUnid,MATCH($B219,InsNome,0)),""))</f>
        <v>0</v>
      </c>
      <c r="G219" s="24">
        <f>IF(OR($B219="",$C219=""),"",$C219*IFERROR(INDEX(InsBruto,MATCH($B219,InsNome,0)),0))</f>
        <v>0</v>
      </c>
      <c r="H219" s="32">
        <f>IF($A219="","",DATE(YEAR($A219),MONTH($A219),1))</f>
        <v>0</v>
      </c>
    </row>
    <row r="220" spans="1:8">
      <c r="A220" s="15"/>
      <c r="B220" s="13"/>
      <c r="C220" s="19"/>
      <c r="D220" s="13"/>
      <c r="E220" s="13"/>
      <c r="F220" s="23">
        <f>IF($B220="","",IFERROR(INDEX(InsUnid,MATCH($B220,InsNome,0)),""))</f>
        <v>0</v>
      </c>
      <c r="G220" s="24">
        <f>IF(OR($B220="",$C220=""),"",$C220*IFERROR(INDEX(InsBruto,MATCH($B220,InsNome,0)),0))</f>
        <v>0</v>
      </c>
      <c r="H220" s="32">
        <f>IF($A220="","",DATE(YEAR($A220),MONTH($A220),1))</f>
        <v>0</v>
      </c>
    </row>
    <row r="221" spans="1:8">
      <c r="A221" s="15"/>
      <c r="B221" s="13"/>
      <c r="C221" s="19"/>
      <c r="D221" s="13"/>
      <c r="E221" s="13"/>
      <c r="F221" s="23">
        <f>IF($B221="","",IFERROR(INDEX(InsUnid,MATCH($B221,InsNome,0)),""))</f>
        <v>0</v>
      </c>
      <c r="G221" s="24">
        <f>IF(OR($B221="",$C221=""),"",$C221*IFERROR(INDEX(InsBruto,MATCH($B221,InsNome,0)),0))</f>
        <v>0</v>
      </c>
      <c r="H221" s="32">
        <f>IF($A221="","",DATE(YEAR($A221),MONTH($A221),1))</f>
        <v>0</v>
      </c>
    </row>
    <row r="222" spans="1:8">
      <c r="A222" s="15"/>
      <c r="B222" s="13"/>
      <c r="C222" s="19"/>
      <c r="D222" s="13"/>
      <c r="E222" s="13"/>
      <c r="F222" s="23">
        <f>IF($B222="","",IFERROR(INDEX(InsUnid,MATCH($B222,InsNome,0)),""))</f>
        <v>0</v>
      </c>
      <c r="G222" s="24">
        <f>IF(OR($B222="",$C222=""),"",$C222*IFERROR(INDEX(InsBruto,MATCH($B222,InsNome,0)),0))</f>
        <v>0</v>
      </c>
      <c r="H222" s="32">
        <f>IF($A222="","",DATE(YEAR($A222),MONTH($A222),1))</f>
        <v>0</v>
      </c>
    </row>
    <row r="223" spans="1:8">
      <c r="A223" s="15"/>
      <c r="B223" s="13"/>
      <c r="C223" s="19"/>
      <c r="D223" s="13"/>
      <c r="E223" s="13"/>
      <c r="F223" s="23">
        <f>IF($B223="","",IFERROR(INDEX(InsUnid,MATCH($B223,InsNome,0)),""))</f>
        <v>0</v>
      </c>
      <c r="G223" s="24">
        <f>IF(OR($B223="",$C223=""),"",$C223*IFERROR(INDEX(InsBruto,MATCH($B223,InsNome,0)),0))</f>
        <v>0</v>
      </c>
      <c r="H223" s="32">
        <f>IF($A223="","",DATE(YEAR($A223),MONTH($A223),1))</f>
        <v>0</v>
      </c>
    </row>
    <row r="224" spans="1:8">
      <c r="A224" s="15"/>
      <c r="B224" s="13"/>
      <c r="C224" s="19"/>
      <c r="D224" s="13"/>
      <c r="E224" s="13"/>
      <c r="F224" s="23">
        <f>IF($B224="","",IFERROR(INDEX(InsUnid,MATCH($B224,InsNome,0)),""))</f>
        <v>0</v>
      </c>
      <c r="G224" s="24">
        <f>IF(OR($B224="",$C224=""),"",$C224*IFERROR(INDEX(InsBruto,MATCH($B224,InsNome,0)),0))</f>
        <v>0</v>
      </c>
      <c r="H224" s="32">
        <f>IF($A224="","",DATE(YEAR($A224),MONTH($A224),1))</f>
        <v>0</v>
      </c>
    </row>
    <row r="225" spans="1:8">
      <c r="A225" s="15"/>
      <c r="B225" s="13"/>
      <c r="C225" s="19"/>
      <c r="D225" s="13"/>
      <c r="E225" s="13"/>
      <c r="F225" s="23">
        <f>IF($B225="","",IFERROR(INDEX(InsUnid,MATCH($B225,InsNome,0)),""))</f>
        <v>0</v>
      </c>
      <c r="G225" s="24">
        <f>IF(OR($B225="",$C225=""),"",$C225*IFERROR(INDEX(InsBruto,MATCH($B225,InsNome,0)),0))</f>
        <v>0</v>
      </c>
      <c r="H225" s="32">
        <f>IF($A225="","",DATE(YEAR($A225),MONTH($A225),1))</f>
        <v>0</v>
      </c>
    </row>
    <row r="226" spans="1:8">
      <c r="A226" s="15"/>
      <c r="B226" s="13"/>
      <c r="C226" s="19"/>
      <c r="D226" s="13"/>
      <c r="E226" s="13"/>
      <c r="F226" s="23">
        <f>IF($B226="","",IFERROR(INDEX(InsUnid,MATCH($B226,InsNome,0)),""))</f>
        <v>0</v>
      </c>
      <c r="G226" s="24">
        <f>IF(OR($B226="",$C226=""),"",$C226*IFERROR(INDEX(InsBruto,MATCH($B226,InsNome,0)),0))</f>
        <v>0</v>
      </c>
      <c r="H226" s="32">
        <f>IF($A226="","",DATE(YEAR($A226),MONTH($A226),1))</f>
        <v>0</v>
      </c>
    </row>
    <row r="227" spans="1:8">
      <c r="A227" s="15"/>
      <c r="B227" s="13"/>
      <c r="C227" s="19"/>
      <c r="D227" s="13"/>
      <c r="E227" s="13"/>
      <c r="F227" s="23">
        <f>IF($B227="","",IFERROR(INDEX(InsUnid,MATCH($B227,InsNome,0)),""))</f>
        <v>0</v>
      </c>
      <c r="G227" s="24">
        <f>IF(OR($B227="",$C227=""),"",$C227*IFERROR(INDEX(InsBruto,MATCH($B227,InsNome,0)),0))</f>
        <v>0</v>
      </c>
      <c r="H227" s="32">
        <f>IF($A227="","",DATE(YEAR($A227),MONTH($A227),1))</f>
        <v>0</v>
      </c>
    </row>
    <row r="228" spans="1:8">
      <c r="A228" s="15"/>
      <c r="B228" s="13"/>
      <c r="C228" s="19"/>
      <c r="D228" s="13"/>
      <c r="E228" s="13"/>
      <c r="F228" s="23">
        <f>IF($B228="","",IFERROR(INDEX(InsUnid,MATCH($B228,InsNome,0)),""))</f>
        <v>0</v>
      </c>
      <c r="G228" s="24">
        <f>IF(OR($B228="",$C228=""),"",$C228*IFERROR(INDEX(InsBruto,MATCH($B228,InsNome,0)),0))</f>
        <v>0</v>
      </c>
      <c r="H228" s="32">
        <f>IF($A228="","",DATE(YEAR($A228),MONTH($A228),1))</f>
        <v>0</v>
      </c>
    </row>
    <row r="229" spans="1:8">
      <c r="A229" s="15"/>
      <c r="B229" s="13"/>
      <c r="C229" s="19"/>
      <c r="D229" s="13"/>
      <c r="E229" s="13"/>
      <c r="F229" s="23">
        <f>IF($B229="","",IFERROR(INDEX(InsUnid,MATCH($B229,InsNome,0)),""))</f>
        <v>0</v>
      </c>
      <c r="G229" s="24">
        <f>IF(OR($B229="",$C229=""),"",$C229*IFERROR(INDEX(InsBruto,MATCH($B229,InsNome,0)),0))</f>
        <v>0</v>
      </c>
      <c r="H229" s="32">
        <f>IF($A229="","",DATE(YEAR($A229),MONTH($A229),1))</f>
        <v>0</v>
      </c>
    </row>
    <row r="230" spans="1:8">
      <c r="A230" s="15"/>
      <c r="B230" s="13"/>
      <c r="C230" s="19"/>
      <c r="D230" s="13"/>
      <c r="E230" s="13"/>
      <c r="F230" s="23">
        <f>IF($B230="","",IFERROR(INDEX(InsUnid,MATCH($B230,InsNome,0)),""))</f>
        <v>0</v>
      </c>
      <c r="G230" s="24">
        <f>IF(OR($B230="",$C230=""),"",$C230*IFERROR(INDEX(InsBruto,MATCH($B230,InsNome,0)),0))</f>
        <v>0</v>
      </c>
      <c r="H230" s="32">
        <f>IF($A230="","",DATE(YEAR($A230),MONTH($A230),1))</f>
        <v>0</v>
      </c>
    </row>
    <row r="231" spans="1:8">
      <c r="A231" s="15"/>
      <c r="B231" s="13"/>
      <c r="C231" s="19"/>
      <c r="D231" s="13"/>
      <c r="E231" s="13"/>
      <c r="F231" s="23">
        <f>IF($B231="","",IFERROR(INDEX(InsUnid,MATCH($B231,InsNome,0)),""))</f>
        <v>0</v>
      </c>
      <c r="G231" s="24">
        <f>IF(OR($B231="",$C231=""),"",$C231*IFERROR(INDEX(InsBruto,MATCH($B231,InsNome,0)),0))</f>
        <v>0</v>
      </c>
      <c r="H231" s="32">
        <f>IF($A231="","",DATE(YEAR($A231),MONTH($A231),1))</f>
        <v>0</v>
      </c>
    </row>
    <row r="232" spans="1:8">
      <c r="A232" s="15"/>
      <c r="B232" s="13"/>
      <c r="C232" s="19"/>
      <c r="D232" s="13"/>
      <c r="E232" s="13"/>
      <c r="F232" s="23">
        <f>IF($B232="","",IFERROR(INDEX(InsUnid,MATCH($B232,InsNome,0)),""))</f>
        <v>0</v>
      </c>
      <c r="G232" s="24">
        <f>IF(OR($B232="",$C232=""),"",$C232*IFERROR(INDEX(InsBruto,MATCH($B232,InsNome,0)),0))</f>
        <v>0</v>
      </c>
      <c r="H232" s="32">
        <f>IF($A232="","",DATE(YEAR($A232),MONTH($A232),1))</f>
        <v>0</v>
      </c>
    </row>
    <row r="233" spans="1:8">
      <c r="A233" s="15"/>
      <c r="B233" s="13"/>
      <c r="C233" s="19"/>
      <c r="D233" s="13"/>
      <c r="E233" s="13"/>
      <c r="F233" s="23">
        <f>IF($B233="","",IFERROR(INDEX(InsUnid,MATCH($B233,InsNome,0)),""))</f>
        <v>0</v>
      </c>
      <c r="G233" s="24">
        <f>IF(OR($B233="",$C233=""),"",$C233*IFERROR(INDEX(InsBruto,MATCH($B233,InsNome,0)),0))</f>
        <v>0</v>
      </c>
      <c r="H233" s="32">
        <f>IF($A233="","",DATE(YEAR($A233),MONTH($A233),1))</f>
        <v>0</v>
      </c>
    </row>
    <row r="234" spans="1:8">
      <c r="A234" s="15"/>
      <c r="B234" s="13"/>
      <c r="C234" s="19"/>
      <c r="D234" s="13"/>
      <c r="E234" s="13"/>
      <c r="F234" s="23">
        <f>IF($B234="","",IFERROR(INDEX(InsUnid,MATCH($B234,InsNome,0)),""))</f>
        <v>0</v>
      </c>
      <c r="G234" s="24">
        <f>IF(OR($B234="",$C234=""),"",$C234*IFERROR(INDEX(InsBruto,MATCH($B234,InsNome,0)),0))</f>
        <v>0</v>
      </c>
      <c r="H234" s="32">
        <f>IF($A234="","",DATE(YEAR($A234),MONTH($A234),1))</f>
        <v>0</v>
      </c>
    </row>
    <row r="235" spans="1:8">
      <c r="A235" s="15"/>
      <c r="B235" s="13"/>
      <c r="C235" s="19"/>
      <c r="D235" s="13"/>
      <c r="E235" s="13"/>
      <c r="F235" s="23">
        <f>IF($B235="","",IFERROR(INDEX(InsUnid,MATCH($B235,InsNome,0)),""))</f>
        <v>0</v>
      </c>
      <c r="G235" s="24">
        <f>IF(OR($B235="",$C235=""),"",$C235*IFERROR(INDEX(InsBruto,MATCH($B235,InsNome,0)),0))</f>
        <v>0</v>
      </c>
      <c r="H235" s="32">
        <f>IF($A235="","",DATE(YEAR($A235),MONTH($A235),1))</f>
        <v>0</v>
      </c>
    </row>
    <row r="236" spans="1:8">
      <c r="A236" s="15"/>
      <c r="B236" s="13"/>
      <c r="C236" s="19"/>
      <c r="D236" s="13"/>
      <c r="E236" s="13"/>
      <c r="F236" s="23">
        <f>IF($B236="","",IFERROR(INDEX(InsUnid,MATCH($B236,InsNome,0)),""))</f>
        <v>0</v>
      </c>
      <c r="G236" s="24">
        <f>IF(OR($B236="",$C236=""),"",$C236*IFERROR(INDEX(InsBruto,MATCH($B236,InsNome,0)),0))</f>
        <v>0</v>
      </c>
      <c r="H236" s="32">
        <f>IF($A236="","",DATE(YEAR($A236),MONTH($A236),1))</f>
        <v>0</v>
      </c>
    </row>
    <row r="237" spans="1:8">
      <c r="A237" s="15"/>
      <c r="B237" s="13"/>
      <c r="C237" s="19"/>
      <c r="D237" s="13"/>
      <c r="E237" s="13"/>
      <c r="F237" s="23">
        <f>IF($B237="","",IFERROR(INDEX(InsUnid,MATCH($B237,InsNome,0)),""))</f>
        <v>0</v>
      </c>
      <c r="G237" s="24">
        <f>IF(OR($B237="",$C237=""),"",$C237*IFERROR(INDEX(InsBruto,MATCH($B237,InsNome,0)),0))</f>
        <v>0</v>
      </c>
      <c r="H237" s="32">
        <f>IF($A237="","",DATE(YEAR($A237),MONTH($A237),1))</f>
        <v>0</v>
      </c>
    </row>
    <row r="238" spans="1:8">
      <c r="A238" s="15"/>
      <c r="B238" s="13"/>
      <c r="C238" s="19"/>
      <c r="D238" s="13"/>
      <c r="E238" s="13"/>
      <c r="F238" s="23">
        <f>IF($B238="","",IFERROR(INDEX(InsUnid,MATCH($B238,InsNome,0)),""))</f>
        <v>0</v>
      </c>
      <c r="G238" s="24">
        <f>IF(OR($B238="",$C238=""),"",$C238*IFERROR(INDEX(InsBruto,MATCH($B238,InsNome,0)),0))</f>
        <v>0</v>
      </c>
      <c r="H238" s="32">
        <f>IF($A238="","",DATE(YEAR($A238),MONTH($A238),1))</f>
        <v>0</v>
      </c>
    </row>
    <row r="239" spans="1:8">
      <c r="A239" s="15"/>
      <c r="B239" s="13"/>
      <c r="C239" s="19"/>
      <c r="D239" s="13"/>
      <c r="E239" s="13"/>
      <c r="F239" s="23">
        <f>IF($B239="","",IFERROR(INDEX(InsUnid,MATCH($B239,InsNome,0)),""))</f>
        <v>0</v>
      </c>
      <c r="G239" s="24">
        <f>IF(OR($B239="",$C239=""),"",$C239*IFERROR(INDEX(InsBruto,MATCH($B239,InsNome,0)),0))</f>
        <v>0</v>
      </c>
      <c r="H239" s="32">
        <f>IF($A239="","",DATE(YEAR($A239),MONTH($A239),1))</f>
        <v>0</v>
      </c>
    </row>
    <row r="240" spans="1:8">
      <c r="A240" s="15"/>
      <c r="B240" s="13"/>
      <c r="C240" s="19"/>
      <c r="D240" s="13"/>
      <c r="E240" s="13"/>
      <c r="F240" s="23">
        <f>IF($B240="","",IFERROR(INDEX(InsUnid,MATCH($B240,InsNome,0)),""))</f>
        <v>0</v>
      </c>
      <c r="G240" s="24">
        <f>IF(OR($B240="",$C240=""),"",$C240*IFERROR(INDEX(InsBruto,MATCH($B240,InsNome,0)),0))</f>
        <v>0</v>
      </c>
      <c r="H240" s="32">
        <f>IF($A240="","",DATE(YEAR($A240),MONTH($A240),1))</f>
        <v>0</v>
      </c>
    </row>
    <row r="241" spans="1:8">
      <c r="A241" s="15"/>
      <c r="B241" s="13"/>
      <c r="C241" s="19"/>
      <c r="D241" s="13"/>
      <c r="E241" s="13"/>
      <c r="F241" s="23">
        <f>IF($B241="","",IFERROR(INDEX(InsUnid,MATCH($B241,InsNome,0)),""))</f>
        <v>0</v>
      </c>
      <c r="G241" s="24">
        <f>IF(OR($B241="",$C241=""),"",$C241*IFERROR(INDEX(InsBruto,MATCH($B241,InsNome,0)),0))</f>
        <v>0</v>
      </c>
      <c r="H241" s="32">
        <f>IF($A241="","",DATE(YEAR($A241),MONTH($A241),1))</f>
        <v>0</v>
      </c>
    </row>
    <row r="242" spans="1:8">
      <c r="A242" s="15"/>
      <c r="B242" s="13"/>
      <c r="C242" s="19"/>
      <c r="D242" s="13"/>
      <c r="E242" s="13"/>
      <c r="F242" s="23">
        <f>IF($B242="","",IFERROR(INDEX(InsUnid,MATCH($B242,InsNome,0)),""))</f>
        <v>0</v>
      </c>
      <c r="G242" s="24">
        <f>IF(OR($B242="",$C242=""),"",$C242*IFERROR(INDEX(InsBruto,MATCH($B242,InsNome,0)),0))</f>
        <v>0</v>
      </c>
      <c r="H242" s="32">
        <f>IF($A242="","",DATE(YEAR($A242),MONTH($A242),1))</f>
        <v>0</v>
      </c>
    </row>
    <row r="243" spans="1:8">
      <c r="A243" s="15"/>
      <c r="B243" s="13"/>
      <c r="C243" s="19"/>
      <c r="D243" s="13"/>
      <c r="E243" s="13"/>
      <c r="F243" s="23">
        <f>IF($B243="","",IFERROR(INDEX(InsUnid,MATCH($B243,InsNome,0)),""))</f>
        <v>0</v>
      </c>
      <c r="G243" s="24">
        <f>IF(OR($B243="",$C243=""),"",$C243*IFERROR(INDEX(InsBruto,MATCH($B243,InsNome,0)),0))</f>
        <v>0</v>
      </c>
      <c r="H243" s="32">
        <f>IF($A243="","",DATE(YEAR($A243),MONTH($A243),1))</f>
        <v>0</v>
      </c>
    </row>
    <row r="244" spans="1:8">
      <c r="A244" s="15"/>
      <c r="B244" s="13"/>
      <c r="C244" s="19"/>
      <c r="D244" s="13"/>
      <c r="E244" s="13"/>
      <c r="F244" s="23">
        <f>IF($B244="","",IFERROR(INDEX(InsUnid,MATCH($B244,InsNome,0)),""))</f>
        <v>0</v>
      </c>
      <c r="G244" s="24">
        <f>IF(OR($B244="",$C244=""),"",$C244*IFERROR(INDEX(InsBruto,MATCH($B244,InsNome,0)),0))</f>
        <v>0</v>
      </c>
      <c r="H244" s="32">
        <f>IF($A244="","",DATE(YEAR($A244),MONTH($A244),1))</f>
        <v>0</v>
      </c>
    </row>
    <row r="245" spans="1:8">
      <c r="A245" s="15"/>
      <c r="B245" s="13"/>
      <c r="C245" s="19"/>
      <c r="D245" s="13"/>
      <c r="E245" s="13"/>
      <c r="F245" s="23">
        <f>IF($B245="","",IFERROR(INDEX(InsUnid,MATCH($B245,InsNome,0)),""))</f>
        <v>0</v>
      </c>
      <c r="G245" s="24">
        <f>IF(OR($B245="",$C245=""),"",$C245*IFERROR(INDEX(InsBruto,MATCH($B245,InsNome,0)),0))</f>
        <v>0</v>
      </c>
      <c r="H245" s="32">
        <f>IF($A245="","",DATE(YEAR($A245),MONTH($A245),1))</f>
        <v>0</v>
      </c>
    </row>
    <row r="246" spans="1:8">
      <c r="A246" s="15"/>
      <c r="B246" s="13"/>
      <c r="C246" s="19"/>
      <c r="D246" s="13"/>
      <c r="E246" s="13"/>
      <c r="F246" s="23">
        <f>IF($B246="","",IFERROR(INDEX(InsUnid,MATCH($B246,InsNome,0)),""))</f>
        <v>0</v>
      </c>
      <c r="G246" s="24">
        <f>IF(OR($B246="",$C246=""),"",$C246*IFERROR(INDEX(InsBruto,MATCH($B246,InsNome,0)),0))</f>
        <v>0</v>
      </c>
      <c r="H246" s="32">
        <f>IF($A246="","",DATE(YEAR($A246),MONTH($A246),1))</f>
        <v>0</v>
      </c>
    </row>
    <row r="247" spans="1:8">
      <c r="A247" s="15"/>
      <c r="B247" s="13"/>
      <c r="C247" s="19"/>
      <c r="D247" s="13"/>
      <c r="E247" s="13"/>
      <c r="F247" s="23">
        <f>IF($B247="","",IFERROR(INDEX(InsUnid,MATCH($B247,InsNome,0)),""))</f>
        <v>0</v>
      </c>
      <c r="G247" s="24">
        <f>IF(OR($B247="",$C247=""),"",$C247*IFERROR(INDEX(InsBruto,MATCH($B247,InsNome,0)),0))</f>
        <v>0</v>
      </c>
      <c r="H247" s="32">
        <f>IF($A247="","",DATE(YEAR($A247),MONTH($A247),1))</f>
        <v>0</v>
      </c>
    </row>
    <row r="248" spans="1:8">
      <c r="A248" s="15"/>
      <c r="B248" s="13"/>
      <c r="C248" s="19"/>
      <c r="D248" s="13"/>
      <c r="E248" s="13"/>
      <c r="F248" s="23">
        <f>IF($B248="","",IFERROR(INDEX(InsUnid,MATCH($B248,InsNome,0)),""))</f>
        <v>0</v>
      </c>
      <c r="G248" s="24">
        <f>IF(OR($B248="",$C248=""),"",$C248*IFERROR(INDEX(InsBruto,MATCH($B248,InsNome,0)),0))</f>
        <v>0</v>
      </c>
      <c r="H248" s="32">
        <f>IF($A248="","",DATE(YEAR($A248),MONTH($A248),1))</f>
        <v>0</v>
      </c>
    </row>
    <row r="249" spans="1:8">
      <c r="A249" s="15"/>
      <c r="B249" s="13"/>
      <c r="C249" s="19"/>
      <c r="D249" s="13"/>
      <c r="E249" s="13"/>
      <c r="F249" s="23">
        <f>IF($B249="","",IFERROR(INDEX(InsUnid,MATCH($B249,InsNome,0)),""))</f>
        <v>0</v>
      </c>
      <c r="G249" s="24">
        <f>IF(OR($B249="",$C249=""),"",$C249*IFERROR(INDEX(InsBruto,MATCH($B249,InsNome,0)),0))</f>
        <v>0</v>
      </c>
      <c r="H249" s="32">
        <f>IF($A249="","",DATE(YEAR($A249),MONTH($A249),1))</f>
        <v>0</v>
      </c>
    </row>
    <row r="250" spans="1:8">
      <c r="A250" s="15"/>
      <c r="B250" s="13"/>
      <c r="C250" s="19"/>
      <c r="D250" s="13"/>
      <c r="E250" s="13"/>
      <c r="F250" s="23">
        <f>IF($B250="","",IFERROR(INDEX(InsUnid,MATCH($B250,InsNome,0)),""))</f>
        <v>0</v>
      </c>
      <c r="G250" s="24">
        <f>IF(OR($B250="",$C250=""),"",$C250*IFERROR(INDEX(InsBruto,MATCH($B250,InsNome,0)),0))</f>
        <v>0</v>
      </c>
      <c r="H250" s="32">
        <f>IF($A250="","",DATE(YEAR($A250),MONTH($A250),1))</f>
        <v>0</v>
      </c>
    </row>
    <row r="251" spans="1:8">
      <c r="A251" s="15"/>
      <c r="B251" s="13"/>
      <c r="C251" s="19"/>
      <c r="D251" s="13"/>
      <c r="E251" s="13"/>
      <c r="F251" s="23">
        <f>IF($B251="","",IFERROR(INDEX(InsUnid,MATCH($B251,InsNome,0)),""))</f>
        <v>0</v>
      </c>
      <c r="G251" s="24">
        <f>IF(OR($B251="",$C251=""),"",$C251*IFERROR(INDEX(InsBruto,MATCH($B251,InsNome,0)),0))</f>
        <v>0</v>
      </c>
      <c r="H251" s="32">
        <f>IF($A251="","",DATE(YEAR($A251),MONTH($A251),1))</f>
        <v>0</v>
      </c>
    </row>
    <row r="252" spans="1:8">
      <c r="A252" s="15"/>
      <c r="B252" s="13"/>
      <c r="C252" s="19"/>
      <c r="D252" s="13"/>
      <c r="E252" s="13"/>
      <c r="F252" s="23">
        <f>IF($B252="","",IFERROR(INDEX(InsUnid,MATCH($B252,InsNome,0)),""))</f>
        <v>0</v>
      </c>
      <c r="G252" s="24">
        <f>IF(OR($B252="",$C252=""),"",$C252*IFERROR(INDEX(InsBruto,MATCH($B252,InsNome,0)),0))</f>
        <v>0</v>
      </c>
      <c r="H252" s="32">
        <f>IF($A252="","",DATE(YEAR($A252),MONTH($A252),1))</f>
        <v>0</v>
      </c>
    </row>
    <row r="253" spans="1:8">
      <c r="A253" s="15"/>
      <c r="B253" s="13"/>
      <c r="C253" s="19"/>
      <c r="D253" s="13"/>
      <c r="E253" s="13"/>
      <c r="F253" s="23">
        <f>IF($B253="","",IFERROR(INDEX(InsUnid,MATCH($B253,InsNome,0)),""))</f>
        <v>0</v>
      </c>
      <c r="G253" s="24">
        <f>IF(OR($B253="",$C253=""),"",$C253*IFERROR(INDEX(InsBruto,MATCH($B253,InsNome,0)),0))</f>
        <v>0</v>
      </c>
      <c r="H253" s="32">
        <f>IF($A253="","",DATE(YEAR($A253),MONTH($A253),1))</f>
        <v>0</v>
      </c>
    </row>
    <row r="254" spans="1:8">
      <c r="A254" s="15"/>
      <c r="B254" s="13"/>
      <c r="C254" s="19"/>
      <c r="D254" s="13"/>
      <c r="E254" s="13"/>
      <c r="F254" s="23">
        <f>IF($B254="","",IFERROR(INDEX(InsUnid,MATCH($B254,InsNome,0)),""))</f>
        <v>0</v>
      </c>
      <c r="G254" s="24">
        <f>IF(OR($B254="",$C254=""),"",$C254*IFERROR(INDEX(InsBruto,MATCH($B254,InsNome,0)),0))</f>
        <v>0</v>
      </c>
      <c r="H254" s="32">
        <f>IF($A254="","",DATE(YEAR($A254),MONTH($A254),1))</f>
        <v>0</v>
      </c>
    </row>
    <row r="255" spans="1:8">
      <c r="A255" s="15"/>
      <c r="B255" s="13"/>
      <c r="C255" s="19"/>
      <c r="D255" s="13"/>
      <c r="E255" s="13"/>
      <c r="F255" s="23">
        <f>IF($B255="","",IFERROR(INDEX(InsUnid,MATCH($B255,InsNome,0)),""))</f>
        <v>0</v>
      </c>
      <c r="G255" s="24">
        <f>IF(OR($B255="",$C255=""),"",$C255*IFERROR(INDEX(InsBruto,MATCH($B255,InsNome,0)),0))</f>
        <v>0</v>
      </c>
      <c r="H255" s="32">
        <f>IF($A255="","",DATE(YEAR($A255),MONTH($A255),1))</f>
        <v>0</v>
      </c>
    </row>
    <row r="256" spans="1:8">
      <c r="A256" s="15"/>
      <c r="B256" s="13"/>
      <c r="C256" s="19"/>
      <c r="D256" s="13"/>
      <c r="E256" s="13"/>
      <c r="F256" s="23">
        <f>IF($B256="","",IFERROR(INDEX(InsUnid,MATCH($B256,InsNome,0)),""))</f>
        <v>0</v>
      </c>
      <c r="G256" s="24">
        <f>IF(OR($B256="",$C256=""),"",$C256*IFERROR(INDEX(InsBruto,MATCH($B256,InsNome,0)),0))</f>
        <v>0</v>
      </c>
      <c r="H256" s="32">
        <f>IF($A256="","",DATE(YEAR($A256),MONTH($A256),1))</f>
        <v>0</v>
      </c>
    </row>
    <row r="257" spans="1:8">
      <c r="A257" s="15"/>
      <c r="B257" s="13"/>
      <c r="C257" s="19"/>
      <c r="D257" s="13"/>
      <c r="E257" s="13"/>
      <c r="F257" s="23">
        <f>IF($B257="","",IFERROR(INDEX(InsUnid,MATCH($B257,InsNome,0)),""))</f>
        <v>0</v>
      </c>
      <c r="G257" s="24">
        <f>IF(OR($B257="",$C257=""),"",$C257*IFERROR(INDEX(InsBruto,MATCH($B257,InsNome,0)),0))</f>
        <v>0</v>
      </c>
      <c r="H257" s="32">
        <f>IF($A257="","",DATE(YEAR($A257),MONTH($A257),1))</f>
        <v>0</v>
      </c>
    </row>
    <row r="258" spans="1:8">
      <c r="A258" s="15"/>
      <c r="B258" s="13"/>
      <c r="C258" s="19"/>
      <c r="D258" s="13"/>
      <c r="E258" s="13"/>
      <c r="F258" s="23">
        <f>IF($B258="","",IFERROR(INDEX(InsUnid,MATCH($B258,InsNome,0)),""))</f>
        <v>0</v>
      </c>
      <c r="G258" s="24">
        <f>IF(OR($B258="",$C258=""),"",$C258*IFERROR(INDEX(InsBruto,MATCH($B258,InsNome,0)),0))</f>
        <v>0</v>
      </c>
      <c r="H258" s="32">
        <f>IF($A258="","",DATE(YEAR($A258),MONTH($A258),1))</f>
        <v>0</v>
      </c>
    </row>
    <row r="259" spans="1:8">
      <c r="A259" s="15"/>
      <c r="B259" s="13"/>
      <c r="C259" s="19"/>
      <c r="D259" s="13"/>
      <c r="E259" s="13"/>
      <c r="F259" s="23">
        <f>IF($B259="","",IFERROR(INDEX(InsUnid,MATCH($B259,InsNome,0)),""))</f>
        <v>0</v>
      </c>
      <c r="G259" s="24">
        <f>IF(OR($B259="",$C259=""),"",$C259*IFERROR(INDEX(InsBruto,MATCH($B259,InsNome,0)),0))</f>
        <v>0</v>
      </c>
      <c r="H259" s="32">
        <f>IF($A259="","",DATE(YEAR($A259),MONTH($A259),1))</f>
        <v>0</v>
      </c>
    </row>
    <row r="260" spans="1:8">
      <c r="A260" s="15"/>
      <c r="B260" s="13"/>
      <c r="C260" s="19"/>
      <c r="D260" s="13"/>
      <c r="E260" s="13"/>
      <c r="F260" s="23">
        <f>IF($B260="","",IFERROR(INDEX(InsUnid,MATCH($B260,InsNome,0)),""))</f>
        <v>0</v>
      </c>
      <c r="G260" s="24">
        <f>IF(OR($B260="",$C260=""),"",$C260*IFERROR(INDEX(InsBruto,MATCH($B260,InsNome,0)),0))</f>
        <v>0</v>
      </c>
      <c r="H260" s="32">
        <f>IF($A260="","",DATE(YEAR($A260),MONTH($A260),1))</f>
        <v>0</v>
      </c>
    </row>
    <row r="261" spans="1:8">
      <c r="A261" s="15"/>
      <c r="B261" s="13"/>
      <c r="C261" s="19"/>
      <c r="D261" s="13"/>
      <c r="E261" s="13"/>
      <c r="F261" s="23">
        <f>IF($B261="","",IFERROR(INDEX(InsUnid,MATCH($B261,InsNome,0)),""))</f>
        <v>0</v>
      </c>
      <c r="G261" s="24">
        <f>IF(OR($B261="",$C261=""),"",$C261*IFERROR(INDEX(InsBruto,MATCH($B261,InsNome,0)),0))</f>
        <v>0</v>
      </c>
      <c r="H261" s="32">
        <f>IF($A261="","",DATE(YEAR($A261),MONTH($A261),1))</f>
        <v>0</v>
      </c>
    </row>
    <row r="262" spans="1:8">
      <c r="A262" s="15"/>
      <c r="B262" s="13"/>
      <c r="C262" s="19"/>
      <c r="D262" s="13"/>
      <c r="E262" s="13"/>
      <c r="F262" s="23">
        <f>IF($B262="","",IFERROR(INDEX(InsUnid,MATCH($B262,InsNome,0)),""))</f>
        <v>0</v>
      </c>
      <c r="G262" s="24">
        <f>IF(OR($B262="",$C262=""),"",$C262*IFERROR(INDEX(InsBruto,MATCH($B262,InsNome,0)),0))</f>
        <v>0</v>
      </c>
      <c r="H262" s="32">
        <f>IF($A262="","",DATE(YEAR($A262),MONTH($A262),1))</f>
        <v>0</v>
      </c>
    </row>
    <row r="263" spans="1:8">
      <c r="A263" s="15"/>
      <c r="B263" s="13"/>
      <c r="C263" s="19"/>
      <c r="D263" s="13"/>
      <c r="E263" s="13"/>
      <c r="F263" s="23">
        <f>IF($B263="","",IFERROR(INDEX(InsUnid,MATCH($B263,InsNome,0)),""))</f>
        <v>0</v>
      </c>
      <c r="G263" s="24">
        <f>IF(OR($B263="",$C263=""),"",$C263*IFERROR(INDEX(InsBruto,MATCH($B263,InsNome,0)),0))</f>
        <v>0</v>
      </c>
      <c r="H263" s="32">
        <f>IF($A263="","",DATE(YEAR($A263),MONTH($A263),1))</f>
        <v>0</v>
      </c>
    </row>
    <row r="264" spans="1:8">
      <c r="A264" s="15"/>
      <c r="B264" s="13"/>
      <c r="C264" s="19"/>
      <c r="D264" s="13"/>
      <c r="E264" s="13"/>
      <c r="F264" s="23">
        <f>IF($B264="","",IFERROR(INDEX(InsUnid,MATCH($B264,InsNome,0)),""))</f>
        <v>0</v>
      </c>
      <c r="G264" s="24">
        <f>IF(OR($B264="",$C264=""),"",$C264*IFERROR(INDEX(InsBruto,MATCH($B264,InsNome,0)),0))</f>
        <v>0</v>
      </c>
      <c r="H264" s="32">
        <f>IF($A264="","",DATE(YEAR($A264),MONTH($A264),1))</f>
        <v>0</v>
      </c>
    </row>
    <row r="265" spans="1:8">
      <c r="A265" s="15"/>
      <c r="B265" s="13"/>
      <c r="C265" s="19"/>
      <c r="D265" s="13"/>
      <c r="E265" s="13"/>
      <c r="F265" s="23">
        <f>IF($B265="","",IFERROR(INDEX(InsUnid,MATCH($B265,InsNome,0)),""))</f>
        <v>0</v>
      </c>
      <c r="G265" s="24">
        <f>IF(OR($B265="",$C265=""),"",$C265*IFERROR(INDEX(InsBruto,MATCH($B265,InsNome,0)),0))</f>
        <v>0</v>
      </c>
      <c r="H265" s="32">
        <f>IF($A265="","",DATE(YEAR($A265),MONTH($A265),1))</f>
        <v>0</v>
      </c>
    </row>
    <row r="266" spans="1:8">
      <c r="A266" s="15"/>
      <c r="B266" s="13"/>
      <c r="C266" s="19"/>
      <c r="D266" s="13"/>
      <c r="E266" s="13"/>
      <c r="F266" s="23">
        <f>IF($B266="","",IFERROR(INDEX(InsUnid,MATCH($B266,InsNome,0)),""))</f>
        <v>0</v>
      </c>
      <c r="G266" s="24">
        <f>IF(OR($B266="",$C266=""),"",$C266*IFERROR(INDEX(InsBruto,MATCH($B266,InsNome,0)),0))</f>
        <v>0</v>
      </c>
      <c r="H266" s="32">
        <f>IF($A266="","",DATE(YEAR($A266),MONTH($A266),1))</f>
        <v>0</v>
      </c>
    </row>
    <row r="267" spans="1:8">
      <c r="A267" s="15"/>
      <c r="B267" s="13"/>
      <c r="C267" s="19"/>
      <c r="D267" s="13"/>
      <c r="E267" s="13"/>
      <c r="F267" s="23">
        <f>IF($B267="","",IFERROR(INDEX(InsUnid,MATCH($B267,InsNome,0)),""))</f>
        <v>0</v>
      </c>
      <c r="G267" s="24">
        <f>IF(OR($B267="",$C267=""),"",$C267*IFERROR(INDEX(InsBruto,MATCH($B267,InsNome,0)),0))</f>
        <v>0</v>
      </c>
      <c r="H267" s="32">
        <f>IF($A267="","",DATE(YEAR($A267),MONTH($A267),1))</f>
        <v>0</v>
      </c>
    </row>
    <row r="268" spans="1:8">
      <c r="A268" s="15"/>
      <c r="B268" s="13"/>
      <c r="C268" s="19"/>
      <c r="D268" s="13"/>
      <c r="E268" s="13"/>
      <c r="F268" s="23">
        <f>IF($B268="","",IFERROR(INDEX(InsUnid,MATCH($B268,InsNome,0)),""))</f>
        <v>0</v>
      </c>
      <c r="G268" s="24">
        <f>IF(OR($B268="",$C268=""),"",$C268*IFERROR(INDEX(InsBruto,MATCH($B268,InsNome,0)),0))</f>
        <v>0</v>
      </c>
      <c r="H268" s="32">
        <f>IF($A268="","",DATE(YEAR($A268),MONTH($A268),1))</f>
        <v>0</v>
      </c>
    </row>
    <row r="269" spans="1:8">
      <c r="A269" s="15"/>
      <c r="B269" s="13"/>
      <c r="C269" s="19"/>
      <c r="D269" s="13"/>
      <c r="E269" s="13"/>
      <c r="F269" s="23">
        <f>IF($B269="","",IFERROR(INDEX(InsUnid,MATCH($B269,InsNome,0)),""))</f>
        <v>0</v>
      </c>
      <c r="G269" s="24">
        <f>IF(OR($B269="",$C269=""),"",$C269*IFERROR(INDEX(InsBruto,MATCH($B269,InsNome,0)),0))</f>
        <v>0</v>
      </c>
      <c r="H269" s="32">
        <f>IF($A269="","",DATE(YEAR($A269),MONTH($A269),1))</f>
        <v>0</v>
      </c>
    </row>
    <row r="270" spans="1:8">
      <c r="A270" s="15"/>
      <c r="B270" s="13"/>
      <c r="C270" s="19"/>
      <c r="D270" s="13"/>
      <c r="E270" s="13"/>
      <c r="F270" s="23">
        <f>IF($B270="","",IFERROR(INDEX(InsUnid,MATCH($B270,InsNome,0)),""))</f>
        <v>0</v>
      </c>
      <c r="G270" s="24">
        <f>IF(OR($B270="",$C270=""),"",$C270*IFERROR(INDEX(InsBruto,MATCH($B270,InsNome,0)),0))</f>
        <v>0</v>
      </c>
      <c r="H270" s="32">
        <f>IF($A270="","",DATE(YEAR($A270),MONTH($A270),1))</f>
        <v>0</v>
      </c>
    </row>
    <row r="271" spans="1:8">
      <c r="A271" s="15"/>
      <c r="B271" s="13"/>
      <c r="C271" s="19"/>
      <c r="D271" s="13"/>
      <c r="E271" s="13"/>
      <c r="F271" s="23">
        <f>IF($B271="","",IFERROR(INDEX(InsUnid,MATCH($B271,InsNome,0)),""))</f>
        <v>0</v>
      </c>
      <c r="G271" s="24">
        <f>IF(OR($B271="",$C271=""),"",$C271*IFERROR(INDEX(InsBruto,MATCH($B271,InsNome,0)),0))</f>
        <v>0</v>
      </c>
      <c r="H271" s="32">
        <f>IF($A271="","",DATE(YEAR($A271),MONTH($A271),1))</f>
        <v>0</v>
      </c>
    </row>
    <row r="272" spans="1:8">
      <c r="A272" s="15"/>
      <c r="B272" s="13"/>
      <c r="C272" s="19"/>
      <c r="D272" s="13"/>
      <c r="E272" s="13"/>
      <c r="F272" s="23">
        <f>IF($B272="","",IFERROR(INDEX(InsUnid,MATCH($B272,InsNome,0)),""))</f>
        <v>0</v>
      </c>
      <c r="G272" s="24">
        <f>IF(OR($B272="",$C272=""),"",$C272*IFERROR(INDEX(InsBruto,MATCH($B272,InsNome,0)),0))</f>
        <v>0</v>
      </c>
      <c r="H272" s="32">
        <f>IF($A272="","",DATE(YEAR($A272),MONTH($A272),1))</f>
        <v>0</v>
      </c>
    </row>
    <row r="273" spans="1:8">
      <c r="A273" s="15"/>
      <c r="B273" s="13"/>
      <c r="C273" s="19"/>
      <c r="D273" s="13"/>
      <c r="E273" s="13"/>
      <c r="F273" s="23">
        <f>IF($B273="","",IFERROR(INDEX(InsUnid,MATCH($B273,InsNome,0)),""))</f>
        <v>0</v>
      </c>
      <c r="G273" s="24">
        <f>IF(OR($B273="",$C273=""),"",$C273*IFERROR(INDEX(InsBruto,MATCH($B273,InsNome,0)),0))</f>
        <v>0</v>
      </c>
      <c r="H273" s="32">
        <f>IF($A273="","",DATE(YEAR($A273),MONTH($A273),1))</f>
        <v>0</v>
      </c>
    </row>
    <row r="274" spans="1:8">
      <c r="A274" s="15"/>
      <c r="B274" s="13"/>
      <c r="C274" s="19"/>
      <c r="D274" s="13"/>
      <c r="E274" s="13"/>
      <c r="F274" s="23">
        <f>IF($B274="","",IFERROR(INDEX(InsUnid,MATCH($B274,InsNome,0)),""))</f>
        <v>0</v>
      </c>
      <c r="G274" s="24">
        <f>IF(OR($B274="",$C274=""),"",$C274*IFERROR(INDEX(InsBruto,MATCH($B274,InsNome,0)),0))</f>
        <v>0</v>
      </c>
      <c r="H274" s="32">
        <f>IF($A274="","",DATE(YEAR($A274),MONTH($A274),1))</f>
        <v>0</v>
      </c>
    </row>
    <row r="275" spans="1:8">
      <c r="A275" s="15"/>
      <c r="B275" s="13"/>
      <c r="C275" s="19"/>
      <c r="D275" s="13"/>
      <c r="E275" s="13"/>
      <c r="F275" s="23">
        <f>IF($B275="","",IFERROR(INDEX(InsUnid,MATCH($B275,InsNome,0)),""))</f>
        <v>0</v>
      </c>
      <c r="G275" s="24">
        <f>IF(OR($B275="",$C275=""),"",$C275*IFERROR(INDEX(InsBruto,MATCH($B275,InsNome,0)),0))</f>
        <v>0</v>
      </c>
      <c r="H275" s="32">
        <f>IF($A275="","",DATE(YEAR($A275),MONTH($A275),1))</f>
        <v>0</v>
      </c>
    </row>
    <row r="276" spans="1:8">
      <c r="A276" s="15"/>
      <c r="B276" s="13"/>
      <c r="C276" s="19"/>
      <c r="D276" s="13"/>
      <c r="E276" s="13"/>
      <c r="F276" s="23">
        <f>IF($B276="","",IFERROR(INDEX(InsUnid,MATCH($B276,InsNome,0)),""))</f>
        <v>0</v>
      </c>
      <c r="G276" s="24">
        <f>IF(OR($B276="",$C276=""),"",$C276*IFERROR(INDEX(InsBruto,MATCH($B276,InsNome,0)),0))</f>
        <v>0</v>
      </c>
      <c r="H276" s="32">
        <f>IF($A276="","",DATE(YEAR($A276),MONTH($A276),1))</f>
        <v>0</v>
      </c>
    </row>
    <row r="277" spans="1:8">
      <c r="A277" s="15"/>
      <c r="B277" s="13"/>
      <c r="C277" s="19"/>
      <c r="D277" s="13"/>
      <c r="E277" s="13"/>
      <c r="F277" s="23">
        <f>IF($B277="","",IFERROR(INDEX(InsUnid,MATCH($B277,InsNome,0)),""))</f>
        <v>0</v>
      </c>
      <c r="G277" s="24">
        <f>IF(OR($B277="",$C277=""),"",$C277*IFERROR(INDEX(InsBruto,MATCH($B277,InsNome,0)),0))</f>
        <v>0</v>
      </c>
      <c r="H277" s="32">
        <f>IF($A277="","",DATE(YEAR($A277),MONTH($A277),1))</f>
        <v>0</v>
      </c>
    </row>
    <row r="278" spans="1:8">
      <c r="A278" s="15"/>
      <c r="B278" s="13"/>
      <c r="C278" s="19"/>
      <c r="D278" s="13"/>
      <c r="E278" s="13"/>
      <c r="F278" s="23">
        <f>IF($B278="","",IFERROR(INDEX(InsUnid,MATCH($B278,InsNome,0)),""))</f>
        <v>0</v>
      </c>
      <c r="G278" s="24">
        <f>IF(OR($B278="",$C278=""),"",$C278*IFERROR(INDEX(InsBruto,MATCH($B278,InsNome,0)),0))</f>
        <v>0</v>
      </c>
      <c r="H278" s="32">
        <f>IF($A278="","",DATE(YEAR($A278),MONTH($A278),1))</f>
        <v>0</v>
      </c>
    </row>
    <row r="279" spans="1:8">
      <c r="A279" s="15"/>
      <c r="B279" s="13"/>
      <c r="C279" s="19"/>
      <c r="D279" s="13"/>
      <c r="E279" s="13"/>
      <c r="F279" s="23">
        <f>IF($B279="","",IFERROR(INDEX(InsUnid,MATCH($B279,InsNome,0)),""))</f>
        <v>0</v>
      </c>
      <c r="G279" s="24">
        <f>IF(OR($B279="",$C279=""),"",$C279*IFERROR(INDEX(InsBruto,MATCH($B279,InsNome,0)),0))</f>
        <v>0</v>
      </c>
      <c r="H279" s="32">
        <f>IF($A279="","",DATE(YEAR($A279),MONTH($A279),1))</f>
        <v>0</v>
      </c>
    </row>
    <row r="280" spans="1:8">
      <c r="A280" s="15"/>
      <c r="B280" s="13"/>
      <c r="C280" s="19"/>
      <c r="D280" s="13"/>
      <c r="E280" s="13"/>
      <c r="F280" s="23">
        <f>IF($B280="","",IFERROR(INDEX(InsUnid,MATCH($B280,InsNome,0)),""))</f>
        <v>0</v>
      </c>
      <c r="G280" s="24">
        <f>IF(OR($B280="",$C280=""),"",$C280*IFERROR(INDEX(InsBruto,MATCH($B280,InsNome,0)),0))</f>
        <v>0</v>
      </c>
      <c r="H280" s="32">
        <f>IF($A280="","",DATE(YEAR($A280),MONTH($A280),1))</f>
        <v>0</v>
      </c>
    </row>
    <row r="281" spans="1:8">
      <c r="A281" s="15"/>
      <c r="B281" s="13"/>
      <c r="C281" s="19"/>
      <c r="D281" s="13"/>
      <c r="E281" s="13"/>
      <c r="F281" s="23">
        <f>IF($B281="","",IFERROR(INDEX(InsUnid,MATCH($B281,InsNome,0)),""))</f>
        <v>0</v>
      </c>
      <c r="G281" s="24">
        <f>IF(OR($B281="",$C281=""),"",$C281*IFERROR(INDEX(InsBruto,MATCH($B281,InsNome,0)),0))</f>
        <v>0</v>
      </c>
      <c r="H281" s="32">
        <f>IF($A281="","",DATE(YEAR($A281),MONTH($A281),1))</f>
        <v>0</v>
      </c>
    </row>
    <row r="282" spans="1:8">
      <c r="A282" s="15"/>
      <c r="B282" s="13"/>
      <c r="C282" s="19"/>
      <c r="D282" s="13"/>
      <c r="E282" s="13"/>
      <c r="F282" s="23">
        <f>IF($B282="","",IFERROR(INDEX(InsUnid,MATCH($B282,InsNome,0)),""))</f>
        <v>0</v>
      </c>
      <c r="G282" s="24">
        <f>IF(OR($B282="",$C282=""),"",$C282*IFERROR(INDEX(InsBruto,MATCH($B282,InsNome,0)),0))</f>
        <v>0</v>
      </c>
      <c r="H282" s="32">
        <f>IF($A282="","",DATE(YEAR($A282),MONTH($A282),1))</f>
        <v>0</v>
      </c>
    </row>
    <row r="283" spans="1:8">
      <c r="A283" s="15"/>
      <c r="B283" s="13"/>
      <c r="C283" s="19"/>
      <c r="D283" s="13"/>
      <c r="E283" s="13"/>
      <c r="F283" s="23">
        <f>IF($B283="","",IFERROR(INDEX(InsUnid,MATCH($B283,InsNome,0)),""))</f>
        <v>0</v>
      </c>
      <c r="G283" s="24">
        <f>IF(OR($B283="",$C283=""),"",$C283*IFERROR(INDEX(InsBruto,MATCH($B283,InsNome,0)),0))</f>
        <v>0</v>
      </c>
      <c r="H283" s="32">
        <f>IF($A283="","",DATE(YEAR($A283),MONTH($A283),1))</f>
        <v>0</v>
      </c>
    </row>
    <row r="284" spans="1:8">
      <c r="A284" s="15"/>
      <c r="B284" s="13"/>
      <c r="C284" s="19"/>
      <c r="D284" s="13"/>
      <c r="E284" s="13"/>
      <c r="F284" s="23">
        <f>IF($B284="","",IFERROR(INDEX(InsUnid,MATCH($B284,InsNome,0)),""))</f>
        <v>0</v>
      </c>
      <c r="G284" s="24">
        <f>IF(OR($B284="",$C284=""),"",$C284*IFERROR(INDEX(InsBruto,MATCH($B284,InsNome,0)),0))</f>
        <v>0</v>
      </c>
      <c r="H284" s="32">
        <f>IF($A284="","",DATE(YEAR($A284),MONTH($A284),1))</f>
        <v>0</v>
      </c>
    </row>
    <row r="285" spans="1:8">
      <c r="A285" s="15"/>
      <c r="B285" s="13"/>
      <c r="C285" s="19"/>
      <c r="D285" s="13"/>
      <c r="E285" s="13"/>
      <c r="F285" s="23">
        <f>IF($B285="","",IFERROR(INDEX(InsUnid,MATCH($B285,InsNome,0)),""))</f>
        <v>0</v>
      </c>
      <c r="G285" s="24">
        <f>IF(OR($B285="",$C285=""),"",$C285*IFERROR(INDEX(InsBruto,MATCH($B285,InsNome,0)),0))</f>
        <v>0</v>
      </c>
      <c r="H285" s="32">
        <f>IF($A285="","",DATE(YEAR($A285),MONTH($A285),1))</f>
        <v>0</v>
      </c>
    </row>
    <row r="286" spans="1:8">
      <c r="A286" s="15"/>
      <c r="B286" s="13"/>
      <c r="C286" s="19"/>
      <c r="D286" s="13"/>
      <c r="E286" s="13"/>
      <c r="F286" s="23">
        <f>IF($B286="","",IFERROR(INDEX(InsUnid,MATCH($B286,InsNome,0)),""))</f>
        <v>0</v>
      </c>
      <c r="G286" s="24">
        <f>IF(OR($B286="",$C286=""),"",$C286*IFERROR(INDEX(InsBruto,MATCH($B286,InsNome,0)),0))</f>
        <v>0</v>
      </c>
      <c r="H286" s="32">
        <f>IF($A286="","",DATE(YEAR($A286),MONTH($A286),1))</f>
        <v>0</v>
      </c>
    </row>
    <row r="287" spans="1:8">
      <c r="A287" s="15"/>
      <c r="B287" s="13"/>
      <c r="C287" s="19"/>
      <c r="D287" s="13"/>
      <c r="E287" s="13"/>
      <c r="F287" s="23">
        <f>IF($B287="","",IFERROR(INDEX(InsUnid,MATCH($B287,InsNome,0)),""))</f>
        <v>0</v>
      </c>
      <c r="G287" s="24">
        <f>IF(OR($B287="",$C287=""),"",$C287*IFERROR(INDEX(InsBruto,MATCH($B287,InsNome,0)),0))</f>
        <v>0</v>
      </c>
      <c r="H287" s="32">
        <f>IF($A287="","",DATE(YEAR($A287),MONTH($A287),1))</f>
        <v>0</v>
      </c>
    </row>
    <row r="288" spans="1:8">
      <c r="A288" s="15"/>
      <c r="B288" s="13"/>
      <c r="C288" s="19"/>
      <c r="D288" s="13"/>
      <c r="E288" s="13"/>
      <c r="F288" s="23">
        <f>IF($B288="","",IFERROR(INDEX(InsUnid,MATCH($B288,InsNome,0)),""))</f>
        <v>0</v>
      </c>
      <c r="G288" s="24">
        <f>IF(OR($B288="",$C288=""),"",$C288*IFERROR(INDEX(InsBruto,MATCH($B288,InsNome,0)),0))</f>
        <v>0</v>
      </c>
      <c r="H288" s="32">
        <f>IF($A288="","",DATE(YEAR($A288),MONTH($A288),1))</f>
        <v>0</v>
      </c>
    </row>
    <row r="289" spans="1:8">
      <c r="A289" s="15"/>
      <c r="B289" s="13"/>
      <c r="C289" s="19"/>
      <c r="D289" s="13"/>
      <c r="E289" s="13"/>
      <c r="F289" s="23">
        <f>IF($B289="","",IFERROR(INDEX(InsUnid,MATCH($B289,InsNome,0)),""))</f>
        <v>0</v>
      </c>
      <c r="G289" s="24">
        <f>IF(OR($B289="",$C289=""),"",$C289*IFERROR(INDEX(InsBruto,MATCH($B289,InsNome,0)),0))</f>
        <v>0</v>
      </c>
      <c r="H289" s="32">
        <f>IF($A289="","",DATE(YEAR($A289),MONTH($A289),1))</f>
        <v>0</v>
      </c>
    </row>
    <row r="290" spans="1:8">
      <c r="A290" s="15"/>
      <c r="B290" s="13"/>
      <c r="C290" s="19"/>
      <c r="D290" s="13"/>
      <c r="E290" s="13"/>
      <c r="F290" s="23">
        <f>IF($B290="","",IFERROR(INDEX(InsUnid,MATCH($B290,InsNome,0)),""))</f>
        <v>0</v>
      </c>
      <c r="G290" s="24">
        <f>IF(OR($B290="",$C290=""),"",$C290*IFERROR(INDEX(InsBruto,MATCH($B290,InsNome,0)),0))</f>
        <v>0</v>
      </c>
      <c r="H290" s="32">
        <f>IF($A290="","",DATE(YEAR($A290),MONTH($A290),1))</f>
        <v>0</v>
      </c>
    </row>
    <row r="291" spans="1:8">
      <c r="A291" s="15"/>
      <c r="B291" s="13"/>
      <c r="C291" s="19"/>
      <c r="D291" s="13"/>
      <c r="E291" s="13"/>
      <c r="F291" s="23">
        <f>IF($B291="","",IFERROR(INDEX(InsUnid,MATCH($B291,InsNome,0)),""))</f>
        <v>0</v>
      </c>
      <c r="G291" s="24">
        <f>IF(OR($B291="",$C291=""),"",$C291*IFERROR(INDEX(InsBruto,MATCH($B291,InsNome,0)),0))</f>
        <v>0</v>
      </c>
      <c r="H291" s="32">
        <f>IF($A291="","",DATE(YEAR($A291),MONTH($A291),1))</f>
        <v>0</v>
      </c>
    </row>
    <row r="292" spans="1:8">
      <c r="A292" s="15"/>
      <c r="B292" s="13"/>
      <c r="C292" s="19"/>
      <c r="D292" s="13"/>
      <c r="E292" s="13"/>
      <c r="F292" s="23">
        <f>IF($B292="","",IFERROR(INDEX(InsUnid,MATCH($B292,InsNome,0)),""))</f>
        <v>0</v>
      </c>
      <c r="G292" s="24">
        <f>IF(OR($B292="",$C292=""),"",$C292*IFERROR(INDEX(InsBruto,MATCH($B292,InsNome,0)),0))</f>
        <v>0</v>
      </c>
      <c r="H292" s="32">
        <f>IF($A292="","",DATE(YEAR($A292),MONTH($A292),1))</f>
        <v>0</v>
      </c>
    </row>
    <row r="293" spans="1:8">
      <c r="A293" s="15"/>
      <c r="B293" s="13"/>
      <c r="C293" s="19"/>
      <c r="D293" s="13"/>
      <c r="E293" s="13"/>
      <c r="F293" s="23">
        <f>IF($B293="","",IFERROR(INDEX(InsUnid,MATCH($B293,InsNome,0)),""))</f>
        <v>0</v>
      </c>
      <c r="G293" s="24">
        <f>IF(OR($B293="",$C293=""),"",$C293*IFERROR(INDEX(InsBruto,MATCH($B293,InsNome,0)),0))</f>
        <v>0</v>
      </c>
      <c r="H293" s="32">
        <f>IF($A293="","",DATE(YEAR($A293),MONTH($A293),1))</f>
        <v>0</v>
      </c>
    </row>
    <row r="294" spans="1:8">
      <c r="A294" s="15"/>
      <c r="B294" s="13"/>
      <c r="C294" s="19"/>
      <c r="D294" s="13"/>
      <c r="E294" s="13"/>
      <c r="F294" s="23">
        <f>IF($B294="","",IFERROR(INDEX(InsUnid,MATCH($B294,InsNome,0)),""))</f>
        <v>0</v>
      </c>
      <c r="G294" s="24">
        <f>IF(OR($B294="",$C294=""),"",$C294*IFERROR(INDEX(InsBruto,MATCH($B294,InsNome,0)),0))</f>
        <v>0</v>
      </c>
      <c r="H294" s="32">
        <f>IF($A294="","",DATE(YEAR($A294),MONTH($A294),1))</f>
        <v>0</v>
      </c>
    </row>
    <row r="295" spans="1:8">
      <c r="A295" s="15"/>
      <c r="B295" s="13"/>
      <c r="C295" s="19"/>
      <c r="D295" s="13"/>
      <c r="E295" s="13"/>
      <c r="F295" s="23">
        <f>IF($B295="","",IFERROR(INDEX(InsUnid,MATCH($B295,InsNome,0)),""))</f>
        <v>0</v>
      </c>
      <c r="G295" s="24">
        <f>IF(OR($B295="",$C295=""),"",$C295*IFERROR(INDEX(InsBruto,MATCH($B295,InsNome,0)),0))</f>
        <v>0</v>
      </c>
      <c r="H295" s="32">
        <f>IF($A295="","",DATE(YEAR($A295),MONTH($A295),1))</f>
        <v>0</v>
      </c>
    </row>
    <row r="296" spans="1:8">
      <c r="A296" s="15"/>
      <c r="B296" s="13"/>
      <c r="C296" s="19"/>
      <c r="D296" s="13"/>
      <c r="E296" s="13"/>
      <c r="F296" s="23">
        <f>IF($B296="","",IFERROR(INDEX(InsUnid,MATCH($B296,InsNome,0)),""))</f>
        <v>0</v>
      </c>
      <c r="G296" s="24">
        <f>IF(OR($B296="",$C296=""),"",$C296*IFERROR(INDEX(InsBruto,MATCH($B296,InsNome,0)),0))</f>
        <v>0</v>
      </c>
      <c r="H296" s="32">
        <f>IF($A296="","",DATE(YEAR($A296),MONTH($A296),1))</f>
        <v>0</v>
      </c>
    </row>
    <row r="297" spans="1:8">
      <c r="A297" s="15"/>
      <c r="B297" s="13"/>
      <c r="C297" s="19"/>
      <c r="D297" s="13"/>
      <c r="E297" s="13"/>
      <c r="F297" s="23">
        <f>IF($B297="","",IFERROR(INDEX(InsUnid,MATCH($B297,InsNome,0)),""))</f>
        <v>0</v>
      </c>
      <c r="G297" s="24">
        <f>IF(OR($B297="",$C297=""),"",$C297*IFERROR(INDEX(InsBruto,MATCH($B297,InsNome,0)),0))</f>
        <v>0</v>
      </c>
      <c r="H297" s="32">
        <f>IF($A297="","",DATE(YEAR($A297),MONTH($A297),1))</f>
        <v>0</v>
      </c>
    </row>
    <row r="298" spans="1:8">
      <c r="A298" s="15"/>
      <c r="B298" s="13"/>
      <c r="C298" s="19"/>
      <c r="D298" s="13"/>
      <c r="E298" s="13"/>
      <c r="F298" s="23">
        <f>IF($B298="","",IFERROR(INDEX(InsUnid,MATCH($B298,InsNome,0)),""))</f>
        <v>0</v>
      </c>
      <c r="G298" s="24">
        <f>IF(OR($B298="",$C298=""),"",$C298*IFERROR(INDEX(InsBruto,MATCH($B298,InsNome,0)),0))</f>
        <v>0</v>
      </c>
      <c r="H298" s="32">
        <f>IF($A298="","",DATE(YEAR($A298),MONTH($A298),1))</f>
        <v>0</v>
      </c>
    </row>
    <row r="299" spans="1:8">
      <c r="A299" s="15"/>
      <c r="B299" s="13"/>
      <c r="C299" s="19"/>
      <c r="D299" s="13"/>
      <c r="E299" s="13"/>
      <c r="F299" s="23">
        <f>IF($B299="","",IFERROR(INDEX(InsUnid,MATCH($B299,InsNome,0)),""))</f>
        <v>0</v>
      </c>
      <c r="G299" s="24">
        <f>IF(OR($B299="",$C299=""),"",$C299*IFERROR(INDEX(InsBruto,MATCH($B299,InsNome,0)),0))</f>
        <v>0</v>
      </c>
      <c r="H299" s="32">
        <f>IF($A299="","",DATE(YEAR($A299),MONTH($A299),1))</f>
        <v>0</v>
      </c>
    </row>
    <row r="300" spans="1:8">
      <c r="A300" s="15"/>
      <c r="B300" s="13"/>
      <c r="C300" s="19"/>
      <c r="D300" s="13"/>
      <c r="E300" s="13"/>
      <c r="F300" s="23">
        <f>IF($B300="","",IFERROR(INDEX(InsUnid,MATCH($B300,InsNome,0)),""))</f>
        <v>0</v>
      </c>
      <c r="G300" s="24">
        <f>IF(OR($B300="",$C300=""),"",$C300*IFERROR(INDEX(InsBruto,MATCH($B300,InsNome,0)),0))</f>
        <v>0</v>
      </c>
      <c r="H300" s="32">
        <f>IF($A300="","",DATE(YEAR($A300),MONTH($A300),1))</f>
        <v>0</v>
      </c>
    </row>
    <row r="301" spans="1:8">
      <c r="A301" s="15"/>
      <c r="B301" s="13"/>
      <c r="C301" s="19"/>
      <c r="D301" s="13"/>
      <c r="E301" s="13"/>
      <c r="F301" s="23">
        <f>IF($B301="","",IFERROR(INDEX(InsUnid,MATCH($B301,InsNome,0)),""))</f>
        <v>0</v>
      </c>
      <c r="G301" s="24">
        <f>IF(OR($B301="",$C301=""),"",$C301*IFERROR(INDEX(InsBruto,MATCH($B301,InsNome,0)),0))</f>
        <v>0</v>
      </c>
      <c r="H301" s="32">
        <f>IF($A301="","",DATE(YEAR($A301),MONTH($A301),1))</f>
        <v>0</v>
      </c>
    </row>
    <row r="302" spans="1:8">
      <c r="A302" s="15"/>
      <c r="B302" s="13"/>
      <c r="C302" s="19"/>
      <c r="D302" s="13"/>
      <c r="E302" s="13"/>
      <c r="F302" s="23">
        <f>IF($B302="","",IFERROR(INDEX(InsUnid,MATCH($B302,InsNome,0)),""))</f>
        <v>0</v>
      </c>
      <c r="G302" s="24">
        <f>IF(OR($B302="",$C302=""),"",$C302*IFERROR(INDEX(InsBruto,MATCH($B302,InsNome,0)),0))</f>
        <v>0</v>
      </c>
      <c r="H302" s="32">
        <f>IF($A302="","",DATE(YEAR($A302),MONTH($A302),1))</f>
        <v>0</v>
      </c>
    </row>
    <row r="303" spans="1:8">
      <c r="A303" s="15"/>
      <c r="B303" s="13"/>
      <c r="C303" s="19"/>
      <c r="D303" s="13"/>
      <c r="E303" s="13"/>
      <c r="F303" s="23">
        <f>IF($B303="","",IFERROR(INDEX(InsUnid,MATCH($B303,InsNome,0)),""))</f>
        <v>0</v>
      </c>
      <c r="G303" s="24">
        <f>IF(OR($B303="",$C303=""),"",$C303*IFERROR(INDEX(InsBruto,MATCH($B303,InsNome,0)),0))</f>
        <v>0</v>
      </c>
      <c r="H303" s="32">
        <f>IF($A303="","",DATE(YEAR($A303),MONTH($A303),1))</f>
        <v>0</v>
      </c>
    </row>
    <row r="304" spans="1:8">
      <c r="A304" s="15"/>
      <c r="B304" s="13"/>
      <c r="C304" s="19"/>
      <c r="D304" s="13"/>
      <c r="E304" s="13"/>
      <c r="F304" s="23">
        <f>IF($B304="","",IFERROR(INDEX(InsUnid,MATCH($B304,InsNome,0)),""))</f>
        <v>0</v>
      </c>
      <c r="G304" s="24">
        <f>IF(OR($B304="",$C304=""),"",$C304*IFERROR(INDEX(InsBruto,MATCH($B304,InsNome,0)),0))</f>
        <v>0</v>
      </c>
      <c r="H304" s="32">
        <f>IF($A304="","",DATE(YEAR($A304),MONTH($A304),1))</f>
        <v>0</v>
      </c>
    </row>
    <row r="305" spans="1:8">
      <c r="A305" s="15"/>
      <c r="B305" s="13"/>
      <c r="C305" s="19"/>
      <c r="D305" s="13"/>
      <c r="E305" s="13"/>
      <c r="F305" s="23">
        <f>IF($B305="","",IFERROR(INDEX(InsUnid,MATCH($B305,InsNome,0)),""))</f>
        <v>0</v>
      </c>
      <c r="G305" s="24">
        <f>IF(OR($B305="",$C305=""),"",$C305*IFERROR(INDEX(InsBruto,MATCH($B305,InsNome,0)),0))</f>
        <v>0</v>
      </c>
      <c r="H305" s="32">
        <f>IF($A305="","",DATE(YEAR($A305),MONTH($A305),1))</f>
        <v>0</v>
      </c>
    </row>
    <row r="306" spans="1:8">
      <c r="A306" s="15"/>
      <c r="B306" s="13"/>
      <c r="C306" s="19"/>
      <c r="D306" s="13"/>
      <c r="E306" s="13"/>
      <c r="F306" s="23">
        <f>IF($B306="","",IFERROR(INDEX(InsUnid,MATCH($B306,InsNome,0)),""))</f>
        <v>0</v>
      </c>
      <c r="G306" s="24">
        <f>IF(OR($B306="",$C306=""),"",$C306*IFERROR(INDEX(InsBruto,MATCH($B306,InsNome,0)),0))</f>
        <v>0</v>
      </c>
      <c r="H306" s="32">
        <f>IF($A306="","",DATE(YEAR($A306),MONTH($A306),1))</f>
        <v>0</v>
      </c>
    </row>
    <row r="307" spans="1:8">
      <c r="A307" s="15"/>
      <c r="B307" s="13"/>
      <c r="C307" s="19"/>
      <c r="D307" s="13"/>
      <c r="E307" s="13"/>
      <c r="F307" s="23">
        <f>IF($B307="","",IFERROR(INDEX(InsUnid,MATCH($B307,InsNome,0)),""))</f>
        <v>0</v>
      </c>
      <c r="G307" s="24">
        <f>IF(OR($B307="",$C307=""),"",$C307*IFERROR(INDEX(InsBruto,MATCH($B307,InsNome,0)),0))</f>
        <v>0</v>
      </c>
      <c r="H307" s="32">
        <f>IF($A307="","",DATE(YEAR($A307),MONTH($A307),1))</f>
        <v>0</v>
      </c>
    </row>
    <row r="308" spans="1:8">
      <c r="A308" s="15"/>
      <c r="B308" s="13"/>
      <c r="C308" s="19"/>
      <c r="D308" s="13"/>
      <c r="E308" s="13"/>
      <c r="F308" s="23">
        <f>IF($B308="","",IFERROR(INDEX(InsUnid,MATCH($B308,InsNome,0)),""))</f>
        <v>0</v>
      </c>
      <c r="G308" s="24">
        <f>IF(OR($B308="",$C308=""),"",$C308*IFERROR(INDEX(InsBruto,MATCH($B308,InsNome,0)),0))</f>
        <v>0</v>
      </c>
      <c r="H308" s="32">
        <f>IF($A308="","",DATE(YEAR($A308),MONTH($A308),1))</f>
        <v>0</v>
      </c>
    </row>
    <row r="309" spans="1:8">
      <c r="A309" s="15"/>
      <c r="B309" s="13"/>
      <c r="C309" s="19"/>
      <c r="D309" s="13"/>
      <c r="E309" s="13"/>
      <c r="F309" s="23">
        <f>IF($B309="","",IFERROR(INDEX(InsUnid,MATCH($B309,InsNome,0)),""))</f>
        <v>0</v>
      </c>
      <c r="G309" s="24">
        <f>IF(OR($B309="",$C309=""),"",$C309*IFERROR(INDEX(InsBruto,MATCH($B309,InsNome,0)),0))</f>
        <v>0</v>
      </c>
      <c r="H309" s="32">
        <f>IF($A309="","",DATE(YEAR($A309),MONTH($A309),1))</f>
        <v>0</v>
      </c>
    </row>
    <row r="310" spans="1:8">
      <c r="A310" s="15"/>
      <c r="B310" s="13"/>
      <c r="C310" s="19"/>
      <c r="D310" s="13"/>
      <c r="E310" s="13"/>
      <c r="F310" s="23">
        <f>IF($B310="","",IFERROR(INDEX(InsUnid,MATCH($B310,InsNome,0)),""))</f>
        <v>0</v>
      </c>
      <c r="G310" s="24">
        <f>IF(OR($B310="",$C310=""),"",$C310*IFERROR(INDEX(InsBruto,MATCH($B310,InsNome,0)),0))</f>
        <v>0</v>
      </c>
      <c r="H310" s="32">
        <f>IF($A310="","",DATE(YEAR($A310),MONTH($A310),1))</f>
        <v>0</v>
      </c>
    </row>
    <row r="311" spans="1:8">
      <c r="A311" s="15"/>
      <c r="B311" s="13"/>
      <c r="C311" s="19"/>
      <c r="D311" s="13"/>
      <c r="E311" s="13"/>
      <c r="F311" s="23">
        <f>IF($B311="","",IFERROR(INDEX(InsUnid,MATCH($B311,InsNome,0)),""))</f>
        <v>0</v>
      </c>
      <c r="G311" s="24">
        <f>IF(OR($B311="",$C311=""),"",$C311*IFERROR(INDEX(InsBruto,MATCH($B311,InsNome,0)),0))</f>
        <v>0</v>
      </c>
      <c r="H311" s="32">
        <f>IF($A311="","",DATE(YEAR($A311),MONTH($A311),1))</f>
        <v>0</v>
      </c>
    </row>
    <row r="312" spans="1:8">
      <c r="A312" s="15"/>
      <c r="B312" s="13"/>
      <c r="C312" s="19"/>
      <c r="D312" s="13"/>
      <c r="E312" s="13"/>
      <c r="F312" s="23">
        <f>IF($B312="","",IFERROR(INDEX(InsUnid,MATCH($B312,InsNome,0)),""))</f>
        <v>0</v>
      </c>
      <c r="G312" s="24">
        <f>IF(OR($B312="",$C312=""),"",$C312*IFERROR(INDEX(InsBruto,MATCH($B312,InsNome,0)),0))</f>
        <v>0</v>
      </c>
      <c r="H312" s="32">
        <f>IF($A312="","",DATE(YEAR($A312),MONTH($A312),1))</f>
        <v>0</v>
      </c>
    </row>
    <row r="313" spans="1:8">
      <c r="A313" s="15"/>
      <c r="B313" s="13"/>
      <c r="C313" s="19"/>
      <c r="D313" s="13"/>
      <c r="E313" s="13"/>
      <c r="F313" s="23">
        <f>IF($B313="","",IFERROR(INDEX(InsUnid,MATCH($B313,InsNome,0)),""))</f>
        <v>0</v>
      </c>
      <c r="G313" s="24">
        <f>IF(OR($B313="",$C313=""),"",$C313*IFERROR(INDEX(InsBruto,MATCH($B313,InsNome,0)),0))</f>
        <v>0</v>
      </c>
      <c r="H313" s="32">
        <f>IF($A313="","",DATE(YEAR($A313),MONTH($A313),1))</f>
        <v>0</v>
      </c>
    </row>
    <row r="314" spans="1:8">
      <c r="A314" s="15"/>
      <c r="B314" s="13"/>
      <c r="C314" s="19"/>
      <c r="D314" s="13"/>
      <c r="E314" s="13"/>
      <c r="F314" s="23">
        <f>IF($B314="","",IFERROR(INDEX(InsUnid,MATCH($B314,InsNome,0)),""))</f>
        <v>0</v>
      </c>
      <c r="G314" s="24">
        <f>IF(OR($B314="",$C314=""),"",$C314*IFERROR(INDEX(InsBruto,MATCH($B314,InsNome,0)),0))</f>
        <v>0</v>
      </c>
      <c r="H314" s="32">
        <f>IF($A314="","",DATE(YEAR($A314),MONTH($A314),1))</f>
        <v>0</v>
      </c>
    </row>
    <row r="315" spans="1:8">
      <c r="A315" s="15"/>
      <c r="B315" s="13"/>
      <c r="C315" s="19"/>
      <c r="D315" s="13"/>
      <c r="E315" s="13"/>
      <c r="F315" s="23">
        <f>IF($B315="","",IFERROR(INDEX(InsUnid,MATCH($B315,InsNome,0)),""))</f>
        <v>0</v>
      </c>
      <c r="G315" s="24">
        <f>IF(OR($B315="",$C315=""),"",$C315*IFERROR(INDEX(InsBruto,MATCH($B315,InsNome,0)),0))</f>
        <v>0</v>
      </c>
      <c r="H315" s="32">
        <f>IF($A315="","",DATE(YEAR($A315),MONTH($A315),1))</f>
        <v>0</v>
      </c>
    </row>
    <row r="316" spans="1:8">
      <c r="A316" s="15"/>
      <c r="B316" s="13"/>
      <c r="C316" s="19"/>
      <c r="D316" s="13"/>
      <c r="E316" s="13"/>
      <c r="F316" s="23">
        <f>IF($B316="","",IFERROR(INDEX(InsUnid,MATCH($B316,InsNome,0)),""))</f>
        <v>0</v>
      </c>
      <c r="G316" s="24">
        <f>IF(OR($B316="",$C316=""),"",$C316*IFERROR(INDEX(InsBruto,MATCH($B316,InsNome,0)),0))</f>
        <v>0</v>
      </c>
      <c r="H316" s="32">
        <f>IF($A316="","",DATE(YEAR($A316),MONTH($A316),1))</f>
        <v>0</v>
      </c>
    </row>
    <row r="317" spans="1:8">
      <c r="A317" s="15"/>
      <c r="B317" s="13"/>
      <c r="C317" s="19"/>
      <c r="D317" s="13"/>
      <c r="E317" s="13"/>
      <c r="F317" s="23">
        <f>IF($B317="","",IFERROR(INDEX(InsUnid,MATCH($B317,InsNome,0)),""))</f>
        <v>0</v>
      </c>
      <c r="G317" s="24">
        <f>IF(OR($B317="",$C317=""),"",$C317*IFERROR(INDEX(InsBruto,MATCH($B317,InsNome,0)),0))</f>
        <v>0</v>
      </c>
      <c r="H317" s="32">
        <f>IF($A317="","",DATE(YEAR($A317),MONTH($A317),1))</f>
        <v>0</v>
      </c>
    </row>
    <row r="318" spans="1:8">
      <c r="A318" s="15"/>
      <c r="B318" s="13"/>
      <c r="C318" s="19"/>
      <c r="D318" s="13"/>
      <c r="E318" s="13"/>
      <c r="F318" s="23">
        <f>IF($B318="","",IFERROR(INDEX(InsUnid,MATCH($B318,InsNome,0)),""))</f>
        <v>0</v>
      </c>
      <c r="G318" s="24">
        <f>IF(OR($B318="",$C318=""),"",$C318*IFERROR(INDEX(InsBruto,MATCH($B318,InsNome,0)),0))</f>
        <v>0</v>
      </c>
      <c r="H318" s="32">
        <f>IF($A318="","",DATE(YEAR($A318),MONTH($A318),1))</f>
        <v>0</v>
      </c>
    </row>
    <row r="319" spans="1:8">
      <c r="A319" s="15"/>
      <c r="B319" s="13"/>
      <c r="C319" s="19"/>
      <c r="D319" s="13"/>
      <c r="E319" s="13"/>
      <c r="F319" s="23">
        <f>IF($B319="","",IFERROR(INDEX(InsUnid,MATCH($B319,InsNome,0)),""))</f>
        <v>0</v>
      </c>
      <c r="G319" s="24">
        <f>IF(OR($B319="",$C319=""),"",$C319*IFERROR(INDEX(InsBruto,MATCH($B319,InsNome,0)),0))</f>
        <v>0</v>
      </c>
      <c r="H319" s="32">
        <f>IF($A319="","",DATE(YEAR($A319),MONTH($A319),1))</f>
        <v>0</v>
      </c>
    </row>
    <row r="320" spans="1:8">
      <c r="A320" s="15"/>
      <c r="B320" s="13"/>
      <c r="C320" s="19"/>
      <c r="D320" s="13"/>
      <c r="E320" s="13"/>
      <c r="F320" s="23">
        <f>IF($B320="","",IFERROR(INDEX(InsUnid,MATCH($B320,InsNome,0)),""))</f>
        <v>0</v>
      </c>
      <c r="G320" s="24">
        <f>IF(OR($B320="",$C320=""),"",$C320*IFERROR(INDEX(InsBruto,MATCH($B320,InsNome,0)),0))</f>
        <v>0</v>
      </c>
      <c r="H320" s="32">
        <f>IF($A320="","",DATE(YEAR($A320),MONTH($A320),1))</f>
        <v>0</v>
      </c>
    </row>
    <row r="321" spans="1:8">
      <c r="A321" s="15"/>
      <c r="B321" s="13"/>
      <c r="C321" s="19"/>
      <c r="D321" s="13"/>
      <c r="E321" s="13"/>
      <c r="F321" s="23">
        <f>IF($B321="","",IFERROR(INDEX(InsUnid,MATCH($B321,InsNome,0)),""))</f>
        <v>0</v>
      </c>
      <c r="G321" s="24">
        <f>IF(OR($B321="",$C321=""),"",$C321*IFERROR(INDEX(InsBruto,MATCH($B321,InsNome,0)),0))</f>
        <v>0</v>
      </c>
      <c r="H321" s="32">
        <f>IF($A321="","",DATE(YEAR($A321),MONTH($A321),1))</f>
        <v>0</v>
      </c>
    </row>
    <row r="322" spans="1:8">
      <c r="A322" s="15"/>
      <c r="B322" s="13"/>
      <c r="C322" s="19"/>
      <c r="D322" s="13"/>
      <c r="E322" s="13"/>
      <c r="F322" s="23">
        <f>IF($B322="","",IFERROR(INDEX(InsUnid,MATCH($B322,InsNome,0)),""))</f>
        <v>0</v>
      </c>
      <c r="G322" s="24">
        <f>IF(OR($B322="",$C322=""),"",$C322*IFERROR(INDEX(InsBruto,MATCH($B322,InsNome,0)),0))</f>
        <v>0</v>
      </c>
      <c r="H322" s="32">
        <f>IF($A322="","",DATE(YEAR($A322),MONTH($A322),1))</f>
        <v>0</v>
      </c>
    </row>
    <row r="323" spans="1:8">
      <c r="A323" s="15"/>
      <c r="B323" s="13"/>
      <c r="C323" s="19"/>
      <c r="D323" s="13"/>
      <c r="E323" s="13"/>
      <c r="F323" s="23">
        <f>IF($B323="","",IFERROR(INDEX(InsUnid,MATCH($B323,InsNome,0)),""))</f>
        <v>0</v>
      </c>
      <c r="G323" s="24">
        <f>IF(OR($B323="",$C323=""),"",$C323*IFERROR(INDEX(InsBruto,MATCH($B323,InsNome,0)),0))</f>
        <v>0</v>
      </c>
      <c r="H323" s="32">
        <f>IF($A323="","",DATE(YEAR($A323),MONTH($A323),1))</f>
        <v>0</v>
      </c>
    </row>
    <row r="324" spans="1:8">
      <c r="A324" s="15"/>
      <c r="B324" s="13"/>
      <c r="C324" s="19"/>
      <c r="D324" s="13"/>
      <c r="E324" s="13"/>
      <c r="F324" s="23">
        <f>IF($B324="","",IFERROR(INDEX(InsUnid,MATCH($B324,InsNome,0)),""))</f>
        <v>0</v>
      </c>
      <c r="G324" s="24">
        <f>IF(OR($B324="",$C324=""),"",$C324*IFERROR(INDEX(InsBruto,MATCH($B324,InsNome,0)),0))</f>
        <v>0</v>
      </c>
      <c r="H324" s="32">
        <f>IF($A324="","",DATE(YEAR($A324),MONTH($A324),1))</f>
        <v>0</v>
      </c>
    </row>
    <row r="325" spans="1:8">
      <c r="A325" s="15"/>
      <c r="B325" s="13"/>
      <c r="C325" s="19"/>
      <c r="D325" s="13"/>
      <c r="E325" s="13"/>
      <c r="F325" s="23">
        <f>IF($B325="","",IFERROR(INDEX(InsUnid,MATCH($B325,InsNome,0)),""))</f>
        <v>0</v>
      </c>
      <c r="G325" s="24">
        <f>IF(OR($B325="",$C325=""),"",$C325*IFERROR(INDEX(InsBruto,MATCH($B325,InsNome,0)),0))</f>
        <v>0</v>
      </c>
      <c r="H325" s="32">
        <f>IF($A325="","",DATE(YEAR($A325),MONTH($A325),1))</f>
        <v>0</v>
      </c>
    </row>
    <row r="326" spans="1:8">
      <c r="A326" s="15"/>
      <c r="B326" s="13"/>
      <c r="C326" s="19"/>
      <c r="D326" s="13"/>
      <c r="E326" s="13"/>
      <c r="F326" s="23">
        <f>IF($B326="","",IFERROR(INDEX(InsUnid,MATCH($B326,InsNome,0)),""))</f>
        <v>0</v>
      </c>
      <c r="G326" s="24">
        <f>IF(OR($B326="",$C326=""),"",$C326*IFERROR(INDEX(InsBruto,MATCH($B326,InsNome,0)),0))</f>
        <v>0</v>
      </c>
      <c r="H326" s="32">
        <f>IF($A326="","",DATE(YEAR($A326),MONTH($A326),1))</f>
        <v>0</v>
      </c>
    </row>
    <row r="327" spans="1:8">
      <c r="A327" s="15"/>
      <c r="B327" s="13"/>
      <c r="C327" s="19"/>
      <c r="D327" s="13"/>
      <c r="E327" s="13"/>
      <c r="F327" s="23">
        <f>IF($B327="","",IFERROR(INDEX(InsUnid,MATCH($B327,InsNome,0)),""))</f>
        <v>0</v>
      </c>
      <c r="G327" s="24">
        <f>IF(OR($B327="",$C327=""),"",$C327*IFERROR(INDEX(InsBruto,MATCH($B327,InsNome,0)),0))</f>
        <v>0</v>
      </c>
      <c r="H327" s="32">
        <f>IF($A327="","",DATE(YEAR($A327),MONTH($A327),1))</f>
        <v>0</v>
      </c>
    </row>
    <row r="328" spans="1:8">
      <c r="A328" s="15"/>
      <c r="B328" s="13"/>
      <c r="C328" s="19"/>
      <c r="D328" s="13"/>
      <c r="E328" s="13"/>
      <c r="F328" s="23">
        <f>IF($B328="","",IFERROR(INDEX(InsUnid,MATCH($B328,InsNome,0)),""))</f>
        <v>0</v>
      </c>
      <c r="G328" s="24">
        <f>IF(OR($B328="",$C328=""),"",$C328*IFERROR(INDEX(InsBruto,MATCH($B328,InsNome,0)),0))</f>
        <v>0</v>
      </c>
      <c r="H328" s="32">
        <f>IF($A328="","",DATE(YEAR($A328),MONTH($A328),1))</f>
        <v>0</v>
      </c>
    </row>
    <row r="329" spans="1:8">
      <c r="A329" s="15"/>
      <c r="B329" s="13"/>
      <c r="C329" s="19"/>
      <c r="D329" s="13"/>
      <c r="E329" s="13"/>
      <c r="F329" s="23">
        <f>IF($B329="","",IFERROR(INDEX(InsUnid,MATCH($B329,InsNome,0)),""))</f>
        <v>0</v>
      </c>
      <c r="G329" s="24">
        <f>IF(OR($B329="",$C329=""),"",$C329*IFERROR(INDEX(InsBruto,MATCH($B329,InsNome,0)),0))</f>
        <v>0</v>
      </c>
      <c r="H329" s="32">
        <f>IF($A329="","",DATE(YEAR($A329),MONTH($A329),1))</f>
        <v>0</v>
      </c>
    </row>
    <row r="330" spans="1:8">
      <c r="A330" s="15"/>
      <c r="B330" s="13"/>
      <c r="C330" s="19"/>
      <c r="D330" s="13"/>
      <c r="E330" s="13"/>
      <c r="F330" s="23">
        <f>IF($B330="","",IFERROR(INDEX(InsUnid,MATCH($B330,InsNome,0)),""))</f>
        <v>0</v>
      </c>
      <c r="G330" s="24">
        <f>IF(OR($B330="",$C330=""),"",$C330*IFERROR(INDEX(InsBruto,MATCH($B330,InsNome,0)),0))</f>
        <v>0</v>
      </c>
      <c r="H330" s="32">
        <f>IF($A330="","",DATE(YEAR($A330),MONTH($A330),1))</f>
        <v>0</v>
      </c>
    </row>
    <row r="331" spans="1:8">
      <c r="A331" s="15"/>
      <c r="B331" s="13"/>
      <c r="C331" s="19"/>
      <c r="D331" s="13"/>
      <c r="E331" s="13"/>
      <c r="F331" s="23">
        <f>IF($B331="","",IFERROR(INDEX(InsUnid,MATCH($B331,InsNome,0)),""))</f>
        <v>0</v>
      </c>
      <c r="G331" s="24">
        <f>IF(OR($B331="",$C331=""),"",$C331*IFERROR(INDEX(InsBruto,MATCH($B331,InsNome,0)),0))</f>
        <v>0</v>
      </c>
      <c r="H331" s="32">
        <f>IF($A331="","",DATE(YEAR($A331),MONTH($A331),1))</f>
        <v>0</v>
      </c>
    </row>
    <row r="332" spans="1:8">
      <c r="A332" s="15"/>
      <c r="B332" s="13"/>
      <c r="C332" s="19"/>
      <c r="D332" s="13"/>
      <c r="E332" s="13"/>
      <c r="F332" s="23">
        <f>IF($B332="","",IFERROR(INDEX(InsUnid,MATCH($B332,InsNome,0)),""))</f>
        <v>0</v>
      </c>
      <c r="G332" s="24">
        <f>IF(OR($B332="",$C332=""),"",$C332*IFERROR(INDEX(InsBruto,MATCH($B332,InsNome,0)),0))</f>
        <v>0</v>
      </c>
      <c r="H332" s="32">
        <f>IF($A332="","",DATE(YEAR($A332),MONTH($A332),1))</f>
        <v>0</v>
      </c>
    </row>
    <row r="333" spans="1:8">
      <c r="A333" s="15"/>
      <c r="B333" s="13"/>
      <c r="C333" s="19"/>
      <c r="D333" s="13"/>
      <c r="E333" s="13"/>
      <c r="F333" s="23">
        <f>IF($B333="","",IFERROR(INDEX(InsUnid,MATCH($B333,InsNome,0)),""))</f>
        <v>0</v>
      </c>
      <c r="G333" s="24">
        <f>IF(OR($B333="",$C333=""),"",$C333*IFERROR(INDEX(InsBruto,MATCH($B333,InsNome,0)),0))</f>
        <v>0</v>
      </c>
      <c r="H333" s="32">
        <f>IF($A333="","",DATE(YEAR($A333),MONTH($A333),1))</f>
        <v>0</v>
      </c>
    </row>
    <row r="334" spans="1:8">
      <c r="A334" s="15"/>
      <c r="B334" s="13"/>
      <c r="C334" s="19"/>
      <c r="D334" s="13"/>
      <c r="E334" s="13"/>
      <c r="F334" s="23">
        <f>IF($B334="","",IFERROR(INDEX(InsUnid,MATCH($B334,InsNome,0)),""))</f>
        <v>0</v>
      </c>
      <c r="G334" s="24">
        <f>IF(OR($B334="",$C334=""),"",$C334*IFERROR(INDEX(InsBruto,MATCH($B334,InsNome,0)),0))</f>
        <v>0</v>
      </c>
      <c r="H334" s="32">
        <f>IF($A334="","",DATE(YEAR($A334),MONTH($A334),1))</f>
        <v>0</v>
      </c>
    </row>
    <row r="335" spans="1:8">
      <c r="A335" s="15"/>
      <c r="B335" s="13"/>
      <c r="C335" s="19"/>
      <c r="D335" s="13"/>
      <c r="E335" s="13"/>
      <c r="F335" s="23">
        <f>IF($B335="","",IFERROR(INDEX(InsUnid,MATCH($B335,InsNome,0)),""))</f>
        <v>0</v>
      </c>
      <c r="G335" s="24">
        <f>IF(OR($B335="",$C335=""),"",$C335*IFERROR(INDEX(InsBruto,MATCH($B335,InsNome,0)),0))</f>
        <v>0</v>
      </c>
      <c r="H335" s="32">
        <f>IF($A335="","",DATE(YEAR($A335),MONTH($A335),1))</f>
        <v>0</v>
      </c>
    </row>
    <row r="336" spans="1:8">
      <c r="A336" s="15"/>
      <c r="B336" s="13"/>
      <c r="C336" s="19"/>
      <c r="D336" s="13"/>
      <c r="E336" s="13"/>
      <c r="F336" s="23">
        <f>IF($B336="","",IFERROR(INDEX(InsUnid,MATCH($B336,InsNome,0)),""))</f>
        <v>0</v>
      </c>
      <c r="G336" s="24">
        <f>IF(OR($B336="",$C336=""),"",$C336*IFERROR(INDEX(InsBruto,MATCH($B336,InsNome,0)),0))</f>
        <v>0</v>
      </c>
      <c r="H336" s="32">
        <f>IF($A336="","",DATE(YEAR($A336),MONTH($A336),1))</f>
        <v>0</v>
      </c>
    </row>
    <row r="337" spans="1:8">
      <c r="A337" s="15"/>
      <c r="B337" s="13"/>
      <c r="C337" s="19"/>
      <c r="D337" s="13"/>
      <c r="E337" s="13"/>
      <c r="F337" s="23">
        <f>IF($B337="","",IFERROR(INDEX(InsUnid,MATCH($B337,InsNome,0)),""))</f>
        <v>0</v>
      </c>
      <c r="G337" s="24">
        <f>IF(OR($B337="",$C337=""),"",$C337*IFERROR(INDEX(InsBruto,MATCH($B337,InsNome,0)),0))</f>
        <v>0</v>
      </c>
      <c r="H337" s="32">
        <f>IF($A337="","",DATE(YEAR($A337),MONTH($A337),1))</f>
        <v>0</v>
      </c>
    </row>
    <row r="338" spans="1:8">
      <c r="A338" s="15"/>
      <c r="B338" s="13"/>
      <c r="C338" s="19"/>
      <c r="D338" s="13"/>
      <c r="E338" s="13"/>
      <c r="F338" s="23">
        <f>IF($B338="","",IFERROR(INDEX(InsUnid,MATCH($B338,InsNome,0)),""))</f>
        <v>0</v>
      </c>
      <c r="G338" s="24">
        <f>IF(OR($B338="",$C338=""),"",$C338*IFERROR(INDEX(InsBruto,MATCH($B338,InsNome,0)),0))</f>
        <v>0</v>
      </c>
      <c r="H338" s="32">
        <f>IF($A338="","",DATE(YEAR($A338),MONTH($A338),1))</f>
        <v>0</v>
      </c>
    </row>
    <row r="339" spans="1:8">
      <c r="A339" s="15"/>
      <c r="B339" s="13"/>
      <c r="C339" s="19"/>
      <c r="D339" s="13"/>
      <c r="E339" s="13"/>
      <c r="F339" s="23">
        <f>IF($B339="","",IFERROR(INDEX(InsUnid,MATCH($B339,InsNome,0)),""))</f>
        <v>0</v>
      </c>
      <c r="G339" s="24">
        <f>IF(OR($B339="",$C339=""),"",$C339*IFERROR(INDEX(InsBruto,MATCH($B339,InsNome,0)),0))</f>
        <v>0</v>
      </c>
      <c r="H339" s="32">
        <f>IF($A339="","",DATE(YEAR($A339),MONTH($A339),1))</f>
        <v>0</v>
      </c>
    </row>
    <row r="340" spans="1:8">
      <c r="A340" s="15"/>
      <c r="B340" s="13"/>
      <c r="C340" s="19"/>
      <c r="D340" s="13"/>
      <c r="E340" s="13"/>
      <c r="F340" s="23">
        <f>IF($B340="","",IFERROR(INDEX(InsUnid,MATCH($B340,InsNome,0)),""))</f>
        <v>0</v>
      </c>
      <c r="G340" s="24">
        <f>IF(OR($B340="",$C340=""),"",$C340*IFERROR(INDEX(InsBruto,MATCH($B340,InsNome,0)),0))</f>
        <v>0</v>
      </c>
      <c r="H340" s="32">
        <f>IF($A340="","",DATE(YEAR($A340),MONTH($A340),1))</f>
        <v>0</v>
      </c>
    </row>
    <row r="341" spans="1:8">
      <c r="A341" s="15"/>
      <c r="B341" s="13"/>
      <c r="C341" s="19"/>
      <c r="D341" s="13"/>
      <c r="E341" s="13"/>
      <c r="F341" s="23">
        <f>IF($B341="","",IFERROR(INDEX(InsUnid,MATCH($B341,InsNome,0)),""))</f>
        <v>0</v>
      </c>
      <c r="G341" s="24">
        <f>IF(OR($B341="",$C341=""),"",$C341*IFERROR(INDEX(InsBruto,MATCH($B341,InsNome,0)),0))</f>
        <v>0</v>
      </c>
      <c r="H341" s="32">
        <f>IF($A341="","",DATE(YEAR($A341),MONTH($A341),1))</f>
        <v>0</v>
      </c>
    </row>
    <row r="342" spans="1:8">
      <c r="A342" s="15"/>
      <c r="B342" s="13"/>
      <c r="C342" s="19"/>
      <c r="D342" s="13"/>
      <c r="E342" s="13"/>
      <c r="F342" s="23">
        <f>IF($B342="","",IFERROR(INDEX(InsUnid,MATCH($B342,InsNome,0)),""))</f>
        <v>0</v>
      </c>
      <c r="G342" s="24">
        <f>IF(OR($B342="",$C342=""),"",$C342*IFERROR(INDEX(InsBruto,MATCH($B342,InsNome,0)),0))</f>
        <v>0</v>
      </c>
      <c r="H342" s="32">
        <f>IF($A342="","",DATE(YEAR($A342),MONTH($A342),1))</f>
        <v>0</v>
      </c>
    </row>
    <row r="343" spans="1:8">
      <c r="A343" s="15"/>
      <c r="B343" s="13"/>
      <c r="C343" s="19"/>
      <c r="D343" s="13"/>
      <c r="E343" s="13"/>
      <c r="F343" s="23">
        <f>IF($B343="","",IFERROR(INDEX(InsUnid,MATCH($B343,InsNome,0)),""))</f>
        <v>0</v>
      </c>
      <c r="G343" s="24">
        <f>IF(OR($B343="",$C343=""),"",$C343*IFERROR(INDEX(InsBruto,MATCH($B343,InsNome,0)),0))</f>
        <v>0</v>
      </c>
      <c r="H343" s="32">
        <f>IF($A343="","",DATE(YEAR($A343),MONTH($A343),1))</f>
        <v>0</v>
      </c>
    </row>
    <row r="344" spans="1:8">
      <c r="A344" s="15"/>
      <c r="B344" s="13"/>
      <c r="C344" s="19"/>
      <c r="D344" s="13"/>
      <c r="E344" s="13"/>
      <c r="F344" s="23">
        <f>IF($B344="","",IFERROR(INDEX(InsUnid,MATCH($B344,InsNome,0)),""))</f>
        <v>0</v>
      </c>
      <c r="G344" s="24">
        <f>IF(OR($B344="",$C344=""),"",$C344*IFERROR(INDEX(InsBruto,MATCH($B344,InsNome,0)),0))</f>
        <v>0</v>
      </c>
      <c r="H344" s="32">
        <f>IF($A344="","",DATE(YEAR($A344),MONTH($A344),1))</f>
        <v>0</v>
      </c>
    </row>
    <row r="345" spans="1:8">
      <c r="A345" s="15"/>
      <c r="B345" s="13"/>
      <c r="C345" s="19"/>
      <c r="D345" s="13"/>
      <c r="E345" s="13"/>
      <c r="F345" s="23">
        <f>IF($B345="","",IFERROR(INDEX(InsUnid,MATCH($B345,InsNome,0)),""))</f>
        <v>0</v>
      </c>
      <c r="G345" s="24">
        <f>IF(OR($B345="",$C345=""),"",$C345*IFERROR(INDEX(InsBruto,MATCH($B345,InsNome,0)),0))</f>
        <v>0</v>
      </c>
      <c r="H345" s="32">
        <f>IF($A345="","",DATE(YEAR($A345),MONTH($A345),1))</f>
        <v>0</v>
      </c>
    </row>
    <row r="346" spans="1:8">
      <c r="A346" s="15"/>
      <c r="B346" s="13"/>
      <c r="C346" s="19"/>
      <c r="D346" s="13"/>
      <c r="E346" s="13"/>
      <c r="F346" s="23">
        <f>IF($B346="","",IFERROR(INDEX(InsUnid,MATCH($B346,InsNome,0)),""))</f>
        <v>0</v>
      </c>
      <c r="G346" s="24">
        <f>IF(OR($B346="",$C346=""),"",$C346*IFERROR(INDEX(InsBruto,MATCH($B346,InsNome,0)),0))</f>
        <v>0</v>
      </c>
      <c r="H346" s="32">
        <f>IF($A346="","",DATE(YEAR($A346),MONTH($A346),1))</f>
        <v>0</v>
      </c>
    </row>
    <row r="347" spans="1:8">
      <c r="A347" s="15"/>
      <c r="B347" s="13"/>
      <c r="C347" s="19"/>
      <c r="D347" s="13"/>
      <c r="E347" s="13"/>
      <c r="F347" s="23">
        <f>IF($B347="","",IFERROR(INDEX(InsUnid,MATCH($B347,InsNome,0)),""))</f>
        <v>0</v>
      </c>
      <c r="G347" s="24">
        <f>IF(OR($B347="",$C347=""),"",$C347*IFERROR(INDEX(InsBruto,MATCH($B347,InsNome,0)),0))</f>
        <v>0</v>
      </c>
      <c r="H347" s="32">
        <f>IF($A347="","",DATE(YEAR($A347),MONTH($A347),1))</f>
        <v>0</v>
      </c>
    </row>
    <row r="348" spans="1:8">
      <c r="A348" s="15"/>
      <c r="B348" s="13"/>
      <c r="C348" s="19"/>
      <c r="D348" s="13"/>
      <c r="E348" s="13"/>
      <c r="F348" s="23">
        <f>IF($B348="","",IFERROR(INDEX(InsUnid,MATCH($B348,InsNome,0)),""))</f>
        <v>0</v>
      </c>
      <c r="G348" s="24">
        <f>IF(OR($B348="",$C348=""),"",$C348*IFERROR(INDEX(InsBruto,MATCH($B348,InsNome,0)),0))</f>
        <v>0</v>
      </c>
      <c r="H348" s="32">
        <f>IF($A348="","",DATE(YEAR($A348),MONTH($A348),1))</f>
        <v>0</v>
      </c>
    </row>
    <row r="349" spans="1:8">
      <c r="A349" s="15"/>
      <c r="B349" s="13"/>
      <c r="C349" s="19"/>
      <c r="D349" s="13"/>
      <c r="E349" s="13"/>
      <c r="F349" s="23">
        <f>IF($B349="","",IFERROR(INDEX(InsUnid,MATCH($B349,InsNome,0)),""))</f>
        <v>0</v>
      </c>
      <c r="G349" s="24">
        <f>IF(OR($B349="",$C349=""),"",$C349*IFERROR(INDEX(InsBruto,MATCH($B349,InsNome,0)),0))</f>
        <v>0</v>
      </c>
      <c r="H349" s="32">
        <f>IF($A349="","",DATE(YEAR($A349),MONTH($A349),1))</f>
        <v>0</v>
      </c>
    </row>
    <row r="350" spans="1:8">
      <c r="A350" s="15"/>
      <c r="B350" s="13"/>
      <c r="C350" s="19"/>
      <c r="D350" s="13"/>
      <c r="E350" s="13"/>
      <c r="F350" s="23">
        <f>IF($B350="","",IFERROR(INDEX(InsUnid,MATCH($B350,InsNome,0)),""))</f>
        <v>0</v>
      </c>
      <c r="G350" s="24">
        <f>IF(OR($B350="",$C350=""),"",$C350*IFERROR(INDEX(InsBruto,MATCH($B350,InsNome,0)),0))</f>
        <v>0</v>
      </c>
      <c r="H350" s="32">
        <f>IF($A350="","",DATE(YEAR($A350),MONTH($A350),1))</f>
        <v>0</v>
      </c>
    </row>
    <row r="351" spans="1:8">
      <c r="A351" s="15"/>
      <c r="B351" s="13"/>
      <c r="C351" s="19"/>
      <c r="D351" s="13"/>
      <c r="E351" s="13"/>
      <c r="F351" s="23">
        <f>IF($B351="","",IFERROR(INDEX(InsUnid,MATCH($B351,InsNome,0)),""))</f>
        <v>0</v>
      </c>
      <c r="G351" s="24">
        <f>IF(OR($B351="",$C351=""),"",$C351*IFERROR(INDEX(InsBruto,MATCH($B351,InsNome,0)),0))</f>
        <v>0</v>
      </c>
      <c r="H351" s="32">
        <f>IF($A351="","",DATE(YEAR($A351),MONTH($A351),1))</f>
        <v>0</v>
      </c>
    </row>
    <row r="352" spans="1:8">
      <c r="A352" s="15"/>
      <c r="B352" s="13"/>
      <c r="C352" s="19"/>
      <c r="D352" s="13"/>
      <c r="E352" s="13"/>
      <c r="F352" s="23">
        <f>IF($B352="","",IFERROR(INDEX(InsUnid,MATCH($B352,InsNome,0)),""))</f>
        <v>0</v>
      </c>
      <c r="G352" s="24">
        <f>IF(OR($B352="",$C352=""),"",$C352*IFERROR(INDEX(InsBruto,MATCH($B352,InsNome,0)),0))</f>
        <v>0</v>
      </c>
      <c r="H352" s="32">
        <f>IF($A352="","",DATE(YEAR($A352),MONTH($A352),1))</f>
        <v>0</v>
      </c>
    </row>
    <row r="353" spans="1:8">
      <c r="A353" s="15"/>
      <c r="B353" s="13"/>
      <c r="C353" s="19"/>
      <c r="D353" s="13"/>
      <c r="E353" s="13"/>
      <c r="F353" s="23">
        <f>IF($B353="","",IFERROR(INDEX(InsUnid,MATCH($B353,InsNome,0)),""))</f>
        <v>0</v>
      </c>
      <c r="G353" s="24">
        <f>IF(OR($B353="",$C353=""),"",$C353*IFERROR(INDEX(InsBruto,MATCH($B353,InsNome,0)),0))</f>
        <v>0</v>
      </c>
      <c r="H353" s="32">
        <f>IF($A353="","",DATE(YEAR($A353),MONTH($A353),1))</f>
        <v>0</v>
      </c>
    </row>
    <row r="354" spans="1:8">
      <c r="A354" s="15"/>
      <c r="B354" s="13"/>
      <c r="C354" s="19"/>
      <c r="D354" s="13"/>
      <c r="E354" s="13"/>
      <c r="F354" s="23">
        <f>IF($B354="","",IFERROR(INDEX(InsUnid,MATCH($B354,InsNome,0)),""))</f>
        <v>0</v>
      </c>
      <c r="G354" s="24">
        <f>IF(OR($B354="",$C354=""),"",$C354*IFERROR(INDEX(InsBruto,MATCH($B354,InsNome,0)),0))</f>
        <v>0</v>
      </c>
      <c r="H354" s="32">
        <f>IF($A354="","",DATE(YEAR($A354),MONTH($A354),1))</f>
        <v>0</v>
      </c>
    </row>
    <row r="355" spans="1:8">
      <c r="A355" s="15"/>
      <c r="B355" s="13"/>
      <c r="C355" s="19"/>
      <c r="D355" s="13"/>
      <c r="E355" s="13"/>
      <c r="F355" s="23">
        <f>IF($B355="","",IFERROR(INDEX(InsUnid,MATCH($B355,InsNome,0)),""))</f>
        <v>0</v>
      </c>
      <c r="G355" s="24">
        <f>IF(OR($B355="",$C355=""),"",$C355*IFERROR(INDEX(InsBruto,MATCH($B355,InsNome,0)),0))</f>
        <v>0</v>
      </c>
      <c r="H355" s="32">
        <f>IF($A355="","",DATE(YEAR($A355),MONTH($A355),1))</f>
        <v>0</v>
      </c>
    </row>
    <row r="356" spans="1:8">
      <c r="A356" s="15"/>
      <c r="B356" s="13"/>
      <c r="C356" s="19"/>
      <c r="D356" s="13"/>
      <c r="E356" s="13"/>
      <c r="F356" s="23">
        <f>IF($B356="","",IFERROR(INDEX(InsUnid,MATCH($B356,InsNome,0)),""))</f>
        <v>0</v>
      </c>
      <c r="G356" s="24">
        <f>IF(OR($B356="",$C356=""),"",$C356*IFERROR(INDEX(InsBruto,MATCH($B356,InsNome,0)),0))</f>
        <v>0</v>
      </c>
      <c r="H356" s="32">
        <f>IF($A356="","",DATE(YEAR($A356),MONTH($A356),1))</f>
        <v>0</v>
      </c>
    </row>
    <row r="357" spans="1:8">
      <c r="A357" s="15"/>
      <c r="B357" s="13"/>
      <c r="C357" s="19"/>
      <c r="D357" s="13"/>
      <c r="E357" s="13"/>
      <c r="F357" s="23">
        <f>IF($B357="","",IFERROR(INDEX(InsUnid,MATCH($B357,InsNome,0)),""))</f>
        <v>0</v>
      </c>
      <c r="G357" s="24">
        <f>IF(OR($B357="",$C357=""),"",$C357*IFERROR(INDEX(InsBruto,MATCH($B357,InsNome,0)),0))</f>
        <v>0</v>
      </c>
      <c r="H357" s="32">
        <f>IF($A357="","",DATE(YEAR($A357),MONTH($A357),1))</f>
        <v>0</v>
      </c>
    </row>
    <row r="358" spans="1:8">
      <c r="A358" s="15"/>
      <c r="B358" s="13"/>
      <c r="C358" s="19"/>
      <c r="D358" s="13"/>
      <c r="E358" s="13"/>
      <c r="F358" s="23">
        <f>IF($B358="","",IFERROR(INDEX(InsUnid,MATCH($B358,InsNome,0)),""))</f>
        <v>0</v>
      </c>
      <c r="G358" s="24">
        <f>IF(OR($B358="",$C358=""),"",$C358*IFERROR(INDEX(InsBruto,MATCH($B358,InsNome,0)),0))</f>
        <v>0</v>
      </c>
      <c r="H358" s="32">
        <f>IF($A358="","",DATE(YEAR($A358),MONTH($A358),1))</f>
        <v>0</v>
      </c>
    </row>
    <row r="359" spans="1:8">
      <c r="A359" s="15"/>
      <c r="B359" s="13"/>
      <c r="C359" s="19"/>
      <c r="D359" s="13"/>
      <c r="E359" s="13"/>
      <c r="F359" s="23">
        <f>IF($B359="","",IFERROR(INDEX(InsUnid,MATCH($B359,InsNome,0)),""))</f>
        <v>0</v>
      </c>
      <c r="G359" s="24">
        <f>IF(OR($B359="",$C359=""),"",$C359*IFERROR(INDEX(InsBruto,MATCH($B359,InsNome,0)),0))</f>
        <v>0</v>
      </c>
      <c r="H359" s="32">
        <f>IF($A359="","",DATE(YEAR($A359),MONTH($A359),1))</f>
        <v>0</v>
      </c>
    </row>
    <row r="360" spans="1:8">
      <c r="A360" s="15"/>
      <c r="B360" s="13"/>
      <c r="C360" s="19"/>
      <c r="D360" s="13"/>
      <c r="E360" s="13"/>
      <c r="F360" s="23">
        <f>IF($B360="","",IFERROR(INDEX(InsUnid,MATCH($B360,InsNome,0)),""))</f>
        <v>0</v>
      </c>
      <c r="G360" s="24">
        <f>IF(OR($B360="",$C360=""),"",$C360*IFERROR(INDEX(InsBruto,MATCH($B360,InsNome,0)),0))</f>
        <v>0</v>
      </c>
      <c r="H360" s="32">
        <f>IF($A360="","",DATE(YEAR($A360),MONTH($A360),1))</f>
        <v>0</v>
      </c>
    </row>
    <row r="361" spans="1:8">
      <c r="A361" s="15"/>
      <c r="B361" s="13"/>
      <c r="C361" s="19"/>
      <c r="D361" s="13"/>
      <c r="E361" s="13"/>
      <c r="F361" s="23">
        <f>IF($B361="","",IFERROR(INDEX(InsUnid,MATCH($B361,InsNome,0)),""))</f>
        <v>0</v>
      </c>
      <c r="G361" s="24">
        <f>IF(OR($B361="",$C361=""),"",$C361*IFERROR(INDEX(InsBruto,MATCH($B361,InsNome,0)),0))</f>
        <v>0</v>
      </c>
      <c r="H361" s="32">
        <f>IF($A361="","",DATE(YEAR($A361),MONTH($A361),1))</f>
        <v>0</v>
      </c>
    </row>
    <row r="362" spans="1:8">
      <c r="A362" s="15"/>
      <c r="B362" s="13"/>
      <c r="C362" s="19"/>
      <c r="D362" s="13"/>
      <c r="E362" s="13"/>
      <c r="F362" s="23">
        <f>IF($B362="","",IFERROR(INDEX(InsUnid,MATCH($B362,InsNome,0)),""))</f>
        <v>0</v>
      </c>
      <c r="G362" s="24">
        <f>IF(OR($B362="",$C362=""),"",$C362*IFERROR(INDEX(InsBruto,MATCH($B362,InsNome,0)),0))</f>
        <v>0</v>
      </c>
      <c r="H362" s="32">
        <f>IF($A362="","",DATE(YEAR($A362),MONTH($A362),1))</f>
        <v>0</v>
      </c>
    </row>
    <row r="363" spans="1:8">
      <c r="A363" s="15"/>
      <c r="B363" s="13"/>
      <c r="C363" s="19"/>
      <c r="D363" s="13"/>
      <c r="E363" s="13"/>
      <c r="F363" s="23">
        <f>IF($B363="","",IFERROR(INDEX(InsUnid,MATCH($B363,InsNome,0)),""))</f>
        <v>0</v>
      </c>
      <c r="G363" s="24">
        <f>IF(OR($B363="",$C363=""),"",$C363*IFERROR(INDEX(InsBruto,MATCH($B363,InsNome,0)),0))</f>
        <v>0</v>
      </c>
      <c r="H363" s="32">
        <f>IF($A363="","",DATE(YEAR($A363),MONTH($A363),1))</f>
        <v>0</v>
      </c>
    </row>
    <row r="364" spans="1:8">
      <c r="A364" s="15"/>
      <c r="B364" s="13"/>
      <c r="C364" s="19"/>
      <c r="D364" s="13"/>
      <c r="E364" s="13"/>
      <c r="F364" s="23">
        <f>IF($B364="","",IFERROR(INDEX(InsUnid,MATCH($B364,InsNome,0)),""))</f>
        <v>0</v>
      </c>
      <c r="G364" s="24">
        <f>IF(OR($B364="",$C364=""),"",$C364*IFERROR(INDEX(InsBruto,MATCH($B364,InsNome,0)),0))</f>
        <v>0</v>
      </c>
      <c r="H364" s="32">
        <f>IF($A364="","",DATE(YEAR($A364),MONTH($A364),1))</f>
        <v>0</v>
      </c>
    </row>
    <row r="365" spans="1:8">
      <c r="A365" s="15"/>
      <c r="B365" s="13"/>
      <c r="C365" s="19"/>
      <c r="D365" s="13"/>
      <c r="E365" s="13"/>
      <c r="F365" s="23">
        <f>IF($B365="","",IFERROR(INDEX(InsUnid,MATCH($B365,InsNome,0)),""))</f>
        <v>0</v>
      </c>
      <c r="G365" s="24">
        <f>IF(OR($B365="",$C365=""),"",$C365*IFERROR(INDEX(InsBruto,MATCH($B365,InsNome,0)),0))</f>
        <v>0</v>
      </c>
      <c r="H365" s="32">
        <f>IF($A365="","",DATE(YEAR($A365),MONTH($A365),1))</f>
        <v>0</v>
      </c>
    </row>
    <row r="366" spans="1:8">
      <c r="A366" s="15"/>
      <c r="B366" s="13"/>
      <c r="C366" s="19"/>
      <c r="D366" s="13"/>
      <c r="E366" s="13"/>
      <c r="F366" s="23">
        <f>IF($B366="","",IFERROR(INDEX(InsUnid,MATCH($B366,InsNome,0)),""))</f>
        <v>0</v>
      </c>
      <c r="G366" s="24">
        <f>IF(OR($B366="",$C366=""),"",$C366*IFERROR(INDEX(InsBruto,MATCH($B366,InsNome,0)),0))</f>
        <v>0</v>
      </c>
      <c r="H366" s="32">
        <f>IF($A366="","",DATE(YEAR($A366),MONTH($A366),1))</f>
        <v>0</v>
      </c>
    </row>
    <row r="367" spans="1:8">
      <c r="A367" s="15"/>
      <c r="B367" s="13"/>
      <c r="C367" s="19"/>
      <c r="D367" s="13"/>
      <c r="E367" s="13"/>
      <c r="F367" s="23">
        <f>IF($B367="","",IFERROR(INDEX(InsUnid,MATCH($B367,InsNome,0)),""))</f>
        <v>0</v>
      </c>
      <c r="G367" s="24">
        <f>IF(OR($B367="",$C367=""),"",$C367*IFERROR(INDEX(InsBruto,MATCH($B367,InsNome,0)),0))</f>
        <v>0</v>
      </c>
      <c r="H367" s="32">
        <f>IF($A367="","",DATE(YEAR($A367),MONTH($A367),1))</f>
        <v>0</v>
      </c>
    </row>
    <row r="368" spans="1:8">
      <c r="A368" s="15"/>
      <c r="B368" s="13"/>
      <c r="C368" s="19"/>
      <c r="D368" s="13"/>
      <c r="E368" s="13"/>
      <c r="F368" s="23">
        <f>IF($B368="","",IFERROR(INDEX(InsUnid,MATCH($B368,InsNome,0)),""))</f>
        <v>0</v>
      </c>
      <c r="G368" s="24">
        <f>IF(OR($B368="",$C368=""),"",$C368*IFERROR(INDEX(InsBruto,MATCH($B368,InsNome,0)),0))</f>
        <v>0</v>
      </c>
      <c r="H368" s="32">
        <f>IF($A368="","",DATE(YEAR($A368),MONTH($A368),1))</f>
        <v>0</v>
      </c>
    </row>
    <row r="369" spans="1:8">
      <c r="A369" s="15"/>
      <c r="B369" s="13"/>
      <c r="C369" s="19"/>
      <c r="D369" s="13"/>
      <c r="E369" s="13"/>
      <c r="F369" s="23">
        <f>IF($B369="","",IFERROR(INDEX(InsUnid,MATCH($B369,InsNome,0)),""))</f>
        <v>0</v>
      </c>
      <c r="G369" s="24">
        <f>IF(OR($B369="",$C369=""),"",$C369*IFERROR(INDEX(InsBruto,MATCH($B369,InsNome,0)),0))</f>
        <v>0</v>
      </c>
      <c r="H369" s="32">
        <f>IF($A369="","",DATE(YEAR($A369),MONTH($A369),1))</f>
        <v>0</v>
      </c>
    </row>
    <row r="370" spans="1:8">
      <c r="A370" s="15"/>
      <c r="B370" s="13"/>
      <c r="C370" s="19"/>
      <c r="D370" s="13"/>
      <c r="E370" s="13"/>
      <c r="F370" s="23">
        <f>IF($B370="","",IFERROR(INDEX(InsUnid,MATCH($B370,InsNome,0)),""))</f>
        <v>0</v>
      </c>
      <c r="G370" s="24">
        <f>IF(OR($B370="",$C370=""),"",$C370*IFERROR(INDEX(InsBruto,MATCH($B370,InsNome,0)),0))</f>
        <v>0</v>
      </c>
      <c r="H370" s="32">
        <f>IF($A370="","",DATE(YEAR($A370),MONTH($A370),1))</f>
        <v>0</v>
      </c>
    </row>
    <row r="371" spans="1:8">
      <c r="A371" s="15"/>
      <c r="B371" s="13"/>
      <c r="C371" s="19"/>
      <c r="D371" s="13"/>
      <c r="E371" s="13"/>
      <c r="F371" s="23">
        <f>IF($B371="","",IFERROR(INDEX(InsUnid,MATCH($B371,InsNome,0)),""))</f>
        <v>0</v>
      </c>
      <c r="G371" s="24">
        <f>IF(OR($B371="",$C371=""),"",$C371*IFERROR(INDEX(InsBruto,MATCH($B371,InsNome,0)),0))</f>
        <v>0</v>
      </c>
      <c r="H371" s="32">
        <f>IF($A371="","",DATE(YEAR($A371),MONTH($A371),1))</f>
        <v>0</v>
      </c>
    </row>
    <row r="372" spans="1:8">
      <c r="A372" s="15"/>
      <c r="B372" s="13"/>
      <c r="C372" s="19"/>
      <c r="D372" s="13"/>
      <c r="E372" s="13"/>
      <c r="F372" s="23">
        <f>IF($B372="","",IFERROR(INDEX(InsUnid,MATCH($B372,InsNome,0)),""))</f>
        <v>0</v>
      </c>
      <c r="G372" s="24">
        <f>IF(OR($B372="",$C372=""),"",$C372*IFERROR(INDEX(InsBruto,MATCH($B372,InsNome,0)),0))</f>
        <v>0</v>
      </c>
      <c r="H372" s="32">
        <f>IF($A372="","",DATE(YEAR($A372),MONTH($A372),1))</f>
        <v>0</v>
      </c>
    </row>
    <row r="373" spans="1:8">
      <c r="A373" s="15"/>
      <c r="B373" s="13"/>
      <c r="C373" s="19"/>
      <c r="D373" s="13"/>
      <c r="E373" s="13"/>
      <c r="F373" s="23">
        <f>IF($B373="","",IFERROR(INDEX(InsUnid,MATCH($B373,InsNome,0)),""))</f>
        <v>0</v>
      </c>
      <c r="G373" s="24">
        <f>IF(OR($B373="",$C373=""),"",$C373*IFERROR(INDEX(InsBruto,MATCH($B373,InsNome,0)),0))</f>
        <v>0</v>
      </c>
      <c r="H373" s="32">
        <f>IF($A373="","",DATE(YEAR($A373),MONTH($A373),1))</f>
        <v>0</v>
      </c>
    </row>
    <row r="374" spans="1:8">
      <c r="A374" s="15"/>
      <c r="B374" s="13"/>
      <c r="C374" s="19"/>
      <c r="D374" s="13"/>
      <c r="E374" s="13"/>
      <c r="F374" s="23">
        <f>IF($B374="","",IFERROR(INDEX(InsUnid,MATCH($B374,InsNome,0)),""))</f>
        <v>0</v>
      </c>
      <c r="G374" s="24">
        <f>IF(OR($B374="",$C374=""),"",$C374*IFERROR(INDEX(InsBruto,MATCH($B374,InsNome,0)),0))</f>
        <v>0</v>
      </c>
      <c r="H374" s="32">
        <f>IF($A374="","",DATE(YEAR($A374),MONTH($A374),1))</f>
        <v>0</v>
      </c>
    </row>
    <row r="375" spans="1:8">
      <c r="A375" s="15"/>
      <c r="B375" s="13"/>
      <c r="C375" s="19"/>
      <c r="D375" s="13"/>
      <c r="E375" s="13"/>
      <c r="F375" s="23">
        <f>IF($B375="","",IFERROR(INDEX(InsUnid,MATCH($B375,InsNome,0)),""))</f>
        <v>0</v>
      </c>
      <c r="G375" s="24">
        <f>IF(OR($B375="",$C375=""),"",$C375*IFERROR(INDEX(InsBruto,MATCH($B375,InsNome,0)),0))</f>
        <v>0</v>
      </c>
      <c r="H375" s="32">
        <f>IF($A375="","",DATE(YEAR($A375),MONTH($A375),1))</f>
        <v>0</v>
      </c>
    </row>
    <row r="376" spans="1:8">
      <c r="A376" s="15"/>
      <c r="B376" s="13"/>
      <c r="C376" s="19"/>
      <c r="D376" s="13"/>
      <c r="E376" s="13"/>
      <c r="F376" s="23">
        <f>IF($B376="","",IFERROR(INDEX(InsUnid,MATCH($B376,InsNome,0)),""))</f>
        <v>0</v>
      </c>
      <c r="G376" s="24">
        <f>IF(OR($B376="",$C376=""),"",$C376*IFERROR(INDEX(InsBruto,MATCH($B376,InsNome,0)),0))</f>
        <v>0</v>
      </c>
      <c r="H376" s="32">
        <f>IF($A376="","",DATE(YEAR($A376),MONTH($A376),1))</f>
        <v>0</v>
      </c>
    </row>
    <row r="377" spans="1:8">
      <c r="A377" s="15"/>
      <c r="B377" s="13"/>
      <c r="C377" s="19"/>
      <c r="D377" s="13"/>
      <c r="E377" s="13"/>
      <c r="F377" s="23">
        <f>IF($B377="","",IFERROR(INDEX(InsUnid,MATCH($B377,InsNome,0)),""))</f>
        <v>0</v>
      </c>
      <c r="G377" s="24">
        <f>IF(OR($B377="",$C377=""),"",$C377*IFERROR(INDEX(InsBruto,MATCH($B377,InsNome,0)),0))</f>
        <v>0</v>
      </c>
      <c r="H377" s="32">
        <f>IF($A377="","",DATE(YEAR($A377),MONTH($A377),1))</f>
        <v>0</v>
      </c>
    </row>
    <row r="378" spans="1:8">
      <c r="A378" s="15"/>
      <c r="B378" s="13"/>
      <c r="C378" s="19"/>
      <c r="D378" s="13"/>
      <c r="E378" s="13"/>
      <c r="F378" s="23">
        <f>IF($B378="","",IFERROR(INDEX(InsUnid,MATCH($B378,InsNome,0)),""))</f>
        <v>0</v>
      </c>
      <c r="G378" s="24">
        <f>IF(OR($B378="",$C378=""),"",$C378*IFERROR(INDEX(InsBruto,MATCH($B378,InsNome,0)),0))</f>
        <v>0</v>
      </c>
      <c r="H378" s="32">
        <f>IF($A378="","",DATE(YEAR($A378),MONTH($A378),1))</f>
        <v>0</v>
      </c>
    </row>
    <row r="379" spans="1:8">
      <c r="A379" s="15"/>
      <c r="B379" s="13"/>
      <c r="C379" s="19"/>
      <c r="D379" s="13"/>
      <c r="E379" s="13"/>
      <c r="F379" s="23">
        <f>IF($B379="","",IFERROR(INDEX(InsUnid,MATCH($B379,InsNome,0)),""))</f>
        <v>0</v>
      </c>
      <c r="G379" s="24">
        <f>IF(OR($B379="",$C379=""),"",$C379*IFERROR(INDEX(InsBruto,MATCH($B379,InsNome,0)),0))</f>
        <v>0</v>
      </c>
      <c r="H379" s="32">
        <f>IF($A379="","",DATE(YEAR($A379),MONTH($A379),1))</f>
        <v>0</v>
      </c>
    </row>
    <row r="380" spans="1:8">
      <c r="A380" s="15"/>
      <c r="B380" s="13"/>
      <c r="C380" s="19"/>
      <c r="D380" s="13"/>
      <c r="E380" s="13"/>
      <c r="F380" s="23">
        <f>IF($B380="","",IFERROR(INDEX(InsUnid,MATCH($B380,InsNome,0)),""))</f>
        <v>0</v>
      </c>
      <c r="G380" s="24">
        <f>IF(OR($B380="",$C380=""),"",$C380*IFERROR(INDEX(InsBruto,MATCH($B380,InsNome,0)),0))</f>
        <v>0</v>
      </c>
      <c r="H380" s="32">
        <f>IF($A380="","",DATE(YEAR($A380),MONTH($A380),1))</f>
        <v>0</v>
      </c>
    </row>
    <row r="381" spans="1:8">
      <c r="A381" s="15"/>
      <c r="B381" s="13"/>
      <c r="C381" s="19"/>
      <c r="D381" s="13"/>
      <c r="E381" s="13"/>
      <c r="F381" s="23">
        <f>IF($B381="","",IFERROR(INDEX(InsUnid,MATCH($B381,InsNome,0)),""))</f>
        <v>0</v>
      </c>
      <c r="G381" s="24">
        <f>IF(OR($B381="",$C381=""),"",$C381*IFERROR(INDEX(InsBruto,MATCH($B381,InsNome,0)),0))</f>
        <v>0</v>
      </c>
      <c r="H381" s="32">
        <f>IF($A381="","",DATE(YEAR($A381),MONTH($A381),1))</f>
        <v>0</v>
      </c>
    </row>
    <row r="382" spans="1:8">
      <c r="A382" s="15"/>
      <c r="B382" s="13"/>
      <c r="C382" s="19"/>
      <c r="D382" s="13"/>
      <c r="E382" s="13"/>
      <c r="F382" s="23">
        <f>IF($B382="","",IFERROR(INDEX(InsUnid,MATCH($B382,InsNome,0)),""))</f>
        <v>0</v>
      </c>
      <c r="G382" s="24">
        <f>IF(OR($B382="",$C382=""),"",$C382*IFERROR(INDEX(InsBruto,MATCH($B382,InsNome,0)),0))</f>
        <v>0</v>
      </c>
      <c r="H382" s="32">
        <f>IF($A382="","",DATE(YEAR($A382),MONTH($A382),1))</f>
        <v>0</v>
      </c>
    </row>
    <row r="383" spans="1:8">
      <c r="A383" s="15"/>
      <c r="B383" s="13"/>
      <c r="C383" s="19"/>
      <c r="D383" s="13"/>
      <c r="E383" s="13"/>
      <c r="F383" s="23">
        <f>IF($B383="","",IFERROR(INDEX(InsUnid,MATCH($B383,InsNome,0)),""))</f>
        <v>0</v>
      </c>
      <c r="G383" s="24">
        <f>IF(OR($B383="",$C383=""),"",$C383*IFERROR(INDEX(InsBruto,MATCH($B383,InsNome,0)),0))</f>
        <v>0</v>
      </c>
      <c r="H383" s="32">
        <f>IF($A383="","",DATE(YEAR($A383),MONTH($A383),1))</f>
        <v>0</v>
      </c>
    </row>
    <row r="384" spans="1:8">
      <c r="A384" s="15"/>
      <c r="B384" s="13"/>
      <c r="C384" s="19"/>
      <c r="D384" s="13"/>
      <c r="E384" s="13"/>
      <c r="F384" s="23">
        <f>IF($B384="","",IFERROR(INDEX(InsUnid,MATCH($B384,InsNome,0)),""))</f>
        <v>0</v>
      </c>
      <c r="G384" s="24">
        <f>IF(OR($B384="",$C384=""),"",$C384*IFERROR(INDEX(InsBruto,MATCH($B384,InsNome,0)),0))</f>
        <v>0</v>
      </c>
      <c r="H384" s="32">
        <f>IF($A384="","",DATE(YEAR($A384),MONTH($A384),1))</f>
        <v>0</v>
      </c>
    </row>
    <row r="385" spans="1:8">
      <c r="A385" s="15"/>
      <c r="B385" s="13"/>
      <c r="C385" s="19"/>
      <c r="D385" s="13"/>
      <c r="E385" s="13"/>
      <c r="F385" s="23">
        <f>IF($B385="","",IFERROR(INDEX(InsUnid,MATCH($B385,InsNome,0)),""))</f>
        <v>0</v>
      </c>
      <c r="G385" s="24">
        <f>IF(OR($B385="",$C385=""),"",$C385*IFERROR(INDEX(InsBruto,MATCH($B385,InsNome,0)),0))</f>
        <v>0</v>
      </c>
      <c r="H385" s="32">
        <f>IF($A385="","",DATE(YEAR($A385),MONTH($A385),1))</f>
        <v>0</v>
      </c>
    </row>
    <row r="386" spans="1:8">
      <c r="A386" s="15"/>
      <c r="B386" s="13"/>
      <c r="C386" s="19"/>
      <c r="D386" s="13"/>
      <c r="E386" s="13"/>
      <c r="F386" s="23">
        <f>IF($B386="","",IFERROR(INDEX(InsUnid,MATCH($B386,InsNome,0)),""))</f>
        <v>0</v>
      </c>
      <c r="G386" s="24">
        <f>IF(OR($B386="",$C386=""),"",$C386*IFERROR(INDEX(InsBruto,MATCH($B386,InsNome,0)),0))</f>
        <v>0</v>
      </c>
      <c r="H386" s="32">
        <f>IF($A386="","",DATE(YEAR($A386),MONTH($A386),1))</f>
        <v>0</v>
      </c>
    </row>
    <row r="387" spans="1:8">
      <c r="A387" s="15"/>
      <c r="B387" s="13"/>
      <c r="C387" s="19"/>
      <c r="D387" s="13"/>
      <c r="E387" s="13"/>
      <c r="F387" s="23">
        <f>IF($B387="","",IFERROR(INDEX(InsUnid,MATCH($B387,InsNome,0)),""))</f>
        <v>0</v>
      </c>
      <c r="G387" s="24">
        <f>IF(OR($B387="",$C387=""),"",$C387*IFERROR(INDEX(InsBruto,MATCH($B387,InsNome,0)),0))</f>
        <v>0</v>
      </c>
      <c r="H387" s="32">
        <f>IF($A387="","",DATE(YEAR($A387),MONTH($A387),1))</f>
        <v>0</v>
      </c>
    </row>
    <row r="388" spans="1:8">
      <c r="A388" s="15"/>
      <c r="B388" s="13"/>
      <c r="C388" s="19"/>
      <c r="D388" s="13"/>
      <c r="E388" s="13"/>
      <c r="F388" s="23">
        <f>IF($B388="","",IFERROR(INDEX(InsUnid,MATCH($B388,InsNome,0)),""))</f>
        <v>0</v>
      </c>
      <c r="G388" s="24">
        <f>IF(OR($B388="",$C388=""),"",$C388*IFERROR(INDEX(InsBruto,MATCH($B388,InsNome,0)),0))</f>
        <v>0</v>
      </c>
      <c r="H388" s="32">
        <f>IF($A388="","",DATE(YEAR($A388),MONTH($A388),1))</f>
        <v>0</v>
      </c>
    </row>
    <row r="389" spans="1:8">
      <c r="A389" s="15"/>
      <c r="B389" s="13"/>
      <c r="C389" s="19"/>
      <c r="D389" s="13"/>
      <c r="E389" s="13"/>
      <c r="F389" s="23">
        <f>IF($B389="","",IFERROR(INDEX(InsUnid,MATCH($B389,InsNome,0)),""))</f>
        <v>0</v>
      </c>
      <c r="G389" s="24">
        <f>IF(OR($B389="",$C389=""),"",$C389*IFERROR(INDEX(InsBruto,MATCH($B389,InsNome,0)),0))</f>
        <v>0</v>
      </c>
      <c r="H389" s="32">
        <f>IF($A389="","",DATE(YEAR($A389),MONTH($A389),1))</f>
        <v>0</v>
      </c>
    </row>
    <row r="390" spans="1:8">
      <c r="A390" s="15"/>
      <c r="B390" s="13"/>
      <c r="C390" s="19"/>
      <c r="D390" s="13"/>
      <c r="E390" s="13"/>
      <c r="F390" s="23">
        <f>IF($B390="","",IFERROR(INDEX(InsUnid,MATCH($B390,InsNome,0)),""))</f>
        <v>0</v>
      </c>
      <c r="G390" s="24">
        <f>IF(OR($B390="",$C390=""),"",$C390*IFERROR(INDEX(InsBruto,MATCH($B390,InsNome,0)),0))</f>
        <v>0</v>
      </c>
      <c r="H390" s="32">
        <f>IF($A390="","",DATE(YEAR($A390),MONTH($A390),1))</f>
        <v>0</v>
      </c>
    </row>
    <row r="391" spans="1:8">
      <c r="A391" s="15"/>
      <c r="B391" s="13"/>
      <c r="C391" s="19"/>
      <c r="D391" s="13"/>
      <c r="E391" s="13"/>
      <c r="F391" s="23">
        <f>IF($B391="","",IFERROR(INDEX(InsUnid,MATCH($B391,InsNome,0)),""))</f>
        <v>0</v>
      </c>
      <c r="G391" s="24">
        <f>IF(OR($B391="",$C391=""),"",$C391*IFERROR(INDEX(InsBruto,MATCH($B391,InsNome,0)),0))</f>
        <v>0</v>
      </c>
      <c r="H391" s="32">
        <f>IF($A391="","",DATE(YEAR($A391),MONTH($A391),1))</f>
        <v>0</v>
      </c>
    </row>
    <row r="392" spans="1:8">
      <c r="A392" s="15"/>
      <c r="B392" s="13"/>
      <c r="C392" s="19"/>
      <c r="D392" s="13"/>
      <c r="E392" s="13"/>
      <c r="F392" s="23">
        <f>IF($B392="","",IFERROR(INDEX(InsUnid,MATCH($B392,InsNome,0)),""))</f>
        <v>0</v>
      </c>
      <c r="G392" s="24">
        <f>IF(OR($B392="",$C392=""),"",$C392*IFERROR(INDEX(InsBruto,MATCH($B392,InsNome,0)),0))</f>
        <v>0</v>
      </c>
      <c r="H392" s="32">
        <f>IF($A392="","",DATE(YEAR($A392),MONTH($A392),1))</f>
        <v>0</v>
      </c>
    </row>
    <row r="393" spans="1:8">
      <c r="A393" s="15"/>
      <c r="B393" s="13"/>
      <c r="C393" s="19"/>
      <c r="D393" s="13"/>
      <c r="E393" s="13"/>
      <c r="F393" s="23">
        <f>IF($B393="","",IFERROR(INDEX(InsUnid,MATCH($B393,InsNome,0)),""))</f>
        <v>0</v>
      </c>
      <c r="G393" s="24">
        <f>IF(OR($B393="",$C393=""),"",$C393*IFERROR(INDEX(InsBruto,MATCH($B393,InsNome,0)),0))</f>
        <v>0</v>
      </c>
      <c r="H393" s="32">
        <f>IF($A393="","",DATE(YEAR($A393),MONTH($A393),1))</f>
        <v>0</v>
      </c>
    </row>
    <row r="394" spans="1:8">
      <c r="A394" s="15"/>
      <c r="B394" s="13"/>
      <c r="C394" s="19"/>
      <c r="D394" s="13"/>
      <c r="E394" s="13"/>
      <c r="F394" s="23">
        <f>IF($B394="","",IFERROR(INDEX(InsUnid,MATCH($B394,InsNome,0)),""))</f>
        <v>0</v>
      </c>
      <c r="G394" s="24">
        <f>IF(OR($B394="",$C394=""),"",$C394*IFERROR(INDEX(InsBruto,MATCH($B394,InsNome,0)),0))</f>
        <v>0</v>
      </c>
      <c r="H394" s="32">
        <f>IF($A394="","",DATE(YEAR($A394),MONTH($A394),1))</f>
        <v>0</v>
      </c>
    </row>
    <row r="395" spans="1:8">
      <c r="A395" s="15"/>
      <c r="B395" s="13"/>
      <c r="C395" s="19"/>
      <c r="D395" s="13"/>
      <c r="E395" s="13"/>
      <c r="F395" s="23">
        <f>IF($B395="","",IFERROR(INDEX(InsUnid,MATCH($B395,InsNome,0)),""))</f>
        <v>0</v>
      </c>
      <c r="G395" s="24">
        <f>IF(OR($B395="",$C395=""),"",$C395*IFERROR(INDEX(InsBruto,MATCH($B395,InsNome,0)),0))</f>
        <v>0</v>
      </c>
      <c r="H395" s="32">
        <f>IF($A395="","",DATE(YEAR($A395),MONTH($A395),1))</f>
        <v>0</v>
      </c>
    </row>
    <row r="396" spans="1:8">
      <c r="A396" s="15"/>
      <c r="B396" s="13"/>
      <c r="C396" s="19"/>
      <c r="D396" s="13"/>
      <c r="E396" s="13"/>
      <c r="F396" s="23">
        <f>IF($B396="","",IFERROR(INDEX(InsUnid,MATCH($B396,InsNome,0)),""))</f>
        <v>0</v>
      </c>
      <c r="G396" s="24">
        <f>IF(OR($B396="",$C396=""),"",$C396*IFERROR(INDEX(InsBruto,MATCH($B396,InsNome,0)),0))</f>
        <v>0</v>
      </c>
      <c r="H396" s="32">
        <f>IF($A396="","",DATE(YEAR($A396),MONTH($A396),1))</f>
        <v>0</v>
      </c>
    </row>
    <row r="397" spans="1:8">
      <c r="A397" s="15"/>
      <c r="B397" s="13"/>
      <c r="C397" s="19"/>
      <c r="D397" s="13"/>
      <c r="E397" s="13"/>
      <c r="F397" s="23">
        <f>IF($B397="","",IFERROR(INDEX(InsUnid,MATCH($B397,InsNome,0)),""))</f>
        <v>0</v>
      </c>
      <c r="G397" s="24">
        <f>IF(OR($B397="",$C397=""),"",$C397*IFERROR(INDEX(InsBruto,MATCH($B397,InsNome,0)),0))</f>
        <v>0</v>
      </c>
      <c r="H397" s="32">
        <f>IF($A397="","",DATE(YEAR($A397),MONTH($A397),1))</f>
        <v>0</v>
      </c>
    </row>
    <row r="398" spans="1:8">
      <c r="A398" s="15"/>
      <c r="B398" s="13"/>
      <c r="C398" s="19"/>
      <c r="D398" s="13"/>
      <c r="E398" s="13"/>
      <c r="F398" s="23">
        <f>IF($B398="","",IFERROR(INDEX(InsUnid,MATCH($B398,InsNome,0)),""))</f>
        <v>0</v>
      </c>
      <c r="G398" s="24">
        <f>IF(OR($B398="",$C398=""),"",$C398*IFERROR(INDEX(InsBruto,MATCH($B398,InsNome,0)),0))</f>
        <v>0</v>
      </c>
      <c r="H398" s="32">
        <f>IF($A398="","",DATE(YEAR($A398),MONTH($A398),1))</f>
        <v>0</v>
      </c>
    </row>
    <row r="399" spans="1:8">
      <c r="A399" s="15"/>
      <c r="B399" s="13"/>
      <c r="C399" s="19"/>
      <c r="D399" s="13"/>
      <c r="E399" s="13"/>
      <c r="F399" s="23">
        <f>IF($B399="","",IFERROR(INDEX(InsUnid,MATCH($B399,InsNome,0)),""))</f>
        <v>0</v>
      </c>
      <c r="G399" s="24">
        <f>IF(OR($B399="",$C399=""),"",$C399*IFERROR(INDEX(InsBruto,MATCH($B399,InsNome,0)),0))</f>
        <v>0</v>
      </c>
      <c r="H399" s="32">
        <f>IF($A399="","",DATE(YEAR($A399),MONTH($A399),1))</f>
        <v>0</v>
      </c>
    </row>
    <row r="400" spans="1:8">
      <c r="A400" s="15"/>
      <c r="B400" s="13"/>
      <c r="C400" s="19"/>
      <c r="D400" s="13"/>
      <c r="E400" s="13"/>
      <c r="F400" s="23">
        <f>IF($B400="","",IFERROR(INDEX(InsUnid,MATCH($B400,InsNome,0)),""))</f>
        <v>0</v>
      </c>
      <c r="G400" s="24">
        <f>IF(OR($B400="",$C400=""),"",$C400*IFERROR(INDEX(InsBruto,MATCH($B400,InsNome,0)),0))</f>
        <v>0</v>
      </c>
      <c r="H400" s="32">
        <f>IF($A400="","",DATE(YEAR($A400),MONTH($A400),1))</f>
        <v>0</v>
      </c>
    </row>
    <row r="401" spans="1:8">
      <c r="A401" s="15"/>
      <c r="B401" s="13"/>
      <c r="C401" s="19"/>
      <c r="D401" s="13"/>
      <c r="E401" s="13"/>
      <c r="F401" s="23">
        <f>IF($B401="","",IFERROR(INDEX(InsUnid,MATCH($B401,InsNome,0)),""))</f>
        <v>0</v>
      </c>
      <c r="G401" s="24">
        <f>IF(OR($B401="",$C401=""),"",$C401*IFERROR(INDEX(InsBruto,MATCH($B401,InsNome,0)),0))</f>
        <v>0</v>
      </c>
      <c r="H401" s="32">
        <f>IF($A401="","",DATE(YEAR($A401),MONTH($A401),1))</f>
        <v>0</v>
      </c>
    </row>
    <row r="402" spans="1:8">
      <c r="A402" s="15"/>
      <c r="B402" s="13"/>
      <c r="C402" s="19"/>
      <c r="D402" s="13"/>
      <c r="E402" s="13"/>
      <c r="F402" s="23">
        <f>IF($B402="","",IFERROR(INDEX(InsUnid,MATCH($B402,InsNome,0)),""))</f>
        <v>0</v>
      </c>
      <c r="G402" s="24">
        <f>IF(OR($B402="",$C402=""),"",$C402*IFERROR(INDEX(InsBruto,MATCH($B402,InsNome,0)),0))</f>
        <v>0</v>
      </c>
      <c r="H402" s="32">
        <f>IF($A402="","",DATE(YEAR($A402),MONTH($A402),1))</f>
        <v>0</v>
      </c>
    </row>
    <row r="403" spans="1:8">
      <c r="A403" s="15"/>
      <c r="B403" s="13"/>
      <c r="C403" s="19"/>
      <c r="D403" s="13"/>
      <c r="E403" s="13"/>
      <c r="F403" s="23">
        <f>IF($B403="","",IFERROR(INDEX(InsUnid,MATCH($B403,InsNome,0)),""))</f>
        <v>0</v>
      </c>
      <c r="G403" s="24">
        <f>IF(OR($B403="",$C403=""),"",$C403*IFERROR(INDEX(InsBruto,MATCH($B403,InsNome,0)),0))</f>
        <v>0</v>
      </c>
      <c r="H403" s="32">
        <f>IF($A403="","",DATE(YEAR($A403),MONTH($A403),1))</f>
        <v>0</v>
      </c>
    </row>
    <row r="404" spans="1:8">
      <c r="A404" s="15"/>
      <c r="B404" s="13"/>
      <c r="C404" s="19"/>
      <c r="D404" s="13"/>
      <c r="E404" s="13"/>
      <c r="F404" s="23">
        <f>IF($B404="","",IFERROR(INDEX(InsUnid,MATCH($B404,InsNome,0)),""))</f>
        <v>0</v>
      </c>
      <c r="G404" s="24">
        <f>IF(OR($B404="",$C404=""),"",$C404*IFERROR(INDEX(InsBruto,MATCH($B404,InsNome,0)),0))</f>
        <v>0</v>
      </c>
      <c r="H404" s="32">
        <f>IF($A404="","",DATE(YEAR($A404),MONTH($A404),1))</f>
        <v>0</v>
      </c>
    </row>
    <row r="405" spans="1:8">
      <c r="A405" s="15"/>
      <c r="B405" s="13"/>
      <c r="C405" s="19"/>
      <c r="D405" s="13"/>
      <c r="E405" s="13"/>
      <c r="F405" s="23">
        <f>IF($B405="","",IFERROR(INDEX(InsUnid,MATCH($B405,InsNome,0)),""))</f>
        <v>0</v>
      </c>
      <c r="G405" s="24">
        <f>IF(OR($B405="",$C405=""),"",$C405*IFERROR(INDEX(InsBruto,MATCH($B405,InsNome,0)),0))</f>
        <v>0</v>
      </c>
      <c r="H405" s="32">
        <f>IF($A405="","",DATE(YEAR($A405),MONTH($A405),1))</f>
        <v>0</v>
      </c>
    </row>
    <row r="406" spans="1:8">
      <c r="A406" s="15"/>
      <c r="B406" s="13"/>
      <c r="C406" s="19"/>
      <c r="D406" s="13"/>
      <c r="E406" s="13"/>
      <c r="F406" s="23">
        <f>IF($B406="","",IFERROR(INDEX(InsUnid,MATCH($B406,InsNome,0)),""))</f>
        <v>0</v>
      </c>
      <c r="G406" s="24">
        <f>IF(OR($B406="",$C406=""),"",$C406*IFERROR(INDEX(InsBruto,MATCH($B406,InsNome,0)),0))</f>
        <v>0</v>
      </c>
      <c r="H406" s="32">
        <f>IF($A406="","",DATE(YEAR($A406),MONTH($A406),1))</f>
        <v>0</v>
      </c>
    </row>
    <row r="407" spans="1:8">
      <c r="A407" s="15"/>
      <c r="B407" s="13"/>
      <c r="C407" s="19"/>
      <c r="D407" s="13"/>
      <c r="E407" s="13"/>
      <c r="F407" s="23">
        <f>IF($B407="","",IFERROR(INDEX(InsUnid,MATCH($B407,InsNome,0)),""))</f>
        <v>0</v>
      </c>
      <c r="G407" s="24">
        <f>IF(OR($B407="",$C407=""),"",$C407*IFERROR(INDEX(InsBruto,MATCH($B407,InsNome,0)),0))</f>
        <v>0</v>
      </c>
      <c r="H407" s="32">
        <f>IF($A407="","",DATE(YEAR($A407),MONTH($A407),1))</f>
        <v>0</v>
      </c>
    </row>
    <row r="408" spans="1:8">
      <c r="A408" s="15"/>
      <c r="B408" s="13"/>
      <c r="C408" s="19"/>
      <c r="D408" s="13"/>
      <c r="E408" s="13"/>
      <c r="F408" s="23">
        <f>IF($B408="","",IFERROR(INDEX(InsUnid,MATCH($B408,InsNome,0)),""))</f>
        <v>0</v>
      </c>
      <c r="G408" s="24">
        <f>IF(OR($B408="",$C408=""),"",$C408*IFERROR(INDEX(InsBruto,MATCH($B408,InsNome,0)),0))</f>
        <v>0</v>
      </c>
      <c r="H408" s="32">
        <f>IF($A408="","",DATE(YEAR($A408),MONTH($A408),1))</f>
        <v>0</v>
      </c>
    </row>
    <row r="409" spans="1:8">
      <c r="A409" s="15"/>
      <c r="B409" s="13"/>
      <c r="C409" s="19"/>
      <c r="D409" s="13"/>
      <c r="E409" s="13"/>
      <c r="F409" s="23">
        <f>IF($B409="","",IFERROR(INDEX(InsUnid,MATCH($B409,InsNome,0)),""))</f>
        <v>0</v>
      </c>
      <c r="G409" s="24">
        <f>IF(OR($B409="",$C409=""),"",$C409*IFERROR(INDEX(InsBruto,MATCH($B409,InsNome,0)),0))</f>
        <v>0</v>
      </c>
      <c r="H409" s="32">
        <f>IF($A409="","",DATE(YEAR($A409),MONTH($A409),1))</f>
        <v>0</v>
      </c>
    </row>
    <row r="410" spans="1:8">
      <c r="A410" s="15"/>
      <c r="B410" s="13"/>
      <c r="C410" s="19"/>
      <c r="D410" s="13"/>
      <c r="E410" s="13"/>
      <c r="F410" s="23">
        <f>IF($B410="","",IFERROR(INDEX(InsUnid,MATCH($B410,InsNome,0)),""))</f>
        <v>0</v>
      </c>
      <c r="G410" s="24">
        <f>IF(OR($B410="",$C410=""),"",$C410*IFERROR(INDEX(InsBruto,MATCH($B410,InsNome,0)),0))</f>
        <v>0</v>
      </c>
      <c r="H410" s="32">
        <f>IF($A410="","",DATE(YEAR($A410),MONTH($A410),1))</f>
        <v>0</v>
      </c>
    </row>
    <row r="411" spans="1:8">
      <c r="A411" s="15"/>
      <c r="B411" s="13"/>
      <c r="C411" s="19"/>
      <c r="D411" s="13"/>
      <c r="E411" s="13"/>
      <c r="F411" s="23">
        <f>IF($B411="","",IFERROR(INDEX(InsUnid,MATCH($B411,InsNome,0)),""))</f>
        <v>0</v>
      </c>
      <c r="G411" s="24">
        <f>IF(OR($B411="",$C411=""),"",$C411*IFERROR(INDEX(InsBruto,MATCH($B411,InsNome,0)),0))</f>
        <v>0</v>
      </c>
      <c r="H411" s="32">
        <f>IF($A411="","",DATE(YEAR($A411),MONTH($A411),1))</f>
        <v>0</v>
      </c>
    </row>
    <row r="412" spans="1:8">
      <c r="A412" s="15"/>
      <c r="B412" s="13"/>
      <c r="C412" s="19"/>
      <c r="D412" s="13"/>
      <c r="E412" s="13"/>
      <c r="F412" s="23">
        <f>IF($B412="","",IFERROR(INDEX(InsUnid,MATCH($B412,InsNome,0)),""))</f>
        <v>0</v>
      </c>
      <c r="G412" s="24">
        <f>IF(OR($B412="",$C412=""),"",$C412*IFERROR(INDEX(InsBruto,MATCH($B412,InsNome,0)),0))</f>
        <v>0</v>
      </c>
      <c r="H412" s="32">
        <f>IF($A412="","",DATE(YEAR($A412),MONTH($A412),1))</f>
        <v>0</v>
      </c>
    </row>
    <row r="413" spans="1:8">
      <c r="A413" s="15"/>
      <c r="B413" s="13"/>
      <c r="C413" s="19"/>
      <c r="D413" s="13"/>
      <c r="E413" s="13"/>
      <c r="F413" s="23">
        <f>IF($B413="","",IFERROR(INDEX(InsUnid,MATCH($B413,InsNome,0)),""))</f>
        <v>0</v>
      </c>
      <c r="G413" s="24">
        <f>IF(OR($B413="",$C413=""),"",$C413*IFERROR(INDEX(InsBruto,MATCH($B413,InsNome,0)),0))</f>
        <v>0</v>
      </c>
      <c r="H413" s="32">
        <f>IF($A413="","",DATE(YEAR($A413),MONTH($A413),1))</f>
        <v>0</v>
      </c>
    </row>
    <row r="414" spans="1:8">
      <c r="A414" s="15"/>
      <c r="B414" s="13"/>
      <c r="C414" s="19"/>
      <c r="D414" s="13"/>
      <c r="E414" s="13"/>
      <c r="F414" s="23">
        <f>IF($B414="","",IFERROR(INDEX(InsUnid,MATCH($B414,InsNome,0)),""))</f>
        <v>0</v>
      </c>
      <c r="G414" s="24">
        <f>IF(OR($B414="",$C414=""),"",$C414*IFERROR(INDEX(InsBruto,MATCH($B414,InsNome,0)),0))</f>
        <v>0</v>
      </c>
      <c r="H414" s="32">
        <f>IF($A414="","",DATE(YEAR($A414),MONTH($A414),1))</f>
        <v>0</v>
      </c>
    </row>
    <row r="415" spans="1:8">
      <c r="A415" s="15"/>
      <c r="B415" s="13"/>
      <c r="C415" s="19"/>
      <c r="D415" s="13"/>
      <c r="E415" s="13"/>
      <c r="F415" s="23">
        <f>IF($B415="","",IFERROR(INDEX(InsUnid,MATCH($B415,InsNome,0)),""))</f>
        <v>0</v>
      </c>
      <c r="G415" s="24">
        <f>IF(OR($B415="",$C415=""),"",$C415*IFERROR(INDEX(InsBruto,MATCH($B415,InsNome,0)),0))</f>
        <v>0</v>
      </c>
      <c r="H415" s="32">
        <f>IF($A415="","",DATE(YEAR($A415),MONTH($A415),1))</f>
        <v>0</v>
      </c>
    </row>
    <row r="416" spans="1:8">
      <c r="A416" s="15"/>
      <c r="B416" s="13"/>
      <c r="C416" s="19"/>
      <c r="D416" s="13"/>
      <c r="E416" s="13"/>
      <c r="F416" s="23">
        <f>IF($B416="","",IFERROR(INDEX(InsUnid,MATCH($B416,InsNome,0)),""))</f>
        <v>0</v>
      </c>
      <c r="G416" s="24">
        <f>IF(OR($B416="",$C416=""),"",$C416*IFERROR(INDEX(InsBruto,MATCH($B416,InsNome,0)),0))</f>
        <v>0</v>
      </c>
      <c r="H416" s="32">
        <f>IF($A416="","",DATE(YEAR($A416),MONTH($A416),1))</f>
        <v>0</v>
      </c>
    </row>
    <row r="417" spans="1:8">
      <c r="A417" s="15"/>
      <c r="B417" s="13"/>
      <c r="C417" s="19"/>
      <c r="D417" s="13"/>
      <c r="E417" s="13"/>
      <c r="F417" s="23">
        <f>IF($B417="","",IFERROR(INDEX(InsUnid,MATCH($B417,InsNome,0)),""))</f>
        <v>0</v>
      </c>
      <c r="G417" s="24">
        <f>IF(OR($B417="",$C417=""),"",$C417*IFERROR(INDEX(InsBruto,MATCH($B417,InsNome,0)),0))</f>
        <v>0</v>
      </c>
      <c r="H417" s="32">
        <f>IF($A417="","",DATE(YEAR($A417),MONTH($A417),1))</f>
        <v>0</v>
      </c>
    </row>
    <row r="418" spans="1:8">
      <c r="A418" s="15"/>
      <c r="B418" s="13"/>
      <c r="C418" s="19"/>
      <c r="D418" s="13"/>
      <c r="E418" s="13"/>
      <c r="F418" s="23">
        <f>IF($B418="","",IFERROR(INDEX(InsUnid,MATCH($B418,InsNome,0)),""))</f>
        <v>0</v>
      </c>
      <c r="G418" s="24">
        <f>IF(OR($B418="",$C418=""),"",$C418*IFERROR(INDEX(InsBruto,MATCH($B418,InsNome,0)),0))</f>
        <v>0</v>
      </c>
      <c r="H418" s="32">
        <f>IF($A418="","",DATE(YEAR($A418),MONTH($A418),1))</f>
        <v>0</v>
      </c>
    </row>
    <row r="419" spans="1:8">
      <c r="A419" s="15"/>
      <c r="B419" s="13"/>
      <c r="C419" s="19"/>
      <c r="D419" s="13"/>
      <c r="E419" s="13"/>
      <c r="F419" s="23">
        <f>IF($B419="","",IFERROR(INDEX(InsUnid,MATCH($B419,InsNome,0)),""))</f>
        <v>0</v>
      </c>
      <c r="G419" s="24">
        <f>IF(OR($B419="",$C419=""),"",$C419*IFERROR(INDEX(InsBruto,MATCH($B419,InsNome,0)),0))</f>
        <v>0</v>
      </c>
      <c r="H419" s="32">
        <f>IF($A419="","",DATE(YEAR($A419),MONTH($A419),1))</f>
        <v>0</v>
      </c>
    </row>
    <row r="420" spans="1:8">
      <c r="A420" s="15"/>
      <c r="B420" s="13"/>
      <c r="C420" s="19"/>
      <c r="D420" s="13"/>
      <c r="E420" s="13"/>
      <c r="F420" s="23">
        <f>IF($B420="","",IFERROR(INDEX(InsUnid,MATCH($B420,InsNome,0)),""))</f>
        <v>0</v>
      </c>
      <c r="G420" s="24">
        <f>IF(OR($B420="",$C420=""),"",$C420*IFERROR(INDEX(InsBruto,MATCH($B420,InsNome,0)),0))</f>
        <v>0</v>
      </c>
      <c r="H420" s="32">
        <f>IF($A420="","",DATE(YEAR($A420),MONTH($A420),1))</f>
        <v>0</v>
      </c>
    </row>
    <row r="421" spans="1:8">
      <c r="A421" s="15"/>
      <c r="B421" s="13"/>
      <c r="C421" s="19"/>
      <c r="D421" s="13"/>
      <c r="E421" s="13"/>
      <c r="F421" s="23">
        <f>IF($B421="","",IFERROR(INDEX(InsUnid,MATCH($B421,InsNome,0)),""))</f>
        <v>0</v>
      </c>
      <c r="G421" s="24">
        <f>IF(OR($B421="",$C421=""),"",$C421*IFERROR(INDEX(InsBruto,MATCH($B421,InsNome,0)),0))</f>
        <v>0</v>
      </c>
      <c r="H421" s="32">
        <f>IF($A421="","",DATE(YEAR($A421),MONTH($A421),1))</f>
        <v>0</v>
      </c>
    </row>
    <row r="422" spans="1:8">
      <c r="A422" s="15"/>
      <c r="B422" s="13"/>
      <c r="C422" s="19"/>
      <c r="D422" s="13"/>
      <c r="E422" s="13"/>
      <c r="F422" s="23">
        <f>IF($B422="","",IFERROR(INDEX(InsUnid,MATCH($B422,InsNome,0)),""))</f>
        <v>0</v>
      </c>
      <c r="G422" s="24">
        <f>IF(OR($B422="",$C422=""),"",$C422*IFERROR(INDEX(InsBruto,MATCH($B422,InsNome,0)),0))</f>
        <v>0</v>
      </c>
      <c r="H422" s="32">
        <f>IF($A422="","",DATE(YEAR($A422),MONTH($A422),1))</f>
        <v>0</v>
      </c>
    </row>
    <row r="423" spans="1:8">
      <c r="A423" s="15"/>
      <c r="B423" s="13"/>
      <c r="C423" s="19"/>
      <c r="D423" s="13"/>
      <c r="E423" s="13"/>
      <c r="F423" s="23">
        <f>IF($B423="","",IFERROR(INDEX(InsUnid,MATCH($B423,InsNome,0)),""))</f>
        <v>0</v>
      </c>
      <c r="G423" s="24">
        <f>IF(OR($B423="",$C423=""),"",$C423*IFERROR(INDEX(InsBruto,MATCH($B423,InsNome,0)),0))</f>
        <v>0</v>
      </c>
      <c r="H423" s="32">
        <f>IF($A423="","",DATE(YEAR($A423),MONTH($A423),1))</f>
        <v>0</v>
      </c>
    </row>
    <row r="424" spans="1:8">
      <c r="A424" s="15"/>
      <c r="B424" s="13"/>
      <c r="C424" s="19"/>
      <c r="D424" s="13"/>
      <c r="E424" s="13"/>
      <c r="F424" s="23">
        <f>IF($B424="","",IFERROR(INDEX(InsUnid,MATCH($B424,InsNome,0)),""))</f>
        <v>0</v>
      </c>
      <c r="G424" s="24">
        <f>IF(OR($B424="",$C424=""),"",$C424*IFERROR(INDEX(InsBruto,MATCH($B424,InsNome,0)),0))</f>
        <v>0</v>
      </c>
      <c r="H424" s="32">
        <f>IF($A424="","",DATE(YEAR($A424),MONTH($A424),1))</f>
        <v>0</v>
      </c>
    </row>
    <row r="425" spans="1:8">
      <c r="A425" s="15"/>
      <c r="B425" s="13"/>
      <c r="C425" s="19"/>
      <c r="D425" s="13"/>
      <c r="E425" s="13"/>
      <c r="F425" s="23">
        <f>IF($B425="","",IFERROR(INDEX(InsUnid,MATCH($B425,InsNome,0)),""))</f>
        <v>0</v>
      </c>
      <c r="G425" s="24">
        <f>IF(OR($B425="",$C425=""),"",$C425*IFERROR(INDEX(InsBruto,MATCH($B425,InsNome,0)),0))</f>
        <v>0</v>
      </c>
      <c r="H425" s="32">
        <f>IF($A425="","",DATE(YEAR($A425),MONTH($A425),1))</f>
        <v>0</v>
      </c>
    </row>
    <row r="426" spans="1:8">
      <c r="A426" s="15"/>
      <c r="B426" s="13"/>
      <c r="C426" s="19"/>
      <c r="D426" s="13"/>
      <c r="E426" s="13"/>
      <c r="F426" s="23">
        <f>IF($B426="","",IFERROR(INDEX(InsUnid,MATCH($B426,InsNome,0)),""))</f>
        <v>0</v>
      </c>
      <c r="G426" s="24">
        <f>IF(OR($B426="",$C426=""),"",$C426*IFERROR(INDEX(InsBruto,MATCH($B426,InsNome,0)),0))</f>
        <v>0</v>
      </c>
      <c r="H426" s="32">
        <f>IF($A426="","",DATE(YEAR($A426),MONTH($A426),1))</f>
        <v>0</v>
      </c>
    </row>
    <row r="427" spans="1:8">
      <c r="A427" s="15"/>
      <c r="B427" s="13"/>
      <c r="C427" s="19"/>
      <c r="D427" s="13"/>
      <c r="E427" s="13"/>
      <c r="F427" s="23">
        <f>IF($B427="","",IFERROR(INDEX(InsUnid,MATCH($B427,InsNome,0)),""))</f>
        <v>0</v>
      </c>
      <c r="G427" s="24">
        <f>IF(OR($B427="",$C427=""),"",$C427*IFERROR(INDEX(InsBruto,MATCH($B427,InsNome,0)),0))</f>
        <v>0</v>
      </c>
      <c r="H427" s="32">
        <f>IF($A427="","",DATE(YEAR($A427),MONTH($A427),1))</f>
        <v>0</v>
      </c>
    </row>
    <row r="428" spans="1:8">
      <c r="A428" s="15"/>
      <c r="B428" s="13"/>
      <c r="C428" s="19"/>
      <c r="D428" s="13"/>
      <c r="E428" s="13"/>
      <c r="F428" s="23">
        <f>IF($B428="","",IFERROR(INDEX(InsUnid,MATCH($B428,InsNome,0)),""))</f>
        <v>0</v>
      </c>
      <c r="G428" s="24">
        <f>IF(OR($B428="",$C428=""),"",$C428*IFERROR(INDEX(InsBruto,MATCH($B428,InsNome,0)),0))</f>
        <v>0</v>
      </c>
      <c r="H428" s="32">
        <f>IF($A428="","",DATE(YEAR($A428),MONTH($A428),1))</f>
        <v>0</v>
      </c>
    </row>
    <row r="429" spans="1:8">
      <c r="A429" s="15"/>
      <c r="B429" s="13"/>
      <c r="C429" s="19"/>
      <c r="D429" s="13"/>
      <c r="E429" s="13"/>
      <c r="F429" s="23">
        <f>IF($B429="","",IFERROR(INDEX(InsUnid,MATCH($B429,InsNome,0)),""))</f>
        <v>0</v>
      </c>
      <c r="G429" s="24">
        <f>IF(OR($B429="",$C429=""),"",$C429*IFERROR(INDEX(InsBruto,MATCH($B429,InsNome,0)),0))</f>
        <v>0</v>
      </c>
      <c r="H429" s="32">
        <f>IF($A429="","",DATE(YEAR($A429),MONTH($A429),1))</f>
        <v>0</v>
      </c>
    </row>
    <row r="430" spans="1:8">
      <c r="A430" s="15"/>
      <c r="B430" s="13"/>
      <c r="C430" s="19"/>
      <c r="D430" s="13"/>
      <c r="E430" s="13"/>
      <c r="F430" s="23">
        <f>IF($B430="","",IFERROR(INDEX(InsUnid,MATCH($B430,InsNome,0)),""))</f>
        <v>0</v>
      </c>
      <c r="G430" s="24">
        <f>IF(OR($B430="",$C430=""),"",$C430*IFERROR(INDEX(InsBruto,MATCH($B430,InsNome,0)),0))</f>
        <v>0</v>
      </c>
      <c r="H430" s="32">
        <f>IF($A430="","",DATE(YEAR($A430),MONTH($A430),1))</f>
        <v>0</v>
      </c>
    </row>
    <row r="431" spans="1:8">
      <c r="A431" s="15"/>
      <c r="B431" s="13"/>
      <c r="C431" s="19"/>
      <c r="D431" s="13"/>
      <c r="E431" s="13"/>
      <c r="F431" s="23">
        <f>IF($B431="","",IFERROR(INDEX(InsUnid,MATCH($B431,InsNome,0)),""))</f>
        <v>0</v>
      </c>
      <c r="G431" s="24">
        <f>IF(OR($B431="",$C431=""),"",$C431*IFERROR(INDEX(InsBruto,MATCH($B431,InsNome,0)),0))</f>
        <v>0</v>
      </c>
      <c r="H431" s="32">
        <f>IF($A431="","",DATE(YEAR($A431),MONTH($A431),1))</f>
        <v>0</v>
      </c>
    </row>
    <row r="432" spans="1:8">
      <c r="A432" s="15"/>
      <c r="B432" s="13"/>
      <c r="C432" s="19"/>
      <c r="D432" s="13"/>
      <c r="E432" s="13"/>
      <c r="F432" s="23">
        <f>IF($B432="","",IFERROR(INDEX(InsUnid,MATCH($B432,InsNome,0)),""))</f>
        <v>0</v>
      </c>
      <c r="G432" s="24">
        <f>IF(OR($B432="",$C432=""),"",$C432*IFERROR(INDEX(InsBruto,MATCH($B432,InsNome,0)),0))</f>
        <v>0</v>
      </c>
      <c r="H432" s="32">
        <f>IF($A432="","",DATE(YEAR($A432),MONTH($A432),1))</f>
        <v>0</v>
      </c>
    </row>
    <row r="433" spans="1:8">
      <c r="A433" s="15"/>
      <c r="B433" s="13"/>
      <c r="C433" s="19"/>
      <c r="D433" s="13"/>
      <c r="E433" s="13"/>
      <c r="F433" s="23">
        <f>IF($B433="","",IFERROR(INDEX(InsUnid,MATCH($B433,InsNome,0)),""))</f>
        <v>0</v>
      </c>
      <c r="G433" s="24">
        <f>IF(OR($B433="",$C433=""),"",$C433*IFERROR(INDEX(InsBruto,MATCH($B433,InsNome,0)),0))</f>
        <v>0</v>
      </c>
      <c r="H433" s="32">
        <f>IF($A433="","",DATE(YEAR($A433),MONTH($A433),1))</f>
        <v>0</v>
      </c>
    </row>
    <row r="434" spans="1:8">
      <c r="A434" s="15"/>
      <c r="B434" s="13"/>
      <c r="C434" s="19"/>
      <c r="D434" s="13"/>
      <c r="E434" s="13"/>
      <c r="F434" s="23">
        <f>IF($B434="","",IFERROR(INDEX(InsUnid,MATCH($B434,InsNome,0)),""))</f>
        <v>0</v>
      </c>
      <c r="G434" s="24">
        <f>IF(OR($B434="",$C434=""),"",$C434*IFERROR(INDEX(InsBruto,MATCH($B434,InsNome,0)),0))</f>
        <v>0</v>
      </c>
      <c r="H434" s="32">
        <f>IF($A434="","",DATE(YEAR($A434),MONTH($A434),1))</f>
        <v>0</v>
      </c>
    </row>
    <row r="435" spans="1:8">
      <c r="A435" s="15"/>
      <c r="B435" s="13"/>
      <c r="C435" s="19"/>
      <c r="D435" s="13"/>
      <c r="E435" s="13"/>
      <c r="F435" s="23">
        <f>IF($B435="","",IFERROR(INDEX(InsUnid,MATCH($B435,InsNome,0)),""))</f>
        <v>0</v>
      </c>
      <c r="G435" s="24">
        <f>IF(OR($B435="",$C435=""),"",$C435*IFERROR(INDEX(InsBruto,MATCH($B435,InsNome,0)),0))</f>
        <v>0</v>
      </c>
      <c r="H435" s="32">
        <f>IF($A435="","",DATE(YEAR($A435),MONTH($A435),1))</f>
        <v>0</v>
      </c>
    </row>
    <row r="436" spans="1:8">
      <c r="A436" s="15"/>
      <c r="B436" s="13"/>
      <c r="C436" s="19"/>
      <c r="D436" s="13"/>
      <c r="E436" s="13"/>
      <c r="F436" s="23">
        <f>IF($B436="","",IFERROR(INDEX(InsUnid,MATCH($B436,InsNome,0)),""))</f>
        <v>0</v>
      </c>
      <c r="G436" s="24">
        <f>IF(OR($B436="",$C436=""),"",$C436*IFERROR(INDEX(InsBruto,MATCH($B436,InsNome,0)),0))</f>
        <v>0</v>
      </c>
      <c r="H436" s="32">
        <f>IF($A436="","",DATE(YEAR($A436),MONTH($A436),1))</f>
        <v>0</v>
      </c>
    </row>
    <row r="437" spans="1:8">
      <c r="A437" s="15"/>
      <c r="B437" s="13"/>
      <c r="C437" s="19"/>
      <c r="D437" s="13"/>
      <c r="E437" s="13"/>
      <c r="F437" s="23">
        <f>IF($B437="","",IFERROR(INDEX(InsUnid,MATCH($B437,InsNome,0)),""))</f>
        <v>0</v>
      </c>
      <c r="G437" s="24">
        <f>IF(OR($B437="",$C437=""),"",$C437*IFERROR(INDEX(InsBruto,MATCH($B437,InsNome,0)),0))</f>
        <v>0</v>
      </c>
      <c r="H437" s="32">
        <f>IF($A437="","",DATE(YEAR($A437),MONTH($A437),1))</f>
        <v>0</v>
      </c>
    </row>
    <row r="438" spans="1:8">
      <c r="A438" s="15"/>
      <c r="B438" s="13"/>
      <c r="C438" s="19"/>
      <c r="D438" s="13"/>
      <c r="E438" s="13"/>
      <c r="F438" s="23">
        <f>IF($B438="","",IFERROR(INDEX(InsUnid,MATCH($B438,InsNome,0)),""))</f>
        <v>0</v>
      </c>
      <c r="G438" s="24">
        <f>IF(OR($B438="",$C438=""),"",$C438*IFERROR(INDEX(InsBruto,MATCH($B438,InsNome,0)),0))</f>
        <v>0</v>
      </c>
      <c r="H438" s="32">
        <f>IF($A438="","",DATE(YEAR($A438),MONTH($A438),1))</f>
        <v>0</v>
      </c>
    </row>
    <row r="439" spans="1:8">
      <c r="A439" s="15"/>
      <c r="B439" s="13"/>
      <c r="C439" s="19"/>
      <c r="D439" s="13"/>
      <c r="E439" s="13"/>
      <c r="F439" s="23">
        <f>IF($B439="","",IFERROR(INDEX(InsUnid,MATCH($B439,InsNome,0)),""))</f>
        <v>0</v>
      </c>
      <c r="G439" s="24">
        <f>IF(OR($B439="",$C439=""),"",$C439*IFERROR(INDEX(InsBruto,MATCH($B439,InsNome,0)),0))</f>
        <v>0</v>
      </c>
      <c r="H439" s="32">
        <f>IF($A439="","",DATE(YEAR($A439),MONTH($A439),1))</f>
        <v>0</v>
      </c>
    </row>
    <row r="440" spans="1:8">
      <c r="A440" s="15"/>
      <c r="B440" s="13"/>
      <c r="C440" s="19"/>
      <c r="D440" s="13"/>
      <c r="E440" s="13"/>
      <c r="F440" s="23">
        <f>IF($B440="","",IFERROR(INDEX(InsUnid,MATCH($B440,InsNome,0)),""))</f>
        <v>0</v>
      </c>
      <c r="G440" s="24">
        <f>IF(OR($B440="",$C440=""),"",$C440*IFERROR(INDEX(InsBruto,MATCH($B440,InsNome,0)),0))</f>
        <v>0</v>
      </c>
      <c r="H440" s="32">
        <f>IF($A440="","",DATE(YEAR($A440),MONTH($A440),1))</f>
        <v>0</v>
      </c>
    </row>
    <row r="441" spans="1:8">
      <c r="A441" s="15"/>
      <c r="B441" s="13"/>
      <c r="C441" s="19"/>
      <c r="D441" s="13"/>
      <c r="E441" s="13"/>
      <c r="F441" s="23">
        <f>IF($B441="","",IFERROR(INDEX(InsUnid,MATCH($B441,InsNome,0)),""))</f>
        <v>0</v>
      </c>
      <c r="G441" s="24">
        <f>IF(OR($B441="",$C441=""),"",$C441*IFERROR(INDEX(InsBruto,MATCH($B441,InsNome,0)),0))</f>
        <v>0</v>
      </c>
      <c r="H441" s="32">
        <f>IF($A441="","",DATE(YEAR($A441),MONTH($A441),1))</f>
        <v>0</v>
      </c>
    </row>
    <row r="442" spans="1:8">
      <c r="A442" s="15"/>
      <c r="B442" s="13"/>
      <c r="C442" s="19"/>
      <c r="D442" s="13"/>
      <c r="E442" s="13"/>
      <c r="F442" s="23">
        <f>IF($B442="","",IFERROR(INDEX(InsUnid,MATCH($B442,InsNome,0)),""))</f>
        <v>0</v>
      </c>
      <c r="G442" s="24">
        <f>IF(OR($B442="",$C442=""),"",$C442*IFERROR(INDEX(InsBruto,MATCH($B442,InsNome,0)),0))</f>
        <v>0</v>
      </c>
      <c r="H442" s="32">
        <f>IF($A442="","",DATE(YEAR($A442),MONTH($A442),1))</f>
        <v>0</v>
      </c>
    </row>
    <row r="443" spans="1:8">
      <c r="A443" s="15"/>
      <c r="B443" s="13"/>
      <c r="C443" s="19"/>
      <c r="D443" s="13"/>
      <c r="E443" s="13"/>
      <c r="F443" s="23">
        <f>IF($B443="","",IFERROR(INDEX(InsUnid,MATCH($B443,InsNome,0)),""))</f>
        <v>0</v>
      </c>
      <c r="G443" s="24">
        <f>IF(OR($B443="",$C443=""),"",$C443*IFERROR(INDEX(InsBruto,MATCH($B443,InsNome,0)),0))</f>
        <v>0</v>
      </c>
      <c r="H443" s="32">
        <f>IF($A443="","",DATE(YEAR($A443),MONTH($A443),1))</f>
        <v>0</v>
      </c>
    </row>
    <row r="444" spans="1:8">
      <c r="A444" s="15"/>
      <c r="B444" s="13"/>
      <c r="C444" s="19"/>
      <c r="D444" s="13"/>
      <c r="E444" s="13"/>
      <c r="F444" s="23">
        <f>IF($B444="","",IFERROR(INDEX(InsUnid,MATCH($B444,InsNome,0)),""))</f>
        <v>0</v>
      </c>
      <c r="G444" s="24">
        <f>IF(OR($B444="",$C444=""),"",$C444*IFERROR(INDEX(InsBruto,MATCH($B444,InsNome,0)),0))</f>
        <v>0</v>
      </c>
      <c r="H444" s="32">
        <f>IF($A444="","",DATE(YEAR($A444),MONTH($A444),1))</f>
        <v>0</v>
      </c>
    </row>
    <row r="445" spans="1:8">
      <c r="A445" s="15"/>
      <c r="B445" s="13"/>
      <c r="C445" s="19"/>
      <c r="D445" s="13"/>
      <c r="E445" s="13"/>
      <c r="F445" s="23">
        <f>IF($B445="","",IFERROR(INDEX(InsUnid,MATCH($B445,InsNome,0)),""))</f>
        <v>0</v>
      </c>
      <c r="G445" s="24">
        <f>IF(OR($B445="",$C445=""),"",$C445*IFERROR(INDEX(InsBruto,MATCH($B445,InsNome,0)),0))</f>
        <v>0</v>
      </c>
      <c r="H445" s="32">
        <f>IF($A445="","",DATE(YEAR($A445),MONTH($A445),1))</f>
        <v>0</v>
      </c>
    </row>
    <row r="446" spans="1:8">
      <c r="A446" s="15"/>
      <c r="B446" s="13"/>
      <c r="C446" s="19"/>
      <c r="D446" s="13"/>
      <c r="E446" s="13"/>
      <c r="F446" s="23">
        <f>IF($B446="","",IFERROR(INDEX(InsUnid,MATCH($B446,InsNome,0)),""))</f>
        <v>0</v>
      </c>
      <c r="G446" s="24">
        <f>IF(OR($B446="",$C446=""),"",$C446*IFERROR(INDEX(InsBruto,MATCH($B446,InsNome,0)),0))</f>
        <v>0</v>
      </c>
      <c r="H446" s="32">
        <f>IF($A446="","",DATE(YEAR($A446),MONTH($A446),1))</f>
        <v>0</v>
      </c>
    </row>
    <row r="447" spans="1:8">
      <c r="A447" s="15"/>
      <c r="B447" s="13"/>
      <c r="C447" s="19"/>
      <c r="D447" s="13"/>
      <c r="E447" s="13"/>
      <c r="F447" s="23">
        <f>IF($B447="","",IFERROR(INDEX(InsUnid,MATCH($B447,InsNome,0)),""))</f>
        <v>0</v>
      </c>
      <c r="G447" s="24">
        <f>IF(OR($B447="",$C447=""),"",$C447*IFERROR(INDEX(InsBruto,MATCH($B447,InsNome,0)),0))</f>
        <v>0</v>
      </c>
      <c r="H447" s="32">
        <f>IF($A447="","",DATE(YEAR($A447),MONTH($A447),1))</f>
        <v>0</v>
      </c>
    </row>
    <row r="448" spans="1:8">
      <c r="A448" s="15"/>
      <c r="B448" s="13"/>
      <c r="C448" s="19"/>
      <c r="D448" s="13"/>
      <c r="E448" s="13"/>
      <c r="F448" s="23">
        <f>IF($B448="","",IFERROR(INDEX(InsUnid,MATCH($B448,InsNome,0)),""))</f>
        <v>0</v>
      </c>
      <c r="G448" s="24">
        <f>IF(OR($B448="",$C448=""),"",$C448*IFERROR(INDEX(InsBruto,MATCH($B448,InsNome,0)),0))</f>
        <v>0</v>
      </c>
      <c r="H448" s="32">
        <f>IF($A448="","",DATE(YEAR($A448),MONTH($A448),1))</f>
        <v>0</v>
      </c>
    </row>
    <row r="449" spans="1:8">
      <c r="A449" s="15"/>
      <c r="B449" s="13"/>
      <c r="C449" s="19"/>
      <c r="D449" s="13"/>
      <c r="E449" s="13"/>
      <c r="F449" s="23">
        <f>IF($B449="","",IFERROR(INDEX(InsUnid,MATCH($B449,InsNome,0)),""))</f>
        <v>0</v>
      </c>
      <c r="G449" s="24">
        <f>IF(OR($B449="",$C449=""),"",$C449*IFERROR(INDEX(InsBruto,MATCH($B449,InsNome,0)),0))</f>
        <v>0</v>
      </c>
      <c r="H449" s="32">
        <f>IF($A449="","",DATE(YEAR($A449),MONTH($A449),1))</f>
        <v>0</v>
      </c>
    </row>
    <row r="450" spans="1:8">
      <c r="A450" s="15"/>
      <c r="B450" s="13"/>
      <c r="C450" s="19"/>
      <c r="D450" s="13"/>
      <c r="E450" s="13"/>
      <c r="F450" s="23">
        <f>IF($B450="","",IFERROR(INDEX(InsUnid,MATCH($B450,InsNome,0)),""))</f>
        <v>0</v>
      </c>
      <c r="G450" s="24">
        <f>IF(OR($B450="",$C450=""),"",$C450*IFERROR(INDEX(InsBruto,MATCH($B450,InsNome,0)),0))</f>
        <v>0</v>
      </c>
      <c r="H450" s="32">
        <f>IF($A450="","",DATE(YEAR($A450),MONTH($A450),1))</f>
        <v>0</v>
      </c>
    </row>
    <row r="451" spans="1:8">
      <c r="A451" s="15"/>
      <c r="B451" s="13"/>
      <c r="C451" s="19"/>
      <c r="D451" s="13"/>
      <c r="E451" s="13"/>
      <c r="F451" s="23">
        <f>IF($B451="","",IFERROR(INDEX(InsUnid,MATCH($B451,InsNome,0)),""))</f>
        <v>0</v>
      </c>
      <c r="G451" s="24">
        <f>IF(OR($B451="",$C451=""),"",$C451*IFERROR(INDEX(InsBruto,MATCH($B451,InsNome,0)),0))</f>
        <v>0</v>
      </c>
      <c r="H451" s="32">
        <f>IF($A451="","",DATE(YEAR($A451),MONTH($A451),1))</f>
        <v>0</v>
      </c>
    </row>
    <row r="452" spans="1:8">
      <c r="A452" s="15"/>
      <c r="B452" s="13"/>
      <c r="C452" s="19"/>
      <c r="D452" s="13"/>
      <c r="E452" s="13"/>
      <c r="F452" s="23">
        <f>IF($B452="","",IFERROR(INDEX(InsUnid,MATCH($B452,InsNome,0)),""))</f>
        <v>0</v>
      </c>
      <c r="G452" s="24">
        <f>IF(OR($B452="",$C452=""),"",$C452*IFERROR(INDEX(InsBruto,MATCH($B452,InsNome,0)),0))</f>
        <v>0</v>
      </c>
      <c r="H452" s="32">
        <f>IF($A452="","",DATE(YEAR($A452),MONTH($A452),1))</f>
        <v>0</v>
      </c>
    </row>
    <row r="453" spans="1:8">
      <c r="A453" s="15"/>
      <c r="B453" s="13"/>
      <c r="C453" s="19"/>
      <c r="D453" s="13"/>
      <c r="E453" s="13"/>
      <c r="F453" s="23">
        <f>IF($B453="","",IFERROR(INDEX(InsUnid,MATCH($B453,InsNome,0)),""))</f>
        <v>0</v>
      </c>
      <c r="G453" s="24">
        <f>IF(OR($B453="",$C453=""),"",$C453*IFERROR(INDEX(InsBruto,MATCH($B453,InsNome,0)),0))</f>
        <v>0</v>
      </c>
      <c r="H453" s="32">
        <f>IF($A453="","",DATE(YEAR($A453),MONTH($A453),1))</f>
        <v>0</v>
      </c>
    </row>
    <row r="454" spans="1:8">
      <c r="A454" s="15"/>
      <c r="B454" s="13"/>
      <c r="C454" s="19"/>
      <c r="D454" s="13"/>
      <c r="E454" s="13"/>
      <c r="F454" s="23">
        <f>IF($B454="","",IFERROR(INDEX(InsUnid,MATCH($B454,InsNome,0)),""))</f>
        <v>0</v>
      </c>
      <c r="G454" s="24">
        <f>IF(OR($B454="",$C454=""),"",$C454*IFERROR(INDEX(InsBruto,MATCH($B454,InsNome,0)),0))</f>
        <v>0</v>
      </c>
      <c r="H454" s="32">
        <f>IF($A454="","",DATE(YEAR($A454),MONTH($A454),1))</f>
        <v>0</v>
      </c>
    </row>
    <row r="455" spans="1:8">
      <c r="A455" s="15"/>
      <c r="B455" s="13"/>
      <c r="C455" s="19"/>
      <c r="D455" s="13"/>
      <c r="E455" s="13"/>
      <c r="F455" s="23">
        <f>IF($B455="","",IFERROR(INDEX(InsUnid,MATCH($B455,InsNome,0)),""))</f>
        <v>0</v>
      </c>
      <c r="G455" s="24">
        <f>IF(OR($B455="",$C455=""),"",$C455*IFERROR(INDEX(InsBruto,MATCH($B455,InsNome,0)),0))</f>
        <v>0</v>
      </c>
      <c r="H455" s="32">
        <f>IF($A455="","",DATE(YEAR($A455),MONTH($A455),1))</f>
        <v>0</v>
      </c>
    </row>
    <row r="456" spans="1:8">
      <c r="A456" s="15"/>
      <c r="B456" s="13"/>
      <c r="C456" s="19"/>
      <c r="D456" s="13"/>
      <c r="E456" s="13"/>
      <c r="F456" s="23">
        <f>IF($B456="","",IFERROR(INDEX(InsUnid,MATCH($B456,InsNome,0)),""))</f>
        <v>0</v>
      </c>
      <c r="G456" s="24">
        <f>IF(OR($B456="",$C456=""),"",$C456*IFERROR(INDEX(InsBruto,MATCH($B456,InsNome,0)),0))</f>
        <v>0</v>
      </c>
      <c r="H456" s="32">
        <f>IF($A456="","",DATE(YEAR($A456),MONTH($A456),1))</f>
        <v>0</v>
      </c>
    </row>
    <row r="457" spans="1:8">
      <c r="A457" s="15"/>
      <c r="B457" s="13"/>
      <c r="C457" s="19"/>
      <c r="D457" s="13"/>
      <c r="E457" s="13"/>
      <c r="F457" s="23">
        <f>IF($B457="","",IFERROR(INDEX(InsUnid,MATCH($B457,InsNome,0)),""))</f>
        <v>0</v>
      </c>
      <c r="G457" s="24">
        <f>IF(OR($B457="",$C457=""),"",$C457*IFERROR(INDEX(InsBruto,MATCH($B457,InsNome,0)),0))</f>
        <v>0</v>
      </c>
      <c r="H457" s="32">
        <f>IF($A457="","",DATE(YEAR($A457),MONTH($A457),1))</f>
        <v>0</v>
      </c>
    </row>
    <row r="458" spans="1:8">
      <c r="A458" s="15"/>
      <c r="B458" s="13"/>
      <c r="C458" s="19"/>
      <c r="D458" s="13"/>
      <c r="E458" s="13"/>
      <c r="F458" s="23">
        <f>IF($B458="","",IFERROR(INDEX(InsUnid,MATCH($B458,InsNome,0)),""))</f>
        <v>0</v>
      </c>
      <c r="G458" s="24">
        <f>IF(OR($B458="",$C458=""),"",$C458*IFERROR(INDEX(InsBruto,MATCH($B458,InsNome,0)),0))</f>
        <v>0</v>
      </c>
      <c r="H458" s="32">
        <f>IF($A458="","",DATE(YEAR($A458),MONTH($A458),1))</f>
        <v>0</v>
      </c>
    </row>
    <row r="459" spans="1:8">
      <c r="A459" s="15"/>
      <c r="B459" s="13"/>
      <c r="C459" s="19"/>
      <c r="D459" s="13"/>
      <c r="E459" s="13"/>
      <c r="F459" s="23">
        <f>IF($B459="","",IFERROR(INDEX(InsUnid,MATCH($B459,InsNome,0)),""))</f>
        <v>0</v>
      </c>
      <c r="G459" s="24">
        <f>IF(OR($B459="",$C459=""),"",$C459*IFERROR(INDEX(InsBruto,MATCH($B459,InsNome,0)),0))</f>
        <v>0</v>
      </c>
      <c r="H459" s="32">
        <f>IF($A459="","",DATE(YEAR($A459),MONTH($A459),1))</f>
        <v>0</v>
      </c>
    </row>
    <row r="460" spans="1:8">
      <c r="A460" s="15"/>
      <c r="B460" s="13"/>
      <c r="C460" s="19"/>
      <c r="D460" s="13"/>
      <c r="E460" s="13"/>
      <c r="F460" s="23">
        <f>IF($B460="","",IFERROR(INDEX(InsUnid,MATCH($B460,InsNome,0)),""))</f>
        <v>0</v>
      </c>
      <c r="G460" s="24">
        <f>IF(OR($B460="",$C460=""),"",$C460*IFERROR(INDEX(InsBruto,MATCH($B460,InsNome,0)),0))</f>
        <v>0</v>
      </c>
      <c r="H460" s="32">
        <f>IF($A460="","",DATE(YEAR($A460),MONTH($A460),1))</f>
        <v>0</v>
      </c>
    </row>
    <row r="461" spans="1:8">
      <c r="A461" s="15"/>
      <c r="B461" s="13"/>
      <c r="C461" s="19"/>
      <c r="D461" s="13"/>
      <c r="E461" s="13"/>
      <c r="F461" s="23">
        <f>IF($B461="","",IFERROR(INDEX(InsUnid,MATCH($B461,InsNome,0)),""))</f>
        <v>0</v>
      </c>
      <c r="G461" s="24">
        <f>IF(OR($B461="",$C461=""),"",$C461*IFERROR(INDEX(InsBruto,MATCH($B461,InsNome,0)),0))</f>
        <v>0</v>
      </c>
      <c r="H461" s="32">
        <f>IF($A461="","",DATE(YEAR($A461),MONTH($A461),1))</f>
        <v>0</v>
      </c>
    </row>
    <row r="462" spans="1:8">
      <c r="A462" s="15"/>
      <c r="B462" s="13"/>
      <c r="C462" s="19"/>
      <c r="D462" s="13"/>
      <c r="E462" s="13"/>
      <c r="F462" s="23">
        <f>IF($B462="","",IFERROR(INDEX(InsUnid,MATCH($B462,InsNome,0)),""))</f>
        <v>0</v>
      </c>
      <c r="G462" s="24">
        <f>IF(OR($B462="",$C462=""),"",$C462*IFERROR(INDEX(InsBruto,MATCH($B462,InsNome,0)),0))</f>
        <v>0</v>
      </c>
      <c r="H462" s="32">
        <f>IF($A462="","",DATE(YEAR($A462),MONTH($A462),1))</f>
        <v>0</v>
      </c>
    </row>
    <row r="463" spans="1:8">
      <c r="A463" s="15"/>
      <c r="B463" s="13"/>
      <c r="C463" s="19"/>
      <c r="D463" s="13"/>
      <c r="E463" s="13"/>
      <c r="F463" s="23">
        <f>IF($B463="","",IFERROR(INDEX(InsUnid,MATCH($B463,InsNome,0)),""))</f>
        <v>0</v>
      </c>
      <c r="G463" s="24">
        <f>IF(OR($B463="",$C463=""),"",$C463*IFERROR(INDEX(InsBruto,MATCH($B463,InsNome,0)),0))</f>
        <v>0</v>
      </c>
      <c r="H463" s="32">
        <f>IF($A463="","",DATE(YEAR($A463),MONTH($A463),1))</f>
        <v>0</v>
      </c>
    </row>
    <row r="464" spans="1:8">
      <c r="A464" s="15"/>
      <c r="B464" s="13"/>
      <c r="C464" s="19"/>
      <c r="D464" s="13"/>
      <c r="E464" s="13"/>
      <c r="F464" s="23">
        <f>IF($B464="","",IFERROR(INDEX(InsUnid,MATCH($B464,InsNome,0)),""))</f>
        <v>0</v>
      </c>
      <c r="G464" s="24">
        <f>IF(OR($B464="",$C464=""),"",$C464*IFERROR(INDEX(InsBruto,MATCH($B464,InsNome,0)),0))</f>
        <v>0</v>
      </c>
      <c r="H464" s="32">
        <f>IF($A464="","",DATE(YEAR($A464),MONTH($A464),1))</f>
        <v>0</v>
      </c>
    </row>
    <row r="465" spans="1:8">
      <c r="A465" s="15"/>
      <c r="B465" s="13"/>
      <c r="C465" s="19"/>
      <c r="D465" s="13"/>
      <c r="E465" s="13"/>
      <c r="F465" s="23">
        <f>IF($B465="","",IFERROR(INDEX(InsUnid,MATCH($B465,InsNome,0)),""))</f>
        <v>0</v>
      </c>
      <c r="G465" s="24">
        <f>IF(OR($B465="",$C465=""),"",$C465*IFERROR(INDEX(InsBruto,MATCH($B465,InsNome,0)),0))</f>
        <v>0</v>
      </c>
      <c r="H465" s="32">
        <f>IF($A465="","",DATE(YEAR($A465),MONTH($A465),1))</f>
        <v>0</v>
      </c>
    </row>
    <row r="466" spans="1:8">
      <c r="A466" s="15"/>
      <c r="B466" s="13"/>
      <c r="C466" s="19"/>
      <c r="D466" s="13"/>
      <c r="E466" s="13"/>
      <c r="F466" s="23">
        <f>IF($B466="","",IFERROR(INDEX(InsUnid,MATCH($B466,InsNome,0)),""))</f>
        <v>0</v>
      </c>
      <c r="G466" s="24">
        <f>IF(OR($B466="",$C466=""),"",$C466*IFERROR(INDEX(InsBruto,MATCH($B466,InsNome,0)),0))</f>
        <v>0</v>
      </c>
      <c r="H466" s="32">
        <f>IF($A466="","",DATE(YEAR($A466),MONTH($A466),1))</f>
        <v>0</v>
      </c>
    </row>
    <row r="467" spans="1:8">
      <c r="A467" s="15"/>
      <c r="B467" s="13"/>
      <c r="C467" s="19"/>
      <c r="D467" s="13"/>
      <c r="E467" s="13"/>
      <c r="F467" s="23">
        <f>IF($B467="","",IFERROR(INDEX(InsUnid,MATCH($B467,InsNome,0)),""))</f>
        <v>0</v>
      </c>
      <c r="G467" s="24">
        <f>IF(OR($B467="",$C467=""),"",$C467*IFERROR(INDEX(InsBruto,MATCH($B467,InsNome,0)),0))</f>
        <v>0</v>
      </c>
      <c r="H467" s="32">
        <f>IF($A467="","",DATE(YEAR($A467),MONTH($A467),1))</f>
        <v>0</v>
      </c>
    </row>
    <row r="468" spans="1:8">
      <c r="A468" s="15"/>
      <c r="B468" s="13"/>
      <c r="C468" s="19"/>
      <c r="D468" s="13"/>
      <c r="E468" s="13"/>
      <c r="F468" s="23">
        <f>IF($B468="","",IFERROR(INDEX(InsUnid,MATCH($B468,InsNome,0)),""))</f>
        <v>0</v>
      </c>
      <c r="G468" s="24">
        <f>IF(OR($B468="",$C468=""),"",$C468*IFERROR(INDEX(InsBruto,MATCH($B468,InsNome,0)),0))</f>
        <v>0</v>
      </c>
      <c r="H468" s="32">
        <f>IF($A468="","",DATE(YEAR($A468),MONTH($A468),1))</f>
        <v>0</v>
      </c>
    </row>
    <row r="469" spans="1:8">
      <c r="A469" s="15"/>
      <c r="B469" s="13"/>
      <c r="C469" s="19"/>
      <c r="D469" s="13"/>
      <c r="E469" s="13"/>
      <c r="F469" s="23">
        <f>IF($B469="","",IFERROR(INDEX(InsUnid,MATCH($B469,InsNome,0)),""))</f>
        <v>0</v>
      </c>
      <c r="G469" s="24">
        <f>IF(OR($B469="",$C469=""),"",$C469*IFERROR(INDEX(InsBruto,MATCH($B469,InsNome,0)),0))</f>
        <v>0</v>
      </c>
      <c r="H469" s="32">
        <f>IF($A469="","",DATE(YEAR($A469),MONTH($A469),1))</f>
        <v>0</v>
      </c>
    </row>
    <row r="470" spans="1:8">
      <c r="A470" s="15"/>
      <c r="B470" s="13"/>
      <c r="C470" s="19"/>
      <c r="D470" s="13"/>
      <c r="E470" s="13"/>
      <c r="F470" s="23">
        <f>IF($B470="","",IFERROR(INDEX(InsUnid,MATCH($B470,InsNome,0)),""))</f>
        <v>0</v>
      </c>
      <c r="G470" s="24">
        <f>IF(OR($B470="",$C470=""),"",$C470*IFERROR(INDEX(InsBruto,MATCH($B470,InsNome,0)),0))</f>
        <v>0</v>
      </c>
      <c r="H470" s="32">
        <f>IF($A470="","",DATE(YEAR($A470),MONTH($A470),1))</f>
        <v>0</v>
      </c>
    </row>
    <row r="471" spans="1:8">
      <c r="A471" s="15"/>
      <c r="B471" s="13"/>
      <c r="C471" s="19"/>
      <c r="D471" s="13"/>
      <c r="E471" s="13"/>
      <c r="F471" s="23">
        <f>IF($B471="","",IFERROR(INDEX(InsUnid,MATCH($B471,InsNome,0)),""))</f>
        <v>0</v>
      </c>
      <c r="G471" s="24">
        <f>IF(OR($B471="",$C471=""),"",$C471*IFERROR(INDEX(InsBruto,MATCH($B471,InsNome,0)),0))</f>
        <v>0</v>
      </c>
      <c r="H471" s="32">
        <f>IF($A471="","",DATE(YEAR($A471),MONTH($A471),1))</f>
        <v>0</v>
      </c>
    </row>
    <row r="472" spans="1:8">
      <c r="A472" s="15"/>
      <c r="B472" s="13"/>
      <c r="C472" s="19"/>
      <c r="D472" s="13"/>
      <c r="E472" s="13"/>
      <c r="F472" s="23">
        <f>IF($B472="","",IFERROR(INDEX(InsUnid,MATCH($B472,InsNome,0)),""))</f>
        <v>0</v>
      </c>
      <c r="G472" s="24">
        <f>IF(OR($B472="",$C472=""),"",$C472*IFERROR(INDEX(InsBruto,MATCH($B472,InsNome,0)),0))</f>
        <v>0</v>
      </c>
      <c r="H472" s="32">
        <f>IF($A472="","",DATE(YEAR($A472),MONTH($A472),1))</f>
        <v>0</v>
      </c>
    </row>
    <row r="473" spans="1:8">
      <c r="A473" s="15"/>
      <c r="B473" s="13"/>
      <c r="C473" s="19"/>
      <c r="D473" s="13"/>
      <c r="E473" s="13"/>
      <c r="F473" s="23">
        <f>IF($B473="","",IFERROR(INDEX(InsUnid,MATCH($B473,InsNome,0)),""))</f>
        <v>0</v>
      </c>
      <c r="G473" s="24">
        <f>IF(OR($B473="",$C473=""),"",$C473*IFERROR(INDEX(InsBruto,MATCH($B473,InsNome,0)),0))</f>
        <v>0</v>
      </c>
      <c r="H473" s="32">
        <f>IF($A473="","",DATE(YEAR($A473),MONTH($A473),1))</f>
        <v>0</v>
      </c>
    </row>
    <row r="474" spans="1:8">
      <c r="A474" s="15"/>
      <c r="B474" s="13"/>
      <c r="C474" s="19"/>
      <c r="D474" s="13"/>
      <c r="E474" s="13"/>
      <c r="F474" s="23">
        <f>IF($B474="","",IFERROR(INDEX(InsUnid,MATCH($B474,InsNome,0)),""))</f>
        <v>0</v>
      </c>
      <c r="G474" s="24">
        <f>IF(OR($B474="",$C474=""),"",$C474*IFERROR(INDEX(InsBruto,MATCH($B474,InsNome,0)),0))</f>
        <v>0</v>
      </c>
      <c r="H474" s="32">
        <f>IF($A474="","",DATE(YEAR($A474),MONTH($A474),1))</f>
        <v>0</v>
      </c>
    </row>
    <row r="475" spans="1:8">
      <c r="A475" s="15"/>
      <c r="B475" s="13"/>
      <c r="C475" s="19"/>
      <c r="D475" s="13"/>
      <c r="E475" s="13"/>
      <c r="F475" s="23">
        <f>IF($B475="","",IFERROR(INDEX(InsUnid,MATCH($B475,InsNome,0)),""))</f>
        <v>0</v>
      </c>
      <c r="G475" s="24">
        <f>IF(OR($B475="",$C475=""),"",$C475*IFERROR(INDEX(InsBruto,MATCH($B475,InsNome,0)),0))</f>
        <v>0</v>
      </c>
      <c r="H475" s="32">
        <f>IF($A475="","",DATE(YEAR($A475),MONTH($A475),1))</f>
        <v>0</v>
      </c>
    </row>
    <row r="476" spans="1:8">
      <c r="A476" s="15"/>
      <c r="B476" s="13"/>
      <c r="C476" s="19"/>
      <c r="D476" s="13"/>
      <c r="E476" s="13"/>
      <c r="F476" s="23">
        <f>IF($B476="","",IFERROR(INDEX(InsUnid,MATCH($B476,InsNome,0)),""))</f>
        <v>0</v>
      </c>
      <c r="G476" s="24">
        <f>IF(OR($B476="",$C476=""),"",$C476*IFERROR(INDEX(InsBruto,MATCH($B476,InsNome,0)),0))</f>
        <v>0</v>
      </c>
      <c r="H476" s="32">
        <f>IF($A476="","",DATE(YEAR($A476),MONTH($A476),1))</f>
        <v>0</v>
      </c>
    </row>
    <row r="477" spans="1:8">
      <c r="A477" s="15"/>
      <c r="B477" s="13"/>
      <c r="C477" s="19"/>
      <c r="D477" s="13"/>
      <c r="E477" s="13"/>
      <c r="F477" s="23">
        <f>IF($B477="","",IFERROR(INDEX(InsUnid,MATCH($B477,InsNome,0)),""))</f>
        <v>0</v>
      </c>
      <c r="G477" s="24">
        <f>IF(OR($B477="",$C477=""),"",$C477*IFERROR(INDEX(InsBruto,MATCH($B477,InsNome,0)),0))</f>
        <v>0</v>
      </c>
      <c r="H477" s="32">
        <f>IF($A477="","",DATE(YEAR($A477),MONTH($A477),1))</f>
        <v>0</v>
      </c>
    </row>
    <row r="478" spans="1:8">
      <c r="A478" s="15"/>
      <c r="B478" s="13"/>
      <c r="C478" s="19"/>
      <c r="D478" s="13"/>
      <c r="E478" s="13"/>
      <c r="F478" s="23">
        <f>IF($B478="","",IFERROR(INDEX(InsUnid,MATCH($B478,InsNome,0)),""))</f>
        <v>0</v>
      </c>
      <c r="G478" s="24">
        <f>IF(OR($B478="",$C478=""),"",$C478*IFERROR(INDEX(InsBruto,MATCH($B478,InsNome,0)),0))</f>
        <v>0</v>
      </c>
      <c r="H478" s="32">
        <f>IF($A478="","",DATE(YEAR($A478),MONTH($A478),1))</f>
        <v>0</v>
      </c>
    </row>
    <row r="479" spans="1:8">
      <c r="A479" s="15"/>
      <c r="B479" s="13"/>
      <c r="C479" s="19"/>
      <c r="D479" s="13"/>
      <c r="E479" s="13"/>
      <c r="F479" s="23">
        <f>IF($B479="","",IFERROR(INDEX(InsUnid,MATCH($B479,InsNome,0)),""))</f>
        <v>0</v>
      </c>
      <c r="G479" s="24">
        <f>IF(OR($B479="",$C479=""),"",$C479*IFERROR(INDEX(InsBruto,MATCH($B479,InsNome,0)),0))</f>
        <v>0</v>
      </c>
      <c r="H479" s="32">
        <f>IF($A479="","",DATE(YEAR($A479),MONTH($A479),1))</f>
        <v>0</v>
      </c>
    </row>
    <row r="480" spans="1:8">
      <c r="A480" s="15"/>
      <c r="B480" s="13"/>
      <c r="C480" s="19"/>
      <c r="D480" s="13"/>
      <c r="E480" s="13"/>
      <c r="F480" s="23">
        <f>IF($B480="","",IFERROR(INDEX(InsUnid,MATCH($B480,InsNome,0)),""))</f>
        <v>0</v>
      </c>
      <c r="G480" s="24">
        <f>IF(OR($B480="",$C480=""),"",$C480*IFERROR(INDEX(InsBruto,MATCH($B480,InsNome,0)),0))</f>
        <v>0</v>
      </c>
      <c r="H480" s="32">
        <f>IF($A480="","",DATE(YEAR($A480),MONTH($A480),1))</f>
        <v>0</v>
      </c>
    </row>
    <row r="481" spans="1:8">
      <c r="A481" s="15"/>
      <c r="B481" s="13"/>
      <c r="C481" s="19"/>
      <c r="D481" s="13"/>
      <c r="E481" s="13"/>
      <c r="F481" s="23">
        <f>IF($B481="","",IFERROR(INDEX(InsUnid,MATCH($B481,InsNome,0)),""))</f>
        <v>0</v>
      </c>
      <c r="G481" s="24">
        <f>IF(OR($B481="",$C481=""),"",$C481*IFERROR(INDEX(InsBruto,MATCH($B481,InsNome,0)),0))</f>
        <v>0</v>
      </c>
      <c r="H481" s="32">
        <f>IF($A481="","",DATE(YEAR($A481),MONTH($A481),1))</f>
        <v>0</v>
      </c>
    </row>
    <row r="482" spans="1:8">
      <c r="A482" s="15"/>
      <c r="B482" s="13"/>
      <c r="C482" s="19"/>
      <c r="D482" s="13"/>
      <c r="E482" s="13"/>
      <c r="F482" s="23">
        <f>IF($B482="","",IFERROR(INDEX(InsUnid,MATCH($B482,InsNome,0)),""))</f>
        <v>0</v>
      </c>
      <c r="G482" s="24">
        <f>IF(OR($B482="",$C482=""),"",$C482*IFERROR(INDEX(InsBruto,MATCH($B482,InsNome,0)),0))</f>
        <v>0</v>
      </c>
      <c r="H482" s="32">
        <f>IF($A482="","",DATE(YEAR($A482),MONTH($A482),1))</f>
        <v>0</v>
      </c>
    </row>
    <row r="483" spans="1:8">
      <c r="A483" s="15"/>
      <c r="B483" s="13"/>
      <c r="C483" s="19"/>
      <c r="D483" s="13"/>
      <c r="E483" s="13"/>
      <c r="F483" s="23">
        <f>IF($B483="","",IFERROR(INDEX(InsUnid,MATCH($B483,InsNome,0)),""))</f>
        <v>0</v>
      </c>
      <c r="G483" s="24">
        <f>IF(OR($B483="",$C483=""),"",$C483*IFERROR(INDEX(InsBruto,MATCH($B483,InsNome,0)),0))</f>
        <v>0</v>
      </c>
      <c r="H483" s="32">
        <f>IF($A483="","",DATE(YEAR($A483),MONTH($A483),1))</f>
        <v>0</v>
      </c>
    </row>
    <row r="484" spans="1:8">
      <c r="A484" s="15"/>
      <c r="B484" s="13"/>
      <c r="C484" s="19"/>
      <c r="D484" s="13"/>
      <c r="E484" s="13"/>
      <c r="F484" s="23">
        <f>IF($B484="","",IFERROR(INDEX(InsUnid,MATCH($B484,InsNome,0)),""))</f>
        <v>0</v>
      </c>
      <c r="G484" s="24">
        <f>IF(OR($B484="",$C484=""),"",$C484*IFERROR(INDEX(InsBruto,MATCH($B484,InsNome,0)),0))</f>
        <v>0</v>
      </c>
      <c r="H484" s="32">
        <f>IF($A484="","",DATE(YEAR($A484),MONTH($A484),1))</f>
        <v>0</v>
      </c>
    </row>
    <row r="485" spans="1:8">
      <c r="A485" s="15"/>
      <c r="B485" s="13"/>
      <c r="C485" s="19"/>
      <c r="D485" s="13"/>
      <c r="E485" s="13"/>
      <c r="F485" s="23">
        <f>IF($B485="","",IFERROR(INDEX(InsUnid,MATCH($B485,InsNome,0)),""))</f>
        <v>0</v>
      </c>
      <c r="G485" s="24">
        <f>IF(OR($B485="",$C485=""),"",$C485*IFERROR(INDEX(InsBruto,MATCH($B485,InsNome,0)),0))</f>
        <v>0</v>
      </c>
      <c r="H485" s="32">
        <f>IF($A485="","",DATE(YEAR($A485),MONTH($A485),1))</f>
        <v>0</v>
      </c>
    </row>
    <row r="486" spans="1:8">
      <c r="A486" s="15"/>
      <c r="B486" s="13"/>
      <c r="C486" s="19"/>
      <c r="D486" s="13"/>
      <c r="E486" s="13"/>
      <c r="F486" s="23">
        <f>IF($B486="","",IFERROR(INDEX(InsUnid,MATCH($B486,InsNome,0)),""))</f>
        <v>0</v>
      </c>
      <c r="G486" s="24">
        <f>IF(OR($B486="",$C486=""),"",$C486*IFERROR(INDEX(InsBruto,MATCH($B486,InsNome,0)),0))</f>
        <v>0</v>
      </c>
      <c r="H486" s="32">
        <f>IF($A486="","",DATE(YEAR($A486),MONTH($A486),1))</f>
        <v>0</v>
      </c>
    </row>
    <row r="487" spans="1:8">
      <c r="A487" s="15"/>
      <c r="B487" s="13"/>
      <c r="C487" s="19"/>
      <c r="D487" s="13"/>
      <c r="E487" s="13"/>
      <c r="F487" s="23">
        <f>IF($B487="","",IFERROR(INDEX(InsUnid,MATCH($B487,InsNome,0)),""))</f>
        <v>0</v>
      </c>
      <c r="G487" s="24">
        <f>IF(OR($B487="",$C487=""),"",$C487*IFERROR(INDEX(InsBruto,MATCH($B487,InsNome,0)),0))</f>
        <v>0</v>
      </c>
      <c r="H487" s="32">
        <f>IF($A487="","",DATE(YEAR($A487),MONTH($A487),1))</f>
        <v>0</v>
      </c>
    </row>
    <row r="488" spans="1:8">
      <c r="A488" s="15"/>
      <c r="B488" s="13"/>
      <c r="C488" s="19"/>
      <c r="D488" s="13"/>
      <c r="E488" s="13"/>
      <c r="F488" s="23">
        <f>IF($B488="","",IFERROR(INDEX(InsUnid,MATCH($B488,InsNome,0)),""))</f>
        <v>0</v>
      </c>
      <c r="G488" s="24">
        <f>IF(OR($B488="",$C488=""),"",$C488*IFERROR(INDEX(InsBruto,MATCH($B488,InsNome,0)),0))</f>
        <v>0</v>
      </c>
      <c r="H488" s="32">
        <f>IF($A488="","",DATE(YEAR($A488),MONTH($A488),1))</f>
        <v>0</v>
      </c>
    </row>
    <row r="489" spans="1:8">
      <c r="A489" s="15"/>
      <c r="B489" s="13"/>
      <c r="C489" s="19"/>
      <c r="D489" s="13"/>
      <c r="E489" s="13"/>
      <c r="F489" s="23">
        <f>IF($B489="","",IFERROR(INDEX(InsUnid,MATCH($B489,InsNome,0)),""))</f>
        <v>0</v>
      </c>
      <c r="G489" s="24">
        <f>IF(OR($B489="",$C489=""),"",$C489*IFERROR(INDEX(InsBruto,MATCH($B489,InsNome,0)),0))</f>
        <v>0</v>
      </c>
      <c r="H489" s="32">
        <f>IF($A489="","",DATE(YEAR($A489),MONTH($A489),1))</f>
        <v>0</v>
      </c>
    </row>
    <row r="490" spans="1:8">
      <c r="A490" s="15"/>
      <c r="B490" s="13"/>
      <c r="C490" s="19"/>
      <c r="D490" s="13"/>
      <c r="E490" s="13"/>
      <c r="F490" s="23">
        <f>IF($B490="","",IFERROR(INDEX(InsUnid,MATCH($B490,InsNome,0)),""))</f>
        <v>0</v>
      </c>
      <c r="G490" s="24">
        <f>IF(OR($B490="",$C490=""),"",$C490*IFERROR(INDEX(InsBruto,MATCH($B490,InsNome,0)),0))</f>
        <v>0</v>
      </c>
      <c r="H490" s="32">
        <f>IF($A490="","",DATE(YEAR($A490),MONTH($A490),1))</f>
        <v>0</v>
      </c>
    </row>
    <row r="491" spans="1:8">
      <c r="A491" s="15"/>
      <c r="B491" s="13"/>
      <c r="C491" s="19"/>
      <c r="D491" s="13"/>
      <c r="E491" s="13"/>
      <c r="F491" s="23">
        <f>IF($B491="","",IFERROR(INDEX(InsUnid,MATCH($B491,InsNome,0)),""))</f>
        <v>0</v>
      </c>
      <c r="G491" s="24">
        <f>IF(OR($B491="",$C491=""),"",$C491*IFERROR(INDEX(InsBruto,MATCH($B491,InsNome,0)),0))</f>
        <v>0</v>
      </c>
      <c r="H491" s="32">
        <f>IF($A491="","",DATE(YEAR($A491),MONTH($A491),1))</f>
        <v>0</v>
      </c>
    </row>
    <row r="492" spans="1:8">
      <c r="A492" s="15"/>
      <c r="B492" s="13"/>
      <c r="C492" s="19"/>
      <c r="D492" s="13"/>
      <c r="E492" s="13"/>
      <c r="F492" s="23">
        <f>IF($B492="","",IFERROR(INDEX(InsUnid,MATCH($B492,InsNome,0)),""))</f>
        <v>0</v>
      </c>
      <c r="G492" s="24">
        <f>IF(OR($B492="",$C492=""),"",$C492*IFERROR(INDEX(InsBruto,MATCH($B492,InsNome,0)),0))</f>
        <v>0</v>
      </c>
      <c r="H492" s="32">
        <f>IF($A492="","",DATE(YEAR($A492),MONTH($A492),1))</f>
        <v>0</v>
      </c>
    </row>
    <row r="493" spans="1:8">
      <c r="A493" s="15"/>
      <c r="B493" s="13"/>
      <c r="C493" s="19"/>
      <c r="D493" s="13"/>
      <c r="E493" s="13"/>
      <c r="F493" s="23">
        <f>IF($B493="","",IFERROR(INDEX(InsUnid,MATCH($B493,InsNome,0)),""))</f>
        <v>0</v>
      </c>
      <c r="G493" s="24">
        <f>IF(OR($B493="",$C493=""),"",$C493*IFERROR(INDEX(InsBruto,MATCH($B493,InsNome,0)),0))</f>
        <v>0</v>
      </c>
      <c r="H493" s="32">
        <f>IF($A493="","",DATE(YEAR($A493),MONTH($A493),1))</f>
        <v>0</v>
      </c>
    </row>
    <row r="494" spans="1:8">
      <c r="A494" s="15"/>
      <c r="B494" s="13"/>
      <c r="C494" s="19"/>
      <c r="D494" s="13"/>
      <c r="E494" s="13"/>
      <c r="F494" s="23">
        <f>IF($B494="","",IFERROR(INDEX(InsUnid,MATCH($B494,InsNome,0)),""))</f>
        <v>0</v>
      </c>
      <c r="G494" s="24">
        <f>IF(OR($B494="",$C494=""),"",$C494*IFERROR(INDEX(InsBruto,MATCH($B494,InsNome,0)),0))</f>
        <v>0</v>
      </c>
      <c r="H494" s="32">
        <f>IF($A494="","",DATE(YEAR($A494),MONTH($A494),1))</f>
        <v>0</v>
      </c>
    </row>
    <row r="495" spans="1:8">
      <c r="A495" s="15"/>
      <c r="B495" s="13"/>
      <c r="C495" s="19"/>
      <c r="D495" s="13"/>
      <c r="E495" s="13"/>
      <c r="F495" s="23">
        <f>IF($B495="","",IFERROR(INDEX(InsUnid,MATCH($B495,InsNome,0)),""))</f>
        <v>0</v>
      </c>
      <c r="G495" s="24">
        <f>IF(OR($B495="",$C495=""),"",$C495*IFERROR(INDEX(InsBruto,MATCH($B495,InsNome,0)),0))</f>
        <v>0</v>
      </c>
      <c r="H495" s="32">
        <f>IF($A495="","",DATE(YEAR($A495),MONTH($A495),1))</f>
        <v>0</v>
      </c>
    </row>
    <row r="496" spans="1:8">
      <c r="A496" s="15"/>
      <c r="B496" s="13"/>
      <c r="C496" s="19"/>
      <c r="D496" s="13"/>
      <c r="E496" s="13"/>
      <c r="F496" s="23">
        <f>IF($B496="","",IFERROR(INDEX(InsUnid,MATCH($B496,InsNome,0)),""))</f>
        <v>0</v>
      </c>
      <c r="G496" s="24">
        <f>IF(OR($B496="",$C496=""),"",$C496*IFERROR(INDEX(InsBruto,MATCH($B496,InsNome,0)),0))</f>
        <v>0</v>
      </c>
      <c r="H496" s="32">
        <f>IF($A496="","",DATE(YEAR($A496),MONTH($A496),1))</f>
        <v>0</v>
      </c>
    </row>
    <row r="497" spans="1:8">
      <c r="A497" s="15"/>
      <c r="B497" s="13"/>
      <c r="C497" s="19"/>
      <c r="D497" s="13"/>
      <c r="E497" s="13"/>
      <c r="F497" s="23">
        <f>IF($B497="","",IFERROR(INDEX(InsUnid,MATCH($B497,InsNome,0)),""))</f>
        <v>0</v>
      </c>
      <c r="G497" s="24">
        <f>IF(OR($B497="",$C497=""),"",$C497*IFERROR(INDEX(InsBruto,MATCH($B497,InsNome,0)),0))</f>
        <v>0</v>
      </c>
      <c r="H497" s="32">
        <f>IF($A497="","",DATE(YEAR($A497),MONTH($A497),1))</f>
        <v>0</v>
      </c>
    </row>
    <row r="498" spans="1:8">
      <c r="A498" s="15"/>
      <c r="B498" s="13"/>
      <c r="C498" s="19"/>
      <c r="D498" s="13"/>
      <c r="E498" s="13"/>
      <c r="F498" s="23">
        <f>IF($B498="","",IFERROR(INDEX(InsUnid,MATCH($B498,InsNome,0)),""))</f>
        <v>0</v>
      </c>
      <c r="G498" s="24">
        <f>IF(OR($B498="",$C498=""),"",$C498*IFERROR(INDEX(InsBruto,MATCH($B498,InsNome,0)),0))</f>
        <v>0</v>
      </c>
      <c r="H498" s="32">
        <f>IF($A498="","",DATE(YEAR($A498),MONTH($A498),1))</f>
        <v>0</v>
      </c>
    </row>
    <row r="499" spans="1:8">
      <c r="A499" s="15"/>
      <c r="B499" s="13"/>
      <c r="C499" s="19"/>
      <c r="D499" s="13"/>
      <c r="E499" s="13"/>
      <c r="F499" s="23">
        <f>IF($B499="","",IFERROR(INDEX(InsUnid,MATCH($B499,InsNome,0)),""))</f>
        <v>0</v>
      </c>
      <c r="G499" s="24">
        <f>IF(OR($B499="",$C499=""),"",$C499*IFERROR(INDEX(InsBruto,MATCH($B499,InsNome,0)),0))</f>
        <v>0</v>
      </c>
      <c r="H499" s="32">
        <f>IF($A499="","",DATE(YEAR($A499),MONTH($A499),1))</f>
        <v>0</v>
      </c>
    </row>
    <row r="500" spans="1:8">
      <c r="A500" s="15"/>
      <c r="B500" s="13"/>
      <c r="C500" s="19"/>
      <c r="D500" s="13"/>
      <c r="E500" s="13"/>
      <c r="F500" s="23">
        <f>IF($B500="","",IFERROR(INDEX(InsUnid,MATCH($B500,InsNome,0)),""))</f>
        <v>0</v>
      </c>
      <c r="G500" s="24">
        <f>IF(OR($B500="",$C500=""),"",$C500*IFERROR(INDEX(InsBruto,MATCH($B500,InsNome,0)),0))</f>
        <v>0</v>
      </c>
      <c r="H500" s="32">
        <f>IF($A500="","",DATE(YEAR($A500),MONTH($A500),1))</f>
        <v>0</v>
      </c>
    </row>
    <row r="501" spans="1:8">
      <c r="A501" s="15"/>
      <c r="B501" s="13"/>
      <c r="C501" s="19"/>
      <c r="D501" s="13"/>
      <c r="E501" s="13"/>
      <c r="F501" s="23">
        <f>IF($B501="","",IFERROR(INDEX(InsUnid,MATCH($B501,InsNome,0)),""))</f>
        <v>0</v>
      </c>
      <c r="G501" s="24">
        <f>IF(OR($B501="",$C501=""),"",$C501*IFERROR(INDEX(InsBruto,MATCH($B501,InsNome,0)),0))</f>
        <v>0</v>
      </c>
      <c r="H501" s="32">
        <f>IF($A501="","",DATE(YEAR($A501),MONTH($A501),1))</f>
        <v>0</v>
      </c>
    </row>
    <row r="502" spans="1:8">
      <c r="A502" s="15"/>
      <c r="B502" s="13"/>
      <c r="C502" s="19"/>
      <c r="D502" s="13"/>
      <c r="E502" s="13"/>
      <c r="F502" s="23">
        <f>IF($B502="","",IFERROR(INDEX(InsUnid,MATCH($B502,InsNome,0)),""))</f>
        <v>0</v>
      </c>
      <c r="G502" s="24">
        <f>IF(OR($B502="",$C502=""),"",$C502*IFERROR(INDEX(InsBruto,MATCH($B502,InsNome,0)),0))</f>
        <v>0</v>
      </c>
      <c r="H502" s="32">
        <f>IF($A502="","",DATE(YEAR($A502),MONTH($A502),1))</f>
        <v>0</v>
      </c>
    </row>
    <row r="503" spans="1:8">
      <c r="A503" s="15"/>
      <c r="B503" s="13"/>
      <c r="C503" s="19"/>
      <c r="D503" s="13"/>
      <c r="E503" s="13"/>
      <c r="F503" s="23">
        <f>IF($B503="","",IFERROR(INDEX(InsUnid,MATCH($B503,InsNome,0)),""))</f>
        <v>0</v>
      </c>
      <c r="G503" s="24">
        <f>IF(OR($B503="",$C503=""),"",$C503*IFERROR(INDEX(InsBruto,MATCH($B503,InsNome,0)),0))</f>
        <v>0</v>
      </c>
      <c r="H503" s="32">
        <f>IF($A503="","",DATE(YEAR($A503),MONTH($A503),1))</f>
        <v>0</v>
      </c>
    </row>
    <row r="504" spans="1:8">
      <c r="A504" s="15"/>
      <c r="B504" s="13"/>
      <c r="C504" s="19"/>
      <c r="D504" s="13"/>
      <c r="E504" s="13"/>
      <c r="F504" s="23">
        <f>IF($B504="","",IFERROR(INDEX(InsUnid,MATCH($B504,InsNome,0)),""))</f>
        <v>0</v>
      </c>
      <c r="G504" s="24">
        <f>IF(OR($B504="",$C504=""),"",$C504*IFERROR(INDEX(InsBruto,MATCH($B504,InsNome,0)),0))</f>
        <v>0</v>
      </c>
      <c r="H504" s="32">
        <f>IF($A504="","",DATE(YEAR($A504),MONTH($A504),1))</f>
        <v>0</v>
      </c>
    </row>
  </sheetData>
  <autoFilter ref="A4:H504"/>
  <mergeCells count="2">
    <mergeCell ref="A1:H1"/>
    <mergeCell ref="A2:H2"/>
  </mergeCells>
  <dataValidations count="4">
    <dataValidation type="date" operator="greaterThanOrEqual" allowBlank="1" showInputMessage="1" showErrorMessage="1" errorTitle="Data inválida" error="Digite uma data válida (dd/mm/aaaa)." promptTitle="Data" prompt="Digite a data no formato dd/mm/aaaa" sqref="A5:A504">
      <formula1>36526</formula1>
    </dataValidation>
    <dataValidation type="list" allowBlank="1" showInputMessage="1" showErrorMessage="1" errorTitle="Valor inválido" error="Escolha um item da lista." sqref="B5:B504">
      <formula1>InsNome</formula1>
    </dataValidation>
    <dataValidation type="list" allowBlank="1" showInputMessage="1" showErrorMessage="1" errorTitle="Valor inválido" error="Escolha um item da lista." sqref="D5:D504">
      <formula1>Motivos</formula1>
    </dataValidation>
    <dataValidation type="decimal" operator="greaterThanOrEqual" allowBlank="1" showInputMessage="1" showErrorMessage="1" errorTitle="Valor inválido" error="Digite um número maior ou igual a 0." sqref="C5:C5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Ficha Técnica e CMV para Restaurantes&amp;R&amp;8Página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N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0.7109375" customWidth="1"/>
    <col min="2" max="4" width="14.7109375" customWidth="1"/>
    <col min="5" max="5" width="15.7109375" customWidth="1"/>
    <col min="6" max="6" width="14.7109375" customWidth="1"/>
    <col min="7" max="7" width="10.7109375" customWidth="1"/>
    <col min="8" max="8" width="14.7109375" customWidth="1"/>
    <col min="9" max="9" width="11.7109375" customWidth="1"/>
    <col min="10" max="10" width="13.7109375" customWidth="1"/>
    <col min="11" max="11" width="12.7109375" customWidth="1"/>
    <col min="12" max="12" width="14.7109375" customWidth="1"/>
    <col min="13" max="13" width="15.7109375" customWidth="1"/>
    <col min="14" max="14" width="24.7109375" customWidth="1"/>
  </cols>
  <sheetData>
    <row r="1" spans="1:14" ht="36" customHeight="1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48" customHeight="1">
      <c r="A4" s="10" t="s">
        <v>116</v>
      </c>
      <c r="B4" s="10" t="s">
        <v>119</v>
      </c>
      <c r="C4" s="10" t="s">
        <v>120</v>
      </c>
      <c r="D4" s="10" t="s">
        <v>121</v>
      </c>
      <c r="E4" s="10" t="s">
        <v>122</v>
      </c>
      <c r="F4" s="10" t="s">
        <v>123</v>
      </c>
      <c r="G4" s="10" t="s">
        <v>124</v>
      </c>
      <c r="H4" s="10" t="s">
        <v>125</v>
      </c>
      <c r="I4" s="10" t="s">
        <v>126</v>
      </c>
      <c r="J4" s="10" t="s">
        <v>127</v>
      </c>
      <c r="K4" s="10" t="s">
        <v>128</v>
      </c>
      <c r="L4" s="10" t="s">
        <v>129</v>
      </c>
      <c r="M4" s="10" t="s">
        <v>130</v>
      </c>
      <c r="N4" s="10" t="s">
        <v>131</v>
      </c>
    </row>
    <row r="5" spans="1:14">
      <c r="A5" s="33">
        <f>DATE(Ano,1,1)</f>
        <v>46023.0</v>
      </c>
      <c r="B5" s="18"/>
      <c r="C5" s="18"/>
      <c r="D5" s="18"/>
      <c r="E5" s="18"/>
      <c r="F5" s="34">
        <f>IF(OR($C5="",$E5=""),"",N($B5)+$C5-N($D5))</f>
        <v>0</v>
      </c>
      <c r="G5" s="27">
        <f>IF(OR($F5="",N($E5)&lt;=0),"",$F5/$E5)</f>
        <v>0</v>
      </c>
      <c r="H5" s="24">
        <f>IF(AND(ISNUMBER(MesRef),$A5=MesRef),SUMPRODUCT(PratoCusto,PratoQtd),"")</f>
        <v>0</v>
      </c>
      <c r="I5" s="29">
        <f>IF(OR($H5="",N($E5)&lt;=0),"",$H5/$E5)</f>
        <v>0</v>
      </c>
      <c r="J5" s="24">
        <f>IF(OR($F5="",$H5=""),"",$F5-$H5)</f>
        <v>0</v>
      </c>
      <c r="K5" s="29">
        <f>IF(OR($G5="",$I5=""),"",$G5-$I5)</f>
        <v>0</v>
      </c>
      <c r="L5" s="24">
        <f>SUMIFS('Desperdício'!$G$5:$G$504,'Desperdício'!$H$5:$H$504,$A5)</f>
        <v>0</v>
      </c>
      <c r="M5" s="24">
        <f>IF($J5="","",$J5-$L5)</f>
        <v>0</v>
      </c>
      <c r="N5" s="28">
        <f>IF($G5="","",IF($G5&gt;CMVMeta+0.03,"CMV MUITO ALTO",IF($G5&gt;CMVMeta,"Acima da meta","Dentro da meta")))</f>
        <v>0</v>
      </c>
    </row>
    <row r="6" spans="1:14">
      <c r="A6" s="33">
        <f>DATE(Ano,2,1)</f>
        <v>46054.0</v>
      </c>
      <c r="B6" s="18"/>
      <c r="C6" s="18"/>
      <c r="D6" s="18"/>
      <c r="E6" s="18"/>
      <c r="F6" s="34">
        <f>IF(OR($C6="",$E6=""),"",N($B6)+$C6-N($D6))</f>
        <v>0</v>
      </c>
      <c r="G6" s="27">
        <f>IF(OR($F6="",N($E6)&lt;=0),"",$F6/$E6)</f>
        <v>0</v>
      </c>
      <c r="H6" s="24">
        <f>IF(AND(ISNUMBER(MesRef),$A6=MesRef),SUMPRODUCT(PratoCusto,PratoQtd),"")</f>
        <v>0</v>
      </c>
      <c r="I6" s="29">
        <f>IF(OR($H6="",N($E6)&lt;=0),"",$H6/$E6)</f>
        <v>0</v>
      </c>
      <c r="J6" s="24">
        <f>IF(OR($F6="",$H6=""),"",$F6-$H6)</f>
        <v>0</v>
      </c>
      <c r="K6" s="29">
        <f>IF(OR($G6="",$I6=""),"",$G6-$I6)</f>
        <v>0</v>
      </c>
      <c r="L6" s="24">
        <f>SUMIFS('Desperdício'!$G$5:$G$504,'Desperdício'!$H$5:$H$504,$A6)</f>
        <v>0</v>
      </c>
      <c r="M6" s="24">
        <f>IF($J6="","",$J6-$L6)</f>
        <v>0</v>
      </c>
      <c r="N6" s="28">
        <f>IF($G6="","",IF($G6&gt;CMVMeta+0.03,"CMV MUITO ALTO",IF($G6&gt;CMVMeta,"Acima da meta","Dentro da meta")))</f>
        <v>0</v>
      </c>
    </row>
    <row r="7" spans="1:14">
      <c r="A7" s="33">
        <f>DATE(Ano,3,1)</f>
        <v>46082.0</v>
      </c>
      <c r="B7" s="18"/>
      <c r="C7" s="18"/>
      <c r="D7" s="18"/>
      <c r="E7" s="18"/>
      <c r="F7" s="34">
        <f>IF(OR($C7="",$E7=""),"",N($B7)+$C7-N($D7))</f>
        <v>0</v>
      </c>
      <c r="G7" s="27">
        <f>IF(OR($F7="",N($E7)&lt;=0),"",$F7/$E7)</f>
        <v>0</v>
      </c>
      <c r="H7" s="24">
        <f>IF(AND(ISNUMBER(MesRef),$A7=MesRef),SUMPRODUCT(PratoCusto,PratoQtd),"")</f>
        <v>0</v>
      </c>
      <c r="I7" s="29">
        <f>IF(OR($H7="",N($E7)&lt;=0),"",$H7/$E7)</f>
        <v>0</v>
      </c>
      <c r="J7" s="24">
        <f>IF(OR($F7="",$H7=""),"",$F7-$H7)</f>
        <v>0</v>
      </c>
      <c r="K7" s="29">
        <f>IF(OR($G7="",$I7=""),"",$G7-$I7)</f>
        <v>0</v>
      </c>
      <c r="L7" s="24">
        <f>SUMIFS('Desperdício'!$G$5:$G$504,'Desperdício'!$H$5:$H$504,$A7)</f>
        <v>0</v>
      </c>
      <c r="M7" s="24">
        <f>IF($J7="","",$J7-$L7)</f>
        <v>0</v>
      </c>
      <c r="N7" s="28">
        <f>IF($G7="","",IF($G7&gt;CMVMeta+0.03,"CMV MUITO ALTO",IF($G7&gt;CMVMeta,"Acima da meta","Dentro da meta")))</f>
        <v>0</v>
      </c>
    </row>
    <row r="8" spans="1:14">
      <c r="A8" s="33">
        <f>DATE(Ano,4,1)</f>
        <v>46113.0</v>
      </c>
      <c r="B8" s="18"/>
      <c r="C8" s="18"/>
      <c r="D8" s="18"/>
      <c r="E8" s="18"/>
      <c r="F8" s="34">
        <f>IF(OR($C8="",$E8=""),"",N($B8)+$C8-N($D8))</f>
        <v>0</v>
      </c>
      <c r="G8" s="27">
        <f>IF(OR($F8="",N($E8)&lt;=0),"",$F8/$E8)</f>
        <v>0</v>
      </c>
      <c r="H8" s="24">
        <f>IF(AND(ISNUMBER(MesRef),$A8=MesRef),SUMPRODUCT(PratoCusto,PratoQtd),"")</f>
        <v>0</v>
      </c>
      <c r="I8" s="29">
        <f>IF(OR($H8="",N($E8)&lt;=0),"",$H8/$E8)</f>
        <v>0</v>
      </c>
      <c r="J8" s="24">
        <f>IF(OR($F8="",$H8=""),"",$F8-$H8)</f>
        <v>0</v>
      </c>
      <c r="K8" s="29">
        <f>IF(OR($G8="",$I8=""),"",$G8-$I8)</f>
        <v>0</v>
      </c>
      <c r="L8" s="24">
        <f>SUMIFS('Desperdício'!$G$5:$G$504,'Desperdício'!$H$5:$H$504,$A8)</f>
        <v>0</v>
      </c>
      <c r="M8" s="24">
        <f>IF($J8="","",$J8-$L8)</f>
        <v>0</v>
      </c>
      <c r="N8" s="28">
        <f>IF($G8="","",IF($G8&gt;CMVMeta+0.03,"CMV MUITO ALTO",IF($G8&gt;CMVMeta,"Acima da meta","Dentro da meta")))</f>
        <v>0</v>
      </c>
    </row>
    <row r="9" spans="1:14">
      <c r="A9" s="33">
        <f>DATE(Ano,5,1)</f>
        <v>46143.0</v>
      </c>
      <c r="B9" s="18"/>
      <c r="C9" s="18"/>
      <c r="D9" s="18"/>
      <c r="E9" s="18"/>
      <c r="F9" s="34">
        <f>IF(OR($C9="",$E9=""),"",N($B9)+$C9-N($D9))</f>
        <v>0</v>
      </c>
      <c r="G9" s="27">
        <f>IF(OR($F9="",N($E9)&lt;=0),"",$F9/$E9)</f>
        <v>0</v>
      </c>
      <c r="H9" s="24">
        <f>IF(AND(ISNUMBER(MesRef),$A9=MesRef),SUMPRODUCT(PratoCusto,PratoQtd),"")</f>
        <v>0</v>
      </c>
      <c r="I9" s="29">
        <f>IF(OR($H9="",N($E9)&lt;=0),"",$H9/$E9)</f>
        <v>0</v>
      </c>
      <c r="J9" s="24">
        <f>IF(OR($F9="",$H9=""),"",$F9-$H9)</f>
        <v>0</v>
      </c>
      <c r="K9" s="29">
        <f>IF(OR($G9="",$I9=""),"",$G9-$I9)</f>
        <v>0</v>
      </c>
      <c r="L9" s="24">
        <f>SUMIFS('Desperdício'!$G$5:$G$504,'Desperdício'!$H$5:$H$504,$A9)</f>
        <v>0</v>
      </c>
      <c r="M9" s="24">
        <f>IF($J9="","",$J9-$L9)</f>
        <v>0</v>
      </c>
      <c r="N9" s="28">
        <f>IF($G9="","",IF($G9&gt;CMVMeta+0.03,"CMV MUITO ALTO",IF($G9&gt;CMVMeta,"Acima da meta","Dentro da meta")))</f>
        <v>0</v>
      </c>
    </row>
    <row r="10" spans="1:14">
      <c r="A10" s="33">
        <f>DATE(Ano,6,1)</f>
        <v>46174.0</v>
      </c>
      <c r="B10" s="18"/>
      <c r="C10" s="18"/>
      <c r="D10" s="18"/>
      <c r="E10" s="18"/>
      <c r="F10" s="34">
        <f>IF(OR($C10="",$E10=""),"",N($B10)+$C10-N($D10))</f>
        <v>0</v>
      </c>
      <c r="G10" s="27">
        <f>IF(OR($F10="",N($E10)&lt;=0),"",$F10/$E10)</f>
        <v>0</v>
      </c>
      <c r="H10" s="24">
        <f>IF(AND(ISNUMBER(MesRef),$A10=MesRef),SUMPRODUCT(PratoCusto,PratoQtd),"")</f>
        <v>0</v>
      </c>
      <c r="I10" s="29">
        <f>IF(OR($H10="",N($E10)&lt;=0),"",$H10/$E10)</f>
        <v>0</v>
      </c>
      <c r="J10" s="24">
        <f>IF(OR($F10="",$H10=""),"",$F10-$H10)</f>
        <v>0</v>
      </c>
      <c r="K10" s="29">
        <f>IF(OR($G10="",$I10=""),"",$G10-$I10)</f>
        <v>0</v>
      </c>
      <c r="L10" s="24">
        <f>SUMIFS('Desperdício'!$G$5:$G$504,'Desperdício'!$H$5:$H$504,$A10)</f>
        <v>0</v>
      </c>
      <c r="M10" s="24">
        <f>IF($J10="","",$J10-$L10)</f>
        <v>0</v>
      </c>
      <c r="N10" s="28">
        <f>IF($G10="","",IF($G10&gt;CMVMeta+0.03,"CMV MUITO ALTO",IF($G10&gt;CMVMeta,"Acima da meta","Dentro da meta")))</f>
        <v>0</v>
      </c>
    </row>
    <row r="11" spans="1:14">
      <c r="A11" s="33">
        <f>DATE(Ano,7,1)</f>
        <v>46204.0</v>
      </c>
      <c r="B11" s="18"/>
      <c r="C11" s="18"/>
      <c r="D11" s="18"/>
      <c r="E11" s="18"/>
      <c r="F11" s="34">
        <f>IF(OR($C11="",$E11=""),"",N($B11)+$C11-N($D11))</f>
        <v>0</v>
      </c>
      <c r="G11" s="27">
        <f>IF(OR($F11="",N($E11)&lt;=0),"",$F11/$E11)</f>
        <v>0</v>
      </c>
      <c r="H11" s="24">
        <f>IF(AND(ISNUMBER(MesRef),$A11=MesRef),SUMPRODUCT(PratoCusto,PratoQtd),"")</f>
        <v>0</v>
      </c>
      <c r="I11" s="29">
        <f>IF(OR($H11="",N($E11)&lt;=0),"",$H11/$E11)</f>
        <v>0</v>
      </c>
      <c r="J11" s="24">
        <f>IF(OR($F11="",$H11=""),"",$F11-$H11)</f>
        <v>0</v>
      </c>
      <c r="K11" s="29">
        <f>IF(OR($G11="",$I11=""),"",$G11-$I11)</f>
        <v>0</v>
      </c>
      <c r="L11" s="24">
        <f>SUMIFS('Desperdício'!$G$5:$G$504,'Desperdício'!$H$5:$H$504,$A11)</f>
        <v>0</v>
      </c>
      <c r="M11" s="24">
        <f>IF($J11="","",$J11-$L11)</f>
        <v>0</v>
      </c>
      <c r="N11" s="28">
        <f>IF($G11="","",IF($G11&gt;CMVMeta+0.03,"CMV MUITO ALTO",IF($G11&gt;CMVMeta,"Acima da meta","Dentro da meta")))</f>
        <v>0</v>
      </c>
    </row>
    <row r="12" spans="1:14">
      <c r="A12" s="33">
        <f>DATE(Ano,8,1)</f>
        <v>46235.0</v>
      </c>
      <c r="B12" s="18"/>
      <c r="C12" s="18"/>
      <c r="D12" s="18"/>
      <c r="E12" s="18"/>
      <c r="F12" s="34">
        <f>IF(OR($C12="",$E12=""),"",N($B12)+$C12-N($D12))</f>
        <v>0</v>
      </c>
      <c r="G12" s="27">
        <f>IF(OR($F12="",N($E12)&lt;=0),"",$F12/$E12)</f>
        <v>0</v>
      </c>
      <c r="H12" s="24">
        <f>IF(AND(ISNUMBER(MesRef),$A12=MesRef),SUMPRODUCT(PratoCusto,PratoQtd),"")</f>
        <v>0</v>
      </c>
      <c r="I12" s="29">
        <f>IF(OR($H12="",N($E12)&lt;=0),"",$H12/$E12)</f>
        <v>0</v>
      </c>
      <c r="J12" s="24">
        <f>IF(OR($F12="",$H12=""),"",$F12-$H12)</f>
        <v>0</v>
      </c>
      <c r="K12" s="29">
        <f>IF(OR($G12="",$I12=""),"",$G12-$I12)</f>
        <v>0</v>
      </c>
      <c r="L12" s="24">
        <f>SUMIFS('Desperdício'!$G$5:$G$504,'Desperdício'!$H$5:$H$504,$A12)</f>
        <v>0</v>
      </c>
      <c r="M12" s="24">
        <f>IF($J12="","",$J12-$L12)</f>
        <v>0</v>
      </c>
      <c r="N12" s="28">
        <f>IF($G12="","",IF($G12&gt;CMVMeta+0.03,"CMV MUITO ALTO",IF($G12&gt;CMVMeta,"Acima da meta","Dentro da meta")))</f>
        <v>0</v>
      </c>
    </row>
    <row r="13" spans="1:14">
      <c r="A13" s="33">
        <f>DATE(Ano,9,1)</f>
        <v>46266.0</v>
      </c>
      <c r="B13" s="18"/>
      <c r="C13" s="18"/>
      <c r="D13" s="18"/>
      <c r="E13" s="18"/>
      <c r="F13" s="34">
        <f>IF(OR($C13="",$E13=""),"",N($B13)+$C13-N($D13))</f>
        <v>0</v>
      </c>
      <c r="G13" s="27">
        <f>IF(OR($F13="",N($E13)&lt;=0),"",$F13/$E13)</f>
        <v>0</v>
      </c>
      <c r="H13" s="24">
        <f>IF(AND(ISNUMBER(MesRef),$A13=MesRef),SUMPRODUCT(PratoCusto,PratoQtd),"")</f>
        <v>0</v>
      </c>
      <c r="I13" s="29">
        <f>IF(OR($H13="",N($E13)&lt;=0),"",$H13/$E13)</f>
        <v>0</v>
      </c>
      <c r="J13" s="24">
        <f>IF(OR($F13="",$H13=""),"",$F13-$H13)</f>
        <v>0</v>
      </c>
      <c r="K13" s="29">
        <f>IF(OR($G13="",$I13=""),"",$G13-$I13)</f>
        <v>0</v>
      </c>
      <c r="L13" s="24">
        <f>SUMIFS('Desperdício'!$G$5:$G$504,'Desperdício'!$H$5:$H$504,$A13)</f>
        <v>0</v>
      </c>
      <c r="M13" s="24">
        <f>IF($J13="","",$J13-$L13)</f>
        <v>0</v>
      </c>
      <c r="N13" s="28">
        <f>IF($G13="","",IF($G13&gt;CMVMeta+0.03,"CMV MUITO ALTO",IF($G13&gt;CMVMeta,"Acima da meta","Dentro da meta")))</f>
        <v>0</v>
      </c>
    </row>
    <row r="14" spans="1:14">
      <c r="A14" s="33">
        <f>DATE(Ano,10,1)</f>
        <v>46296.0</v>
      </c>
      <c r="B14" s="18"/>
      <c r="C14" s="18"/>
      <c r="D14" s="18"/>
      <c r="E14" s="18"/>
      <c r="F14" s="34">
        <f>IF(OR($C14="",$E14=""),"",N($B14)+$C14-N($D14))</f>
        <v>0</v>
      </c>
      <c r="G14" s="27">
        <f>IF(OR($F14="",N($E14)&lt;=0),"",$F14/$E14)</f>
        <v>0</v>
      </c>
      <c r="H14" s="24">
        <f>IF(AND(ISNUMBER(MesRef),$A14=MesRef),SUMPRODUCT(PratoCusto,PratoQtd),"")</f>
        <v>0</v>
      </c>
      <c r="I14" s="29">
        <f>IF(OR($H14="",N($E14)&lt;=0),"",$H14/$E14)</f>
        <v>0</v>
      </c>
      <c r="J14" s="24">
        <f>IF(OR($F14="",$H14=""),"",$F14-$H14)</f>
        <v>0</v>
      </c>
      <c r="K14" s="29">
        <f>IF(OR($G14="",$I14=""),"",$G14-$I14)</f>
        <v>0</v>
      </c>
      <c r="L14" s="24">
        <f>SUMIFS('Desperdício'!$G$5:$G$504,'Desperdício'!$H$5:$H$504,$A14)</f>
        <v>0</v>
      </c>
      <c r="M14" s="24">
        <f>IF($J14="","",$J14-$L14)</f>
        <v>0</v>
      </c>
      <c r="N14" s="28">
        <f>IF($G14="","",IF($G14&gt;CMVMeta+0.03,"CMV MUITO ALTO",IF($G14&gt;CMVMeta,"Acima da meta","Dentro da meta")))</f>
        <v>0</v>
      </c>
    </row>
    <row r="15" spans="1:14">
      <c r="A15" s="33">
        <f>DATE(Ano,11,1)</f>
        <v>46327.0</v>
      </c>
      <c r="B15" s="18"/>
      <c r="C15" s="18"/>
      <c r="D15" s="18"/>
      <c r="E15" s="18"/>
      <c r="F15" s="34">
        <f>IF(OR($C15="",$E15=""),"",N($B15)+$C15-N($D15))</f>
        <v>0</v>
      </c>
      <c r="G15" s="27">
        <f>IF(OR($F15="",N($E15)&lt;=0),"",$F15/$E15)</f>
        <v>0</v>
      </c>
      <c r="H15" s="24">
        <f>IF(AND(ISNUMBER(MesRef),$A15=MesRef),SUMPRODUCT(PratoCusto,PratoQtd),"")</f>
        <v>0</v>
      </c>
      <c r="I15" s="29">
        <f>IF(OR($H15="",N($E15)&lt;=0),"",$H15/$E15)</f>
        <v>0</v>
      </c>
      <c r="J15" s="24">
        <f>IF(OR($F15="",$H15=""),"",$F15-$H15)</f>
        <v>0</v>
      </c>
      <c r="K15" s="29">
        <f>IF(OR($G15="",$I15=""),"",$G15-$I15)</f>
        <v>0</v>
      </c>
      <c r="L15" s="24">
        <f>SUMIFS('Desperdício'!$G$5:$G$504,'Desperdício'!$H$5:$H$504,$A15)</f>
        <v>0</v>
      </c>
      <c r="M15" s="24">
        <f>IF($J15="","",$J15-$L15)</f>
        <v>0</v>
      </c>
      <c r="N15" s="28">
        <f>IF($G15="","",IF($G15&gt;CMVMeta+0.03,"CMV MUITO ALTO",IF($G15&gt;CMVMeta,"Acima da meta","Dentro da meta")))</f>
        <v>0</v>
      </c>
    </row>
    <row r="16" spans="1:14">
      <c r="A16" s="33">
        <f>DATE(Ano,12,1)</f>
        <v>46357.0</v>
      </c>
      <c r="B16" s="18"/>
      <c r="C16" s="18"/>
      <c r="D16" s="18"/>
      <c r="E16" s="18"/>
      <c r="F16" s="34">
        <f>IF(OR($C16="",$E16=""),"",N($B16)+$C16-N($D16))</f>
        <v>0</v>
      </c>
      <c r="G16" s="27">
        <f>IF(OR($F16="",N($E16)&lt;=0),"",$F16/$E16)</f>
        <v>0</v>
      </c>
      <c r="H16" s="24">
        <f>IF(AND(ISNUMBER(MesRef),$A16=MesRef),SUMPRODUCT(PratoCusto,PratoQtd),"")</f>
        <v>0</v>
      </c>
      <c r="I16" s="29">
        <f>IF(OR($H16="",N($E16)&lt;=0),"",$H16/$E16)</f>
        <v>0</v>
      </c>
      <c r="J16" s="24">
        <f>IF(OR($F16="",$H16=""),"",$F16-$H16)</f>
        <v>0</v>
      </c>
      <c r="K16" s="29">
        <f>IF(OR($G16="",$I16=""),"",$G16-$I16)</f>
        <v>0</v>
      </c>
      <c r="L16" s="24">
        <f>SUMIFS('Desperdício'!$G$5:$G$504,'Desperdício'!$H$5:$H$504,$A16)</f>
        <v>0</v>
      </c>
      <c r="M16" s="24">
        <f>IF($J16="","",$J16-$L16)</f>
        <v>0</v>
      </c>
      <c r="N16" s="28">
        <f>IF($G16="","",IF($G16&gt;CMVMeta+0.03,"CMV MUITO ALTO",IF($G16&gt;CMVMeta,"Acima da meta","Dentro da meta")))</f>
        <v>0</v>
      </c>
    </row>
    <row r="18" spans="1:13">
      <c r="A18" s="11" t="s">
        <v>133</v>
      </c>
      <c r="B18" s="35">
        <f>CMVMeta</f>
        <v>0.32</v>
      </c>
      <c r="C18" s="35">
        <f>CMVMeta</f>
        <v>0.32</v>
      </c>
      <c r="D18" s="35">
        <f>CMVMeta</f>
        <v>0.32</v>
      </c>
      <c r="E18" s="35">
        <f>CMVMeta</f>
        <v>0.32</v>
      </c>
      <c r="F18" s="35">
        <f>CMVMeta</f>
        <v>0.32</v>
      </c>
      <c r="G18" s="35">
        <f>CMVMeta</f>
        <v>0.32</v>
      </c>
      <c r="H18" s="35">
        <f>CMVMeta</f>
        <v>0.32</v>
      </c>
      <c r="I18" s="35">
        <f>CMVMeta</f>
        <v>0.32</v>
      </c>
      <c r="J18" s="35">
        <f>CMVMeta</f>
        <v>0.32</v>
      </c>
      <c r="K18" s="35">
        <f>CMVMeta</f>
        <v>0.32</v>
      </c>
      <c r="L18" s="35">
        <f>CMVMeta</f>
        <v>0.32</v>
      </c>
      <c r="M18" s="35">
        <f>CMVMeta</f>
        <v>0.32</v>
      </c>
    </row>
  </sheetData>
  <mergeCells count="2">
    <mergeCell ref="A1:N1"/>
    <mergeCell ref="A2:N2"/>
  </mergeCells>
  <conditionalFormatting sqref="N5:N16">
    <cfRule type="cellIs" dxfId="1" priority="1" operator="equal">
      <formula>"CMV MUITO ALTO"</formula>
    </cfRule>
    <cfRule type="cellIs" dxfId="3" priority="2" operator="equal">
      <formula>"Acima da meta"</formula>
    </cfRule>
    <cfRule type="cellIs" dxfId="2" priority="3" operator="equal">
      <formula>"Dentro da meta"</formula>
    </cfRule>
  </conditionalFormatting>
  <pageMargins left="0.7" right="0.7" top="0.75" bottom="0.75" header="0.3" footer="0.3"/>
  <pageSetup paperSize="9" orientation="landscape"/>
  <headerFooter>
    <oddFooter>&amp;L&amp;8Carvex XLS - Ficha Técnica e CMV para Restaurantes&amp;R&amp;8Página &amp;P de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K25"/>
  <sheetViews>
    <sheetView showGridLines="0" workbookViewId="0"/>
  </sheetViews>
  <sheetFormatPr defaultRowHeight="15"/>
  <cols>
    <col min="1" max="10" width="14.7109375" customWidth="1"/>
    <col min="11" max="11" width="0" hidden="1" customWidth="1"/>
  </cols>
  <sheetData>
    <row r="1" spans="1:11" ht="36" customHeight="1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</row>
    <row r="2" spans="1:11" ht="20" customHeight="1">
      <c r="A2" s="2" t="s">
        <v>135</v>
      </c>
      <c r="B2" s="2"/>
      <c r="C2" s="2"/>
      <c r="D2" s="2"/>
      <c r="E2" s="2"/>
      <c r="F2" s="2"/>
      <c r="G2" s="2"/>
      <c r="H2" s="2"/>
      <c r="I2" s="2"/>
      <c r="J2" s="2"/>
    </row>
    <row r="4" spans="1:11" ht="24" customHeight="1">
      <c r="A4" s="36" t="s">
        <v>136</v>
      </c>
      <c r="B4" s="36"/>
      <c r="C4" s="36" t="s">
        <v>137</v>
      </c>
      <c r="D4" s="36"/>
      <c r="E4" s="36" t="s">
        <v>138</v>
      </c>
      <c r="F4" s="36"/>
      <c r="G4" s="36" t="s">
        <v>139</v>
      </c>
      <c r="H4" s="36"/>
      <c r="I4" s="36" t="s">
        <v>140</v>
      </c>
      <c r="J4" s="36"/>
    </row>
    <row r="5" spans="1:11" ht="32" customHeight="1">
      <c r="A5" s="37">
        <f>IFERROR(INDEX('CMV Mensal'!$G$5:$G$16,MONTH(MesRef)),0)</f>
        <v>0</v>
      </c>
      <c r="B5" s="37"/>
      <c r="C5" s="38">
        <f>IFERROR(INDEX('CMV Mensal'!$I$5:$I$16,MONTH(MesRef)),0)</f>
        <v>0</v>
      </c>
      <c r="D5" s="38"/>
      <c r="E5" s="38">
        <f>CMVMeta</f>
        <v>0.32</v>
      </c>
      <c r="F5" s="38"/>
      <c r="G5" s="39">
        <f>IFERROR(INDEX('CMV Mensal'!$K$5:$K$16,MONTH(MesRef)),0)</f>
        <v>0</v>
      </c>
      <c r="H5" s="39"/>
      <c r="I5" s="40">
        <f>IFERROR(INDEX('CMV Mensal'!$L$5:$L$16,MONTH(MesRef)),0)</f>
        <v>0</v>
      </c>
      <c r="J5" s="40"/>
    </row>
    <row r="7" spans="1:11" ht="24" customHeight="1">
      <c r="A7" s="36" t="s">
        <v>141</v>
      </c>
      <c r="B7" s="36"/>
      <c r="C7" s="36" t="s">
        <v>142</v>
      </c>
      <c r="D7" s="36"/>
      <c r="E7" s="36" t="s">
        <v>143</v>
      </c>
      <c r="F7" s="36"/>
      <c r="G7" s="36" t="s">
        <v>144</v>
      </c>
      <c r="H7" s="36"/>
      <c r="I7" s="36" t="s">
        <v>145</v>
      </c>
      <c r="J7" s="36"/>
    </row>
    <row r="8" spans="1:11" ht="32" customHeight="1">
      <c r="A8" s="41">
        <f>COUNTIF(Pratos!$I$5:$I$104,"ACIMA DA META")</f>
        <v>0</v>
      </c>
      <c r="B8" s="41"/>
      <c r="C8" s="42">
        <f>COUNTIF(Pratos!$N$5:$N$104,"Estrela")</f>
        <v>0</v>
      </c>
      <c r="D8" s="42"/>
      <c r="E8" s="42">
        <f>COUNTIF(Pratos!$N$5:$N$104,"Cão")</f>
        <v>0</v>
      </c>
      <c r="F8" s="42"/>
      <c r="G8" s="40">
        <f>SUM(Pratos!$L$5:$L$104)</f>
        <v>0</v>
      </c>
      <c r="H8" s="40"/>
      <c r="I8" s="43">
        <f>IFERROR(INDEX('CMV Mensal'!$M$5:$M$16,MONTH(MesRef)),0)</f>
        <v>0</v>
      </c>
      <c r="J8" s="43"/>
    </row>
    <row r="10" spans="1:11">
      <c r="A10" s="3" t="s">
        <v>146</v>
      </c>
      <c r="B10" s="3"/>
      <c r="C10" s="3"/>
      <c r="D10" s="3"/>
      <c r="E10" s="3"/>
      <c r="F10" s="3"/>
      <c r="G10" s="3"/>
      <c r="H10" s="3"/>
      <c r="I10" s="3"/>
      <c r="J10" s="3"/>
    </row>
    <row r="11" spans="1:11" ht="24" customHeight="1">
      <c r="A11" s="10" t="s">
        <v>147</v>
      </c>
      <c r="B11" s="10" t="s">
        <v>85</v>
      </c>
      <c r="C11" s="10"/>
      <c r="D11" s="10"/>
      <c r="E11" s="10" t="s">
        <v>99</v>
      </c>
      <c r="F11" s="10" t="s">
        <v>148</v>
      </c>
      <c r="G11" s="10" t="s">
        <v>149</v>
      </c>
      <c r="H11" s="10" t="s">
        <v>150</v>
      </c>
      <c r="I11" s="10" t="s">
        <v>151</v>
      </c>
    </row>
    <row r="12" spans="1:11">
      <c r="A12" s="44">
        <v>1</v>
      </c>
      <c r="B12" s="30">
        <f>IF($K12="","",INDEX(Pratos!$A$5:$A$104,MATCH($K12,Pratos!$P$5:$P$104,0)))</f>
        <v>0</v>
      </c>
      <c r="C12" s="30"/>
      <c r="D12" s="30"/>
      <c r="E12" s="27">
        <f>IF($K12="","",INDEX(Pratos!$H$5:$H$104,MATCH($K12,Pratos!$P$5:$P$104,0)))</f>
        <v>0</v>
      </c>
      <c r="F12" s="24">
        <f>IF($K12="","",INDEX(Pratos!$G$5:$G$104,MATCH($K12,Pratos!$P$5:$P$104,0)))</f>
        <v>0</v>
      </c>
      <c r="G12" s="24">
        <f>IF($K12="","",INDEX(Pratos!$D$5:$D$104,MATCH($K12,Pratos!$P$5:$P$104,0)))</f>
        <v>0</v>
      </c>
      <c r="H12" s="34">
        <f>IF($K12="","",INDEX(Pratos!$J$5:$J$104,MATCH($K12,Pratos!$P$5:$P$104,0)))</f>
        <v>0</v>
      </c>
      <c r="I12" s="23">
        <f>IF($K12="","",INDEX(Pratos!$N$5:$N$104,MATCH($K12,Pratos!$P$5:$P$104,0)))</f>
        <v>0</v>
      </c>
      <c r="K12" s="45">
        <f>IFERROR(LARGE(Pratos!$P$5:$P$104,1),"")</f>
        <v>0</v>
      </c>
    </row>
    <row r="13" spans="1:11">
      <c r="A13" s="44">
        <v>2</v>
      </c>
      <c r="B13" s="30">
        <f>IF($K13="","",INDEX(Pratos!$A$5:$A$104,MATCH($K13,Pratos!$P$5:$P$104,0)))</f>
        <v>0</v>
      </c>
      <c r="C13" s="30"/>
      <c r="D13" s="30"/>
      <c r="E13" s="27">
        <f>IF($K13="","",INDEX(Pratos!$H$5:$H$104,MATCH($K13,Pratos!$P$5:$P$104,0)))</f>
        <v>0</v>
      </c>
      <c r="F13" s="24">
        <f>IF($K13="","",INDEX(Pratos!$G$5:$G$104,MATCH($K13,Pratos!$P$5:$P$104,0)))</f>
        <v>0</v>
      </c>
      <c r="G13" s="24">
        <f>IF($K13="","",INDEX(Pratos!$D$5:$D$104,MATCH($K13,Pratos!$P$5:$P$104,0)))</f>
        <v>0</v>
      </c>
      <c r="H13" s="34">
        <f>IF($K13="","",INDEX(Pratos!$J$5:$J$104,MATCH($K13,Pratos!$P$5:$P$104,0)))</f>
        <v>0</v>
      </c>
      <c r="I13" s="23">
        <f>IF($K13="","",INDEX(Pratos!$N$5:$N$104,MATCH($K13,Pratos!$P$5:$P$104,0)))</f>
        <v>0</v>
      </c>
      <c r="K13" s="45">
        <f>IFERROR(LARGE(Pratos!$P$5:$P$104,2),"")</f>
        <v>0</v>
      </c>
    </row>
    <row r="14" spans="1:11">
      <c r="A14" s="44">
        <v>3</v>
      </c>
      <c r="B14" s="30">
        <f>IF($K14="","",INDEX(Pratos!$A$5:$A$104,MATCH($K14,Pratos!$P$5:$P$104,0)))</f>
        <v>0</v>
      </c>
      <c r="C14" s="30"/>
      <c r="D14" s="30"/>
      <c r="E14" s="27">
        <f>IF($K14="","",INDEX(Pratos!$H$5:$H$104,MATCH($K14,Pratos!$P$5:$P$104,0)))</f>
        <v>0</v>
      </c>
      <c r="F14" s="24">
        <f>IF($K14="","",INDEX(Pratos!$G$5:$G$104,MATCH($K14,Pratos!$P$5:$P$104,0)))</f>
        <v>0</v>
      </c>
      <c r="G14" s="24">
        <f>IF($K14="","",INDEX(Pratos!$D$5:$D$104,MATCH($K14,Pratos!$P$5:$P$104,0)))</f>
        <v>0</v>
      </c>
      <c r="H14" s="34">
        <f>IF($K14="","",INDEX(Pratos!$J$5:$J$104,MATCH($K14,Pratos!$P$5:$P$104,0)))</f>
        <v>0</v>
      </c>
      <c r="I14" s="23">
        <f>IF($K14="","",INDEX(Pratos!$N$5:$N$104,MATCH($K14,Pratos!$P$5:$P$104,0)))</f>
        <v>0</v>
      </c>
      <c r="K14" s="45">
        <f>IFERROR(LARGE(Pratos!$P$5:$P$104,3),"")</f>
        <v>0</v>
      </c>
    </row>
    <row r="15" spans="1:11">
      <c r="A15" s="44">
        <v>4</v>
      </c>
      <c r="B15" s="30">
        <f>IF($K15="","",INDEX(Pratos!$A$5:$A$104,MATCH($K15,Pratos!$P$5:$P$104,0)))</f>
        <v>0</v>
      </c>
      <c r="C15" s="30"/>
      <c r="D15" s="30"/>
      <c r="E15" s="27">
        <f>IF($K15="","",INDEX(Pratos!$H$5:$H$104,MATCH($K15,Pratos!$P$5:$P$104,0)))</f>
        <v>0</v>
      </c>
      <c r="F15" s="24">
        <f>IF($K15="","",INDEX(Pratos!$G$5:$G$104,MATCH($K15,Pratos!$P$5:$P$104,0)))</f>
        <v>0</v>
      </c>
      <c r="G15" s="24">
        <f>IF($K15="","",INDEX(Pratos!$D$5:$D$104,MATCH($K15,Pratos!$P$5:$P$104,0)))</f>
        <v>0</v>
      </c>
      <c r="H15" s="34">
        <f>IF($K15="","",INDEX(Pratos!$J$5:$J$104,MATCH($K15,Pratos!$P$5:$P$104,0)))</f>
        <v>0</v>
      </c>
      <c r="I15" s="23">
        <f>IF($K15="","",INDEX(Pratos!$N$5:$N$104,MATCH($K15,Pratos!$P$5:$P$104,0)))</f>
        <v>0</v>
      </c>
      <c r="K15" s="45">
        <f>IFERROR(LARGE(Pratos!$P$5:$P$104,4),"")</f>
        <v>0</v>
      </c>
    </row>
    <row r="16" spans="1:11">
      <c r="A16" s="44">
        <v>5</v>
      </c>
      <c r="B16" s="30">
        <f>IF($K16="","",INDEX(Pratos!$A$5:$A$104,MATCH($K16,Pratos!$P$5:$P$104,0)))</f>
        <v>0</v>
      </c>
      <c r="C16" s="30"/>
      <c r="D16" s="30"/>
      <c r="E16" s="27">
        <f>IF($K16="","",INDEX(Pratos!$H$5:$H$104,MATCH($K16,Pratos!$P$5:$P$104,0)))</f>
        <v>0</v>
      </c>
      <c r="F16" s="24">
        <f>IF($K16="","",INDEX(Pratos!$G$5:$G$104,MATCH($K16,Pratos!$P$5:$P$104,0)))</f>
        <v>0</v>
      </c>
      <c r="G16" s="24">
        <f>IF($K16="","",INDEX(Pratos!$D$5:$D$104,MATCH($K16,Pratos!$P$5:$P$104,0)))</f>
        <v>0</v>
      </c>
      <c r="H16" s="34">
        <f>IF($K16="","",INDEX(Pratos!$J$5:$J$104,MATCH($K16,Pratos!$P$5:$P$104,0)))</f>
        <v>0</v>
      </c>
      <c r="I16" s="23">
        <f>IF($K16="","",INDEX(Pratos!$N$5:$N$104,MATCH($K16,Pratos!$P$5:$P$104,0)))</f>
        <v>0</v>
      </c>
      <c r="K16" s="45">
        <f>IFERROR(LARGE(Pratos!$P$5:$P$104,5),"")</f>
        <v>0</v>
      </c>
    </row>
    <row r="18" spans="1:10">
      <c r="A18" s="3" t="s">
        <v>152</v>
      </c>
      <c r="B18" s="3"/>
      <c r="C18" s="3"/>
      <c r="D18" s="3"/>
      <c r="F18" s="3" t="s">
        <v>157</v>
      </c>
      <c r="G18" s="3"/>
      <c r="H18" s="3"/>
      <c r="I18" s="3"/>
      <c r="J18" s="3"/>
    </row>
    <row r="19" spans="1:10" ht="20" customHeight="1">
      <c r="A19" s="10" t="s">
        <v>151</v>
      </c>
      <c r="B19" s="10" t="s">
        <v>20</v>
      </c>
      <c r="F19" s="10" t="s">
        <v>114</v>
      </c>
      <c r="G19" s="10"/>
      <c r="H19" s="10"/>
      <c r="I19" s="10" t="s">
        <v>158</v>
      </c>
      <c r="J19" s="10"/>
    </row>
    <row r="20" spans="1:10">
      <c r="A20" s="46" t="s">
        <v>153</v>
      </c>
      <c r="B20" s="47">
        <f>COUNTIF(Pratos!$N$5:$N$104,A20)</f>
        <v>0</v>
      </c>
      <c r="F20" s="30" t="str">
        <f>IF(INDEX(Motivos,1)="","",INDEX(Motivos,1))</f>
        <v>Vencimento</v>
      </c>
      <c r="G20" s="30"/>
      <c r="H20" s="30"/>
      <c r="I20" s="24">
        <f>IF($F20="","",SUMIFS('Desperdício'!$G$5:$G$504,'Desperdício'!$D$5:$D$504,$F20,'Desperdício'!$H$5:$H$504,MesRef))</f>
        <v>0</v>
      </c>
      <c r="J20" s="24"/>
    </row>
    <row r="21" spans="1:10">
      <c r="A21" s="46" t="s">
        <v>154</v>
      </c>
      <c r="B21" s="47">
        <f>COUNTIF(Pratos!$N$5:$N$104,A21)</f>
        <v>0</v>
      </c>
      <c r="F21" s="30" t="str">
        <f>IF(INDEX(Motivos,2)="","",INDEX(Motivos,2))</f>
        <v>Erro de preparo</v>
      </c>
      <c r="G21" s="30"/>
      <c r="H21" s="30"/>
      <c r="I21" s="24">
        <f>IF($F21="","",SUMIFS('Desperdício'!$G$5:$G$504,'Desperdício'!$D$5:$D$504,$F21,'Desperdício'!$H$5:$H$504,MesRef))</f>
        <v>0</v>
      </c>
      <c r="J21" s="24"/>
    </row>
    <row r="22" spans="1:10">
      <c r="A22" s="46" t="s">
        <v>155</v>
      </c>
      <c r="B22" s="47">
        <f>COUNTIF(Pratos!$N$5:$N$104,A22)</f>
        <v>0</v>
      </c>
      <c r="F22" s="30" t="str">
        <f>IF(INDEX(Motivos,3)="","",INDEX(Motivos,3))</f>
        <v>Sobra de produção</v>
      </c>
      <c r="G22" s="30"/>
      <c r="H22" s="30"/>
      <c r="I22" s="24">
        <f>IF($F22="","",SUMIFS('Desperdício'!$G$5:$G$504,'Desperdício'!$D$5:$D$504,$F22,'Desperdício'!$H$5:$H$504,MesRef))</f>
        <v>0</v>
      </c>
      <c r="J22" s="24"/>
    </row>
    <row r="23" spans="1:10">
      <c r="A23" s="46" t="s">
        <v>156</v>
      </c>
      <c r="B23" s="47">
        <f>COUNTIF(Pratos!$N$5:$N$104,A23)</f>
        <v>0</v>
      </c>
      <c r="F23" s="30" t="str">
        <f>IF(INDEX(Motivos,4)="","",INDEX(Motivos,4))</f>
        <v>Queda / quebra</v>
      </c>
      <c r="G23" s="30"/>
      <c r="H23" s="30"/>
      <c r="I23" s="24">
        <f>IF($F23="","",SUMIFS('Desperdício'!$G$5:$G$504,'Desperdício'!$D$5:$D$504,$F23,'Desperdício'!$H$5:$H$504,MesRef))</f>
        <v>0</v>
      </c>
      <c r="J23" s="24"/>
    </row>
    <row r="24" spans="1:10">
      <c r="F24" s="30" t="str">
        <f>IF(INDEX(Motivos,5)="","",INDEX(Motivos,5))</f>
        <v>Devolução do cliente</v>
      </c>
      <c r="G24" s="30"/>
      <c r="H24" s="30"/>
      <c r="I24" s="24">
        <f>IF($F24="","",SUMIFS('Desperdício'!$G$5:$G$504,'Desperdício'!$D$5:$D$504,$F24,'Desperdício'!$H$5:$H$504,MesRef))</f>
        <v>0</v>
      </c>
      <c r="J24" s="24"/>
    </row>
    <row r="25" spans="1:10">
      <c r="F25" s="30" t="str">
        <f>IF(INDEX(Motivos,6)="","",INDEX(Motivos,6))</f>
        <v>Outros</v>
      </c>
      <c r="G25" s="30"/>
      <c r="H25" s="30"/>
      <c r="I25" s="24">
        <f>IF($F25="","",SUMIFS('Desperdício'!$G$5:$G$504,'Desperdício'!$D$5:$D$504,$F25,'Desperdício'!$H$5:$H$504,MesRef))</f>
        <v>0</v>
      </c>
      <c r="J25" s="24"/>
    </row>
  </sheetData>
  <sheetProtection sheet="1" objects="1" scenarios="1"/>
  <mergeCells count="45">
    <mergeCell ref="A1:J1"/>
    <mergeCell ref="A2:J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A7:B7"/>
    <mergeCell ref="A8:B8"/>
    <mergeCell ref="C7:D7"/>
    <mergeCell ref="C8:D8"/>
    <mergeCell ref="E7:F7"/>
    <mergeCell ref="E8:F8"/>
    <mergeCell ref="G7:H7"/>
    <mergeCell ref="G8:H8"/>
    <mergeCell ref="I7:J7"/>
    <mergeCell ref="I8:J8"/>
    <mergeCell ref="A10:J10"/>
    <mergeCell ref="B11:D11"/>
    <mergeCell ref="B12:D12"/>
    <mergeCell ref="B13:D13"/>
    <mergeCell ref="B14:D14"/>
    <mergeCell ref="B15:D15"/>
    <mergeCell ref="B16:D16"/>
    <mergeCell ref="A18:D18"/>
    <mergeCell ref="F18:J18"/>
    <mergeCell ref="F19:H19"/>
    <mergeCell ref="I19:J19"/>
    <mergeCell ref="F20:H20"/>
    <mergeCell ref="I20:J20"/>
    <mergeCell ref="F21:H21"/>
    <mergeCell ref="I21:J21"/>
    <mergeCell ref="F22:H22"/>
    <mergeCell ref="I22:J22"/>
    <mergeCell ref="F23:H23"/>
    <mergeCell ref="I23:J23"/>
    <mergeCell ref="F24:H24"/>
    <mergeCell ref="I24:J24"/>
    <mergeCell ref="F25:H25"/>
    <mergeCell ref="I25:J25"/>
  </mergeCells>
  <pageMargins left="0.7" right="0.7" top="0.75" bottom="0.75" header="0.3" footer="0.3"/>
  <pageSetup paperSize="9" orientation="landscape"/>
  <headerFooter>
    <oddFooter>&amp;L&amp;8Carvex XLS - Ficha Técnica e CMV para Restaurantes&amp;R&amp;8Página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Início</vt:lpstr>
      <vt:lpstr>Config</vt:lpstr>
      <vt:lpstr>Insumos</vt:lpstr>
      <vt:lpstr>Fichas</vt:lpstr>
      <vt:lpstr>Pratos</vt:lpstr>
      <vt:lpstr>Calc</vt:lpstr>
      <vt:lpstr>Desperdício</vt:lpstr>
      <vt:lpstr>CMV Mensal</vt:lpstr>
      <vt:lpstr>Dashboard</vt:lpstr>
      <vt:lpstr>Ano</vt:lpstr>
      <vt:lpstr>CatPrato</vt:lpstr>
      <vt:lpstr>CMVMeta</vt:lpstr>
      <vt:lpstr>ImpTaxa</vt:lpstr>
      <vt:lpstr>InsBruto</vt:lpstr>
      <vt:lpstr>InsNome</vt:lpstr>
      <vt:lpstr>InsUnid</vt:lpstr>
      <vt:lpstr>InsUtil</vt:lpstr>
      <vt:lpstr>MCmed</vt:lpstr>
      <vt:lpstr>MesRef</vt:lpstr>
      <vt:lpstr>Motivos</vt:lpstr>
      <vt:lpstr>NPratos</vt:lpstr>
      <vt:lpstr>PratoCusto</vt:lpstr>
      <vt:lpstr>PratoNome</vt:lpstr>
      <vt:lpstr>PratoQtd</vt:lpstr>
      <vt:lpstr>Unidades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Ficha Técnica e CMV para Restaurantes</dc:title>
  <dc:creator>Carvex XLS</dc:creator>
  <dc:description>Planilha empresarial Carvex XLS</dc:description>
  <cp:lastModifiedBy>Carvex XLS</cp:lastModifiedBy>
  <dcterms:created xsi:type="dcterms:W3CDTF">2026-10-08T12:30:51Z</dcterms:created>
  <dcterms:modified xsi:type="dcterms:W3CDTF">2026-10-08T12:30:51Z</dcterms:modified>
</cp:coreProperties>
</file>