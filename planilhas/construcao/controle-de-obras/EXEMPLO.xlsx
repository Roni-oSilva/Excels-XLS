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Cronograma" sheetId="3" r:id="rId3"/>
    <sheet name="Orçamento" sheetId="4" r:id="rId4"/>
    <sheet name="Custos" sheetId="5" r:id="rId5"/>
    <sheet name="Medições" sheetId="6" r:id="rId6"/>
    <sheet name="Resumo" sheetId="7" r:id="rId7"/>
  </sheets>
  <definedNames>
    <definedName name="_xlnm._FilterDatabase" localSheetId="4" hidden="1">Custos!$A$4:$J$1504</definedName>
    <definedName name="_xlnm._FilterDatabase" localSheetId="3" hidden="1">Orçamento!$A$4:$G$304</definedName>
    <definedName name="CatCusto">Config!$E$5:$E$24</definedName>
    <definedName name="Contrato">Config!$C$6</definedName>
    <definedName name="CustoCat">Custos!$C$5:$C$1504</definedName>
    <definedName name="CustoData">Custos!$A$5:$A$1504</definedName>
    <definedName name="CustoEtapa">Custos!$B$5:$B$1504</definedName>
    <definedName name="CustoMes">Custos!$I$5:$I$1504</definedName>
    <definedName name="CustoStatus">Custos!$G$5:$G$1504</definedName>
    <definedName name="CustoValor">Custos!$F$5:$F$1504</definedName>
    <definedName name="DataFim">Config!$C$8</definedName>
    <definedName name="DataIni">Config!$C$7</definedName>
    <definedName name="EtapaLista">Cronograma!$A$5:$A$24</definedName>
    <definedName name="Forn">Config!$G$5:$G$24</definedName>
    <definedName name="Hoje">Config!$C$10</definedName>
    <definedName name="MargemAlvo">Config!$C$9</definedName>
    <definedName name="OrcCat">Orçamento!$C$5:$C$304</definedName>
    <definedName name="OrcEtapa">Orçamento!$A$5:$A$304</definedName>
    <definedName name="OrcTotal">Orçamento!$G$5:$G$304</definedName>
  </definedNames>
  <calcPr calcId="124519" fullCalcOnLoad="1"/>
</workbook>
</file>

<file path=xl/sharedStrings.xml><?xml version="1.0" encoding="utf-8"?>
<sst xmlns="http://schemas.openxmlformats.org/spreadsheetml/2006/main" count="480" uniqueCount="229">
  <si>
    <t>Controle de Obras</t>
  </si>
  <si>
    <t>Carvex XLS · Descubra o estouro de custo e prazo enquanto ainda dá tempo de agir</t>
  </si>
  <si>
    <t>ESTE É O ARQUIVO DE EXEMPLO: todos os dados são fictícios. Use-o para entender como a planilha funciona e comece a sua pela PLANILHA-LIMPA.xlsx.</t>
  </si>
  <si>
    <t>O que esta planilha faz</t>
  </si>
  <si>
    <t>Monte o orçamento por etapa, lance os custos reais e atualize o % físico de cada etapa. A planilha compara orçado x realizado, projeta o custo final da obra, calcula a margem prevista, mostra o cronograma em Gantt e controla as medições recebidas.</t>
  </si>
  <si>
    <t>Como começar (5 minutos)</t>
  </si>
  <si>
    <t>1. Config</t>
  </si>
  <si>
    <t>Informe o nome da obra, o valor do contrato, as datas de início e fim previstas e a margem mínima que você aceita.</t>
  </si>
  <si>
    <t>2. Cronograma</t>
  </si>
  <si>
    <t>Liste as etapas (até 20) com início e fim previstos. Atualize o % físico executado toda semana.</t>
  </si>
  <si>
    <t>3. Orçamento</t>
  </si>
  <si>
    <t>Para cada etapa, liste os itens: categoria, unidade, quantidade e custo unitário. O total orçado é calculado.</t>
  </si>
  <si>
    <t>4. Custos</t>
  </si>
  <si>
    <t>Lance cada nota, compra, folha ou serviço pago com data, etapa e categoria. Marque Pago ou A pagar.</t>
  </si>
  <si>
    <t>5. Medições</t>
  </si>
  <si>
    <t>Registre as medições (faturamentos) à obra e os recebimentos. Veja tudo no Resumo.</t>
  </si>
  <si>
    <t>Mapa das abas (clique para ir)</t>
  </si>
  <si>
    <t>Config</t>
  </si>
  <si>
    <t>Dados da obra, contrato e parâmetros.</t>
  </si>
  <si>
    <t>Cronograma</t>
  </si>
  <si>
    <t>Etapas, datas, % físico e Gantt automático.</t>
  </si>
  <si>
    <t>Orçamento</t>
  </si>
  <si>
    <t>Itens orçados por etapa e categoria.</t>
  </si>
  <si>
    <t>Custos</t>
  </si>
  <si>
    <t>Custos reais lançados.</t>
  </si>
  <si>
    <t>Medições</t>
  </si>
  <si>
    <t>Faturamentos e recebimentos da obra.</t>
  </si>
  <si>
    <t>Resumo</t>
  </si>
  <si>
    <t>Margem prevista, custo projetado, orçado x realizado e fluxo.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</si>
  <si>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</si>
  <si>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</si>
  <si>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</si>
  <si>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</si>
  <si>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</si>
  <si>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</si>
  <si>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</si>
  <si>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</si>
  <si>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O nome da etapa deve ser igual no Cronograma, Orçamento e Custos (use a lista suspensa).</t>
  </si>
  <si>
    <t>• Atualize o % físico com a realidade do canteiro: é ele que permite projetar o custo final (custo real / % físico).</t>
  </si>
  <si>
    <t>• Projeção de custo é uma estimativa. Revise com o engenheiro responsável antes de decidir.</t>
  </si>
  <si>
    <t>Carvex XLS · Controle de Obras (Orçado x Realizado) · versão 1.0 · Dúvidas: consulte o TUTORIAL.md e o MANUAL.md que acompanham o produto.</t>
  </si>
  <si>
    <t>Dados da obra</t>
  </si>
  <si>
    <t>Preencha as células amarelas.</t>
  </si>
  <si>
    <t>EXEMPLO - dados fictícios</t>
  </si>
  <si>
    <t>Obra</t>
  </si>
  <si>
    <t>Reforma Comercial Exemplo</t>
  </si>
  <si>
    <t>Cliente</t>
  </si>
  <si>
    <t>Cliente Exemplo</t>
  </si>
  <si>
    <t>Valor do contrato (R$)</t>
  </si>
  <si>
    <t>Início previsto</t>
  </si>
  <si>
    <t>Fim previsto</t>
  </si>
  <si>
    <t>Margem mínima aceitável (%)</t>
  </si>
  <si>
    <t>Data de hoje (referência)</t>
  </si>
  <si>
    <t>Categorias de custo</t>
  </si>
  <si>
    <t>Fornecedores</t>
  </si>
  <si>
    <t>Material</t>
  </si>
  <si>
    <t>Depósito de Materiais Exemplo</t>
  </si>
  <si>
    <t>Mão de obra</t>
  </si>
  <si>
    <t>Concreteira Exemplo</t>
  </si>
  <si>
    <t>Equipamentos</t>
  </si>
  <si>
    <t>Elétrica Exemplo</t>
  </si>
  <si>
    <t>Subempreitada</t>
  </si>
  <si>
    <t>Hidráulica Exemplo</t>
  </si>
  <si>
    <t>Projetos e taxas</t>
  </si>
  <si>
    <t>Equipe de Pedreiros A</t>
  </si>
  <si>
    <t>Outros</t>
  </si>
  <si>
    <t>Equipe de Acabamento B</t>
  </si>
  <si>
    <t>Locadora Exemplo</t>
  </si>
  <si>
    <t>Esquadrias Exemplo</t>
  </si>
  <si>
    <t>Tintas Exemplo</t>
  </si>
  <si>
    <t>Escritório de Projetos Exemplo</t>
  </si>
  <si>
    <t>Cronograma e Gantt</t>
  </si>
  <si>
    <t>Verde claro = previsto. Verde escuro = executado (% físico). Coluna destacada = semana atual.</t>
  </si>
  <si>
    <t>Etapa</t>
  </si>
  <si>
    <t>% físico executado</t>
  </si>
  <si>
    <t>Início real</t>
  </si>
  <si>
    <t>Fim real</t>
  </si>
  <si>
    <t>Duração (dias)</t>
  </si>
  <si>
    <t>% do tempo decorrido</t>
  </si>
  <si>
    <t>Físico - tempo</t>
  </si>
  <si>
    <t>SITUAÇÃO</t>
  </si>
  <si>
    <t>Peso no orçamento</t>
  </si>
  <si>
    <t>Serviços preliminares</t>
  </si>
  <si>
    <t>Fundação</t>
  </si>
  <si>
    <t>Estrutura</t>
  </si>
  <si>
    <t>Alvenaria</t>
  </si>
  <si>
    <t>Instalações elétricas</t>
  </si>
  <si>
    <t>Instalações hidráulicas</t>
  </si>
  <si>
    <t>Revestimentos</t>
  </si>
  <si>
    <t>Esquadrias</t>
  </si>
  <si>
    <t>Pintura</t>
  </si>
  <si>
    <t>Acabamentos e limpeza</t>
  </si>
  <si>
    <t>Orçamento por etapa</t>
  </si>
  <si>
    <t>Custo orçado (sem BDI). Total = quantidade x custo unitário.</t>
  </si>
  <si>
    <t>Item / serviço</t>
  </si>
  <si>
    <t>Categoria</t>
  </si>
  <si>
    <t>Un.</t>
  </si>
  <si>
    <t>Quantidade</t>
  </si>
  <si>
    <t>Custo unitário (R$)</t>
  </si>
  <si>
    <t>TOTAL ORÇADO (R$)</t>
  </si>
  <si>
    <t>Serviços preliminares - mão de obra</t>
  </si>
  <si>
    <t>vb</t>
  </si>
  <si>
    <t>Serviços preliminares - subempreitada</t>
  </si>
  <si>
    <t>m³</t>
  </si>
  <si>
    <t>Serviços preliminares - material</t>
  </si>
  <si>
    <t>Fundação - mão de obra</t>
  </si>
  <si>
    <t>h</t>
  </si>
  <si>
    <t>Fundação - material</t>
  </si>
  <si>
    <t>Fundação - equipamentos</t>
  </si>
  <si>
    <t>Estrutura - subempreitada</t>
  </si>
  <si>
    <t>Estrutura - equipamentos</t>
  </si>
  <si>
    <t>Estrutura - material</t>
  </si>
  <si>
    <t>un</t>
  </si>
  <si>
    <t>Alvenaria - mão de obra</t>
  </si>
  <si>
    <t>m²</t>
  </si>
  <si>
    <t>Alvenaria - material</t>
  </si>
  <si>
    <t>Alvenaria - subempreitada</t>
  </si>
  <si>
    <t>kg</t>
  </si>
  <si>
    <t>Instalações elétricas - material</t>
  </si>
  <si>
    <t>Instalações elétricas - subempreitada</t>
  </si>
  <si>
    <t>Instalações elétricas - equipamentos</t>
  </si>
  <si>
    <t>Instalações hidráulicas - material</t>
  </si>
  <si>
    <t>Instalações hidráulicas - mão de obra</t>
  </si>
  <si>
    <t>Instalações hidráulicas - equipamentos</t>
  </si>
  <si>
    <t>Revestimentos - subempreitada</t>
  </si>
  <si>
    <t>Revestimentos - material</t>
  </si>
  <si>
    <t>Revestimentos - equipamentos</t>
  </si>
  <si>
    <t>Esquadrias - equipamentos</t>
  </si>
  <si>
    <t>Esquadrias - mão de obra</t>
  </si>
  <si>
    <t>Esquadrias - subempreitada</t>
  </si>
  <si>
    <t>Pintura - equipamentos</t>
  </si>
  <si>
    <t>Pintura - mão de obra</t>
  </si>
  <si>
    <t>Pintura - material</t>
  </si>
  <si>
    <t>Acabamentos e limpeza - subempreitada</t>
  </si>
  <si>
    <t>Acabamentos e limpeza - material</t>
  </si>
  <si>
    <t>Acabamentos e limpeza - equipamentos</t>
  </si>
  <si>
    <t>Total orçado:</t>
  </si>
  <si>
    <t>Custos reais da obra</t>
  </si>
  <si>
    <t>Lance cada pagamento/nota. Marque 'A pagar' o que ainda não saiu do caixa.</t>
  </si>
  <si>
    <t>Data</t>
  </si>
  <si>
    <t>Fornecedor</t>
  </si>
  <si>
    <t>Descrição</t>
  </si>
  <si>
    <t>Valor (R$)</t>
  </si>
  <si>
    <t>Status</t>
  </si>
  <si>
    <t>Vencimento</t>
  </si>
  <si>
    <t>Mês</t>
  </si>
  <si>
    <t>Conferência</t>
  </si>
  <si>
    <t>Pagamento serviços preliminares (1/5)</t>
  </si>
  <si>
    <t>Pago</t>
  </si>
  <si>
    <t>Pagamento serviços preliminares (2/5)</t>
  </si>
  <si>
    <t>Pagamento serviços preliminares (3/5)</t>
  </si>
  <si>
    <t>Pagamento serviços preliminares (4/5)</t>
  </si>
  <si>
    <t>Pagamento serviços preliminares (5/5)</t>
  </si>
  <si>
    <t>Pagamento fundação (1/4)</t>
  </si>
  <si>
    <t>Pagamento fundação (2/4)</t>
  </si>
  <si>
    <t>Pagamento fundação (3/4)</t>
  </si>
  <si>
    <t>Pagamento fundação (4/4)</t>
  </si>
  <si>
    <t>Pagamento estrutura (1/4)</t>
  </si>
  <si>
    <t>Pagamento estrutura (2/4)</t>
  </si>
  <si>
    <t>Pagamento estrutura (3/4)</t>
  </si>
  <si>
    <t>Pagamento alvenaria (1/4)</t>
  </si>
  <si>
    <t>Pagamento estrutura (4/4)</t>
  </si>
  <si>
    <t>Pagamento alvenaria (2/4)</t>
  </si>
  <si>
    <t>Pagamento alvenaria (3/4)</t>
  </si>
  <si>
    <t>Pagamento instalações elétricas (1/6)</t>
  </si>
  <si>
    <t>Pagamento instalações hidráulicas (1/4)</t>
  </si>
  <si>
    <t>Pagamento alvenaria (4/4)</t>
  </si>
  <si>
    <t>Pagamento instalações elétricas (2/6)</t>
  </si>
  <si>
    <t>Pagamento instalações hidráulicas (2/4)</t>
  </si>
  <si>
    <t>Pagamento instalações elétricas (3/6)</t>
  </si>
  <si>
    <t>Pagamento revestimentos (1/6)</t>
  </si>
  <si>
    <t>Pagamento instalações hidráulicas (3/4)</t>
  </si>
  <si>
    <t>Pagamento revestimentos (2/6)</t>
  </si>
  <si>
    <t>Pagamento instalações elétricas (4/6)</t>
  </si>
  <si>
    <t>Pagamento revestimentos (3/6)</t>
  </si>
  <si>
    <t>A pagar</t>
  </si>
  <si>
    <t>Pagamento instalações hidráulicas (4/4)</t>
  </si>
  <si>
    <t>Pagamento instalações elétricas (5/6)</t>
  </si>
  <si>
    <t>Pagamento revestimentos (4/6)</t>
  </si>
  <si>
    <t>Pagamento revestimentos (5/6)</t>
  </si>
  <si>
    <t>Pagamento revestimentos (6/6)</t>
  </si>
  <si>
    <t>Pagamento esquadrias (1/5)</t>
  </si>
  <si>
    <t>Pagamento esquadrias (2/5)</t>
  </si>
  <si>
    <t>Pagamento esquadrias (4/5)</t>
  </si>
  <si>
    <t>Pagamento instalações elétricas (6/6)</t>
  </si>
  <si>
    <t>Pagamento esquadrias (3/5)</t>
  </si>
  <si>
    <t>Pagamento esquadrias (5/5)</t>
  </si>
  <si>
    <t>Medições e recebimentos</t>
  </si>
  <si>
    <t>Cada medição é um faturamento ao cliente. Preencha data e valor ao receber.</t>
  </si>
  <si>
    <t>Nº</t>
  </si>
  <si>
    <t>Data da medição</t>
  </si>
  <si>
    <t>Valor medido (R$)</t>
  </si>
  <si>
    <t>Data do recebimento</t>
  </si>
  <si>
    <t>Valor recebido (R$)</t>
  </si>
  <si>
    <t>Saldo a receber</t>
  </si>
  <si>
    <t>Situação</t>
  </si>
  <si>
    <t>Medição 1: serviços preliminares e início da fundação</t>
  </si>
  <si>
    <t>Medição 2: fundação concluída</t>
  </si>
  <si>
    <t>Medição 3: estrutura 70%</t>
  </si>
  <si>
    <t>Medição 4: estrutura concluída e alvenaria 40%</t>
  </si>
  <si>
    <t>Medição 5: alvenaria e instalações</t>
  </si>
  <si>
    <t>Medição 6: revestimentos (prevista)</t>
  </si>
  <si>
    <t>Resumo da obra</t>
  </si>
  <si>
    <t>Orçado x realizado, custo projetado e margem prevista. Atualiza sozinho.</t>
  </si>
  <si>
    <t>Etapas: orçado, realizado e custo projetado</t>
  </si>
  <si>
    <t>Orçado</t>
  </si>
  <si>
    <t>Realizado</t>
  </si>
  <si>
    <t>% físico</t>
  </si>
  <si>
    <t>Custo projetado (EAC)</t>
  </si>
  <si>
    <t>Desvio projetado (R$)</t>
  </si>
  <si>
    <t>Desvio %</t>
  </si>
  <si>
    <t>TOTAL DA OBRA</t>
  </si>
  <si>
    <t>VALOR DO CONTRATO</t>
  </si>
  <si>
    <t>ORÇADO</t>
  </si>
  <si>
    <t>REALIZADO</t>
  </si>
  <si>
    <t>% CUSTO CONSUMIDO</t>
  </si>
  <si>
    <t>% FÍSICO DA OBRA</t>
  </si>
  <si>
    <t>CUSTO FINAL PROJETADO</t>
  </si>
  <si>
    <t>MARGEM PREVISTA (R$)</t>
  </si>
  <si>
    <t>MARGEM PREVISTA (%)</t>
  </si>
  <si>
    <t>MARGEM ORÇADA (%)</t>
  </si>
  <si>
    <t>ALERTA</t>
  </si>
  <si>
    <t>RECEBIDO (medições)</t>
  </si>
  <si>
    <t>PAGO (custos)</t>
  </si>
  <si>
    <t>SALDO DE CAIXA DA OBRA</t>
  </si>
  <si>
    <t>A RECEBER (medições)</t>
  </si>
  <si>
    <t>ETAPAS ATRASADAS</t>
  </si>
  <si>
    <t>Custos por categoria</t>
  </si>
  <si>
    <t>% do realizado</t>
  </si>
</sst>
</file>

<file path=xl/styles.xml><?xml version="1.0" encoding="utf-8"?>
<styleSheet xmlns="http://schemas.openxmlformats.org/spreadsheetml/2006/main">
  <numFmts count="8">
    <numFmt numFmtId="164" formatCode="&quot;R$&quot; #,##0.00;[Red]-&quot;R$&quot; #,##0.00"/>
    <numFmt numFmtId="165" formatCode="dd/mm/yyyy"/>
    <numFmt numFmtId="166" formatCode="0%"/>
    <numFmt numFmtId="167" formatCode="dd/mm"/>
    <numFmt numFmtId="168" formatCode="#,##0"/>
    <numFmt numFmtId="169" formatCode="0.0%"/>
    <numFmt numFmtId="170" formatCode="#,##0.##"/>
    <numFmt numFmtId="171" formatCode="mmm/yy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6"/>
      <color rgb="FFDC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7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horizontal="center" vertical="center"/>
      <protection locked="0"/>
    </xf>
    <xf numFmtId="167" fontId="13" fillId="2" borderId="3" xfId="0" applyNumberFormat="1" applyFont="1" applyFill="1" applyBorder="1" applyAlignment="1">
      <alignment horizontal="center" vertical="center" textRotation="90" wrapText="1"/>
    </xf>
    <xf numFmtId="168" fontId="14" fillId="5" borderId="1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9" fontId="14" fillId="5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164" fontId="6" fillId="6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70" fontId="7" fillId="4" borderId="1" xfId="0" applyNumberFormat="1" applyFont="1" applyFill="1" applyBorder="1" applyAlignment="1" applyProtection="1">
      <alignment vertical="center"/>
      <protection locked="0"/>
    </xf>
    <xf numFmtId="164" fontId="10" fillId="5" borderId="1" xfId="0" applyNumberFormat="1" applyFont="1" applyFill="1" applyBorder="1" applyAlignment="1">
      <alignment vertical="center"/>
    </xf>
    <xf numFmtId="171" fontId="14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164" fontId="14" fillId="5" borderId="1" xfId="0" applyNumberFormat="1" applyFont="1" applyFill="1" applyBorder="1" applyAlignment="1">
      <alignment vertical="center"/>
    </xf>
    <xf numFmtId="0" fontId="15" fillId="7" borderId="5" xfId="0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/>
    </xf>
    <xf numFmtId="169" fontId="16" fillId="7" borderId="6" xfId="0" applyNumberFormat="1" applyFont="1" applyFill="1" applyBorder="1" applyAlignment="1">
      <alignment horizontal="center" vertical="center"/>
    </xf>
    <xf numFmtId="164" fontId="17" fillId="7" borderId="6" xfId="0" applyNumberFormat="1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168" fontId="18" fillId="7" borderId="6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9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color rgb="FFFFFFFF"/>
      </font>
      <fill>
        <patternFill>
          <bgColor rgb="FFDC2626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374151"/>
      </font>
      <fill>
        <patternFill>
          <bgColor rgb="FFE5E7EB"/>
        </patternFill>
      </fill>
    </dxf>
    <dxf>
      <fill>
        <patternFill>
          <bgColor rgb="FF0B3B24"/>
        </patternFill>
      </fill>
    </dxf>
    <dxf>
      <fill>
        <patternFill>
          <bgColor rgb="FF86EFAC"/>
        </patternFill>
      </fill>
    </dxf>
    <dxf>
      <fill>
        <patternFill>
          <bgColor rgb="FFFEF3C7"/>
        </patternFill>
      </fill>
    </dxf>
    <dxf>
      <font>
        <b/>
        <color rgb="FFDC2626"/>
      </font>
    </dxf>
    <dxf>
      <font>
        <b/>
        <color rgb="FFB45309"/>
      </font>
    </dxf>
    <dxf>
      <font>
        <b/>
        <color rgb="FF1E40AF"/>
      </font>
      <fill>
        <patternFill>
          <bgColor rgb="FFDBEAF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Orçado x projetado x realizado por etapa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Orçado</c:v>
          </c:tx>
          <c:spPr>
            <a:solidFill>
              <a:srgbClr val="D1D5DB"/>
            </a:solidFill>
          </c:spPr>
          <c:cat>
            <c:strRef>
              <c:f>Resumo!$A$15:$A$24</c:f>
              <c:strCache>
                <c:ptCount val="10"/>
                <c:pt idx="0">
                  <c:v>Serviços preliminares</c:v>
                </c:pt>
                <c:pt idx="1">
                  <c:v>Fundação</c:v>
                </c:pt>
                <c:pt idx="2">
                  <c:v>Estrutura</c:v>
                </c:pt>
                <c:pt idx="3">
                  <c:v>Alvenaria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</c:v>
                </c:pt>
                <c:pt idx="7">
                  <c:v>Esquadrias</c:v>
                </c:pt>
                <c:pt idx="8">
                  <c:v>Pintura</c:v>
                </c:pt>
                <c:pt idx="9">
                  <c:v>Acabamentos e limpeza</c:v>
                </c:pt>
              </c:strCache>
            </c:strRef>
          </c:cat>
          <c:val>
            <c:numRef>
              <c:f>Resumo!$B$15:$B$24</c:f>
              <c:numCache>
                <c:formatCode>General</c:formatCode>
                <c:ptCount val="10"/>
                <c:pt idx="0">
                  <c:v>18000</c:v>
                </c:pt>
                <c:pt idx="1">
                  <c:v>52000</c:v>
                </c:pt>
                <c:pt idx="2">
                  <c:v>78000</c:v>
                </c:pt>
                <c:pt idx="3">
                  <c:v>46000.08</c:v>
                </c:pt>
                <c:pt idx="4">
                  <c:v>30999.96</c:v>
                </c:pt>
                <c:pt idx="5">
                  <c:v>25999.92</c:v>
                </c:pt>
                <c:pt idx="6">
                  <c:v>52000</c:v>
                </c:pt>
                <c:pt idx="7">
                  <c:v>34000.08</c:v>
                </c:pt>
                <c:pt idx="8">
                  <c:v>24000</c:v>
                </c:pt>
                <c:pt idx="9">
                  <c:v>31000</c:v>
                </c:pt>
              </c:numCache>
            </c:numRef>
          </c:val>
        </c:ser>
        <c:ser>
          <c:idx val="1"/>
          <c:order val="1"/>
          <c:tx>
            <c:v>Custo projetado</c:v>
          </c:tx>
          <c:spPr>
            <a:solidFill>
              <a:srgbClr val="16A34A"/>
            </a:solidFill>
          </c:spPr>
          <c:cat>
            <c:strRef>
              <c:f>Resumo!$A$15:$A$24</c:f>
              <c:strCache>
                <c:ptCount val="10"/>
                <c:pt idx="0">
                  <c:v>Serviços preliminares</c:v>
                </c:pt>
                <c:pt idx="1">
                  <c:v>Fundação</c:v>
                </c:pt>
                <c:pt idx="2">
                  <c:v>Estrutura</c:v>
                </c:pt>
                <c:pt idx="3">
                  <c:v>Alvenaria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</c:v>
                </c:pt>
                <c:pt idx="7">
                  <c:v>Esquadrias</c:v>
                </c:pt>
                <c:pt idx="8">
                  <c:v>Pintura</c:v>
                </c:pt>
                <c:pt idx="9">
                  <c:v>Acabamentos e limpeza</c:v>
                </c:pt>
              </c:strCache>
            </c:strRef>
          </c:cat>
          <c:val>
            <c:numRef>
              <c:f>Resumo!$E$15:$E$24</c:f>
              <c:numCache>
                <c:formatCode>General</c:formatCode>
                <c:ptCount val="10"/>
                <c:pt idx="0">
                  <c:v>18360</c:v>
                </c:pt>
                <c:pt idx="1">
                  <c:v>55120</c:v>
                </c:pt>
                <c:pt idx="2">
                  <c:v>85020</c:v>
                </c:pt>
                <c:pt idx="3">
                  <c:v>51520.09</c:v>
                </c:pt>
                <c:pt idx="4">
                  <c:v>36579.95</c:v>
                </c:pt>
                <c:pt idx="5">
                  <c:v>25999.92</c:v>
                </c:pt>
                <c:pt idx="6">
                  <c:v>57200</c:v>
                </c:pt>
                <c:pt idx="7">
                  <c:v>40800.1</c:v>
                </c:pt>
                <c:pt idx="8">
                  <c:v>24000</c:v>
                </c:pt>
                <c:pt idx="9">
                  <c:v>31000</c:v>
                </c:pt>
              </c:numCache>
            </c:numRef>
          </c:val>
        </c:ser>
        <c:ser>
          <c:idx val="2"/>
          <c:order val="2"/>
          <c:tx>
            <c:v>Realizado</c:v>
          </c:tx>
          <c:spPr>
            <a:solidFill>
              <a:srgbClr val="0B3B24"/>
            </a:solidFill>
          </c:spPr>
          <c:cat>
            <c:strRef>
              <c:f>Resumo!$A$15:$A$24</c:f>
              <c:strCache>
                <c:ptCount val="10"/>
                <c:pt idx="0">
                  <c:v>Serviços preliminares</c:v>
                </c:pt>
                <c:pt idx="1">
                  <c:v>Fundação</c:v>
                </c:pt>
                <c:pt idx="2">
                  <c:v>Estrutura</c:v>
                </c:pt>
                <c:pt idx="3">
                  <c:v>Alvenaria</c:v>
                </c:pt>
                <c:pt idx="4">
                  <c:v>Instalações elétricas</c:v>
                </c:pt>
                <c:pt idx="5">
                  <c:v>Instalações hidráulicas</c:v>
                </c:pt>
                <c:pt idx="6">
                  <c:v>Revestimentos</c:v>
                </c:pt>
                <c:pt idx="7">
                  <c:v>Esquadrias</c:v>
                </c:pt>
                <c:pt idx="8">
                  <c:v>Pintura</c:v>
                </c:pt>
                <c:pt idx="9">
                  <c:v>Acabamentos e limpeza</c:v>
                </c:pt>
              </c:strCache>
            </c:strRef>
          </c:cat>
          <c:val>
            <c:numRef>
              <c:f>Resumo!$C$15:$C$24</c:f>
              <c:numCache>
                <c:formatCode>General</c:formatCode>
                <c:ptCount val="10"/>
                <c:pt idx="0">
                  <c:v>18360</c:v>
                </c:pt>
                <c:pt idx="1">
                  <c:v>55120</c:v>
                </c:pt>
                <c:pt idx="2">
                  <c:v>85020</c:v>
                </c:pt>
                <c:pt idx="3">
                  <c:v>51520.09</c:v>
                </c:pt>
                <c:pt idx="4">
                  <c:v>29263.96</c:v>
                </c:pt>
                <c:pt idx="5">
                  <c:v>25999.92</c:v>
                </c:pt>
                <c:pt idx="6">
                  <c:v>25740</c:v>
                </c:pt>
                <c:pt idx="7">
                  <c:v>4080.01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Realizado por categoria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Realizado por categoria</c:v>
          </c:tx>
          <c:dLbls>
            <c:showPercent val="1"/>
          </c:dLbls>
          <c:cat>
            <c:strRef>
              <c:f>Resumo!$A$40:$A$45</c:f>
              <c:strCache>
                <c:ptCount val="6"/>
                <c:pt idx="0">
                  <c:v>Material</c:v>
                </c:pt>
                <c:pt idx="1">
                  <c:v>Mão de obra</c:v>
                </c:pt>
                <c:pt idx="2">
                  <c:v>Equipamentos</c:v>
                </c:pt>
                <c:pt idx="3">
                  <c:v>Subempreitada</c:v>
                </c:pt>
                <c:pt idx="4">
                  <c:v>Projetos e taxas</c:v>
                </c:pt>
                <c:pt idx="5">
                  <c:v>Outros</c:v>
                </c:pt>
              </c:strCache>
            </c:strRef>
          </c:cat>
          <c:val>
            <c:numRef>
              <c:f>Resumo!$C$40:$C$45</c:f>
              <c:numCache>
                <c:formatCode>General</c:formatCode>
                <c:ptCount val="6"/>
                <c:pt idx="0">
                  <c:v>81276.09</c:v>
                </c:pt>
                <c:pt idx="1">
                  <c:v>76821.13</c:v>
                </c:pt>
                <c:pt idx="2">
                  <c:v>63533.85</c:v>
                </c:pt>
                <c:pt idx="3">
                  <c:v>73472.91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6</xdr:col>
      <xdr:colOff>857250</xdr:colOff>
      <xdr:row>62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8</xdr:col>
      <xdr:colOff>866775</xdr:colOff>
      <xdr:row>49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4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3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2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2" spans="2:3" ht="18" customHeight="1">
      <c r="B22" s="8" t="s">
        <v>27</v>
      </c>
      <c r="C22" s="7" t="s">
        <v>28</v>
      </c>
    </row>
    <row r="24" spans="2:3">
      <c r="B24" s="4" t="s">
        <v>29</v>
      </c>
      <c r="C24" s="4"/>
    </row>
    <row r="25" spans="2:3">
      <c r="B25" s="9" t="s">
        <v>30</v>
      </c>
      <c r="C25" s="7" t="s">
        <v>31</v>
      </c>
    </row>
    <row r="26" spans="2:3">
      <c r="B26" s="10" t="s">
        <v>32</v>
      </c>
      <c r="C26" s="7" t="s">
        <v>33</v>
      </c>
    </row>
    <row r="27" spans="2:3">
      <c r="B27" s="11" t="s">
        <v>34</v>
      </c>
      <c r="C27" s="7" t="s">
        <v>35</v>
      </c>
    </row>
    <row r="29" spans="2:3">
      <c r="B29" s="4" t="s">
        <v>36</v>
      </c>
      <c r="C29" s="4"/>
    </row>
    <row r="30" spans="2:3" ht="18" customHeight="1">
      <c r="B30" s="7" t="s">
        <v>37</v>
      </c>
      <c r="C30" s="7"/>
    </row>
    <row r="31" spans="2:3" ht="30" customHeight="1">
      <c r="B31" s="7" t="s">
        <v>38</v>
      </c>
      <c r="C31" s="7"/>
    </row>
    <row r="32" spans="2:3" ht="18" customHeight="1">
      <c r="B32" s="7" t="s">
        <v>39</v>
      </c>
      <c r="C32" s="7"/>
    </row>
    <row r="34" spans="2:3">
      <c r="B34" s="12" t="s">
        <v>40</v>
      </c>
      <c r="C34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4:C24"/>
    <mergeCell ref="B29:C29"/>
    <mergeCell ref="B30:C30"/>
    <mergeCell ref="B31:C31"/>
    <mergeCell ref="B32:C32"/>
    <mergeCell ref="B34:C34"/>
  </mergeCells>
  <hyperlinks>
    <hyperlink ref="B17" location="'Config'!A1" display="Config"/>
    <hyperlink ref="B18" location="'Cronograma'!A1" display="Cronograma"/>
    <hyperlink ref="B19" location="'Orçamento'!A1" display="Orçamento"/>
    <hyperlink ref="B20" location="'Custos'!A1" display="Custos"/>
    <hyperlink ref="B21" location="'Medições'!A1" display="Medições"/>
    <hyperlink ref="B22" location="'Resumo'!A1" display="Resumo"/>
  </hyperlink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G2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22.7109375" customWidth="1"/>
    <col min="4" max="4" width="3.7109375" customWidth="1"/>
    <col min="5" max="5" width="24.7109375" customWidth="1"/>
    <col min="6" max="6" width="3.7109375" customWidth="1"/>
    <col min="7" max="7" width="34.7109375" customWidth="1"/>
  </cols>
  <sheetData>
    <row r="1" spans="1:7" ht="36" customHeight="1">
      <c r="A1" s="1" t="s">
        <v>41</v>
      </c>
      <c r="B1" s="1"/>
      <c r="C1" s="1"/>
      <c r="D1" s="1"/>
      <c r="E1" s="1"/>
    </row>
    <row r="2" spans="1:7" ht="20" customHeight="1">
      <c r="A2" s="2" t="s">
        <v>42</v>
      </c>
      <c r="B2" s="2"/>
      <c r="C2" s="2"/>
      <c r="D2" s="2"/>
      <c r="E2" s="13" t="s">
        <v>43</v>
      </c>
    </row>
    <row r="4" spans="1:7">
      <c r="B4" s="14" t="s">
        <v>44</v>
      </c>
      <c r="C4" s="15" t="s">
        <v>45</v>
      </c>
      <c r="E4" s="11" t="s">
        <v>53</v>
      </c>
      <c r="G4" s="11" t="s">
        <v>54</v>
      </c>
    </row>
    <row r="5" spans="1:7">
      <c r="B5" s="14" t="s">
        <v>46</v>
      </c>
      <c r="C5" s="15" t="s">
        <v>47</v>
      </c>
      <c r="E5" s="15" t="s">
        <v>55</v>
      </c>
      <c r="G5" s="15" t="s">
        <v>56</v>
      </c>
    </row>
    <row r="6" spans="1:7">
      <c r="B6" s="14" t="s">
        <v>48</v>
      </c>
      <c r="C6" s="16">
        <v>480000</v>
      </c>
      <c r="E6" s="15" t="s">
        <v>57</v>
      </c>
      <c r="G6" s="15" t="s">
        <v>58</v>
      </c>
    </row>
    <row r="7" spans="1:7">
      <c r="B7" s="14" t="s">
        <v>49</v>
      </c>
      <c r="C7" s="17">
        <v>46146</v>
      </c>
      <c r="E7" s="15" t="s">
        <v>59</v>
      </c>
      <c r="G7" s="15" t="s">
        <v>60</v>
      </c>
    </row>
    <row r="8" spans="1:7">
      <c r="B8" s="14" t="s">
        <v>50</v>
      </c>
      <c r="C8" s="17">
        <v>46374</v>
      </c>
      <c r="E8" s="15" t="s">
        <v>61</v>
      </c>
      <c r="G8" s="15" t="s">
        <v>62</v>
      </c>
    </row>
    <row r="9" spans="1:7">
      <c r="B9" s="14" t="s">
        <v>51</v>
      </c>
      <c r="C9" s="18">
        <v>0.15</v>
      </c>
      <c r="E9" s="15" t="s">
        <v>63</v>
      </c>
      <c r="G9" s="15" t="s">
        <v>64</v>
      </c>
    </row>
    <row r="10" spans="1:7">
      <c r="B10" s="14" t="s">
        <v>52</v>
      </c>
      <c r="C10" s="17">
        <v>46303</v>
      </c>
      <c r="E10" s="15" t="s">
        <v>65</v>
      </c>
      <c r="G10" s="15" t="s">
        <v>66</v>
      </c>
    </row>
    <row r="11" spans="1:7">
      <c r="E11" s="15"/>
      <c r="G11" s="15" t="s">
        <v>67</v>
      </c>
    </row>
    <row r="12" spans="1:7">
      <c r="E12" s="15"/>
      <c r="G12" s="15" t="s">
        <v>68</v>
      </c>
    </row>
    <row r="13" spans="1:7">
      <c r="E13" s="15"/>
      <c r="G13" s="15" t="s">
        <v>69</v>
      </c>
    </row>
    <row r="14" spans="1:7">
      <c r="E14" s="15"/>
      <c r="G14" s="15" t="s">
        <v>70</v>
      </c>
    </row>
    <row r="15" spans="1:7">
      <c r="E15" s="15"/>
      <c r="G15" s="15"/>
    </row>
    <row r="16" spans="1:7">
      <c r="E16" s="15"/>
      <c r="G16" s="15"/>
    </row>
    <row r="17" spans="5:7">
      <c r="E17" s="15"/>
      <c r="G17" s="15"/>
    </row>
    <row r="18" spans="5:7">
      <c r="E18" s="15"/>
      <c r="G18" s="15"/>
    </row>
    <row r="19" spans="5:7">
      <c r="E19" s="15"/>
      <c r="G19" s="15"/>
    </row>
    <row r="20" spans="5:7">
      <c r="E20" s="15"/>
      <c r="G20" s="15"/>
    </row>
    <row r="21" spans="5:7">
      <c r="E21" s="15"/>
      <c r="G21" s="15"/>
    </row>
    <row r="22" spans="5:7">
      <c r="E22" s="15"/>
      <c r="G22" s="15"/>
    </row>
    <row r="23" spans="5:7">
      <c r="E23" s="15"/>
      <c r="G23" s="15"/>
    </row>
    <row r="24" spans="5:7">
      <c r="E24" s="15"/>
      <c r="G24" s="15"/>
    </row>
  </sheetData>
  <mergeCells count="2">
    <mergeCell ref="A1:E1"/>
    <mergeCell ref="A2:E2"/>
  </mergeCells>
  <dataValidations count="3">
    <dataValidation type="decimal" operator="greaterThanOrEqual" allowBlank="1" showInputMessage="1" showErrorMessage="1" errorTitle="Valor inválido" error="Digite um número maior ou igual a 0." sqref="C6">
      <formula1>0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C7:C8">
      <formula1>36526</formula1>
    </dataValidation>
    <dataValidation type="decimal" allowBlank="1" showInputMessage="1" showErrorMessage="1" errorTitle="Valor inválido" error="Digite um número entre 0 e 0.9." sqref="C9">
      <formula1>0</formula1>
      <formula2>0.9</formula2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AZ2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8.7109375" customWidth="1"/>
    <col min="2" max="6" width="11.7109375" customWidth="1"/>
    <col min="7" max="7" width="9.7109375" customWidth="1"/>
    <col min="8" max="8" width="11.7109375" customWidth="1"/>
    <col min="9" max="9" width="9.7109375" customWidth="1"/>
    <col min="10" max="10" width="12.7109375" customWidth="1"/>
    <col min="11" max="11" width="10.7109375" customWidth="1"/>
    <col min="12" max="12" width="2.7109375" customWidth="1"/>
    <col min="13" max="52" width="3.85546875" customWidth="1"/>
  </cols>
  <sheetData>
    <row r="1" spans="1:52" ht="36" customHeight="1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0" customHeight="1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13" t="s">
        <v>43</v>
      </c>
    </row>
    <row r="4" spans="1:52" ht="48" customHeight="1">
      <c r="A4" s="11" t="s">
        <v>73</v>
      </c>
      <c r="B4" s="11" t="s">
        <v>49</v>
      </c>
      <c r="C4" s="11" t="s">
        <v>50</v>
      </c>
      <c r="D4" s="11" t="s">
        <v>74</v>
      </c>
      <c r="E4" s="11" t="s">
        <v>75</v>
      </c>
      <c r="F4" s="11" t="s">
        <v>76</v>
      </c>
      <c r="G4" s="11" t="s">
        <v>77</v>
      </c>
      <c r="H4" s="11" t="s">
        <v>78</v>
      </c>
      <c r="I4" s="11" t="s">
        <v>79</v>
      </c>
      <c r="J4" s="11" t="s">
        <v>80</v>
      </c>
      <c r="K4" s="11" t="s">
        <v>81</v>
      </c>
      <c r="M4" s="19">
        <f>IF(DataIni="","",DataIni-WEEKDAY(DataIni,2)+1)</f>
        <v>46146.0</v>
      </c>
      <c r="N4" s="19">
        <f>IF(M4="","",M4+7)</f>
        <v>46153.0</v>
      </c>
      <c r="O4" s="19">
        <f>IF(N4="","",N4+7)</f>
        <v>46160.0</v>
      </c>
      <c r="P4" s="19">
        <f>IF(O4="","",O4+7)</f>
        <v>46167.0</v>
      </c>
      <c r="Q4" s="19">
        <f>IF(P4="","",P4+7)</f>
        <v>46174.0</v>
      </c>
      <c r="R4" s="19">
        <f>IF(Q4="","",Q4+7)</f>
        <v>46181.0</v>
      </c>
      <c r="S4" s="19">
        <f>IF(R4="","",R4+7)</f>
        <v>46188.0</v>
      </c>
      <c r="T4" s="19">
        <f>IF(S4="","",S4+7)</f>
        <v>46195.0</v>
      </c>
      <c r="U4" s="19">
        <f>IF(T4="","",T4+7)</f>
        <v>46202.0</v>
      </c>
      <c r="V4" s="19">
        <f>IF(U4="","",U4+7)</f>
        <v>46209.0</v>
      </c>
      <c r="W4" s="19">
        <f>IF(V4="","",V4+7)</f>
        <v>46216.0</v>
      </c>
      <c r="X4" s="19">
        <f>IF(W4="","",W4+7)</f>
        <v>46223.0</v>
      </c>
      <c r="Y4" s="19">
        <f>IF(X4="","",X4+7)</f>
        <v>46230.0</v>
      </c>
      <c r="Z4" s="19">
        <f>IF(Y4="","",Y4+7)</f>
        <v>46237.0</v>
      </c>
      <c r="AA4" s="19">
        <f>IF(Z4="","",Z4+7)</f>
        <v>46244.0</v>
      </c>
      <c r="AB4" s="19">
        <f>IF(AA4="","",AA4+7)</f>
        <v>46251.0</v>
      </c>
      <c r="AC4" s="19">
        <f>IF(AB4="","",AB4+7)</f>
        <v>46258.0</v>
      </c>
      <c r="AD4" s="19">
        <f>IF(AC4="","",AC4+7)</f>
        <v>46265.0</v>
      </c>
      <c r="AE4" s="19">
        <f>IF(AD4="","",AD4+7)</f>
        <v>46272.0</v>
      </c>
      <c r="AF4" s="19">
        <f>IF(AE4="","",AE4+7)</f>
        <v>46279.0</v>
      </c>
      <c r="AG4" s="19">
        <f>IF(AF4="","",AF4+7)</f>
        <v>46286.0</v>
      </c>
      <c r="AH4" s="19">
        <f>IF(AG4="","",AG4+7)</f>
        <v>46293.0</v>
      </c>
      <c r="AI4" s="19">
        <f>IF(AH4="","",AH4+7)</f>
        <v>46300.0</v>
      </c>
      <c r="AJ4" s="19">
        <f>IF(AI4="","",AI4+7)</f>
        <v>46307.0</v>
      </c>
      <c r="AK4" s="19">
        <f>IF(AJ4="","",AJ4+7)</f>
        <v>46314.0</v>
      </c>
      <c r="AL4" s="19">
        <f>IF(AK4="","",AK4+7)</f>
        <v>46321.0</v>
      </c>
      <c r="AM4" s="19">
        <f>IF(AL4="","",AL4+7)</f>
        <v>46328.0</v>
      </c>
      <c r="AN4" s="19">
        <f>IF(AM4="","",AM4+7)</f>
        <v>46335.0</v>
      </c>
      <c r="AO4" s="19">
        <f>IF(AN4="","",AN4+7)</f>
        <v>46342.0</v>
      </c>
      <c r="AP4" s="19">
        <f>IF(AO4="","",AO4+7)</f>
        <v>46349.0</v>
      </c>
      <c r="AQ4" s="19">
        <f>IF(AP4="","",AP4+7)</f>
        <v>46356.0</v>
      </c>
      <c r="AR4" s="19">
        <f>IF(AQ4="","",AQ4+7)</f>
        <v>46363.0</v>
      </c>
      <c r="AS4" s="19">
        <f>IF(AR4="","",AR4+7)</f>
        <v>46370.0</v>
      </c>
      <c r="AT4" s="19">
        <f>IF(AS4="","",AS4+7)</f>
        <v>46377.0</v>
      </c>
      <c r="AU4" s="19">
        <f>IF(AT4="","",AT4+7)</f>
        <v>46384.0</v>
      </c>
      <c r="AV4" s="19">
        <f>IF(AU4="","",AU4+7)</f>
        <v>46391.0</v>
      </c>
      <c r="AW4" s="19">
        <f>IF(AV4="","",AV4+7)</f>
        <v>46398.0</v>
      </c>
      <c r="AX4" s="19">
        <f>IF(AW4="","",AW4+7)</f>
        <v>46405.0</v>
      </c>
      <c r="AY4" s="19">
        <f>IF(AX4="","",AX4+7)</f>
        <v>46412.0</v>
      </c>
      <c r="AZ4" s="19">
        <f>IF(AY4="","",AY4+7)</f>
        <v>46419.0</v>
      </c>
    </row>
    <row r="5" spans="1:52">
      <c r="A5" s="15" t="s">
        <v>82</v>
      </c>
      <c r="B5" s="17">
        <v>46146</v>
      </c>
      <c r="C5" s="17">
        <v>46164</v>
      </c>
      <c r="D5" s="18">
        <v>1</v>
      </c>
      <c r="E5" s="17">
        <v>46146</v>
      </c>
      <c r="F5" s="17">
        <v>46167</v>
      </c>
      <c r="G5" s="20">
        <f>IF(OR($B5="",$C5=""),"",$C5-$B5+1)</f>
        <v>19</v>
      </c>
      <c r="H5" s="21">
        <f>IF($G5="","",MAX(0,MIN(1,(Hoje-$B5+1)/$G5)))</f>
        <v>1</v>
      </c>
      <c r="I5" s="21">
        <f>IF($H5="","",N($D5)-$H5)</f>
        <v>0</v>
      </c>
      <c r="J5" s="22" t="str">
        <f>IF($A5="","",IF(N($D5)&gt;=1,"Concluída",IF(Hoje&lt;$B5,"A iniciar",IF(N($D5)&lt;$H5-0.1,"ATRASADA","Em dia"))))</f>
        <v>Concluída</v>
      </c>
      <c r="K5" s="23">
        <f>IF($A5="","",IFERROR(SUMIFS(OrcTotal,OrcEtapa,$A5)/SUM(OrcTotal),0))</f>
        <v>0.0459183626613916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>
      <c r="A6" s="15" t="s">
        <v>83</v>
      </c>
      <c r="B6" s="17">
        <v>46160</v>
      </c>
      <c r="C6" s="17">
        <v>46199</v>
      </c>
      <c r="D6" s="18">
        <v>1</v>
      </c>
      <c r="E6" s="17">
        <v>46162</v>
      </c>
      <c r="F6" s="17">
        <v>46206</v>
      </c>
      <c r="G6" s="20">
        <f>IF(OR($B6="",$C6=""),"",$C6-$B6+1)</f>
        <v>40</v>
      </c>
      <c r="H6" s="21">
        <f>IF($G6="","",MAX(0,MIN(1,(Hoje-$B6+1)/$G6)))</f>
        <v>1</v>
      </c>
      <c r="I6" s="21">
        <f>IF($H6="","",N($D6)-$H6)</f>
        <v>0</v>
      </c>
      <c r="J6" s="22" t="str">
        <f>IF($A6="","",IF(N($D6)&gt;=1,"Concluída",IF(Hoje&lt;$B6,"A iniciar",IF(N($D6)&lt;$H6-0.1,"ATRASADA","Em dia"))))</f>
        <v>Concluída</v>
      </c>
      <c r="K6" s="23">
        <f>IF($A6="","",IFERROR(SUMIFS(OrcTotal,OrcEtapa,$A6)/SUM(OrcTotal),0))</f>
        <v>0.132653047688465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1:52">
      <c r="A7" s="15" t="s">
        <v>84</v>
      </c>
      <c r="B7" s="17">
        <v>46195</v>
      </c>
      <c r="C7" s="17">
        <v>46241</v>
      </c>
      <c r="D7" s="18">
        <v>1</v>
      </c>
      <c r="E7" s="17">
        <v>46202</v>
      </c>
      <c r="F7" s="17">
        <v>46248</v>
      </c>
      <c r="G7" s="20">
        <f>IF(OR($B7="",$C7=""),"",$C7-$B7+1)</f>
        <v>47</v>
      </c>
      <c r="H7" s="21">
        <f>IF($G7="","",MAX(0,MIN(1,(Hoje-$B7+1)/$G7)))</f>
        <v>1</v>
      </c>
      <c r="I7" s="21">
        <f>IF($H7="","",N($D7)-$H7)</f>
        <v>0</v>
      </c>
      <c r="J7" s="22" t="str">
        <f>IF($A7="","",IF(N($D7)&gt;=1,"Concluída",IF(Hoje&lt;$B7,"A iniciar",IF(N($D7)&lt;$H7-0.1,"ATRASADA","Em dia"))))</f>
        <v>Concluída</v>
      </c>
      <c r="K7" s="23">
        <f>IF($A7="","",IFERROR(SUMIFS(OrcTotal,OrcEtapa,$A7)/SUM(OrcTotal),0))</f>
        <v>0.198979571532697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>
      <c r="A8" s="15" t="s">
        <v>85</v>
      </c>
      <c r="B8" s="17">
        <v>46230</v>
      </c>
      <c r="C8" s="17">
        <v>46269</v>
      </c>
      <c r="D8" s="18">
        <v>1</v>
      </c>
      <c r="E8" s="17">
        <v>46237</v>
      </c>
      <c r="F8" s="17">
        <v>46276</v>
      </c>
      <c r="G8" s="20">
        <f>IF(OR($B8="",$C8=""),"",$C8-$B8+1)</f>
        <v>40</v>
      </c>
      <c r="H8" s="21">
        <f>IF($G8="","",MAX(0,MIN(1,(Hoje-$B8+1)/$G8)))</f>
        <v>1</v>
      </c>
      <c r="I8" s="21">
        <f>IF($H8="","",N($D8)-$H8)</f>
        <v>0</v>
      </c>
      <c r="J8" s="22" t="str">
        <f>IF($A8="","",IF(N($D8)&gt;=1,"Concluída",IF(Hoje&lt;$B8,"A iniciar",IF(N($D8)&lt;$H8-0.1,"ATRASADA","Em dia"))))</f>
        <v>Concluída</v>
      </c>
      <c r="K8" s="23">
        <f>IF($A8="","",IFERROR(SUMIFS(OrcTotal,OrcEtapa,$A8)/SUM(OrcTotal),0))</f>
        <v>0.117347130882946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2">
      <c r="A9" s="15" t="s">
        <v>86</v>
      </c>
      <c r="B9" s="17">
        <v>46258</v>
      </c>
      <c r="C9" s="17">
        <v>46290</v>
      </c>
      <c r="D9" s="18">
        <v>0.8</v>
      </c>
      <c r="E9" s="17">
        <v>46265</v>
      </c>
      <c r="F9" s="17"/>
      <c r="G9" s="20">
        <f>IF(OR($B9="",$C9=""),"",$C9-$B9+1)</f>
        <v>33</v>
      </c>
      <c r="H9" s="21">
        <f>IF($G9="","",MAX(0,MIN(1,(Hoje-$B9+1)/$G9)))</f>
        <v>1</v>
      </c>
      <c r="I9" s="21">
        <f>IF($H9="","",N($D9)-$H9)</f>
        <v>-0.2</v>
      </c>
      <c r="J9" s="22" t="str">
        <f>IF($A9="","",IF(N($D9)&gt;=1,"Concluída",IF(Hoje&lt;$B9,"A iniciar",IF(N($D9)&lt;$H9-0.1,"ATRASADA","Em dia"))))</f>
        <v>ATRASADA</v>
      </c>
      <c r="K9" s="23">
        <f>IF($A9="","",IFERROR(SUMIFS(OrcTotal,OrcEtapa,$A9)/SUM(OrcTotal),0))</f>
        <v>0.0790815225427018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>
      <c r="A10" s="15" t="s">
        <v>87</v>
      </c>
      <c r="B10" s="17">
        <v>46258</v>
      </c>
      <c r="C10" s="17">
        <v>46290</v>
      </c>
      <c r="D10" s="18">
        <v>1</v>
      </c>
      <c r="E10" s="17">
        <v>46265</v>
      </c>
      <c r="F10" s="17">
        <v>46293</v>
      </c>
      <c r="G10" s="20">
        <f>IF(OR($B10="",$C10=""),"",$C10-$B10+1)</f>
        <v>33</v>
      </c>
      <c r="H10" s="21">
        <f>IF($G10="","",MAX(0,MIN(1,(Hoje-$B10+1)/$G10)))</f>
        <v>1</v>
      </c>
      <c r="I10" s="21">
        <f>IF($H10="","",N($D10)-$H10)</f>
        <v>0</v>
      </c>
      <c r="J10" s="22" t="str">
        <f>IF($A10="","",IF(N($D10)&gt;=1,"Concluída",IF(Hoje&lt;$B10,"A iniciar",IF(N($D10)&lt;$H10-0.1,"ATRASADA","Em dia"))))</f>
        <v>Concluída</v>
      </c>
      <c r="K10" s="23">
        <f>IF($A10="","",IFERROR(SUMIFS(OrcTotal,OrcEtapa,$A10)/SUM(OrcTotal),0))</f>
        <v>0.0663263197626204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>
      <c r="A11" s="15" t="s">
        <v>88</v>
      </c>
      <c r="B11" s="17">
        <v>46279</v>
      </c>
      <c r="C11" s="17">
        <v>46325</v>
      </c>
      <c r="D11" s="18">
        <v>0.45</v>
      </c>
      <c r="E11" s="17">
        <v>46281</v>
      </c>
      <c r="F11" s="17"/>
      <c r="G11" s="20">
        <f>IF(OR($B11="",$C11=""),"",$C11-$B11+1)</f>
        <v>47</v>
      </c>
      <c r="H11" s="21">
        <f>IF($G11="","",MAX(0,MIN(1,(Hoje-$B11+1)/$G11)))</f>
        <v>0.531914893617021</v>
      </c>
      <c r="I11" s="21">
        <f>IF($H11="","",N($D11)-$H11)</f>
        <v>-0.0819148936170213</v>
      </c>
      <c r="J11" s="22" t="str">
        <f>IF($A11="","",IF(N($D11)&gt;=1,"Concluída",IF(Hoje&lt;$B11,"A iniciar",IF(N($D11)&lt;$H11-0.1,"ATRASADA","Em dia"))))</f>
        <v>Em dia</v>
      </c>
      <c r="K11" s="23">
        <f>IF($A11="","",IFERROR(SUMIFS(OrcTotal,OrcEtapa,$A11)/SUM(OrcTotal),0))</f>
        <v>0.132653047688465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>
      <c r="A12" s="15" t="s">
        <v>89</v>
      </c>
      <c r="B12" s="17">
        <v>46300</v>
      </c>
      <c r="C12" s="17">
        <v>46332</v>
      </c>
      <c r="D12" s="18">
        <v>0.1</v>
      </c>
      <c r="E12" s="17">
        <v>46301</v>
      </c>
      <c r="F12" s="17"/>
      <c r="G12" s="20">
        <f>IF(OR($B12="",$C12=""),"",$C12-$B12+1)</f>
        <v>33</v>
      </c>
      <c r="H12" s="21">
        <f>IF($G12="","",MAX(0,MIN(1,(Hoje-$B12+1)/$G12)))</f>
        <v>0.121212121212121</v>
      </c>
      <c r="I12" s="21">
        <f>IF($H12="","",N($D12)-$H12)</f>
        <v>-0.0212121212121212</v>
      </c>
      <c r="J12" s="22" t="str">
        <f>IF($A12="","",IF(N($D12)&gt;=1,"Concluída",IF(Hoje&lt;$B12,"A iniciar",IF(N($D12)&lt;$H12-0.1,"ATRASADA","Em dia"))))</f>
        <v>Em dia</v>
      </c>
      <c r="K12" s="23">
        <f>IF($A12="","",IFERROR(SUMIFS(OrcTotal,OrcEtapa,$A12)/SUM(OrcTotal),0))</f>
        <v>0.0867348891086848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>
      <c r="A13" s="15" t="s">
        <v>90</v>
      </c>
      <c r="B13" s="17">
        <v>46328</v>
      </c>
      <c r="C13" s="17">
        <v>46353</v>
      </c>
      <c r="D13" s="18">
        <v>0</v>
      </c>
      <c r="E13" s="17"/>
      <c r="F13" s="17"/>
      <c r="G13" s="20">
        <f>IF(OR($B13="",$C13=""),"",$C13-$B13+1)</f>
        <v>26</v>
      </c>
      <c r="H13" s="21">
        <f>IF($G13="","",MAX(0,MIN(1,(Hoje-$B13+1)/$G13)))</f>
        <v>0</v>
      </c>
      <c r="I13" s="21">
        <f>IF($H13="","",N($D13)-$H13)</f>
        <v>0</v>
      </c>
      <c r="J13" s="22" t="str">
        <f>IF($A13="","",IF(N($D13)&gt;=1,"Concluída",IF(Hoje&lt;$B13,"A iniciar",IF(N($D13)&lt;$H13-0.1,"ATRASADA","Em dia"))))</f>
        <v>A iniciar</v>
      </c>
      <c r="K13" s="23">
        <f>IF($A13="","",IFERROR(SUMIFS(OrcTotal,OrcEtapa,$A13)/SUM(OrcTotal),0))</f>
        <v>0.0612244835485221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>
      <c r="A14" s="15" t="s">
        <v>91</v>
      </c>
      <c r="B14" s="17">
        <v>46349</v>
      </c>
      <c r="C14" s="17">
        <v>46374</v>
      </c>
      <c r="D14" s="18">
        <v>0</v>
      </c>
      <c r="E14" s="17"/>
      <c r="F14" s="17"/>
      <c r="G14" s="20">
        <f>IF(OR($B14="",$C14=""),"",$C14-$B14+1)</f>
        <v>26</v>
      </c>
      <c r="H14" s="21">
        <f>IF($G14="","",MAX(0,MIN(1,(Hoje-$B14+1)/$G14)))</f>
        <v>0</v>
      </c>
      <c r="I14" s="21">
        <f>IF($H14="","",N($D14)-$H14)</f>
        <v>0</v>
      </c>
      <c r="J14" s="22" t="str">
        <f>IF($A14="","",IF(N($D14)&gt;=1,"Concluída",IF(Hoje&lt;$B14,"A iniciar",IF(N($D14)&lt;$H14-0.1,"ATRASADA","Em dia"))))</f>
        <v>A iniciar</v>
      </c>
      <c r="K14" s="23">
        <f>IF($A14="","",IFERROR(SUMIFS(OrcTotal,OrcEtapa,$A14)/SUM(OrcTotal),0))</f>
        <v>0.0790816245835077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spans="1:52">
      <c r="A15" s="15"/>
      <c r="B15" s="17"/>
      <c r="C15" s="17"/>
      <c r="D15" s="18"/>
      <c r="E15" s="17"/>
      <c r="F15" s="17"/>
      <c r="G15" s="20">
        <f>IF(OR($B15="",$C15=""),"",$C15-$B15+1)</f>
        <v/>
      </c>
      <c r="H15" s="21">
        <f>IF($G15="","",MAX(0,MIN(1,(Hoje-$B15+1)/$G15)))</f>
        <v/>
      </c>
      <c r="I15" s="21">
        <f>IF($H15="","",N($D15)-$H15)</f>
        <v/>
      </c>
      <c r="J15" s="22">
        <f>IF($A15="","",IF(N($D15)&gt;=1,"Concluída",IF(Hoje&lt;$B15,"A iniciar",IF(N($D15)&lt;$H15-0.1,"ATRASADA","Em dia"))))</f>
        <v/>
      </c>
      <c r="K15" s="23">
        <f>IF($A15="","",IFERROR(SUMIFS(OrcTotal,OrcEtapa,$A15)/SUM(OrcTotal),0))</f>
        <v/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spans="1:52">
      <c r="A16" s="15"/>
      <c r="B16" s="17"/>
      <c r="C16" s="17"/>
      <c r="D16" s="18"/>
      <c r="E16" s="17"/>
      <c r="F16" s="17"/>
      <c r="G16" s="20">
        <f>IF(OR($B16="",$C16=""),"",$C16-$B16+1)</f>
        <v/>
      </c>
      <c r="H16" s="21">
        <f>IF($G16="","",MAX(0,MIN(1,(Hoje-$B16+1)/$G16)))</f>
        <v/>
      </c>
      <c r="I16" s="21">
        <f>IF($H16="","",N($D16)-$H16)</f>
        <v/>
      </c>
      <c r="J16" s="22">
        <f>IF($A16="","",IF(N($D16)&gt;=1,"Concluída",IF(Hoje&lt;$B16,"A iniciar",IF(N($D16)&lt;$H16-0.1,"ATRASADA","Em dia"))))</f>
        <v/>
      </c>
      <c r="K16" s="23">
        <f>IF($A16="","",IFERROR(SUMIFS(OrcTotal,OrcEtapa,$A16)/SUM(OrcTotal),0))</f>
        <v/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spans="1:52">
      <c r="A17" s="15"/>
      <c r="B17" s="17"/>
      <c r="C17" s="17"/>
      <c r="D17" s="18"/>
      <c r="E17" s="17"/>
      <c r="F17" s="17"/>
      <c r="G17" s="20">
        <f>IF(OR($B17="",$C17=""),"",$C17-$B17+1)</f>
        <v/>
      </c>
      <c r="H17" s="21">
        <f>IF($G17="","",MAX(0,MIN(1,(Hoje-$B17+1)/$G17)))</f>
        <v/>
      </c>
      <c r="I17" s="21">
        <f>IF($H17="","",N($D17)-$H17)</f>
        <v/>
      </c>
      <c r="J17" s="22">
        <f>IF($A17="","",IF(N($D17)&gt;=1,"Concluída",IF(Hoje&lt;$B17,"A iniciar",IF(N($D17)&lt;$H17-0.1,"ATRASADA","Em dia"))))</f>
        <v/>
      </c>
      <c r="K17" s="23">
        <f>IF($A17="","",IFERROR(SUMIFS(OrcTotal,OrcEtapa,$A17)/SUM(OrcTotal),0))</f>
        <v/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>
      <c r="A18" s="15"/>
      <c r="B18" s="17"/>
      <c r="C18" s="17"/>
      <c r="D18" s="18"/>
      <c r="E18" s="17"/>
      <c r="F18" s="17"/>
      <c r="G18" s="20">
        <f>IF(OR($B18="",$C18=""),"",$C18-$B18+1)</f>
        <v/>
      </c>
      <c r="H18" s="21">
        <f>IF($G18="","",MAX(0,MIN(1,(Hoje-$B18+1)/$G18)))</f>
        <v/>
      </c>
      <c r="I18" s="21">
        <f>IF($H18="","",N($D18)-$H18)</f>
        <v/>
      </c>
      <c r="J18" s="22">
        <f>IF($A18="","",IF(N($D18)&gt;=1,"Concluída",IF(Hoje&lt;$B18,"A iniciar",IF(N($D18)&lt;$H18-0.1,"ATRASADA","Em dia"))))</f>
        <v/>
      </c>
      <c r="K18" s="23">
        <f>IF($A18="","",IFERROR(SUMIFS(OrcTotal,OrcEtapa,$A18)/SUM(OrcTotal),0))</f>
        <v/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>
      <c r="A19" s="15"/>
      <c r="B19" s="17"/>
      <c r="C19" s="17"/>
      <c r="D19" s="18"/>
      <c r="E19" s="17"/>
      <c r="F19" s="17"/>
      <c r="G19" s="20">
        <f>IF(OR($B19="",$C19=""),"",$C19-$B19+1)</f>
        <v/>
      </c>
      <c r="H19" s="21">
        <f>IF($G19="","",MAX(0,MIN(1,(Hoje-$B19+1)/$G19)))</f>
        <v/>
      </c>
      <c r="I19" s="21">
        <f>IF($H19="","",N($D19)-$H19)</f>
        <v/>
      </c>
      <c r="J19" s="22">
        <f>IF($A19="","",IF(N($D19)&gt;=1,"Concluída",IF(Hoje&lt;$B19,"A iniciar",IF(N($D19)&lt;$H19-0.1,"ATRASADA","Em dia"))))</f>
        <v/>
      </c>
      <c r="K19" s="23">
        <f>IF($A19="","",IFERROR(SUMIFS(OrcTotal,OrcEtapa,$A19)/SUM(OrcTotal),0))</f>
        <v/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spans="1:52">
      <c r="A20" s="15"/>
      <c r="B20" s="17"/>
      <c r="C20" s="17"/>
      <c r="D20" s="18"/>
      <c r="E20" s="17"/>
      <c r="F20" s="17"/>
      <c r="G20" s="20">
        <f>IF(OR($B20="",$C20=""),"",$C20-$B20+1)</f>
        <v/>
      </c>
      <c r="H20" s="21">
        <f>IF($G20="","",MAX(0,MIN(1,(Hoje-$B20+1)/$G20)))</f>
        <v/>
      </c>
      <c r="I20" s="21">
        <f>IF($H20="","",N($D20)-$H20)</f>
        <v/>
      </c>
      <c r="J20" s="22">
        <f>IF($A20="","",IF(N($D20)&gt;=1,"Concluída",IF(Hoje&lt;$B20,"A iniciar",IF(N($D20)&lt;$H20-0.1,"ATRASADA","Em dia"))))</f>
        <v/>
      </c>
      <c r="K20" s="23">
        <f>IF($A20="","",IFERROR(SUMIFS(OrcTotal,OrcEtapa,$A20)/SUM(OrcTotal),0))</f>
        <v/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spans="1:52">
      <c r="A21" s="15"/>
      <c r="B21" s="17"/>
      <c r="C21" s="17"/>
      <c r="D21" s="18"/>
      <c r="E21" s="17"/>
      <c r="F21" s="17"/>
      <c r="G21" s="20">
        <f>IF(OR($B21="",$C21=""),"",$C21-$B21+1)</f>
        <v/>
      </c>
      <c r="H21" s="21">
        <f>IF($G21="","",MAX(0,MIN(1,(Hoje-$B21+1)/$G21)))</f>
        <v/>
      </c>
      <c r="I21" s="21">
        <f>IF($H21="","",N($D21)-$H21)</f>
        <v/>
      </c>
      <c r="J21" s="22">
        <f>IF($A21="","",IF(N($D21)&gt;=1,"Concluída",IF(Hoje&lt;$B21,"A iniciar",IF(N($D21)&lt;$H21-0.1,"ATRASADA","Em dia"))))</f>
        <v/>
      </c>
      <c r="K21" s="23">
        <f>IF($A21="","",IFERROR(SUMIFS(OrcTotal,OrcEtapa,$A21)/SUM(OrcTotal),0))</f>
        <v/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>
      <c r="A22" s="15"/>
      <c r="B22" s="17"/>
      <c r="C22" s="17"/>
      <c r="D22" s="18"/>
      <c r="E22" s="17"/>
      <c r="F22" s="17"/>
      <c r="G22" s="20">
        <f>IF(OR($B22="",$C22=""),"",$C22-$B22+1)</f>
        <v/>
      </c>
      <c r="H22" s="21">
        <f>IF($G22="","",MAX(0,MIN(1,(Hoje-$B22+1)/$G22)))</f>
        <v/>
      </c>
      <c r="I22" s="21">
        <f>IF($H22="","",N($D22)-$H22)</f>
        <v/>
      </c>
      <c r="J22" s="22">
        <f>IF($A22="","",IF(N($D22)&gt;=1,"Concluída",IF(Hoje&lt;$B22,"A iniciar",IF(N($D22)&lt;$H22-0.1,"ATRASADA","Em dia"))))</f>
        <v/>
      </c>
      <c r="K22" s="23">
        <f>IF($A22="","",IFERROR(SUMIFS(OrcTotal,OrcEtapa,$A22)/SUM(OrcTotal),0))</f>
        <v/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>
      <c r="A23" s="15"/>
      <c r="B23" s="17"/>
      <c r="C23" s="17"/>
      <c r="D23" s="18"/>
      <c r="E23" s="17"/>
      <c r="F23" s="17"/>
      <c r="G23" s="20">
        <f>IF(OR($B23="",$C23=""),"",$C23-$B23+1)</f>
        <v/>
      </c>
      <c r="H23" s="21">
        <f>IF($G23="","",MAX(0,MIN(1,(Hoje-$B23+1)/$G23)))</f>
        <v/>
      </c>
      <c r="I23" s="21">
        <f>IF($H23="","",N($D23)-$H23)</f>
        <v/>
      </c>
      <c r="J23" s="22">
        <f>IF($A23="","",IF(N($D23)&gt;=1,"Concluída",IF(Hoje&lt;$B23,"A iniciar",IF(N($D23)&lt;$H23-0.1,"ATRASADA","Em dia"))))</f>
        <v/>
      </c>
      <c r="K23" s="23">
        <f>IF($A23="","",IFERROR(SUMIFS(OrcTotal,OrcEtapa,$A23)/SUM(OrcTotal),0))</f>
        <v/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spans="1:52">
      <c r="A24" s="15"/>
      <c r="B24" s="17"/>
      <c r="C24" s="17"/>
      <c r="D24" s="18"/>
      <c r="E24" s="17"/>
      <c r="F24" s="17"/>
      <c r="G24" s="20">
        <f>IF(OR($B24="",$C24=""),"",$C24-$B24+1)</f>
        <v/>
      </c>
      <c r="H24" s="21">
        <f>IF($G24="","",MAX(0,MIN(1,(Hoje-$B24+1)/$G24)))</f>
        <v/>
      </c>
      <c r="I24" s="21">
        <f>IF($H24="","",N($D24)-$H24)</f>
        <v/>
      </c>
      <c r="J24" s="22">
        <f>IF($A24="","",IF(N($D24)&gt;=1,"Concluída",IF(Hoje&lt;$B24,"A iniciar",IF(N($D24)&lt;$H24-0.1,"ATRASADA","Em dia"))))</f>
        <v/>
      </c>
      <c r="K24" s="23">
        <f>IF($A24="","",IFERROR(SUMIFS(OrcTotal,OrcEtapa,$A24)/SUM(OrcTotal),0))</f>
        <v/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</sheetData>
  <mergeCells count="2">
    <mergeCell ref="A1:AZ1"/>
    <mergeCell ref="A2:AZ2"/>
  </mergeCells>
  <conditionalFormatting sqref="J5:J24">
    <cfRule type="cellIs" dxfId="0" priority="1" operator="equal">
      <formula>"ATRASADA"</formula>
    </cfRule>
    <cfRule type="cellIs" dxfId="1" priority="2" operator="equal">
      <formula>"Concluída"</formula>
    </cfRule>
    <cfRule type="cellIs" dxfId="2" priority="3" operator="equal">
      <formula>"Em dia"</formula>
    </cfRule>
    <cfRule type="cellIs" dxfId="3" priority="4" operator="equal">
      <formula>"A iniciar"</formula>
    </cfRule>
  </conditionalFormatting>
  <conditionalFormatting sqref="M5:AZ24">
    <cfRule type="expression" dxfId="4" priority="5">
      <formula>AND($B5&lt;&gt;"",$C5&lt;&gt;"",M$4&lt;&gt;"",$B5&lt;=M$4+6,$C5&gt;=M$4,M$4&lt;=$B5+N($D5)*$G5-1)</formula>
    </cfRule>
    <cfRule type="expression" dxfId="5" priority="6">
      <formula>AND($B5&lt;&gt;"",$C5&lt;&gt;"",M$4&lt;&gt;"",$B5&lt;=M$4+6,$C5&gt;=M$4)</formula>
    </cfRule>
    <cfRule type="expression" dxfId="6" priority="7">
      <formula>AND(M$4&lt;&gt;"",M$4&lt;=Hoje,Hoje&lt;=M$4+6)</formula>
    </cfRule>
  </conditionalFormatting>
  <dataValidations count="3">
    <dataValidation type="date" operator="greaterThanOrEqual" allowBlank="1" showInputMessage="1" showErrorMessage="1" errorTitle="Data inválida" error="Digite uma data válida (dd/mm/aaaa)." promptTitle="Data" prompt="Digite a data no formato dd/mm/aaaa" sqref="B5:C2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E5:F24">
      <formula1>36526</formula1>
    </dataValidation>
    <dataValidation type="decimal" allowBlank="1" showInputMessage="1" showErrorMessage="1" errorTitle="Valor inválido" error="Digite um número entre 0 e 1." promptTitle="Dica" prompt="Digite em %, de 0% a 100%" sqref="D5:D24">
      <formula1>0</formula1>
      <formula2>1</formula2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3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40.7109375" customWidth="1"/>
    <col min="3" max="3" width="16.7109375" customWidth="1"/>
    <col min="4" max="4" width="7.7109375" customWidth="1"/>
    <col min="5" max="5" width="11.7109375" customWidth="1"/>
    <col min="6" max="6" width="15.7109375" customWidth="1"/>
    <col min="7" max="7" width="16.7109375" customWidth="1"/>
  </cols>
  <sheetData>
    <row r="1" spans="1:8" ht="36" customHeight="1">
      <c r="A1" s="1" t="s">
        <v>92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93</v>
      </c>
      <c r="B2" s="2"/>
      <c r="C2" s="2"/>
      <c r="D2" s="2"/>
      <c r="E2" s="2"/>
      <c r="F2" s="2"/>
      <c r="G2" s="2"/>
      <c r="H2" s="13" t="s">
        <v>43</v>
      </c>
    </row>
    <row r="3" spans="1:8">
      <c r="F3" s="25" t="s">
        <v>136</v>
      </c>
      <c r="G3" s="26">
        <f>SUM(G5:G304)</f>
        <v>392000.04</v>
      </c>
    </row>
    <row r="4" spans="1:8" ht="36" customHeight="1">
      <c r="A4" s="11" t="s">
        <v>73</v>
      </c>
      <c r="B4" s="11" t="s">
        <v>94</v>
      </c>
      <c r="C4" s="11" t="s">
        <v>95</v>
      </c>
      <c r="D4" s="11" t="s">
        <v>96</v>
      </c>
      <c r="E4" s="11" t="s">
        <v>97</v>
      </c>
      <c r="F4" s="11" t="s">
        <v>98</v>
      </c>
      <c r="G4" s="11" t="s">
        <v>99</v>
      </c>
    </row>
    <row r="5" spans="1:8">
      <c r="A5" s="15" t="s">
        <v>82</v>
      </c>
      <c r="B5" s="15" t="s">
        <v>100</v>
      </c>
      <c r="C5" s="15" t="s">
        <v>57</v>
      </c>
      <c r="D5" s="27" t="s">
        <v>101</v>
      </c>
      <c r="E5" s="28">
        <v>80</v>
      </c>
      <c r="F5" s="16">
        <v>101.25</v>
      </c>
      <c r="G5" s="29">
        <f>IF(OR($E5="",$F5=""),"",$E5*$F5)</f>
        <v>8100</v>
      </c>
    </row>
    <row r="6" spans="1:8">
      <c r="A6" s="15" t="s">
        <v>82</v>
      </c>
      <c r="B6" s="15" t="s">
        <v>102</v>
      </c>
      <c r="C6" s="15" t="s">
        <v>61</v>
      </c>
      <c r="D6" s="27" t="s">
        <v>103</v>
      </c>
      <c r="E6" s="28">
        <v>80</v>
      </c>
      <c r="F6" s="16">
        <v>90</v>
      </c>
      <c r="G6" s="29">
        <f>IF(OR($E6="",$F6=""),"",$E6*$F6)</f>
        <v>7200</v>
      </c>
    </row>
    <row r="7" spans="1:8">
      <c r="A7" s="15" t="s">
        <v>82</v>
      </c>
      <c r="B7" s="15" t="s">
        <v>104</v>
      </c>
      <c r="C7" s="15" t="s">
        <v>55</v>
      </c>
      <c r="D7" s="27" t="s">
        <v>101</v>
      </c>
      <c r="E7" s="28">
        <v>24</v>
      </c>
      <c r="F7" s="16">
        <v>112.5</v>
      </c>
      <c r="G7" s="29">
        <f>IF(OR($E7="",$F7=""),"",$E7*$F7)</f>
        <v>2700</v>
      </c>
    </row>
    <row r="8" spans="1:8">
      <c r="A8" s="15" t="s">
        <v>83</v>
      </c>
      <c r="B8" s="15" t="s">
        <v>105</v>
      </c>
      <c r="C8" s="15" t="s">
        <v>57</v>
      </c>
      <c r="D8" s="27" t="s">
        <v>106</v>
      </c>
      <c r="E8" s="28">
        <v>40</v>
      </c>
      <c r="F8" s="16">
        <v>585</v>
      </c>
      <c r="G8" s="29">
        <f>IF(OR($E8="",$F8=""),"",$E8*$F8)</f>
        <v>23400</v>
      </c>
    </row>
    <row r="9" spans="1:8">
      <c r="A9" s="15" t="s">
        <v>83</v>
      </c>
      <c r="B9" s="15" t="s">
        <v>107</v>
      </c>
      <c r="C9" s="15" t="s">
        <v>55</v>
      </c>
      <c r="D9" s="27" t="s">
        <v>103</v>
      </c>
      <c r="E9" s="28">
        <v>200</v>
      </c>
      <c r="F9" s="16">
        <v>104</v>
      </c>
      <c r="G9" s="29">
        <f>IF(OR($E9="",$F9=""),"",$E9*$F9)</f>
        <v>20800</v>
      </c>
    </row>
    <row r="10" spans="1:8">
      <c r="A10" s="15" t="s">
        <v>83</v>
      </c>
      <c r="B10" s="15" t="s">
        <v>108</v>
      </c>
      <c r="C10" s="15" t="s">
        <v>59</v>
      </c>
      <c r="D10" s="27" t="s">
        <v>101</v>
      </c>
      <c r="E10" s="28">
        <v>80</v>
      </c>
      <c r="F10" s="16">
        <v>97.5</v>
      </c>
      <c r="G10" s="29">
        <f>IF(OR($E10="",$F10=""),"",$E10*$F10)</f>
        <v>7800</v>
      </c>
    </row>
    <row r="11" spans="1:8">
      <c r="A11" s="15" t="s">
        <v>84</v>
      </c>
      <c r="B11" s="15" t="s">
        <v>109</v>
      </c>
      <c r="C11" s="15" t="s">
        <v>61</v>
      </c>
      <c r="D11" s="27" t="s">
        <v>106</v>
      </c>
      <c r="E11" s="28">
        <v>12</v>
      </c>
      <c r="F11" s="16">
        <v>2925</v>
      </c>
      <c r="G11" s="29">
        <f>IF(OR($E11="",$F11=""),"",$E11*$F11)</f>
        <v>35100</v>
      </c>
    </row>
    <row r="12" spans="1:8">
      <c r="A12" s="15" t="s">
        <v>84</v>
      </c>
      <c r="B12" s="15" t="s">
        <v>110</v>
      </c>
      <c r="C12" s="15" t="s">
        <v>59</v>
      </c>
      <c r="D12" s="27" t="s">
        <v>106</v>
      </c>
      <c r="E12" s="28">
        <v>120</v>
      </c>
      <c r="F12" s="16">
        <v>260</v>
      </c>
      <c r="G12" s="29">
        <f>IF(OR($E12="",$F12=""),"",$E12*$F12)</f>
        <v>31200</v>
      </c>
    </row>
    <row r="13" spans="1:8">
      <c r="A13" s="15" t="s">
        <v>84</v>
      </c>
      <c r="B13" s="15" t="s">
        <v>111</v>
      </c>
      <c r="C13" s="15" t="s">
        <v>55</v>
      </c>
      <c r="D13" s="27" t="s">
        <v>112</v>
      </c>
      <c r="E13" s="28">
        <v>200</v>
      </c>
      <c r="F13" s="16">
        <v>58.5</v>
      </c>
      <c r="G13" s="29">
        <f>IF(OR($E13="",$F13=""),"",$E13*$F13)</f>
        <v>11700</v>
      </c>
    </row>
    <row r="14" spans="1:8">
      <c r="A14" s="15" t="s">
        <v>85</v>
      </c>
      <c r="B14" s="15" t="s">
        <v>113</v>
      </c>
      <c r="C14" s="15" t="s">
        <v>57</v>
      </c>
      <c r="D14" s="27" t="s">
        <v>114</v>
      </c>
      <c r="E14" s="28">
        <v>200</v>
      </c>
      <c r="F14" s="16">
        <v>103.5</v>
      </c>
      <c r="G14" s="29">
        <f>IF(OR($E14="",$F14=""),"",$E14*$F14)</f>
        <v>20700</v>
      </c>
    </row>
    <row r="15" spans="1:8">
      <c r="A15" s="15" t="s">
        <v>85</v>
      </c>
      <c r="B15" s="15" t="s">
        <v>115</v>
      </c>
      <c r="C15" s="15" t="s">
        <v>55</v>
      </c>
      <c r="D15" s="27" t="s">
        <v>101</v>
      </c>
      <c r="E15" s="28">
        <v>24</v>
      </c>
      <c r="F15" s="16">
        <v>766.67</v>
      </c>
      <c r="G15" s="29">
        <f>IF(OR($E15="",$F15=""),"",$E15*$F15)</f>
        <v>18400.08</v>
      </c>
    </row>
    <row r="16" spans="1:8">
      <c r="A16" s="15" t="s">
        <v>85</v>
      </c>
      <c r="B16" s="15" t="s">
        <v>116</v>
      </c>
      <c r="C16" s="15" t="s">
        <v>61</v>
      </c>
      <c r="D16" s="27" t="s">
        <v>117</v>
      </c>
      <c r="E16" s="28">
        <v>12</v>
      </c>
      <c r="F16" s="16">
        <v>575</v>
      </c>
      <c r="G16" s="29">
        <f>IF(OR($E16="",$F16=""),"",$E16*$F16)</f>
        <v>6900</v>
      </c>
    </row>
    <row r="17" spans="1:7">
      <c r="A17" s="15" t="s">
        <v>86</v>
      </c>
      <c r="B17" s="15" t="s">
        <v>118</v>
      </c>
      <c r="C17" s="15" t="s">
        <v>55</v>
      </c>
      <c r="D17" s="27" t="s">
        <v>106</v>
      </c>
      <c r="E17" s="28">
        <v>12</v>
      </c>
      <c r="F17" s="16">
        <v>1162.5</v>
      </c>
      <c r="G17" s="29">
        <f>IF(OR($E17="",$F17=""),"",$E17*$F17)</f>
        <v>13950</v>
      </c>
    </row>
    <row r="18" spans="1:7">
      <c r="A18" s="15" t="s">
        <v>86</v>
      </c>
      <c r="B18" s="15" t="s">
        <v>119</v>
      </c>
      <c r="C18" s="15" t="s">
        <v>61</v>
      </c>
      <c r="D18" s="27" t="s">
        <v>106</v>
      </c>
      <c r="E18" s="28">
        <v>12</v>
      </c>
      <c r="F18" s="16">
        <v>1033.33</v>
      </c>
      <c r="G18" s="29">
        <f>IF(OR($E18="",$F18=""),"",$E18*$F18)</f>
        <v>12399.96</v>
      </c>
    </row>
    <row r="19" spans="1:7">
      <c r="A19" s="15" t="s">
        <v>86</v>
      </c>
      <c r="B19" s="15" t="s">
        <v>120</v>
      </c>
      <c r="C19" s="15" t="s">
        <v>59</v>
      </c>
      <c r="D19" s="27" t="s">
        <v>106</v>
      </c>
      <c r="E19" s="28">
        <v>120</v>
      </c>
      <c r="F19" s="16">
        <v>38.75</v>
      </c>
      <c r="G19" s="29">
        <f>IF(OR($E19="",$F19=""),"",$E19*$F19)</f>
        <v>4650</v>
      </c>
    </row>
    <row r="20" spans="1:7">
      <c r="A20" s="15" t="s">
        <v>87</v>
      </c>
      <c r="B20" s="15" t="s">
        <v>121</v>
      </c>
      <c r="C20" s="15" t="s">
        <v>55</v>
      </c>
      <c r="D20" s="27" t="s">
        <v>114</v>
      </c>
      <c r="E20" s="28">
        <v>24</v>
      </c>
      <c r="F20" s="16">
        <v>487.5</v>
      </c>
      <c r="G20" s="29">
        <f>IF(OR($E20="",$F20=""),"",$E20*$F20)</f>
        <v>11700</v>
      </c>
    </row>
    <row r="21" spans="1:7">
      <c r="A21" s="15" t="s">
        <v>87</v>
      </c>
      <c r="B21" s="15" t="s">
        <v>122</v>
      </c>
      <c r="C21" s="15" t="s">
        <v>57</v>
      </c>
      <c r="D21" s="27" t="s">
        <v>117</v>
      </c>
      <c r="E21" s="28">
        <v>24</v>
      </c>
      <c r="F21" s="16">
        <v>433.33</v>
      </c>
      <c r="G21" s="29">
        <f>IF(OR($E21="",$F21=""),"",$E21*$F21)</f>
        <v>10399.92</v>
      </c>
    </row>
    <row r="22" spans="1:7">
      <c r="A22" s="15" t="s">
        <v>87</v>
      </c>
      <c r="B22" s="15" t="s">
        <v>123</v>
      </c>
      <c r="C22" s="15" t="s">
        <v>59</v>
      </c>
      <c r="D22" s="27" t="s">
        <v>106</v>
      </c>
      <c r="E22" s="28">
        <v>40</v>
      </c>
      <c r="F22" s="16">
        <v>97.5</v>
      </c>
      <c r="G22" s="29">
        <f>IF(OR($E22="",$F22=""),"",$E22*$F22)</f>
        <v>3900</v>
      </c>
    </row>
    <row r="23" spans="1:7">
      <c r="A23" s="15" t="s">
        <v>88</v>
      </c>
      <c r="B23" s="15" t="s">
        <v>124</v>
      </c>
      <c r="C23" s="15" t="s">
        <v>61</v>
      </c>
      <c r="D23" s="27" t="s">
        <v>103</v>
      </c>
      <c r="E23" s="28">
        <v>40</v>
      </c>
      <c r="F23" s="16">
        <v>585</v>
      </c>
      <c r="G23" s="29">
        <f>IF(OR($E23="",$F23=""),"",$E23*$F23)</f>
        <v>23400</v>
      </c>
    </row>
    <row r="24" spans="1:7">
      <c r="A24" s="15" t="s">
        <v>88</v>
      </c>
      <c r="B24" s="15" t="s">
        <v>125</v>
      </c>
      <c r="C24" s="15" t="s">
        <v>55</v>
      </c>
      <c r="D24" s="27" t="s">
        <v>117</v>
      </c>
      <c r="E24" s="28">
        <v>40</v>
      </c>
      <c r="F24" s="16">
        <v>520</v>
      </c>
      <c r="G24" s="29">
        <f>IF(OR($E24="",$F24=""),"",$E24*$F24)</f>
        <v>20800</v>
      </c>
    </row>
    <row r="25" spans="1:7">
      <c r="A25" s="15" t="s">
        <v>88</v>
      </c>
      <c r="B25" s="15" t="s">
        <v>126</v>
      </c>
      <c r="C25" s="15" t="s">
        <v>59</v>
      </c>
      <c r="D25" s="27" t="s">
        <v>117</v>
      </c>
      <c r="E25" s="28">
        <v>12</v>
      </c>
      <c r="F25" s="16">
        <v>650</v>
      </c>
      <c r="G25" s="29">
        <f>IF(OR($E25="",$F25=""),"",$E25*$F25)</f>
        <v>7800</v>
      </c>
    </row>
    <row r="26" spans="1:7">
      <c r="A26" s="15" t="s">
        <v>89</v>
      </c>
      <c r="B26" s="15" t="s">
        <v>127</v>
      </c>
      <c r="C26" s="15" t="s">
        <v>59</v>
      </c>
      <c r="D26" s="27" t="s">
        <v>112</v>
      </c>
      <c r="E26" s="28">
        <v>12</v>
      </c>
      <c r="F26" s="16">
        <v>1275</v>
      </c>
      <c r="G26" s="29">
        <f>IF(OR($E26="",$F26=""),"",$E26*$F26)</f>
        <v>15300</v>
      </c>
    </row>
    <row r="27" spans="1:7">
      <c r="A27" s="15" t="s">
        <v>89</v>
      </c>
      <c r="B27" s="15" t="s">
        <v>128</v>
      </c>
      <c r="C27" s="15" t="s">
        <v>57</v>
      </c>
      <c r="D27" s="27" t="s">
        <v>114</v>
      </c>
      <c r="E27" s="28">
        <v>24</v>
      </c>
      <c r="F27" s="16">
        <v>566.67</v>
      </c>
      <c r="G27" s="29">
        <f>IF(OR($E27="",$F27=""),"",$E27*$F27)</f>
        <v>13600.08</v>
      </c>
    </row>
    <row r="28" spans="1:7">
      <c r="A28" s="15" t="s">
        <v>89</v>
      </c>
      <c r="B28" s="15" t="s">
        <v>129</v>
      </c>
      <c r="C28" s="15" t="s">
        <v>61</v>
      </c>
      <c r="D28" s="27" t="s">
        <v>103</v>
      </c>
      <c r="E28" s="28">
        <v>120</v>
      </c>
      <c r="F28" s="16">
        <v>42.5</v>
      </c>
      <c r="G28" s="29">
        <f>IF(OR($E28="",$F28=""),"",$E28*$F28)</f>
        <v>5100</v>
      </c>
    </row>
    <row r="29" spans="1:7">
      <c r="A29" s="15" t="s">
        <v>90</v>
      </c>
      <c r="B29" s="15" t="s">
        <v>130</v>
      </c>
      <c r="C29" s="15" t="s">
        <v>59</v>
      </c>
      <c r="D29" s="27" t="s">
        <v>114</v>
      </c>
      <c r="E29" s="28">
        <v>12</v>
      </c>
      <c r="F29" s="16">
        <v>900</v>
      </c>
      <c r="G29" s="29">
        <f>IF(OR($E29="",$F29=""),"",$E29*$F29)</f>
        <v>10800</v>
      </c>
    </row>
    <row r="30" spans="1:7">
      <c r="A30" s="15" t="s">
        <v>90</v>
      </c>
      <c r="B30" s="15" t="s">
        <v>131</v>
      </c>
      <c r="C30" s="15" t="s">
        <v>57</v>
      </c>
      <c r="D30" s="27" t="s">
        <v>106</v>
      </c>
      <c r="E30" s="28">
        <v>80</v>
      </c>
      <c r="F30" s="16">
        <v>120</v>
      </c>
      <c r="G30" s="29">
        <f>IF(OR($E30="",$F30=""),"",$E30*$F30)</f>
        <v>9600</v>
      </c>
    </row>
    <row r="31" spans="1:7">
      <c r="A31" s="15" t="s">
        <v>90</v>
      </c>
      <c r="B31" s="15" t="s">
        <v>132</v>
      </c>
      <c r="C31" s="15" t="s">
        <v>55</v>
      </c>
      <c r="D31" s="27" t="s">
        <v>114</v>
      </c>
      <c r="E31" s="28">
        <v>120</v>
      </c>
      <c r="F31" s="16">
        <v>30</v>
      </c>
      <c r="G31" s="29">
        <f>IF(OR($E31="",$F31=""),"",$E31*$F31)</f>
        <v>3600</v>
      </c>
    </row>
    <row r="32" spans="1:7">
      <c r="A32" s="15" t="s">
        <v>91</v>
      </c>
      <c r="B32" s="15" t="s">
        <v>133</v>
      </c>
      <c r="C32" s="15" t="s">
        <v>61</v>
      </c>
      <c r="D32" s="27" t="s">
        <v>114</v>
      </c>
      <c r="E32" s="28">
        <v>12</v>
      </c>
      <c r="F32" s="16">
        <v>1162.5</v>
      </c>
      <c r="G32" s="29">
        <f>IF(OR($E32="",$F32=""),"",$E32*$F32)</f>
        <v>13950</v>
      </c>
    </row>
    <row r="33" spans="1:7">
      <c r="A33" s="15" t="s">
        <v>91</v>
      </c>
      <c r="B33" s="15" t="s">
        <v>134</v>
      </c>
      <c r="C33" s="15" t="s">
        <v>55</v>
      </c>
      <c r="D33" s="27" t="s">
        <v>101</v>
      </c>
      <c r="E33" s="28">
        <v>80</v>
      </c>
      <c r="F33" s="16">
        <v>155</v>
      </c>
      <c r="G33" s="29">
        <f>IF(OR($E33="",$F33=""),"",$E33*$F33)</f>
        <v>12400</v>
      </c>
    </row>
    <row r="34" spans="1:7">
      <c r="A34" s="15" t="s">
        <v>91</v>
      </c>
      <c r="B34" s="15" t="s">
        <v>135</v>
      </c>
      <c r="C34" s="15" t="s">
        <v>59</v>
      </c>
      <c r="D34" s="27" t="s">
        <v>114</v>
      </c>
      <c r="E34" s="28">
        <v>40</v>
      </c>
      <c r="F34" s="16">
        <v>116.25</v>
      </c>
      <c r="G34" s="29">
        <f>IF(OR($E34="",$F34=""),"",$E34*$F34)</f>
        <v>4650</v>
      </c>
    </row>
    <row r="35" spans="1:7">
      <c r="A35" s="15"/>
      <c r="B35" s="15"/>
      <c r="C35" s="15"/>
      <c r="D35" s="27"/>
      <c r="E35" s="28"/>
      <c r="F35" s="16"/>
      <c r="G35" s="29">
        <f>IF(OR($E35="",$F35=""),"",$E35*$F35)</f>
        <v/>
      </c>
    </row>
    <row r="36" spans="1:7">
      <c r="A36" s="15"/>
      <c r="B36" s="15"/>
      <c r="C36" s="15"/>
      <c r="D36" s="27"/>
      <c r="E36" s="28"/>
      <c r="F36" s="16"/>
      <c r="G36" s="29">
        <f>IF(OR($E36="",$F36=""),"",$E36*$F36)</f>
        <v/>
      </c>
    </row>
    <row r="37" spans="1:7">
      <c r="A37" s="15"/>
      <c r="B37" s="15"/>
      <c r="C37" s="15"/>
      <c r="D37" s="27"/>
      <c r="E37" s="28"/>
      <c r="F37" s="16"/>
      <c r="G37" s="29">
        <f>IF(OR($E37="",$F37=""),"",$E37*$F37)</f>
        <v/>
      </c>
    </row>
    <row r="38" spans="1:7">
      <c r="A38" s="15"/>
      <c r="B38" s="15"/>
      <c r="C38" s="15"/>
      <c r="D38" s="27"/>
      <c r="E38" s="28"/>
      <c r="F38" s="16"/>
      <c r="G38" s="29">
        <f>IF(OR($E38="",$F38=""),"",$E38*$F38)</f>
        <v/>
      </c>
    </row>
    <row r="39" spans="1:7">
      <c r="A39" s="15"/>
      <c r="B39" s="15"/>
      <c r="C39" s="15"/>
      <c r="D39" s="27"/>
      <c r="E39" s="28"/>
      <c r="F39" s="16"/>
      <c r="G39" s="29">
        <f>IF(OR($E39="",$F39=""),"",$E39*$F39)</f>
        <v/>
      </c>
    </row>
    <row r="40" spans="1:7">
      <c r="A40" s="15"/>
      <c r="B40" s="15"/>
      <c r="C40" s="15"/>
      <c r="D40" s="27"/>
      <c r="E40" s="28"/>
      <c r="F40" s="16"/>
      <c r="G40" s="29">
        <f>IF(OR($E40="",$F40=""),"",$E40*$F40)</f>
        <v/>
      </c>
    </row>
    <row r="41" spans="1:7">
      <c r="A41" s="15"/>
      <c r="B41" s="15"/>
      <c r="C41" s="15"/>
      <c r="D41" s="27"/>
      <c r="E41" s="28"/>
      <c r="F41" s="16"/>
      <c r="G41" s="29">
        <f>IF(OR($E41="",$F41=""),"",$E41*$F41)</f>
        <v/>
      </c>
    </row>
    <row r="42" spans="1:7">
      <c r="A42" s="15"/>
      <c r="B42" s="15"/>
      <c r="C42" s="15"/>
      <c r="D42" s="27"/>
      <c r="E42" s="28"/>
      <c r="F42" s="16"/>
      <c r="G42" s="29">
        <f>IF(OR($E42="",$F42=""),"",$E42*$F42)</f>
        <v/>
      </c>
    </row>
    <row r="43" spans="1:7">
      <c r="A43" s="15"/>
      <c r="B43" s="15"/>
      <c r="C43" s="15"/>
      <c r="D43" s="27"/>
      <c r="E43" s="28"/>
      <c r="F43" s="16"/>
      <c r="G43" s="29">
        <f>IF(OR($E43="",$F43=""),"",$E43*$F43)</f>
        <v/>
      </c>
    </row>
    <row r="44" spans="1:7">
      <c r="A44" s="15"/>
      <c r="B44" s="15"/>
      <c r="C44" s="15"/>
      <c r="D44" s="27"/>
      <c r="E44" s="28"/>
      <c r="F44" s="16"/>
      <c r="G44" s="29">
        <f>IF(OR($E44="",$F44=""),"",$E44*$F44)</f>
        <v/>
      </c>
    </row>
    <row r="45" spans="1:7">
      <c r="A45" s="15"/>
      <c r="B45" s="15"/>
      <c r="C45" s="15"/>
      <c r="D45" s="27"/>
      <c r="E45" s="28"/>
      <c r="F45" s="16"/>
      <c r="G45" s="29">
        <f>IF(OR($E45="",$F45=""),"",$E45*$F45)</f>
        <v/>
      </c>
    </row>
    <row r="46" spans="1:7">
      <c r="A46" s="15"/>
      <c r="B46" s="15"/>
      <c r="C46" s="15"/>
      <c r="D46" s="27"/>
      <c r="E46" s="28"/>
      <c r="F46" s="16"/>
      <c r="G46" s="29">
        <f>IF(OR($E46="",$F46=""),"",$E46*$F46)</f>
        <v/>
      </c>
    </row>
    <row r="47" spans="1:7">
      <c r="A47" s="15"/>
      <c r="B47" s="15"/>
      <c r="C47" s="15"/>
      <c r="D47" s="27"/>
      <c r="E47" s="28"/>
      <c r="F47" s="16"/>
      <c r="G47" s="29">
        <f>IF(OR($E47="",$F47=""),"",$E47*$F47)</f>
        <v/>
      </c>
    </row>
    <row r="48" spans="1:7">
      <c r="A48" s="15"/>
      <c r="B48" s="15"/>
      <c r="C48" s="15"/>
      <c r="D48" s="27"/>
      <c r="E48" s="28"/>
      <c r="F48" s="16"/>
      <c r="G48" s="29">
        <f>IF(OR($E48="",$F48=""),"",$E48*$F48)</f>
        <v/>
      </c>
    </row>
    <row r="49" spans="1:7">
      <c r="A49" s="15"/>
      <c r="B49" s="15"/>
      <c r="C49" s="15"/>
      <c r="D49" s="27"/>
      <c r="E49" s="28"/>
      <c r="F49" s="16"/>
      <c r="G49" s="29">
        <f>IF(OR($E49="",$F49=""),"",$E49*$F49)</f>
        <v/>
      </c>
    </row>
    <row r="50" spans="1:7">
      <c r="A50" s="15"/>
      <c r="B50" s="15"/>
      <c r="C50" s="15"/>
      <c r="D50" s="27"/>
      <c r="E50" s="28"/>
      <c r="F50" s="16"/>
      <c r="G50" s="29">
        <f>IF(OR($E50="",$F50=""),"",$E50*$F50)</f>
        <v/>
      </c>
    </row>
    <row r="51" spans="1:7">
      <c r="A51" s="15"/>
      <c r="B51" s="15"/>
      <c r="C51" s="15"/>
      <c r="D51" s="27"/>
      <c r="E51" s="28"/>
      <c r="F51" s="16"/>
      <c r="G51" s="29">
        <f>IF(OR($E51="",$F51=""),"",$E51*$F51)</f>
        <v/>
      </c>
    </row>
    <row r="52" spans="1:7">
      <c r="A52" s="15"/>
      <c r="B52" s="15"/>
      <c r="C52" s="15"/>
      <c r="D52" s="27"/>
      <c r="E52" s="28"/>
      <c r="F52" s="16"/>
      <c r="G52" s="29">
        <f>IF(OR($E52="",$F52=""),"",$E52*$F52)</f>
        <v/>
      </c>
    </row>
    <row r="53" spans="1:7">
      <c r="A53" s="15"/>
      <c r="B53" s="15"/>
      <c r="C53" s="15"/>
      <c r="D53" s="27"/>
      <c r="E53" s="28"/>
      <c r="F53" s="16"/>
      <c r="G53" s="29">
        <f>IF(OR($E53="",$F53=""),"",$E53*$F53)</f>
        <v/>
      </c>
    </row>
    <row r="54" spans="1:7">
      <c r="A54" s="15"/>
      <c r="B54" s="15"/>
      <c r="C54" s="15"/>
      <c r="D54" s="27"/>
      <c r="E54" s="28"/>
      <c r="F54" s="16"/>
      <c r="G54" s="29">
        <f>IF(OR($E54="",$F54=""),"",$E54*$F54)</f>
        <v/>
      </c>
    </row>
    <row r="55" spans="1:7">
      <c r="A55" s="15"/>
      <c r="B55" s="15"/>
      <c r="C55" s="15"/>
      <c r="D55" s="27"/>
      <c r="E55" s="28"/>
      <c r="F55" s="16"/>
      <c r="G55" s="29">
        <f>IF(OR($E55="",$F55=""),"",$E55*$F55)</f>
        <v/>
      </c>
    </row>
    <row r="56" spans="1:7">
      <c r="A56" s="15"/>
      <c r="B56" s="15"/>
      <c r="C56" s="15"/>
      <c r="D56" s="27"/>
      <c r="E56" s="28"/>
      <c r="F56" s="16"/>
      <c r="G56" s="29">
        <f>IF(OR($E56="",$F56=""),"",$E56*$F56)</f>
        <v/>
      </c>
    </row>
    <row r="57" spans="1:7">
      <c r="A57" s="15"/>
      <c r="B57" s="15"/>
      <c r="C57" s="15"/>
      <c r="D57" s="27"/>
      <c r="E57" s="28"/>
      <c r="F57" s="16"/>
      <c r="G57" s="29">
        <f>IF(OR($E57="",$F57=""),"",$E57*$F57)</f>
        <v/>
      </c>
    </row>
    <row r="58" spans="1:7">
      <c r="A58" s="15"/>
      <c r="B58" s="15"/>
      <c r="C58" s="15"/>
      <c r="D58" s="27"/>
      <c r="E58" s="28"/>
      <c r="F58" s="16"/>
      <c r="G58" s="29">
        <f>IF(OR($E58="",$F58=""),"",$E58*$F58)</f>
        <v/>
      </c>
    </row>
    <row r="59" spans="1:7">
      <c r="A59" s="15"/>
      <c r="B59" s="15"/>
      <c r="C59" s="15"/>
      <c r="D59" s="27"/>
      <c r="E59" s="28"/>
      <c r="F59" s="16"/>
      <c r="G59" s="29">
        <f>IF(OR($E59="",$F59=""),"",$E59*$F59)</f>
        <v/>
      </c>
    </row>
    <row r="60" spans="1:7">
      <c r="A60" s="15"/>
      <c r="B60" s="15"/>
      <c r="C60" s="15"/>
      <c r="D60" s="27"/>
      <c r="E60" s="28"/>
      <c r="F60" s="16"/>
      <c r="G60" s="29">
        <f>IF(OR($E60="",$F60=""),"",$E60*$F60)</f>
        <v/>
      </c>
    </row>
    <row r="61" spans="1:7">
      <c r="A61" s="15"/>
      <c r="B61" s="15"/>
      <c r="C61" s="15"/>
      <c r="D61" s="27"/>
      <c r="E61" s="28"/>
      <c r="F61" s="16"/>
      <c r="G61" s="29">
        <f>IF(OR($E61="",$F61=""),"",$E61*$F61)</f>
        <v/>
      </c>
    </row>
    <row r="62" spans="1:7">
      <c r="A62" s="15"/>
      <c r="B62" s="15"/>
      <c r="C62" s="15"/>
      <c r="D62" s="27"/>
      <c r="E62" s="28"/>
      <c r="F62" s="16"/>
      <c r="G62" s="29">
        <f>IF(OR($E62="",$F62=""),"",$E62*$F62)</f>
        <v/>
      </c>
    </row>
    <row r="63" spans="1:7">
      <c r="A63" s="15"/>
      <c r="B63" s="15"/>
      <c r="C63" s="15"/>
      <c r="D63" s="27"/>
      <c r="E63" s="28"/>
      <c r="F63" s="16"/>
      <c r="G63" s="29">
        <f>IF(OR($E63="",$F63=""),"",$E63*$F63)</f>
        <v/>
      </c>
    </row>
    <row r="64" spans="1:7">
      <c r="A64" s="15"/>
      <c r="B64" s="15"/>
      <c r="C64" s="15"/>
      <c r="D64" s="27"/>
      <c r="E64" s="28"/>
      <c r="F64" s="16"/>
      <c r="G64" s="29">
        <f>IF(OR($E64="",$F64=""),"",$E64*$F64)</f>
        <v/>
      </c>
    </row>
    <row r="65" spans="1:7">
      <c r="A65" s="15"/>
      <c r="B65" s="15"/>
      <c r="C65" s="15"/>
      <c r="D65" s="27"/>
      <c r="E65" s="28"/>
      <c r="F65" s="16"/>
      <c r="G65" s="29">
        <f>IF(OR($E65="",$F65=""),"",$E65*$F65)</f>
        <v/>
      </c>
    </row>
    <row r="66" spans="1:7">
      <c r="A66" s="15"/>
      <c r="B66" s="15"/>
      <c r="C66" s="15"/>
      <c r="D66" s="27"/>
      <c r="E66" s="28"/>
      <c r="F66" s="16"/>
      <c r="G66" s="29">
        <f>IF(OR($E66="",$F66=""),"",$E66*$F66)</f>
        <v/>
      </c>
    </row>
    <row r="67" spans="1:7">
      <c r="A67" s="15"/>
      <c r="B67" s="15"/>
      <c r="C67" s="15"/>
      <c r="D67" s="27"/>
      <c r="E67" s="28"/>
      <c r="F67" s="16"/>
      <c r="G67" s="29">
        <f>IF(OR($E67="",$F67=""),"",$E67*$F67)</f>
        <v/>
      </c>
    </row>
    <row r="68" spans="1:7">
      <c r="A68" s="15"/>
      <c r="B68" s="15"/>
      <c r="C68" s="15"/>
      <c r="D68" s="27"/>
      <c r="E68" s="28"/>
      <c r="F68" s="16"/>
      <c r="G68" s="29">
        <f>IF(OR($E68="",$F68=""),"",$E68*$F68)</f>
        <v/>
      </c>
    </row>
    <row r="69" spans="1:7">
      <c r="A69" s="15"/>
      <c r="B69" s="15"/>
      <c r="C69" s="15"/>
      <c r="D69" s="27"/>
      <c r="E69" s="28"/>
      <c r="F69" s="16"/>
      <c r="G69" s="29">
        <f>IF(OR($E69="",$F69=""),"",$E69*$F69)</f>
        <v/>
      </c>
    </row>
    <row r="70" spans="1:7">
      <c r="A70" s="15"/>
      <c r="B70" s="15"/>
      <c r="C70" s="15"/>
      <c r="D70" s="27"/>
      <c r="E70" s="28"/>
      <c r="F70" s="16"/>
      <c r="G70" s="29">
        <f>IF(OR($E70="",$F70=""),"",$E70*$F70)</f>
        <v/>
      </c>
    </row>
    <row r="71" spans="1:7">
      <c r="A71" s="15"/>
      <c r="B71" s="15"/>
      <c r="C71" s="15"/>
      <c r="D71" s="27"/>
      <c r="E71" s="28"/>
      <c r="F71" s="16"/>
      <c r="G71" s="29">
        <f>IF(OR($E71="",$F71=""),"",$E71*$F71)</f>
        <v/>
      </c>
    </row>
    <row r="72" spans="1:7">
      <c r="A72" s="15"/>
      <c r="B72" s="15"/>
      <c r="C72" s="15"/>
      <c r="D72" s="27"/>
      <c r="E72" s="28"/>
      <c r="F72" s="16"/>
      <c r="G72" s="29">
        <f>IF(OR($E72="",$F72=""),"",$E72*$F72)</f>
        <v/>
      </c>
    </row>
    <row r="73" spans="1:7">
      <c r="A73" s="15"/>
      <c r="B73" s="15"/>
      <c r="C73" s="15"/>
      <c r="D73" s="27"/>
      <c r="E73" s="28"/>
      <c r="F73" s="16"/>
      <c r="G73" s="29">
        <f>IF(OR($E73="",$F73=""),"",$E73*$F73)</f>
        <v/>
      </c>
    </row>
    <row r="74" spans="1:7">
      <c r="A74" s="15"/>
      <c r="B74" s="15"/>
      <c r="C74" s="15"/>
      <c r="D74" s="27"/>
      <c r="E74" s="28"/>
      <c r="F74" s="16"/>
      <c r="G74" s="29">
        <f>IF(OR($E74="",$F74=""),"",$E74*$F74)</f>
        <v/>
      </c>
    </row>
    <row r="75" spans="1:7">
      <c r="A75" s="15"/>
      <c r="B75" s="15"/>
      <c r="C75" s="15"/>
      <c r="D75" s="27"/>
      <c r="E75" s="28"/>
      <c r="F75" s="16"/>
      <c r="G75" s="29">
        <f>IF(OR($E75="",$F75=""),"",$E75*$F75)</f>
        <v/>
      </c>
    </row>
    <row r="76" spans="1:7">
      <c r="A76" s="15"/>
      <c r="B76" s="15"/>
      <c r="C76" s="15"/>
      <c r="D76" s="27"/>
      <c r="E76" s="28"/>
      <c r="F76" s="16"/>
      <c r="G76" s="29">
        <f>IF(OR($E76="",$F76=""),"",$E76*$F76)</f>
        <v/>
      </c>
    </row>
    <row r="77" spans="1:7">
      <c r="A77" s="15"/>
      <c r="B77" s="15"/>
      <c r="C77" s="15"/>
      <c r="D77" s="27"/>
      <c r="E77" s="28"/>
      <c r="F77" s="16"/>
      <c r="G77" s="29">
        <f>IF(OR($E77="",$F77=""),"",$E77*$F77)</f>
        <v/>
      </c>
    </row>
    <row r="78" spans="1:7">
      <c r="A78" s="15"/>
      <c r="B78" s="15"/>
      <c r="C78" s="15"/>
      <c r="D78" s="27"/>
      <c r="E78" s="28"/>
      <c r="F78" s="16"/>
      <c r="G78" s="29">
        <f>IF(OR($E78="",$F78=""),"",$E78*$F78)</f>
        <v/>
      </c>
    </row>
    <row r="79" spans="1:7">
      <c r="A79" s="15"/>
      <c r="B79" s="15"/>
      <c r="C79" s="15"/>
      <c r="D79" s="27"/>
      <c r="E79" s="28"/>
      <c r="F79" s="16"/>
      <c r="G79" s="29">
        <f>IF(OR($E79="",$F79=""),"",$E79*$F79)</f>
        <v/>
      </c>
    </row>
    <row r="80" spans="1:7">
      <c r="A80" s="15"/>
      <c r="B80" s="15"/>
      <c r="C80" s="15"/>
      <c r="D80" s="27"/>
      <c r="E80" s="28"/>
      <c r="F80" s="16"/>
      <c r="G80" s="29">
        <f>IF(OR($E80="",$F80=""),"",$E80*$F80)</f>
        <v/>
      </c>
    </row>
    <row r="81" spans="1:7">
      <c r="A81" s="15"/>
      <c r="B81" s="15"/>
      <c r="C81" s="15"/>
      <c r="D81" s="27"/>
      <c r="E81" s="28"/>
      <c r="F81" s="16"/>
      <c r="G81" s="29">
        <f>IF(OR($E81="",$F81=""),"",$E81*$F81)</f>
        <v/>
      </c>
    </row>
    <row r="82" spans="1:7">
      <c r="A82" s="15"/>
      <c r="B82" s="15"/>
      <c r="C82" s="15"/>
      <c r="D82" s="27"/>
      <c r="E82" s="28"/>
      <c r="F82" s="16"/>
      <c r="G82" s="29">
        <f>IF(OR($E82="",$F82=""),"",$E82*$F82)</f>
        <v/>
      </c>
    </row>
    <row r="83" spans="1:7">
      <c r="A83" s="15"/>
      <c r="B83" s="15"/>
      <c r="C83" s="15"/>
      <c r="D83" s="27"/>
      <c r="E83" s="28"/>
      <c r="F83" s="16"/>
      <c r="G83" s="29">
        <f>IF(OR($E83="",$F83=""),"",$E83*$F83)</f>
        <v/>
      </c>
    </row>
    <row r="84" spans="1:7">
      <c r="A84" s="15"/>
      <c r="B84" s="15"/>
      <c r="C84" s="15"/>
      <c r="D84" s="27"/>
      <c r="E84" s="28"/>
      <c r="F84" s="16"/>
      <c r="G84" s="29">
        <f>IF(OR($E84="",$F84=""),"",$E84*$F84)</f>
        <v/>
      </c>
    </row>
    <row r="85" spans="1:7">
      <c r="A85" s="15"/>
      <c r="B85" s="15"/>
      <c r="C85" s="15"/>
      <c r="D85" s="27"/>
      <c r="E85" s="28"/>
      <c r="F85" s="16"/>
      <c r="G85" s="29">
        <f>IF(OR($E85="",$F85=""),"",$E85*$F85)</f>
        <v/>
      </c>
    </row>
    <row r="86" spans="1:7">
      <c r="A86" s="15"/>
      <c r="B86" s="15"/>
      <c r="C86" s="15"/>
      <c r="D86" s="27"/>
      <c r="E86" s="28"/>
      <c r="F86" s="16"/>
      <c r="G86" s="29">
        <f>IF(OR($E86="",$F86=""),"",$E86*$F86)</f>
        <v/>
      </c>
    </row>
    <row r="87" spans="1:7">
      <c r="A87" s="15"/>
      <c r="B87" s="15"/>
      <c r="C87" s="15"/>
      <c r="D87" s="27"/>
      <c r="E87" s="28"/>
      <c r="F87" s="16"/>
      <c r="G87" s="29">
        <f>IF(OR($E87="",$F87=""),"",$E87*$F87)</f>
        <v/>
      </c>
    </row>
    <row r="88" spans="1:7">
      <c r="A88" s="15"/>
      <c r="B88" s="15"/>
      <c r="C88" s="15"/>
      <c r="D88" s="27"/>
      <c r="E88" s="28"/>
      <c r="F88" s="16"/>
      <c r="G88" s="29">
        <f>IF(OR($E88="",$F88=""),"",$E88*$F88)</f>
        <v/>
      </c>
    </row>
    <row r="89" spans="1:7">
      <c r="A89" s="15"/>
      <c r="B89" s="15"/>
      <c r="C89" s="15"/>
      <c r="D89" s="27"/>
      <c r="E89" s="28"/>
      <c r="F89" s="16"/>
      <c r="G89" s="29">
        <f>IF(OR($E89="",$F89=""),"",$E89*$F89)</f>
        <v/>
      </c>
    </row>
    <row r="90" spans="1:7">
      <c r="A90" s="15"/>
      <c r="B90" s="15"/>
      <c r="C90" s="15"/>
      <c r="D90" s="27"/>
      <c r="E90" s="28"/>
      <c r="F90" s="16"/>
      <c r="G90" s="29">
        <f>IF(OR($E90="",$F90=""),"",$E90*$F90)</f>
        <v/>
      </c>
    </row>
    <row r="91" spans="1:7">
      <c r="A91" s="15"/>
      <c r="B91" s="15"/>
      <c r="C91" s="15"/>
      <c r="D91" s="27"/>
      <c r="E91" s="28"/>
      <c r="F91" s="16"/>
      <c r="G91" s="29">
        <f>IF(OR($E91="",$F91=""),"",$E91*$F91)</f>
        <v/>
      </c>
    </row>
    <row r="92" spans="1:7">
      <c r="A92" s="15"/>
      <c r="B92" s="15"/>
      <c r="C92" s="15"/>
      <c r="D92" s="27"/>
      <c r="E92" s="28"/>
      <c r="F92" s="16"/>
      <c r="G92" s="29">
        <f>IF(OR($E92="",$F92=""),"",$E92*$F92)</f>
        <v/>
      </c>
    </row>
    <row r="93" spans="1:7">
      <c r="A93" s="15"/>
      <c r="B93" s="15"/>
      <c r="C93" s="15"/>
      <c r="D93" s="27"/>
      <c r="E93" s="28"/>
      <c r="F93" s="16"/>
      <c r="G93" s="29">
        <f>IF(OR($E93="",$F93=""),"",$E93*$F93)</f>
        <v/>
      </c>
    </row>
    <row r="94" spans="1:7">
      <c r="A94" s="15"/>
      <c r="B94" s="15"/>
      <c r="C94" s="15"/>
      <c r="D94" s="27"/>
      <c r="E94" s="28"/>
      <c r="F94" s="16"/>
      <c r="G94" s="29">
        <f>IF(OR($E94="",$F94=""),"",$E94*$F94)</f>
        <v/>
      </c>
    </row>
    <row r="95" spans="1:7">
      <c r="A95" s="15"/>
      <c r="B95" s="15"/>
      <c r="C95" s="15"/>
      <c r="D95" s="27"/>
      <c r="E95" s="28"/>
      <c r="F95" s="16"/>
      <c r="G95" s="29">
        <f>IF(OR($E95="",$F95=""),"",$E95*$F95)</f>
        <v/>
      </c>
    </row>
    <row r="96" spans="1:7">
      <c r="A96" s="15"/>
      <c r="B96" s="15"/>
      <c r="C96" s="15"/>
      <c r="D96" s="27"/>
      <c r="E96" s="28"/>
      <c r="F96" s="16"/>
      <c r="G96" s="29">
        <f>IF(OR($E96="",$F96=""),"",$E96*$F96)</f>
        <v/>
      </c>
    </row>
    <row r="97" spans="1:7">
      <c r="A97" s="15"/>
      <c r="B97" s="15"/>
      <c r="C97" s="15"/>
      <c r="D97" s="27"/>
      <c r="E97" s="28"/>
      <c r="F97" s="16"/>
      <c r="G97" s="29">
        <f>IF(OR($E97="",$F97=""),"",$E97*$F97)</f>
        <v/>
      </c>
    </row>
    <row r="98" spans="1:7">
      <c r="A98" s="15"/>
      <c r="B98" s="15"/>
      <c r="C98" s="15"/>
      <c r="D98" s="27"/>
      <c r="E98" s="28"/>
      <c r="F98" s="16"/>
      <c r="G98" s="29">
        <f>IF(OR($E98="",$F98=""),"",$E98*$F98)</f>
        <v/>
      </c>
    </row>
    <row r="99" spans="1:7">
      <c r="A99" s="15"/>
      <c r="B99" s="15"/>
      <c r="C99" s="15"/>
      <c r="D99" s="27"/>
      <c r="E99" s="28"/>
      <c r="F99" s="16"/>
      <c r="G99" s="29">
        <f>IF(OR($E99="",$F99=""),"",$E99*$F99)</f>
        <v/>
      </c>
    </row>
    <row r="100" spans="1:7">
      <c r="A100" s="15"/>
      <c r="B100" s="15"/>
      <c r="C100" s="15"/>
      <c r="D100" s="27"/>
      <c r="E100" s="28"/>
      <c r="F100" s="16"/>
      <c r="G100" s="29">
        <f>IF(OR($E100="",$F100=""),"",$E100*$F100)</f>
        <v/>
      </c>
    </row>
    <row r="101" spans="1:7">
      <c r="A101" s="15"/>
      <c r="B101" s="15"/>
      <c r="C101" s="15"/>
      <c r="D101" s="27"/>
      <c r="E101" s="28"/>
      <c r="F101" s="16"/>
      <c r="G101" s="29">
        <f>IF(OR($E101="",$F101=""),"",$E101*$F101)</f>
        <v/>
      </c>
    </row>
    <row r="102" spans="1:7">
      <c r="A102" s="15"/>
      <c r="B102" s="15"/>
      <c r="C102" s="15"/>
      <c r="D102" s="27"/>
      <c r="E102" s="28"/>
      <c r="F102" s="16"/>
      <c r="G102" s="29">
        <f>IF(OR($E102="",$F102=""),"",$E102*$F102)</f>
        <v/>
      </c>
    </row>
    <row r="103" spans="1:7">
      <c r="A103" s="15"/>
      <c r="B103" s="15"/>
      <c r="C103" s="15"/>
      <c r="D103" s="27"/>
      <c r="E103" s="28"/>
      <c r="F103" s="16"/>
      <c r="G103" s="29">
        <f>IF(OR($E103="",$F103=""),"",$E103*$F103)</f>
        <v/>
      </c>
    </row>
    <row r="104" spans="1:7">
      <c r="A104" s="15"/>
      <c r="B104" s="15"/>
      <c r="C104" s="15"/>
      <c r="D104" s="27"/>
      <c r="E104" s="28"/>
      <c r="F104" s="16"/>
      <c r="G104" s="29">
        <f>IF(OR($E104="",$F104=""),"",$E104*$F104)</f>
        <v/>
      </c>
    </row>
    <row r="105" spans="1:7">
      <c r="A105" s="15"/>
      <c r="B105" s="15"/>
      <c r="C105" s="15"/>
      <c r="D105" s="27"/>
      <c r="E105" s="28"/>
      <c r="F105" s="16"/>
      <c r="G105" s="29">
        <f>IF(OR($E105="",$F105=""),"",$E105*$F105)</f>
        <v/>
      </c>
    </row>
    <row r="106" spans="1:7">
      <c r="A106" s="15"/>
      <c r="B106" s="15"/>
      <c r="C106" s="15"/>
      <c r="D106" s="27"/>
      <c r="E106" s="28"/>
      <c r="F106" s="16"/>
      <c r="G106" s="29">
        <f>IF(OR($E106="",$F106=""),"",$E106*$F106)</f>
        <v/>
      </c>
    </row>
    <row r="107" spans="1:7">
      <c r="A107" s="15"/>
      <c r="B107" s="15"/>
      <c r="C107" s="15"/>
      <c r="D107" s="27"/>
      <c r="E107" s="28"/>
      <c r="F107" s="16"/>
      <c r="G107" s="29">
        <f>IF(OR($E107="",$F107=""),"",$E107*$F107)</f>
        <v/>
      </c>
    </row>
    <row r="108" spans="1:7">
      <c r="A108" s="15"/>
      <c r="B108" s="15"/>
      <c r="C108" s="15"/>
      <c r="D108" s="27"/>
      <c r="E108" s="28"/>
      <c r="F108" s="16"/>
      <c r="G108" s="29">
        <f>IF(OR($E108="",$F108=""),"",$E108*$F108)</f>
        <v/>
      </c>
    </row>
    <row r="109" spans="1:7">
      <c r="A109" s="15"/>
      <c r="B109" s="15"/>
      <c r="C109" s="15"/>
      <c r="D109" s="27"/>
      <c r="E109" s="28"/>
      <c r="F109" s="16"/>
      <c r="G109" s="29">
        <f>IF(OR($E109="",$F109=""),"",$E109*$F109)</f>
        <v/>
      </c>
    </row>
    <row r="110" spans="1:7">
      <c r="A110" s="15"/>
      <c r="B110" s="15"/>
      <c r="C110" s="15"/>
      <c r="D110" s="27"/>
      <c r="E110" s="28"/>
      <c r="F110" s="16"/>
      <c r="G110" s="29">
        <f>IF(OR($E110="",$F110=""),"",$E110*$F110)</f>
        <v/>
      </c>
    </row>
    <row r="111" spans="1:7">
      <c r="A111" s="15"/>
      <c r="B111" s="15"/>
      <c r="C111" s="15"/>
      <c r="D111" s="27"/>
      <c r="E111" s="28"/>
      <c r="F111" s="16"/>
      <c r="G111" s="29">
        <f>IF(OR($E111="",$F111=""),"",$E111*$F111)</f>
        <v/>
      </c>
    </row>
    <row r="112" spans="1:7">
      <c r="A112" s="15"/>
      <c r="B112" s="15"/>
      <c r="C112" s="15"/>
      <c r="D112" s="27"/>
      <c r="E112" s="28"/>
      <c r="F112" s="16"/>
      <c r="G112" s="29">
        <f>IF(OR($E112="",$F112=""),"",$E112*$F112)</f>
        <v/>
      </c>
    </row>
    <row r="113" spans="1:7">
      <c r="A113" s="15"/>
      <c r="B113" s="15"/>
      <c r="C113" s="15"/>
      <c r="D113" s="27"/>
      <c r="E113" s="28"/>
      <c r="F113" s="16"/>
      <c r="G113" s="29">
        <f>IF(OR($E113="",$F113=""),"",$E113*$F113)</f>
        <v/>
      </c>
    </row>
    <row r="114" spans="1:7">
      <c r="A114" s="15"/>
      <c r="B114" s="15"/>
      <c r="C114" s="15"/>
      <c r="D114" s="27"/>
      <c r="E114" s="28"/>
      <c r="F114" s="16"/>
      <c r="G114" s="29">
        <f>IF(OR($E114="",$F114=""),"",$E114*$F114)</f>
        <v/>
      </c>
    </row>
    <row r="115" spans="1:7">
      <c r="A115" s="15"/>
      <c r="B115" s="15"/>
      <c r="C115" s="15"/>
      <c r="D115" s="27"/>
      <c r="E115" s="28"/>
      <c r="F115" s="16"/>
      <c r="G115" s="29">
        <f>IF(OR($E115="",$F115=""),"",$E115*$F115)</f>
        <v/>
      </c>
    </row>
    <row r="116" spans="1:7">
      <c r="A116" s="15"/>
      <c r="B116" s="15"/>
      <c r="C116" s="15"/>
      <c r="D116" s="27"/>
      <c r="E116" s="28"/>
      <c r="F116" s="16"/>
      <c r="G116" s="29">
        <f>IF(OR($E116="",$F116=""),"",$E116*$F116)</f>
        <v/>
      </c>
    </row>
    <row r="117" spans="1:7">
      <c r="A117" s="15"/>
      <c r="B117" s="15"/>
      <c r="C117" s="15"/>
      <c r="D117" s="27"/>
      <c r="E117" s="28"/>
      <c r="F117" s="16"/>
      <c r="G117" s="29">
        <f>IF(OR($E117="",$F117=""),"",$E117*$F117)</f>
        <v/>
      </c>
    </row>
    <row r="118" spans="1:7">
      <c r="A118" s="15"/>
      <c r="B118" s="15"/>
      <c r="C118" s="15"/>
      <c r="D118" s="27"/>
      <c r="E118" s="28"/>
      <c r="F118" s="16"/>
      <c r="G118" s="29">
        <f>IF(OR($E118="",$F118=""),"",$E118*$F118)</f>
        <v/>
      </c>
    </row>
    <row r="119" spans="1:7">
      <c r="A119" s="15"/>
      <c r="B119" s="15"/>
      <c r="C119" s="15"/>
      <c r="D119" s="27"/>
      <c r="E119" s="28"/>
      <c r="F119" s="16"/>
      <c r="G119" s="29">
        <f>IF(OR($E119="",$F119=""),"",$E119*$F119)</f>
        <v/>
      </c>
    </row>
    <row r="120" spans="1:7">
      <c r="A120" s="15"/>
      <c r="B120" s="15"/>
      <c r="C120" s="15"/>
      <c r="D120" s="27"/>
      <c r="E120" s="28"/>
      <c r="F120" s="16"/>
      <c r="G120" s="29">
        <f>IF(OR($E120="",$F120=""),"",$E120*$F120)</f>
        <v/>
      </c>
    </row>
    <row r="121" spans="1:7">
      <c r="A121" s="15"/>
      <c r="B121" s="15"/>
      <c r="C121" s="15"/>
      <c r="D121" s="27"/>
      <c r="E121" s="28"/>
      <c r="F121" s="16"/>
      <c r="G121" s="29">
        <f>IF(OR($E121="",$F121=""),"",$E121*$F121)</f>
        <v/>
      </c>
    </row>
    <row r="122" spans="1:7">
      <c r="A122" s="15"/>
      <c r="B122" s="15"/>
      <c r="C122" s="15"/>
      <c r="D122" s="27"/>
      <c r="E122" s="28"/>
      <c r="F122" s="16"/>
      <c r="G122" s="29">
        <f>IF(OR($E122="",$F122=""),"",$E122*$F122)</f>
        <v/>
      </c>
    </row>
    <row r="123" spans="1:7">
      <c r="A123" s="15"/>
      <c r="B123" s="15"/>
      <c r="C123" s="15"/>
      <c r="D123" s="27"/>
      <c r="E123" s="28"/>
      <c r="F123" s="16"/>
      <c r="G123" s="29">
        <f>IF(OR($E123="",$F123=""),"",$E123*$F123)</f>
        <v/>
      </c>
    </row>
    <row r="124" spans="1:7">
      <c r="A124" s="15"/>
      <c r="B124" s="15"/>
      <c r="C124" s="15"/>
      <c r="D124" s="27"/>
      <c r="E124" s="28"/>
      <c r="F124" s="16"/>
      <c r="G124" s="29">
        <f>IF(OR($E124="",$F124=""),"",$E124*$F124)</f>
        <v/>
      </c>
    </row>
    <row r="125" spans="1:7">
      <c r="A125" s="15"/>
      <c r="B125" s="15"/>
      <c r="C125" s="15"/>
      <c r="D125" s="27"/>
      <c r="E125" s="28"/>
      <c r="F125" s="16"/>
      <c r="G125" s="29">
        <f>IF(OR($E125="",$F125=""),"",$E125*$F125)</f>
        <v/>
      </c>
    </row>
    <row r="126" spans="1:7">
      <c r="A126" s="15"/>
      <c r="B126" s="15"/>
      <c r="C126" s="15"/>
      <c r="D126" s="27"/>
      <c r="E126" s="28"/>
      <c r="F126" s="16"/>
      <c r="G126" s="29">
        <f>IF(OR($E126="",$F126=""),"",$E126*$F126)</f>
        <v/>
      </c>
    </row>
    <row r="127" spans="1:7">
      <c r="A127" s="15"/>
      <c r="B127" s="15"/>
      <c r="C127" s="15"/>
      <c r="D127" s="27"/>
      <c r="E127" s="28"/>
      <c r="F127" s="16"/>
      <c r="G127" s="29">
        <f>IF(OR($E127="",$F127=""),"",$E127*$F127)</f>
        <v/>
      </c>
    </row>
    <row r="128" spans="1:7">
      <c r="A128" s="15"/>
      <c r="B128" s="15"/>
      <c r="C128" s="15"/>
      <c r="D128" s="27"/>
      <c r="E128" s="28"/>
      <c r="F128" s="16"/>
      <c r="G128" s="29">
        <f>IF(OR($E128="",$F128=""),"",$E128*$F128)</f>
        <v/>
      </c>
    </row>
    <row r="129" spans="1:7">
      <c r="A129" s="15"/>
      <c r="B129" s="15"/>
      <c r="C129" s="15"/>
      <c r="D129" s="27"/>
      <c r="E129" s="28"/>
      <c r="F129" s="16"/>
      <c r="G129" s="29">
        <f>IF(OR($E129="",$F129=""),"",$E129*$F129)</f>
        <v/>
      </c>
    </row>
    <row r="130" spans="1:7">
      <c r="A130" s="15"/>
      <c r="B130" s="15"/>
      <c r="C130" s="15"/>
      <c r="D130" s="27"/>
      <c r="E130" s="28"/>
      <c r="F130" s="16"/>
      <c r="G130" s="29">
        <f>IF(OR($E130="",$F130=""),"",$E130*$F130)</f>
        <v/>
      </c>
    </row>
    <row r="131" spans="1:7">
      <c r="A131" s="15"/>
      <c r="B131" s="15"/>
      <c r="C131" s="15"/>
      <c r="D131" s="27"/>
      <c r="E131" s="28"/>
      <c r="F131" s="16"/>
      <c r="G131" s="29">
        <f>IF(OR($E131="",$F131=""),"",$E131*$F131)</f>
        <v/>
      </c>
    </row>
    <row r="132" spans="1:7">
      <c r="A132" s="15"/>
      <c r="B132" s="15"/>
      <c r="C132" s="15"/>
      <c r="D132" s="27"/>
      <c r="E132" s="28"/>
      <c r="F132" s="16"/>
      <c r="G132" s="29">
        <f>IF(OR($E132="",$F132=""),"",$E132*$F132)</f>
        <v/>
      </c>
    </row>
    <row r="133" spans="1:7">
      <c r="A133" s="15"/>
      <c r="B133" s="15"/>
      <c r="C133" s="15"/>
      <c r="D133" s="27"/>
      <c r="E133" s="28"/>
      <c r="F133" s="16"/>
      <c r="G133" s="29">
        <f>IF(OR($E133="",$F133=""),"",$E133*$F133)</f>
        <v/>
      </c>
    </row>
    <row r="134" spans="1:7">
      <c r="A134" s="15"/>
      <c r="B134" s="15"/>
      <c r="C134" s="15"/>
      <c r="D134" s="27"/>
      <c r="E134" s="28"/>
      <c r="F134" s="16"/>
      <c r="G134" s="29">
        <f>IF(OR($E134="",$F134=""),"",$E134*$F134)</f>
        <v/>
      </c>
    </row>
    <row r="135" spans="1:7">
      <c r="A135" s="15"/>
      <c r="B135" s="15"/>
      <c r="C135" s="15"/>
      <c r="D135" s="27"/>
      <c r="E135" s="28"/>
      <c r="F135" s="16"/>
      <c r="G135" s="29">
        <f>IF(OR($E135="",$F135=""),"",$E135*$F135)</f>
        <v/>
      </c>
    </row>
    <row r="136" spans="1:7">
      <c r="A136" s="15"/>
      <c r="B136" s="15"/>
      <c r="C136" s="15"/>
      <c r="D136" s="27"/>
      <c r="E136" s="28"/>
      <c r="F136" s="16"/>
      <c r="G136" s="29">
        <f>IF(OR($E136="",$F136=""),"",$E136*$F136)</f>
        <v/>
      </c>
    </row>
    <row r="137" spans="1:7">
      <c r="A137" s="15"/>
      <c r="B137" s="15"/>
      <c r="C137" s="15"/>
      <c r="D137" s="27"/>
      <c r="E137" s="28"/>
      <c r="F137" s="16"/>
      <c r="G137" s="29">
        <f>IF(OR($E137="",$F137=""),"",$E137*$F137)</f>
        <v/>
      </c>
    </row>
    <row r="138" spans="1:7">
      <c r="A138" s="15"/>
      <c r="B138" s="15"/>
      <c r="C138" s="15"/>
      <c r="D138" s="27"/>
      <c r="E138" s="28"/>
      <c r="F138" s="16"/>
      <c r="G138" s="29">
        <f>IF(OR($E138="",$F138=""),"",$E138*$F138)</f>
        <v/>
      </c>
    </row>
    <row r="139" spans="1:7">
      <c r="A139" s="15"/>
      <c r="B139" s="15"/>
      <c r="C139" s="15"/>
      <c r="D139" s="27"/>
      <c r="E139" s="28"/>
      <c r="F139" s="16"/>
      <c r="G139" s="29">
        <f>IF(OR($E139="",$F139=""),"",$E139*$F139)</f>
        <v/>
      </c>
    </row>
    <row r="140" spans="1:7">
      <c r="A140" s="15"/>
      <c r="B140" s="15"/>
      <c r="C140" s="15"/>
      <c r="D140" s="27"/>
      <c r="E140" s="28"/>
      <c r="F140" s="16"/>
      <c r="G140" s="29">
        <f>IF(OR($E140="",$F140=""),"",$E140*$F140)</f>
        <v/>
      </c>
    </row>
    <row r="141" spans="1:7">
      <c r="A141" s="15"/>
      <c r="B141" s="15"/>
      <c r="C141" s="15"/>
      <c r="D141" s="27"/>
      <c r="E141" s="28"/>
      <c r="F141" s="16"/>
      <c r="G141" s="29">
        <f>IF(OR($E141="",$F141=""),"",$E141*$F141)</f>
        <v/>
      </c>
    </row>
    <row r="142" spans="1:7">
      <c r="A142" s="15"/>
      <c r="B142" s="15"/>
      <c r="C142" s="15"/>
      <c r="D142" s="27"/>
      <c r="E142" s="28"/>
      <c r="F142" s="16"/>
      <c r="G142" s="29">
        <f>IF(OR($E142="",$F142=""),"",$E142*$F142)</f>
        <v/>
      </c>
    </row>
    <row r="143" spans="1:7">
      <c r="A143" s="15"/>
      <c r="B143" s="15"/>
      <c r="C143" s="15"/>
      <c r="D143" s="27"/>
      <c r="E143" s="28"/>
      <c r="F143" s="16"/>
      <c r="G143" s="29">
        <f>IF(OR($E143="",$F143=""),"",$E143*$F143)</f>
        <v/>
      </c>
    </row>
    <row r="144" spans="1:7">
      <c r="A144" s="15"/>
      <c r="B144" s="15"/>
      <c r="C144" s="15"/>
      <c r="D144" s="27"/>
      <c r="E144" s="28"/>
      <c r="F144" s="16"/>
      <c r="G144" s="29">
        <f>IF(OR($E144="",$F144=""),"",$E144*$F144)</f>
        <v/>
      </c>
    </row>
    <row r="145" spans="1:7">
      <c r="A145" s="15"/>
      <c r="B145" s="15"/>
      <c r="C145" s="15"/>
      <c r="D145" s="27"/>
      <c r="E145" s="28"/>
      <c r="F145" s="16"/>
      <c r="G145" s="29">
        <f>IF(OR($E145="",$F145=""),"",$E145*$F145)</f>
        <v/>
      </c>
    </row>
    <row r="146" spans="1:7">
      <c r="A146" s="15"/>
      <c r="B146" s="15"/>
      <c r="C146" s="15"/>
      <c r="D146" s="27"/>
      <c r="E146" s="28"/>
      <c r="F146" s="16"/>
      <c r="G146" s="29">
        <f>IF(OR($E146="",$F146=""),"",$E146*$F146)</f>
        <v/>
      </c>
    </row>
    <row r="147" spans="1:7">
      <c r="A147" s="15"/>
      <c r="B147" s="15"/>
      <c r="C147" s="15"/>
      <c r="D147" s="27"/>
      <c r="E147" s="28"/>
      <c r="F147" s="16"/>
      <c r="G147" s="29">
        <f>IF(OR($E147="",$F147=""),"",$E147*$F147)</f>
        <v/>
      </c>
    </row>
    <row r="148" spans="1:7">
      <c r="A148" s="15"/>
      <c r="B148" s="15"/>
      <c r="C148" s="15"/>
      <c r="D148" s="27"/>
      <c r="E148" s="28"/>
      <c r="F148" s="16"/>
      <c r="G148" s="29">
        <f>IF(OR($E148="",$F148=""),"",$E148*$F148)</f>
        <v/>
      </c>
    </row>
    <row r="149" spans="1:7">
      <c r="A149" s="15"/>
      <c r="B149" s="15"/>
      <c r="C149" s="15"/>
      <c r="D149" s="27"/>
      <c r="E149" s="28"/>
      <c r="F149" s="16"/>
      <c r="G149" s="29">
        <f>IF(OR($E149="",$F149=""),"",$E149*$F149)</f>
        <v/>
      </c>
    </row>
    <row r="150" spans="1:7">
      <c r="A150" s="15"/>
      <c r="B150" s="15"/>
      <c r="C150" s="15"/>
      <c r="D150" s="27"/>
      <c r="E150" s="28"/>
      <c r="F150" s="16"/>
      <c r="G150" s="29">
        <f>IF(OR($E150="",$F150=""),"",$E150*$F150)</f>
        <v/>
      </c>
    </row>
    <row r="151" spans="1:7">
      <c r="A151" s="15"/>
      <c r="B151" s="15"/>
      <c r="C151" s="15"/>
      <c r="D151" s="27"/>
      <c r="E151" s="28"/>
      <c r="F151" s="16"/>
      <c r="G151" s="29">
        <f>IF(OR($E151="",$F151=""),"",$E151*$F151)</f>
        <v/>
      </c>
    </row>
    <row r="152" spans="1:7">
      <c r="A152" s="15"/>
      <c r="B152" s="15"/>
      <c r="C152" s="15"/>
      <c r="D152" s="27"/>
      <c r="E152" s="28"/>
      <c r="F152" s="16"/>
      <c r="G152" s="29">
        <f>IF(OR($E152="",$F152=""),"",$E152*$F152)</f>
        <v/>
      </c>
    </row>
    <row r="153" spans="1:7">
      <c r="A153" s="15"/>
      <c r="B153" s="15"/>
      <c r="C153" s="15"/>
      <c r="D153" s="27"/>
      <c r="E153" s="28"/>
      <c r="F153" s="16"/>
      <c r="G153" s="29">
        <f>IF(OR($E153="",$F153=""),"",$E153*$F153)</f>
        <v/>
      </c>
    </row>
    <row r="154" spans="1:7">
      <c r="A154" s="15"/>
      <c r="B154" s="15"/>
      <c r="C154" s="15"/>
      <c r="D154" s="27"/>
      <c r="E154" s="28"/>
      <c r="F154" s="16"/>
      <c r="G154" s="29">
        <f>IF(OR($E154="",$F154=""),"",$E154*$F154)</f>
        <v/>
      </c>
    </row>
    <row r="155" spans="1:7">
      <c r="A155" s="15"/>
      <c r="B155" s="15"/>
      <c r="C155" s="15"/>
      <c r="D155" s="27"/>
      <c r="E155" s="28"/>
      <c r="F155" s="16"/>
      <c r="G155" s="29">
        <f>IF(OR($E155="",$F155=""),"",$E155*$F155)</f>
        <v/>
      </c>
    </row>
    <row r="156" spans="1:7">
      <c r="A156" s="15"/>
      <c r="B156" s="15"/>
      <c r="C156" s="15"/>
      <c r="D156" s="27"/>
      <c r="E156" s="28"/>
      <c r="F156" s="16"/>
      <c r="G156" s="29">
        <f>IF(OR($E156="",$F156=""),"",$E156*$F156)</f>
        <v/>
      </c>
    </row>
    <row r="157" spans="1:7">
      <c r="A157" s="15"/>
      <c r="B157" s="15"/>
      <c r="C157" s="15"/>
      <c r="D157" s="27"/>
      <c r="E157" s="28"/>
      <c r="F157" s="16"/>
      <c r="G157" s="29">
        <f>IF(OR($E157="",$F157=""),"",$E157*$F157)</f>
        <v/>
      </c>
    </row>
    <row r="158" spans="1:7">
      <c r="A158" s="15"/>
      <c r="B158" s="15"/>
      <c r="C158" s="15"/>
      <c r="D158" s="27"/>
      <c r="E158" s="28"/>
      <c r="F158" s="16"/>
      <c r="G158" s="29">
        <f>IF(OR($E158="",$F158=""),"",$E158*$F158)</f>
        <v/>
      </c>
    </row>
    <row r="159" spans="1:7">
      <c r="A159" s="15"/>
      <c r="B159" s="15"/>
      <c r="C159" s="15"/>
      <c r="D159" s="27"/>
      <c r="E159" s="28"/>
      <c r="F159" s="16"/>
      <c r="G159" s="29">
        <f>IF(OR($E159="",$F159=""),"",$E159*$F159)</f>
        <v/>
      </c>
    </row>
    <row r="160" spans="1:7">
      <c r="A160" s="15"/>
      <c r="B160" s="15"/>
      <c r="C160" s="15"/>
      <c r="D160" s="27"/>
      <c r="E160" s="28"/>
      <c r="F160" s="16"/>
      <c r="G160" s="29">
        <f>IF(OR($E160="",$F160=""),"",$E160*$F160)</f>
        <v/>
      </c>
    </row>
    <row r="161" spans="1:7">
      <c r="A161" s="15"/>
      <c r="B161" s="15"/>
      <c r="C161" s="15"/>
      <c r="D161" s="27"/>
      <c r="E161" s="28"/>
      <c r="F161" s="16"/>
      <c r="G161" s="29">
        <f>IF(OR($E161="",$F161=""),"",$E161*$F161)</f>
        <v/>
      </c>
    </row>
    <row r="162" spans="1:7">
      <c r="A162" s="15"/>
      <c r="B162" s="15"/>
      <c r="C162" s="15"/>
      <c r="D162" s="27"/>
      <c r="E162" s="28"/>
      <c r="F162" s="16"/>
      <c r="G162" s="29">
        <f>IF(OR($E162="",$F162=""),"",$E162*$F162)</f>
        <v/>
      </c>
    </row>
    <row r="163" spans="1:7">
      <c r="A163" s="15"/>
      <c r="B163" s="15"/>
      <c r="C163" s="15"/>
      <c r="D163" s="27"/>
      <c r="E163" s="28"/>
      <c r="F163" s="16"/>
      <c r="G163" s="29">
        <f>IF(OR($E163="",$F163=""),"",$E163*$F163)</f>
        <v/>
      </c>
    </row>
    <row r="164" spans="1:7">
      <c r="A164" s="15"/>
      <c r="B164" s="15"/>
      <c r="C164" s="15"/>
      <c r="D164" s="27"/>
      <c r="E164" s="28"/>
      <c r="F164" s="16"/>
      <c r="G164" s="29">
        <f>IF(OR($E164="",$F164=""),"",$E164*$F164)</f>
        <v/>
      </c>
    </row>
    <row r="165" spans="1:7">
      <c r="A165" s="15"/>
      <c r="B165" s="15"/>
      <c r="C165" s="15"/>
      <c r="D165" s="27"/>
      <c r="E165" s="28"/>
      <c r="F165" s="16"/>
      <c r="G165" s="29">
        <f>IF(OR($E165="",$F165=""),"",$E165*$F165)</f>
        <v/>
      </c>
    </row>
    <row r="166" spans="1:7">
      <c r="A166" s="15"/>
      <c r="B166" s="15"/>
      <c r="C166" s="15"/>
      <c r="D166" s="27"/>
      <c r="E166" s="28"/>
      <c r="F166" s="16"/>
      <c r="G166" s="29">
        <f>IF(OR($E166="",$F166=""),"",$E166*$F166)</f>
        <v/>
      </c>
    </row>
    <row r="167" spans="1:7">
      <c r="A167" s="15"/>
      <c r="B167" s="15"/>
      <c r="C167" s="15"/>
      <c r="D167" s="27"/>
      <c r="E167" s="28"/>
      <c r="F167" s="16"/>
      <c r="G167" s="29">
        <f>IF(OR($E167="",$F167=""),"",$E167*$F167)</f>
        <v/>
      </c>
    </row>
    <row r="168" spans="1:7">
      <c r="A168" s="15"/>
      <c r="B168" s="15"/>
      <c r="C168" s="15"/>
      <c r="D168" s="27"/>
      <c r="E168" s="28"/>
      <c r="F168" s="16"/>
      <c r="G168" s="29">
        <f>IF(OR($E168="",$F168=""),"",$E168*$F168)</f>
        <v/>
      </c>
    </row>
    <row r="169" spans="1:7">
      <c r="A169" s="15"/>
      <c r="B169" s="15"/>
      <c r="C169" s="15"/>
      <c r="D169" s="27"/>
      <c r="E169" s="28"/>
      <c r="F169" s="16"/>
      <c r="G169" s="29">
        <f>IF(OR($E169="",$F169=""),"",$E169*$F169)</f>
        <v/>
      </c>
    </row>
    <row r="170" spans="1:7">
      <c r="A170" s="15"/>
      <c r="B170" s="15"/>
      <c r="C170" s="15"/>
      <c r="D170" s="27"/>
      <c r="E170" s="28"/>
      <c r="F170" s="16"/>
      <c r="G170" s="29">
        <f>IF(OR($E170="",$F170=""),"",$E170*$F170)</f>
        <v/>
      </c>
    </row>
    <row r="171" spans="1:7">
      <c r="A171" s="15"/>
      <c r="B171" s="15"/>
      <c r="C171" s="15"/>
      <c r="D171" s="27"/>
      <c r="E171" s="28"/>
      <c r="F171" s="16"/>
      <c r="G171" s="29">
        <f>IF(OR($E171="",$F171=""),"",$E171*$F171)</f>
        <v/>
      </c>
    </row>
    <row r="172" spans="1:7">
      <c r="A172" s="15"/>
      <c r="B172" s="15"/>
      <c r="C172" s="15"/>
      <c r="D172" s="27"/>
      <c r="E172" s="28"/>
      <c r="F172" s="16"/>
      <c r="G172" s="29">
        <f>IF(OR($E172="",$F172=""),"",$E172*$F172)</f>
        <v/>
      </c>
    </row>
    <row r="173" spans="1:7">
      <c r="A173" s="15"/>
      <c r="B173" s="15"/>
      <c r="C173" s="15"/>
      <c r="D173" s="27"/>
      <c r="E173" s="28"/>
      <c r="F173" s="16"/>
      <c r="G173" s="29">
        <f>IF(OR($E173="",$F173=""),"",$E173*$F173)</f>
        <v/>
      </c>
    </row>
    <row r="174" spans="1:7">
      <c r="A174" s="15"/>
      <c r="B174" s="15"/>
      <c r="C174" s="15"/>
      <c r="D174" s="27"/>
      <c r="E174" s="28"/>
      <c r="F174" s="16"/>
      <c r="G174" s="29">
        <f>IF(OR($E174="",$F174=""),"",$E174*$F174)</f>
        <v/>
      </c>
    </row>
    <row r="175" spans="1:7">
      <c r="A175" s="15"/>
      <c r="B175" s="15"/>
      <c r="C175" s="15"/>
      <c r="D175" s="27"/>
      <c r="E175" s="28"/>
      <c r="F175" s="16"/>
      <c r="G175" s="29">
        <f>IF(OR($E175="",$F175=""),"",$E175*$F175)</f>
        <v/>
      </c>
    </row>
    <row r="176" spans="1:7">
      <c r="A176" s="15"/>
      <c r="B176" s="15"/>
      <c r="C176" s="15"/>
      <c r="D176" s="27"/>
      <c r="E176" s="28"/>
      <c r="F176" s="16"/>
      <c r="G176" s="29">
        <f>IF(OR($E176="",$F176=""),"",$E176*$F176)</f>
        <v/>
      </c>
    </row>
    <row r="177" spans="1:7">
      <c r="A177" s="15"/>
      <c r="B177" s="15"/>
      <c r="C177" s="15"/>
      <c r="D177" s="27"/>
      <c r="E177" s="28"/>
      <c r="F177" s="16"/>
      <c r="G177" s="29">
        <f>IF(OR($E177="",$F177=""),"",$E177*$F177)</f>
        <v/>
      </c>
    </row>
    <row r="178" spans="1:7">
      <c r="A178" s="15"/>
      <c r="B178" s="15"/>
      <c r="C178" s="15"/>
      <c r="D178" s="27"/>
      <c r="E178" s="28"/>
      <c r="F178" s="16"/>
      <c r="G178" s="29">
        <f>IF(OR($E178="",$F178=""),"",$E178*$F178)</f>
        <v/>
      </c>
    </row>
    <row r="179" spans="1:7">
      <c r="A179" s="15"/>
      <c r="B179" s="15"/>
      <c r="C179" s="15"/>
      <c r="D179" s="27"/>
      <c r="E179" s="28"/>
      <c r="F179" s="16"/>
      <c r="G179" s="29">
        <f>IF(OR($E179="",$F179=""),"",$E179*$F179)</f>
        <v/>
      </c>
    </row>
    <row r="180" spans="1:7">
      <c r="A180" s="15"/>
      <c r="B180" s="15"/>
      <c r="C180" s="15"/>
      <c r="D180" s="27"/>
      <c r="E180" s="28"/>
      <c r="F180" s="16"/>
      <c r="G180" s="29">
        <f>IF(OR($E180="",$F180=""),"",$E180*$F180)</f>
        <v/>
      </c>
    </row>
    <row r="181" spans="1:7">
      <c r="A181" s="15"/>
      <c r="B181" s="15"/>
      <c r="C181" s="15"/>
      <c r="D181" s="27"/>
      <c r="E181" s="28"/>
      <c r="F181" s="16"/>
      <c r="G181" s="29">
        <f>IF(OR($E181="",$F181=""),"",$E181*$F181)</f>
        <v/>
      </c>
    </row>
    <row r="182" spans="1:7">
      <c r="A182" s="15"/>
      <c r="B182" s="15"/>
      <c r="C182" s="15"/>
      <c r="D182" s="27"/>
      <c r="E182" s="28"/>
      <c r="F182" s="16"/>
      <c r="G182" s="29">
        <f>IF(OR($E182="",$F182=""),"",$E182*$F182)</f>
        <v/>
      </c>
    </row>
    <row r="183" spans="1:7">
      <c r="A183" s="15"/>
      <c r="B183" s="15"/>
      <c r="C183" s="15"/>
      <c r="D183" s="27"/>
      <c r="E183" s="28"/>
      <c r="F183" s="16"/>
      <c r="G183" s="29">
        <f>IF(OR($E183="",$F183=""),"",$E183*$F183)</f>
        <v/>
      </c>
    </row>
    <row r="184" spans="1:7">
      <c r="A184" s="15"/>
      <c r="B184" s="15"/>
      <c r="C184" s="15"/>
      <c r="D184" s="27"/>
      <c r="E184" s="28"/>
      <c r="F184" s="16"/>
      <c r="G184" s="29">
        <f>IF(OR($E184="",$F184=""),"",$E184*$F184)</f>
        <v/>
      </c>
    </row>
    <row r="185" spans="1:7">
      <c r="A185" s="15"/>
      <c r="B185" s="15"/>
      <c r="C185" s="15"/>
      <c r="D185" s="27"/>
      <c r="E185" s="28"/>
      <c r="F185" s="16"/>
      <c r="G185" s="29">
        <f>IF(OR($E185="",$F185=""),"",$E185*$F185)</f>
        <v/>
      </c>
    </row>
    <row r="186" spans="1:7">
      <c r="A186" s="15"/>
      <c r="B186" s="15"/>
      <c r="C186" s="15"/>
      <c r="D186" s="27"/>
      <c r="E186" s="28"/>
      <c r="F186" s="16"/>
      <c r="G186" s="29">
        <f>IF(OR($E186="",$F186=""),"",$E186*$F186)</f>
        <v/>
      </c>
    </row>
    <row r="187" spans="1:7">
      <c r="A187" s="15"/>
      <c r="B187" s="15"/>
      <c r="C187" s="15"/>
      <c r="D187" s="27"/>
      <c r="E187" s="28"/>
      <c r="F187" s="16"/>
      <c r="G187" s="29">
        <f>IF(OR($E187="",$F187=""),"",$E187*$F187)</f>
        <v/>
      </c>
    </row>
    <row r="188" spans="1:7">
      <c r="A188" s="15"/>
      <c r="B188" s="15"/>
      <c r="C188" s="15"/>
      <c r="D188" s="27"/>
      <c r="E188" s="28"/>
      <c r="F188" s="16"/>
      <c r="G188" s="29">
        <f>IF(OR($E188="",$F188=""),"",$E188*$F188)</f>
        <v/>
      </c>
    </row>
    <row r="189" spans="1:7">
      <c r="A189" s="15"/>
      <c r="B189" s="15"/>
      <c r="C189" s="15"/>
      <c r="D189" s="27"/>
      <c r="E189" s="28"/>
      <c r="F189" s="16"/>
      <c r="G189" s="29">
        <f>IF(OR($E189="",$F189=""),"",$E189*$F189)</f>
        <v/>
      </c>
    </row>
    <row r="190" spans="1:7">
      <c r="A190" s="15"/>
      <c r="B190" s="15"/>
      <c r="C190" s="15"/>
      <c r="D190" s="27"/>
      <c r="E190" s="28"/>
      <c r="F190" s="16"/>
      <c r="G190" s="29">
        <f>IF(OR($E190="",$F190=""),"",$E190*$F190)</f>
        <v/>
      </c>
    </row>
    <row r="191" spans="1:7">
      <c r="A191" s="15"/>
      <c r="B191" s="15"/>
      <c r="C191" s="15"/>
      <c r="D191" s="27"/>
      <c r="E191" s="28"/>
      <c r="F191" s="16"/>
      <c r="G191" s="29">
        <f>IF(OR($E191="",$F191=""),"",$E191*$F191)</f>
        <v/>
      </c>
    </row>
    <row r="192" spans="1:7">
      <c r="A192" s="15"/>
      <c r="B192" s="15"/>
      <c r="C192" s="15"/>
      <c r="D192" s="27"/>
      <c r="E192" s="28"/>
      <c r="F192" s="16"/>
      <c r="G192" s="29">
        <f>IF(OR($E192="",$F192=""),"",$E192*$F192)</f>
        <v/>
      </c>
    </row>
    <row r="193" spans="1:7">
      <c r="A193" s="15"/>
      <c r="B193" s="15"/>
      <c r="C193" s="15"/>
      <c r="D193" s="27"/>
      <c r="E193" s="28"/>
      <c r="F193" s="16"/>
      <c r="G193" s="29">
        <f>IF(OR($E193="",$F193=""),"",$E193*$F193)</f>
        <v/>
      </c>
    </row>
    <row r="194" spans="1:7">
      <c r="A194" s="15"/>
      <c r="B194" s="15"/>
      <c r="C194" s="15"/>
      <c r="D194" s="27"/>
      <c r="E194" s="28"/>
      <c r="F194" s="16"/>
      <c r="G194" s="29">
        <f>IF(OR($E194="",$F194=""),"",$E194*$F194)</f>
        <v/>
      </c>
    </row>
    <row r="195" spans="1:7">
      <c r="A195" s="15"/>
      <c r="B195" s="15"/>
      <c r="C195" s="15"/>
      <c r="D195" s="27"/>
      <c r="E195" s="28"/>
      <c r="F195" s="16"/>
      <c r="G195" s="29">
        <f>IF(OR($E195="",$F195=""),"",$E195*$F195)</f>
        <v/>
      </c>
    </row>
    <row r="196" spans="1:7">
      <c r="A196" s="15"/>
      <c r="B196" s="15"/>
      <c r="C196" s="15"/>
      <c r="D196" s="27"/>
      <c r="E196" s="28"/>
      <c r="F196" s="16"/>
      <c r="G196" s="29">
        <f>IF(OR($E196="",$F196=""),"",$E196*$F196)</f>
        <v/>
      </c>
    </row>
    <row r="197" spans="1:7">
      <c r="A197" s="15"/>
      <c r="B197" s="15"/>
      <c r="C197" s="15"/>
      <c r="D197" s="27"/>
      <c r="E197" s="28"/>
      <c r="F197" s="16"/>
      <c r="G197" s="29">
        <f>IF(OR($E197="",$F197=""),"",$E197*$F197)</f>
        <v/>
      </c>
    </row>
    <row r="198" spans="1:7">
      <c r="A198" s="15"/>
      <c r="B198" s="15"/>
      <c r="C198" s="15"/>
      <c r="D198" s="27"/>
      <c r="E198" s="28"/>
      <c r="F198" s="16"/>
      <c r="G198" s="29">
        <f>IF(OR($E198="",$F198=""),"",$E198*$F198)</f>
        <v/>
      </c>
    </row>
    <row r="199" spans="1:7">
      <c r="A199" s="15"/>
      <c r="B199" s="15"/>
      <c r="C199" s="15"/>
      <c r="D199" s="27"/>
      <c r="E199" s="28"/>
      <c r="F199" s="16"/>
      <c r="G199" s="29">
        <f>IF(OR($E199="",$F199=""),"",$E199*$F199)</f>
        <v/>
      </c>
    </row>
    <row r="200" spans="1:7">
      <c r="A200" s="15"/>
      <c r="B200" s="15"/>
      <c r="C200" s="15"/>
      <c r="D200" s="27"/>
      <c r="E200" s="28"/>
      <c r="F200" s="16"/>
      <c r="G200" s="29">
        <f>IF(OR($E200="",$F200=""),"",$E200*$F200)</f>
        <v/>
      </c>
    </row>
    <row r="201" spans="1:7">
      <c r="A201" s="15"/>
      <c r="B201" s="15"/>
      <c r="C201" s="15"/>
      <c r="D201" s="27"/>
      <c r="E201" s="28"/>
      <c r="F201" s="16"/>
      <c r="G201" s="29">
        <f>IF(OR($E201="",$F201=""),"",$E201*$F201)</f>
        <v/>
      </c>
    </row>
    <row r="202" spans="1:7">
      <c r="A202" s="15"/>
      <c r="B202" s="15"/>
      <c r="C202" s="15"/>
      <c r="D202" s="27"/>
      <c r="E202" s="28"/>
      <c r="F202" s="16"/>
      <c r="G202" s="29">
        <f>IF(OR($E202="",$F202=""),"",$E202*$F202)</f>
        <v/>
      </c>
    </row>
    <row r="203" spans="1:7">
      <c r="A203" s="15"/>
      <c r="B203" s="15"/>
      <c r="C203" s="15"/>
      <c r="D203" s="27"/>
      <c r="E203" s="28"/>
      <c r="F203" s="16"/>
      <c r="G203" s="29">
        <f>IF(OR($E203="",$F203=""),"",$E203*$F203)</f>
        <v/>
      </c>
    </row>
    <row r="204" spans="1:7">
      <c r="A204" s="15"/>
      <c r="B204" s="15"/>
      <c r="C204" s="15"/>
      <c r="D204" s="27"/>
      <c r="E204" s="28"/>
      <c r="F204" s="16"/>
      <c r="G204" s="29">
        <f>IF(OR($E204="",$F204=""),"",$E204*$F204)</f>
        <v/>
      </c>
    </row>
    <row r="205" spans="1:7">
      <c r="A205" s="15"/>
      <c r="B205" s="15"/>
      <c r="C205" s="15"/>
      <c r="D205" s="27"/>
      <c r="E205" s="28"/>
      <c r="F205" s="16"/>
      <c r="G205" s="29">
        <f>IF(OR($E205="",$F205=""),"",$E205*$F205)</f>
        <v/>
      </c>
    </row>
    <row r="206" spans="1:7">
      <c r="A206" s="15"/>
      <c r="B206" s="15"/>
      <c r="C206" s="15"/>
      <c r="D206" s="27"/>
      <c r="E206" s="28"/>
      <c r="F206" s="16"/>
      <c r="G206" s="29">
        <f>IF(OR($E206="",$F206=""),"",$E206*$F206)</f>
        <v/>
      </c>
    </row>
    <row r="207" spans="1:7">
      <c r="A207" s="15"/>
      <c r="B207" s="15"/>
      <c r="C207" s="15"/>
      <c r="D207" s="27"/>
      <c r="E207" s="28"/>
      <c r="F207" s="16"/>
      <c r="G207" s="29">
        <f>IF(OR($E207="",$F207=""),"",$E207*$F207)</f>
        <v/>
      </c>
    </row>
    <row r="208" spans="1:7">
      <c r="A208" s="15"/>
      <c r="B208" s="15"/>
      <c r="C208" s="15"/>
      <c r="D208" s="27"/>
      <c r="E208" s="28"/>
      <c r="F208" s="16"/>
      <c r="G208" s="29">
        <f>IF(OR($E208="",$F208=""),"",$E208*$F208)</f>
        <v/>
      </c>
    </row>
    <row r="209" spans="1:7">
      <c r="A209" s="15"/>
      <c r="B209" s="15"/>
      <c r="C209" s="15"/>
      <c r="D209" s="27"/>
      <c r="E209" s="28"/>
      <c r="F209" s="16"/>
      <c r="G209" s="29">
        <f>IF(OR($E209="",$F209=""),"",$E209*$F209)</f>
        <v/>
      </c>
    </row>
    <row r="210" spans="1:7">
      <c r="A210" s="15"/>
      <c r="B210" s="15"/>
      <c r="C210" s="15"/>
      <c r="D210" s="27"/>
      <c r="E210" s="28"/>
      <c r="F210" s="16"/>
      <c r="G210" s="29">
        <f>IF(OR($E210="",$F210=""),"",$E210*$F210)</f>
        <v/>
      </c>
    </row>
    <row r="211" spans="1:7">
      <c r="A211" s="15"/>
      <c r="B211" s="15"/>
      <c r="C211" s="15"/>
      <c r="D211" s="27"/>
      <c r="E211" s="28"/>
      <c r="F211" s="16"/>
      <c r="G211" s="29">
        <f>IF(OR($E211="",$F211=""),"",$E211*$F211)</f>
        <v/>
      </c>
    </row>
    <row r="212" spans="1:7">
      <c r="A212" s="15"/>
      <c r="B212" s="15"/>
      <c r="C212" s="15"/>
      <c r="D212" s="27"/>
      <c r="E212" s="28"/>
      <c r="F212" s="16"/>
      <c r="G212" s="29">
        <f>IF(OR($E212="",$F212=""),"",$E212*$F212)</f>
        <v/>
      </c>
    </row>
    <row r="213" spans="1:7">
      <c r="A213" s="15"/>
      <c r="B213" s="15"/>
      <c r="C213" s="15"/>
      <c r="D213" s="27"/>
      <c r="E213" s="28"/>
      <c r="F213" s="16"/>
      <c r="G213" s="29">
        <f>IF(OR($E213="",$F213=""),"",$E213*$F213)</f>
        <v/>
      </c>
    </row>
    <row r="214" spans="1:7">
      <c r="A214" s="15"/>
      <c r="B214" s="15"/>
      <c r="C214" s="15"/>
      <c r="D214" s="27"/>
      <c r="E214" s="28"/>
      <c r="F214" s="16"/>
      <c r="G214" s="29">
        <f>IF(OR($E214="",$F214=""),"",$E214*$F214)</f>
        <v/>
      </c>
    </row>
    <row r="215" spans="1:7">
      <c r="A215" s="15"/>
      <c r="B215" s="15"/>
      <c r="C215" s="15"/>
      <c r="D215" s="27"/>
      <c r="E215" s="28"/>
      <c r="F215" s="16"/>
      <c r="G215" s="29">
        <f>IF(OR($E215="",$F215=""),"",$E215*$F215)</f>
        <v/>
      </c>
    </row>
    <row r="216" spans="1:7">
      <c r="A216" s="15"/>
      <c r="B216" s="15"/>
      <c r="C216" s="15"/>
      <c r="D216" s="27"/>
      <c r="E216" s="28"/>
      <c r="F216" s="16"/>
      <c r="G216" s="29">
        <f>IF(OR($E216="",$F216=""),"",$E216*$F216)</f>
        <v/>
      </c>
    </row>
    <row r="217" spans="1:7">
      <c r="A217" s="15"/>
      <c r="B217" s="15"/>
      <c r="C217" s="15"/>
      <c r="D217" s="27"/>
      <c r="E217" s="28"/>
      <c r="F217" s="16"/>
      <c r="G217" s="29">
        <f>IF(OR($E217="",$F217=""),"",$E217*$F217)</f>
        <v/>
      </c>
    </row>
    <row r="218" spans="1:7">
      <c r="A218" s="15"/>
      <c r="B218" s="15"/>
      <c r="C218" s="15"/>
      <c r="D218" s="27"/>
      <c r="E218" s="28"/>
      <c r="F218" s="16"/>
      <c r="G218" s="29">
        <f>IF(OR($E218="",$F218=""),"",$E218*$F218)</f>
        <v/>
      </c>
    </row>
    <row r="219" spans="1:7">
      <c r="A219" s="15"/>
      <c r="B219" s="15"/>
      <c r="C219" s="15"/>
      <c r="D219" s="27"/>
      <c r="E219" s="28"/>
      <c r="F219" s="16"/>
      <c r="G219" s="29">
        <f>IF(OR($E219="",$F219=""),"",$E219*$F219)</f>
        <v/>
      </c>
    </row>
    <row r="220" spans="1:7">
      <c r="A220" s="15"/>
      <c r="B220" s="15"/>
      <c r="C220" s="15"/>
      <c r="D220" s="27"/>
      <c r="E220" s="28"/>
      <c r="F220" s="16"/>
      <c r="G220" s="29">
        <f>IF(OR($E220="",$F220=""),"",$E220*$F220)</f>
        <v/>
      </c>
    </row>
    <row r="221" spans="1:7">
      <c r="A221" s="15"/>
      <c r="B221" s="15"/>
      <c r="C221" s="15"/>
      <c r="D221" s="27"/>
      <c r="E221" s="28"/>
      <c r="F221" s="16"/>
      <c r="G221" s="29">
        <f>IF(OR($E221="",$F221=""),"",$E221*$F221)</f>
        <v/>
      </c>
    </row>
    <row r="222" spans="1:7">
      <c r="A222" s="15"/>
      <c r="B222" s="15"/>
      <c r="C222" s="15"/>
      <c r="D222" s="27"/>
      <c r="E222" s="28"/>
      <c r="F222" s="16"/>
      <c r="G222" s="29">
        <f>IF(OR($E222="",$F222=""),"",$E222*$F222)</f>
        <v/>
      </c>
    </row>
    <row r="223" spans="1:7">
      <c r="A223" s="15"/>
      <c r="B223" s="15"/>
      <c r="C223" s="15"/>
      <c r="D223" s="27"/>
      <c r="E223" s="28"/>
      <c r="F223" s="16"/>
      <c r="G223" s="29">
        <f>IF(OR($E223="",$F223=""),"",$E223*$F223)</f>
        <v/>
      </c>
    </row>
    <row r="224" spans="1:7">
      <c r="A224" s="15"/>
      <c r="B224" s="15"/>
      <c r="C224" s="15"/>
      <c r="D224" s="27"/>
      <c r="E224" s="28"/>
      <c r="F224" s="16"/>
      <c r="G224" s="29">
        <f>IF(OR($E224="",$F224=""),"",$E224*$F224)</f>
        <v/>
      </c>
    </row>
    <row r="225" spans="1:7">
      <c r="A225" s="15"/>
      <c r="B225" s="15"/>
      <c r="C225" s="15"/>
      <c r="D225" s="27"/>
      <c r="E225" s="28"/>
      <c r="F225" s="16"/>
      <c r="G225" s="29">
        <f>IF(OR($E225="",$F225=""),"",$E225*$F225)</f>
        <v/>
      </c>
    </row>
    <row r="226" spans="1:7">
      <c r="A226" s="15"/>
      <c r="B226" s="15"/>
      <c r="C226" s="15"/>
      <c r="D226" s="27"/>
      <c r="E226" s="28"/>
      <c r="F226" s="16"/>
      <c r="G226" s="29">
        <f>IF(OR($E226="",$F226=""),"",$E226*$F226)</f>
        <v/>
      </c>
    </row>
    <row r="227" spans="1:7">
      <c r="A227" s="15"/>
      <c r="B227" s="15"/>
      <c r="C227" s="15"/>
      <c r="D227" s="27"/>
      <c r="E227" s="28"/>
      <c r="F227" s="16"/>
      <c r="G227" s="29">
        <f>IF(OR($E227="",$F227=""),"",$E227*$F227)</f>
        <v/>
      </c>
    </row>
    <row r="228" spans="1:7">
      <c r="A228" s="15"/>
      <c r="B228" s="15"/>
      <c r="C228" s="15"/>
      <c r="D228" s="27"/>
      <c r="E228" s="28"/>
      <c r="F228" s="16"/>
      <c r="G228" s="29">
        <f>IF(OR($E228="",$F228=""),"",$E228*$F228)</f>
        <v/>
      </c>
    </row>
    <row r="229" spans="1:7">
      <c r="A229" s="15"/>
      <c r="B229" s="15"/>
      <c r="C229" s="15"/>
      <c r="D229" s="27"/>
      <c r="E229" s="28"/>
      <c r="F229" s="16"/>
      <c r="G229" s="29">
        <f>IF(OR($E229="",$F229=""),"",$E229*$F229)</f>
        <v/>
      </c>
    </row>
    <row r="230" spans="1:7">
      <c r="A230" s="15"/>
      <c r="B230" s="15"/>
      <c r="C230" s="15"/>
      <c r="D230" s="27"/>
      <c r="E230" s="28"/>
      <c r="F230" s="16"/>
      <c r="G230" s="29">
        <f>IF(OR($E230="",$F230=""),"",$E230*$F230)</f>
        <v/>
      </c>
    </row>
    <row r="231" spans="1:7">
      <c r="A231" s="15"/>
      <c r="B231" s="15"/>
      <c r="C231" s="15"/>
      <c r="D231" s="27"/>
      <c r="E231" s="28"/>
      <c r="F231" s="16"/>
      <c r="G231" s="29">
        <f>IF(OR($E231="",$F231=""),"",$E231*$F231)</f>
        <v/>
      </c>
    </row>
    <row r="232" spans="1:7">
      <c r="A232" s="15"/>
      <c r="B232" s="15"/>
      <c r="C232" s="15"/>
      <c r="D232" s="27"/>
      <c r="E232" s="28"/>
      <c r="F232" s="16"/>
      <c r="G232" s="29">
        <f>IF(OR($E232="",$F232=""),"",$E232*$F232)</f>
        <v/>
      </c>
    </row>
    <row r="233" spans="1:7">
      <c r="A233" s="15"/>
      <c r="B233" s="15"/>
      <c r="C233" s="15"/>
      <c r="D233" s="27"/>
      <c r="E233" s="28"/>
      <c r="F233" s="16"/>
      <c r="G233" s="29">
        <f>IF(OR($E233="",$F233=""),"",$E233*$F233)</f>
        <v/>
      </c>
    </row>
    <row r="234" spans="1:7">
      <c r="A234" s="15"/>
      <c r="B234" s="15"/>
      <c r="C234" s="15"/>
      <c r="D234" s="27"/>
      <c r="E234" s="28"/>
      <c r="F234" s="16"/>
      <c r="G234" s="29">
        <f>IF(OR($E234="",$F234=""),"",$E234*$F234)</f>
        <v/>
      </c>
    </row>
    <row r="235" spans="1:7">
      <c r="A235" s="15"/>
      <c r="B235" s="15"/>
      <c r="C235" s="15"/>
      <c r="D235" s="27"/>
      <c r="E235" s="28"/>
      <c r="F235" s="16"/>
      <c r="G235" s="29">
        <f>IF(OR($E235="",$F235=""),"",$E235*$F235)</f>
        <v/>
      </c>
    </row>
    <row r="236" spans="1:7">
      <c r="A236" s="15"/>
      <c r="B236" s="15"/>
      <c r="C236" s="15"/>
      <c r="D236" s="27"/>
      <c r="E236" s="28"/>
      <c r="F236" s="16"/>
      <c r="G236" s="29">
        <f>IF(OR($E236="",$F236=""),"",$E236*$F236)</f>
        <v/>
      </c>
    </row>
    <row r="237" spans="1:7">
      <c r="A237" s="15"/>
      <c r="B237" s="15"/>
      <c r="C237" s="15"/>
      <c r="D237" s="27"/>
      <c r="E237" s="28"/>
      <c r="F237" s="16"/>
      <c r="G237" s="29">
        <f>IF(OR($E237="",$F237=""),"",$E237*$F237)</f>
        <v/>
      </c>
    </row>
    <row r="238" spans="1:7">
      <c r="A238" s="15"/>
      <c r="B238" s="15"/>
      <c r="C238" s="15"/>
      <c r="D238" s="27"/>
      <c r="E238" s="28"/>
      <c r="F238" s="16"/>
      <c r="G238" s="29">
        <f>IF(OR($E238="",$F238=""),"",$E238*$F238)</f>
        <v/>
      </c>
    </row>
    <row r="239" spans="1:7">
      <c r="A239" s="15"/>
      <c r="B239" s="15"/>
      <c r="C239" s="15"/>
      <c r="D239" s="27"/>
      <c r="E239" s="28"/>
      <c r="F239" s="16"/>
      <c r="G239" s="29">
        <f>IF(OR($E239="",$F239=""),"",$E239*$F239)</f>
        <v/>
      </c>
    </row>
    <row r="240" spans="1:7">
      <c r="A240" s="15"/>
      <c r="B240" s="15"/>
      <c r="C240" s="15"/>
      <c r="D240" s="27"/>
      <c r="E240" s="28"/>
      <c r="F240" s="16"/>
      <c r="G240" s="29">
        <f>IF(OR($E240="",$F240=""),"",$E240*$F240)</f>
        <v/>
      </c>
    </row>
    <row r="241" spans="1:7">
      <c r="A241" s="15"/>
      <c r="B241" s="15"/>
      <c r="C241" s="15"/>
      <c r="D241" s="27"/>
      <c r="E241" s="28"/>
      <c r="F241" s="16"/>
      <c r="G241" s="29">
        <f>IF(OR($E241="",$F241=""),"",$E241*$F241)</f>
        <v/>
      </c>
    </row>
    <row r="242" spans="1:7">
      <c r="A242" s="15"/>
      <c r="B242" s="15"/>
      <c r="C242" s="15"/>
      <c r="D242" s="27"/>
      <c r="E242" s="28"/>
      <c r="F242" s="16"/>
      <c r="G242" s="29">
        <f>IF(OR($E242="",$F242=""),"",$E242*$F242)</f>
        <v/>
      </c>
    </row>
    <row r="243" spans="1:7">
      <c r="A243" s="15"/>
      <c r="B243" s="15"/>
      <c r="C243" s="15"/>
      <c r="D243" s="27"/>
      <c r="E243" s="28"/>
      <c r="F243" s="16"/>
      <c r="G243" s="29">
        <f>IF(OR($E243="",$F243=""),"",$E243*$F243)</f>
        <v/>
      </c>
    </row>
    <row r="244" spans="1:7">
      <c r="A244" s="15"/>
      <c r="B244" s="15"/>
      <c r="C244" s="15"/>
      <c r="D244" s="27"/>
      <c r="E244" s="28"/>
      <c r="F244" s="16"/>
      <c r="G244" s="29">
        <f>IF(OR($E244="",$F244=""),"",$E244*$F244)</f>
        <v/>
      </c>
    </row>
    <row r="245" spans="1:7">
      <c r="A245" s="15"/>
      <c r="B245" s="15"/>
      <c r="C245" s="15"/>
      <c r="D245" s="27"/>
      <c r="E245" s="28"/>
      <c r="F245" s="16"/>
      <c r="G245" s="29">
        <f>IF(OR($E245="",$F245=""),"",$E245*$F245)</f>
        <v/>
      </c>
    </row>
    <row r="246" spans="1:7">
      <c r="A246" s="15"/>
      <c r="B246" s="15"/>
      <c r="C246" s="15"/>
      <c r="D246" s="27"/>
      <c r="E246" s="28"/>
      <c r="F246" s="16"/>
      <c r="G246" s="29">
        <f>IF(OR($E246="",$F246=""),"",$E246*$F246)</f>
        <v/>
      </c>
    </row>
    <row r="247" spans="1:7">
      <c r="A247" s="15"/>
      <c r="B247" s="15"/>
      <c r="C247" s="15"/>
      <c r="D247" s="27"/>
      <c r="E247" s="28"/>
      <c r="F247" s="16"/>
      <c r="G247" s="29">
        <f>IF(OR($E247="",$F247=""),"",$E247*$F247)</f>
        <v/>
      </c>
    </row>
    <row r="248" spans="1:7">
      <c r="A248" s="15"/>
      <c r="B248" s="15"/>
      <c r="C248" s="15"/>
      <c r="D248" s="27"/>
      <c r="E248" s="28"/>
      <c r="F248" s="16"/>
      <c r="G248" s="29">
        <f>IF(OR($E248="",$F248=""),"",$E248*$F248)</f>
        <v/>
      </c>
    </row>
    <row r="249" spans="1:7">
      <c r="A249" s="15"/>
      <c r="B249" s="15"/>
      <c r="C249" s="15"/>
      <c r="D249" s="27"/>
      <c r="E249" s="28"/>
      <c r="F249" s="16"/>
      <c r="G249" s="29">
        <f>IF(OR($E249="",$F249=""),"",$E249*$F249)</f>
        <v/>
      </c>
    </row>
    <row r="250" spans="1:7">
      <c r="A250" s="15"/>
      <c r="B250" s="15"/>
      <c r="C250" s="15"/>
      <c r="D250" s="27"/>
      <c r="E250" s="28"/>
      <c r="F250" s="16"/>
      <c r="G250" s="29">
        <f>IF(OR($E250="",$F250=""),"",$E250*$F250)</f>
        <v/>
      </c>
    </row>
    <row r="251" spans="1:7">
      <c r="A251" s="15"/>
      <c r="B251" s="15"/>
      <c r="C251" s="15"/>
      <c r="D251" s="27"/>
      <c r="E251" s="28"/>
      <c r="F251" s="16"/>
      <c r="G251" s="29">
        <f>IF(OR($E251="",$F251=""),"",$E251*$F251)</f>
        <v/>
      </c>
    </row>
    <row r="252" spans="1:7">
      <c r="A252" s="15"/>
      <c r="B252" s="15"/>
      <c r="C252" s="15"/>
      <c r="D252" s="27"/>
      <c r="E252" s="28"/>
      <c r="F252" s="16"/>
      <c r="G252" s="29">
        <f>IF(OR($E252="",$F252=""),"",$E252*$F252)</f>
        <v/>
      </c>
    </row>
    <row r="253" spans="1:7">
      <c r="A253" s="15"/>
      <c r="B253" s="15"/>
      <c r="C253" s="15"/>
      <c r="D253" s="27"/>
      <c r="E253" s="28"/>
      <c r="F253" s="16"/>
      <c r="G253" s="29">
        <f>IF(OR($E253="",$F253=""),"",$E253*$F253)</f>
        <v/>
      </c>
    </row>
    <row r="254" spans="1:7">
      <c r="A254" s="15"/>
      <c r="B254" s="15"/>
      <c r="C254" s="15"/>
      <c r="D254" s="27"/>
      <c r="E254" s="28"/>
      <c r="F254" s="16"/>
      <c r="G254" s="29">
        <f>IF(OR($E254="",$F254=""),"",$E254*$F254)</f>
        <v/>
      </c>
    </row>
    <row r="255" spans="1:7">
      <c r="A255" s="15"/>
      <c r="B255" s="15"/>
      <c r="C255" s="15"/>
      <c r="D255" s="27"/>
      <c r="E255" s="28"/>
      <c r="F255" s="16"/>
      <c r="G255" s="29">
        <f>IF(OR($E255="",$F255=""),"",$E255*$F255)</f>
        <v/>
      </c>
    </row>
    <row r="256" spans="1:7">
      <c r="A256" s="15"/>
      <c r="B256" s="15"/>
      <c r="C256" s="15"/>
      <c r="D256" s="27"/>
      <c r="E256" s="28"/>
      <c r="F256" s="16"/>
      <c r="G256" s="29">
        <f>IF(OR($E256="",$F256=""),"",$E256*$F256)</f>
        <v/>
      </c>
    </row>
    <row r="257" spans="1:7">
      <c r="A257" s="15"/>
      <c r="B257" s="15"/>
      <c r="C257" s="15"/>
      <c r="D257" s="27"/>
      <c r="E257" s="28"/>
      <c r="F257" s="16"/>
      <c r="G257" s="29">
        <f>IF(OR($E257="",$F257=""),"",$E257*$F257)</f>
        <v/>
      </c>
    </row>
    <row r="258" spans="1:7">
      <c r="A258" s="15"/>
      <c r="B258" s="15"/>
      <c r="C258" s="15"/>
      <c r="D258" s="27"/>
      <c r="E258" s="28"/>
      <c r="F258" s="16"/>
      <c r="G258" s="29">
        <f>IF(OR($E258="",$F258=""),"",$E258*$F258)</f>
        <v/>
      </c>
    </row>
    <row r="259" spans="1:7">
      <c r="A259" s="15"/>
      <c r="B259" s="15"/>
      <c r="C259" s="15"/>
      <c r="D259" s="27"/>
      <c r="E259" s="28"/>
      <c r="F259" s="16"/>
      <c r="G259" s="29">
        <f>IF(OR($E259="",$F259=""),"",$E259*$F259)</f>
        <v/>
      </c>
    </row>
    <row r="260" spans="1:7">
      <c r="A260" s="15"/>
      <c r="B260" s="15"/>
      <c r="C260" s="15"/>
      <c r="D260" s="27"/>
      <c r="E260" s="28"/>
      <c r="F260" s="16"/>
      <c r="G260" s="29">
        <f>IF(OR($E260="",$F260=""),"",$E260*$F260)</f>
        <v/>
      </c>
    </row>
    <row r="261" spans="1:7">
      <c r="A261" s="15"/>
      <c r="B261" s="15"/>
      <c r="C261" s="15"/>
      <c r="D261" s="27"/>
      <c r="E261" s="28"/>
      <c r="F261" s="16"/>
      <c r="G261" s="29">
        <f>IF(OR($E261="",$F261=""),"",$E261*$F261)</f>
        <v/>
      </c>
    </row>
    <row r="262" spans="1:7">
      <c r="A262" s="15"/>
      <c r="B262" s="15"/>
      <c r="C262" s="15"/>
      <c r="D262" s="27"/>
      <c r="E262" s="28"/>
      <c r="F262" s="16"/>
      <c r="G262" s="29">
        <f>IF(OR($E262="",$F262=""),"",$E262*$F262)</f>
        <v/>
      </c>
    </row>
    <row r="263" spans="1:7">
      <c r="A263" s="15"/>
      <c r="B263" s="15"/>
      <c r="C263" s="15"/>
      <c r="D263" s="27"/>
      <c r="E263" s="28"/>
      <c r="F263" s="16"/>
      <c r="G263" s="29">
        <f>IF(OR($E263="",$F263=""),"",$E263*$F263)</f>
        <v/>
      </c>
    </row>
    <row r="264" spans="1:7">
      <c r="A264" s="15"/>
      <c r="B264" s="15"/>
      <c r="C264" s="15"/>
      <c r="D264" s="27"/>
      <c r="E264" s="28"/>
      <c r="F264" s="16"/>
      <c r="G264" s="29">
        <f>IF(OR($E264="",$F264=""),"",$E264*$F264)</f>
        <v/>
      </c>
    </row>
    <row r="265" spans="1:7">
      <c r="A265" s="15"/>
      <c r="B265" s="15"/>
      <c r="C265" s="15"/>
      <c r="D265" s="27"/>
      <c r="E265" s="28"/>
      <c r="F265" s="16"/>
      <c r="G265" s="29">
        <f>IF(OR($E265="",$F265=""),"",$E265*$F265)</f>
        <v/>
      </c>
    </row>
    <row r="266" spans="1:7">
      <c r="A266" s="15"/>
      <c r="B266" s="15"/>
      <c r="C266" s="15"/>
      <c r="D266" s="27"/>
      <c r="E266" s="28"/>
      <c r="F266" s="16"/>
      <c r="G266" s="29">
        <f>IF(OR($E266="",$F266=""),"",$E266*$F266)</f>
        <v/>
      </c>
    </row>
    <row r="267" spans="1:7">
      <c r="A267" s="15"/>
      <c r="B267" s="15"/>
      <c r="C267" s="15"/>
      <c r="D267" s="27"/>
      <c r="E267" s="28"/>
      <c r="F267" s="16"/>
      <c r="G267" s="29">
        <f>IF(OR($E267="",$F267=""),"",$E267*$F267)</f>
        <v/>
      </c>
    </row>
    <row r="268" spans="1:7">
      <c r="A268" s="15"/>
      <c r="B268" s="15"/>
      <c r="C268" s="15"/>
      <c r="D268" s="27"/>
      <c r="E268" s="28"/>
      <c r="F268" s="16"/>
      <c r="G268" s="29">
        <f>IF(OR($E268="",$F268=""),"",$E268*$F268)</f>
        <v/>
      </c>
    </row>
    <row r="269" spans="1:7">
      <c r="A269" s="15"/>
      <c r="B269" s="15"/>
      <c r="C269" s="15"/>
      <c r="D269" s="27"/>
      <c r="E269" s="28"/>
      <c r="F269" s="16"/>
      <c r="G269" s="29">
        <f>IF(OR($E269="",$F269=""),"",$E269*$F269)</f>
        <v/>
      </c>
    </row>
    <row r="270" spans="1:7">
      <c r="A270" s="15"/>
      <c r="B270" s="15"/>
      <c r="C270" s="15"/>
      <c r="D270" s="27"/>
      <c r="E270" s="28"/>
      <c r="F270" s="16"/>
      <c r="G270" s="29">
        <f>IF(OR($E270="",$F270=""),"",$E270*$F270)</f>
        <v/>
      </c>
    </row>
    <row r="271" spans="1:7">
      <c r="A271" s="15"/>
      <c r="B271" s="15"/>
      <c r="C271" s="15"/>
      <c r="D271" s="27"/>
      <c r="E271" s="28"/>
      <c r="F271" s="16"/>
      <c r="G271" s="29">
        <f>IF(OR($E271="",$F271=""),"",$E271*$F271)</f>
        <v/>
      </c>
    </row>
    <row r="272" spans="1:7">
      <c r="A272" s="15"/>
      <c r="B272" s="15"/>
      <c r="C272" s="15"/>
      <c r="D272" s="27"/>
      <c r="E272" s="28"/>
      <c r="F272" s="16"/>
      <c r="G272" s="29">
        <f>IF(OR($E272="",$F272=""),"",$E272*$F272)</f>
        <v/>
      </c>
    </row>
    <row r="273" spans="1:7">
      <c r="A273" s="15"/>
      <c r="B273" s="15"/>
      <c r="C273" s="15"/>
      <c r="D273" s="27"/>
      <c r="E273" s="28"/>
      <c r="F273" s="16"/>
      <c r="G273" s="29">
        <f>IF(OR($E273="",$F273=""),"",$E273*$F273)</f>
        <v/>
      </c>
    </row>
    <row r="274" spans="1:7">
      <c r="A274" s="15"/>
      <c r="B274" s="15"/>
      <c r="C274" s="15"/>
      <c r="D274" s="27"/>
      <c r="E274" s="28"/>
      <c r="F274" s="16"/>
      <c r="G274" s="29">
        <f>IF(OR($E274="",$F274=""),"",$E274*$F274)</f>
        <v/>
      </c>
    </row>
    <row r="275" spans="1:7">
      <c r="A275" s="15"/>
      <c r="B275" s="15"/>
      <c r="C275" s="15"/>
      <c r="D275" s="27"/>
      <c r="E275" s="28"/>
      <c r="F275" s="16"/>
      <c r="G275" s="29">
        <f>IF(OR($E275="",$F275=""),"",$E275*$F275)</f>
        <v/>
      </c>
    </row>
    <row r="276" spans="1:7">
      <c r="A276" s="15"/>
      <c r="B276" s="15"/>
      <c r="C276" s="15"/>
      <c r="D276" s="27"/>
      <c r="E276" s="28"/>
      <c r="F276" s="16"/>
      <c r="G276" s="29">
        <f>IF(OR($E276="",$F276=""),"",$E276*$F276)</f>
        <v/>
      </c>
    </row>
    <row r="277" spans="1:7">
      <c r="A277" s="15"/>
      <c r="B277" s="15"/>
      <c r="C277" s="15"/>
      <c r="D277" s="27"/>
      <c r="E277" s="28"/>
      <c r="F277" s="16"/>
      <c r="G277" s="29">
        <f>IF(OR($E277="",$F277=""),"",$E277*$F277)</f>
        <v/>
      </c>
    </row>
    <row r="278" spans="1:7">
      <c r="A278" s="15"/>
      <c r="B278" s="15"/>
      <c r="C278" s="15"/>
      <c r="D278" s="27"/>
      <c r="E278" s="28"/>
      <c r="F278" s="16"/>
      <c r="G278" s="29">
        <f>IF(OR($E278="",$F278=""),"",$E278*$F278)</f>
        <v/>
      </c>
    </row>
    <row r="279" spans="1:7">
      <c r="A279" s="15"/>
      <c r="B279" s="15"/>
      <c r="C279" s="15"/>
      <c r="D279" s="27"/>
      <c r="E279" s="28"/>
      <c r="F279" s="16"/>
      <c r="G279" s="29">
        <f>IF(OR($E279="",$F279=""),"",$E279*$F279)</f>
        <v/>
      </c>
    </row>
    <row r="280" spans="1:7">
      <c r="A280" s="15"/>
      <c r="B280" s="15"/>
      <c r="C280" s="15"/>
      <c r="D280" s="27"/>
      <c r="E280" s="28"/>
      <c r="F280" s="16"/>
      <c r="G280" s="29">
        <f>IF(OR($E280="",$F280=""),"",$E280*$F280)</f>
        <v/>
      </c>
    </row>
    <row r="281" spans="1:7">
      <c r="A281" s="15"/>
      <c r="B281" s="15"/>
      <c r="C281" s="15"/>
      <c r="D281" s="27"/>
      <c r="E281" s="28"/>
      <c r="F281" s="16"/>
      <c r="G281" s="29">
        <f>IF(OR($E281="",$F281=""),"",$E281*$F281)</f>
        <v/>
      </c>
    </row>
    <row r="282" spans="1:7">
      <c r="A282" s="15"/>
      <c r="B282" s="15"/>
      <c r="C282" s="15"/>
      <c r="D282" s="27"/>
      <c r="E282" s="28"/>
      <c r="F282" s="16"/>
      <c r="G282" s="29">
        <f>IF(OR($E282="",$F282=""),"",$E282*$F282)</f>
        <v/>
      </c>
    </row>
    <row r="283" spans="1:7">
      <c r="A283" s="15"/>
      <c r="B283" s="15"/>
      <c r="C283" s="15"/>
      <c r="D283" s="27"/>
      <c r="E283" s="28"/>
      <c r="F283" s="16"/>
      <c r="G283" s="29">
        <f>IF(OR($E283="",$F283=""),"",$E283*$F283)</f>
        <v/>
      </c>
    </row>
    <row r="284" spans="1:7">
      <c r="A284" s="15"/>
      <c r="B284" s="15"/>
      <c r="C284" s="15"/>
      <c r="D284" s="27"/>
      <c r="E284" s="28"/>
      <c r="F284" s="16"/>
      <c r="G284" s="29">
        <f>IF(OR($E284="",$F284=""),"",$E284*$F284)</f>
        <v/>
      </c>
    </row>
    <row r="285" spans="1:7">
      <c r="A285" s="15"/>
      <c r="B285" s="15"/>
      <c r="C285" s="15"/>
      <c r="D285" s="27"/>
      <c r="E285" s="28"/>
      <c r="F285" s="16"/>
      <c r="G285" s="29">
        <f>IF(OR($E285="",$F285=""),"",$E285*$F285)</f>
        <v/>
      </c>
    </row>
    <row r="286" spans="1:7">
      <c r="A286" s="15"/>
      <c r="B286" s="15"/>
      <c r="C286" s="15"/>
      <c r="D286" s="27"/>
      <c r="E286" s="28"/>
      <c r="F286" s="16"/>
      <c r="G286" s="29">
        <f>IF(OR($E286="",$F286=""),"",$E286*$F286)</f>
        <v/>
      </c>
    </row>
    <row r="287" spans="1:7">
      <c r="A287" s="15"/>
      <c r="B287" s="15"/>
      <c r="C287" s="15"/>
      <c r="D287" s="27"/>
      <c r="E287" s="28"/>
      <c r="F287" s="16"/>
      <c r="G287" s="29">
        <f>IF(OR($E287="",$F287=""),"",$E287*$F287)</f>
        <v/>
      </c>
    </row>
    <row r="288" spans="1:7">
      <c r="A288" s="15"/>
      <c r="B288" s="15"/>
      <c r="C288" s="15"/>
      <c r="D288" s="27"/>
      <c r="E288" s="28"/>
      <c r="F288" s="16"/>
      <c r="G288" s="29">
        <f>IF(OR($E288="",$F288=""),"",$E288*$F288)</f>
        <v/>
      </c>
    </row>
    <row r="289" spans="1:7">
      <c r="A289" s="15"/>
      <c r="B289" s="15"/>
      <c r="C289" s="15"/>
      <c r="D289" s="27"/>
      <c r="E289" s="28"/>
      <c r="F289" s="16"/>
      <c r="G289" s="29">
        <f>IF(OR($E289="",$F289=""),"",$E289*$F289)</f>
        <v/>
      </c>
    </row>
    <row r="290" spans="1:7">
      <c r="A290" s="15"/>
      <c r="B290" s="15"/>
      <c r="C290" s="15"/>
      <c r="D290" s="27"/>
      <c r="E290" s="28"/>
      <c r="F290" s="16"/>
      <c r="G290" s="29">
        <f>IF(OR($E290="",$F290=""),"",$E290*$F290)</f>
        <v/>
      </c>
    </row>
    <row r="291" spans="1:7">
      <c r="A291" s="15"/>
      <c r="B291" s="15"/>
      <c r="C291" s="15"/>
      <c r="D291" s="27"/>
      <c r="E291" s="28"/>
      <c r="F291" s="16"/>
      <c r="G291" s="29">
        <f>IF(OR($E291="",$F291=""),"",$E291*$F291)</f>
        <v/>
      </c>
    </row>
    <row r="292" spans="1:7">
      <c r="A292" s="15"/>
      <c r="B292" s="15"/>
      <c r="C292" s="15"/>
      <c r="D292" s="27"/>
      <c r="E292" s="28"/>
      <c r="F292" s="16"/>
      <c r="G292" s="29">
        <f>IF(OR($E292="",$F292=""),"",$E292*$F292)</f>
        <v/>
      </c>
    </row>
    <row r="293" spans="1:7">
      <c r="A293" s="15"/>
      <c r="B293" s="15"/>
      <c r="C293" s="15"/>
      <c r="D293" s="27"/>
      <c r="E293" s="28"/>
      <c r="F293" s="16"/>
      <c r="G293" s="29">
        <f>IF(OR($E293="",$F293=""),"",$E293*$F293)</f>
        <v/>
      </c>
    </row>
    <row r="294" spans="1:7">
      <c r="A294" s="15"/>
      <c r="B294" s="15"/>
      <c r="C294" s="15"/>
      <c r="D294" s="27"/>
      <c r="E294" s="28"/>
      <c r="F294" s="16"/>
      <c r="G294" s="29">
        <f>IF(OR($E294="",$F294=""),"",$E294*$F294)</f>
        <v/>
      </c>
    </row>
    <row r="295" spans="1:7">
      <c r="A295" s="15"/>
      <c r="B295" s="15"/>
      <c r="C295" s="15"/>
      <c r="D295" s="27"/>
      <c r="E295" s="28"/>
      <c r="F295" s="16"/>
      <c r="G295" s="29">
        <f>IF(OR($E295="",$F295=""),"",$E295*$F295)</f>
        <v/>
      </c>
    </row>
    <row r="296" spans="1:7">
      <c r="A296" s="15"/>
      <c r="B296" s="15"/>
      <c r="C296" s="15"/>
      <c r="D296" s="27"/>
      <c r="E296" s="28"/>
      <c r="F296" s="16"/>
      <c r="G296" s="29">
        <f>IF(OR($E296="",$F296=""),"",$E296*$F296)</f>
        <v/>
      </c>
    </row>
    <row r="297" spans="1:7">
      <c r="A297" s="15"/>
      <c r="B297" s="15"/>
      <c r="C297" s="15"/>
      <c r="D297" s="27"/>
      <c r="E297" s="28"/>
      <c r="F297" s="16"/>
      <c r="G297" s="29">
        <f>IF(OR($E297="",$F297=""),"",$E297*$F297)</f>
        <v/>
      </c>
    </row>
    <row r="298" spans="1:7">
      <c r="A298" s="15"/>
      <c r="B298" s="15"/>
      <c r="C298" s="15"/>
      <c r="D298" s="27"/>
      <c r="E298" s="28"/>
      <c r="F298" s="16"/>
      <c r="G298" s="29">
        <f>IF(OR($E298="",$F298=""),"",$E298*$F298)</f>
        <v/>
      </c>
    </row>
    <row r="299" spans="1:7">
      <c r="A299" s="15"/>
      <c r="B299" s="15"/>
      <c r="C299" s="15"/>
      <c r="D299" s="27"/>
      <c r="E299" s="28"/>
      <c r="F299" s="16"/>
      <c r="G299" s="29">
        <f>IF(OR($E299="",$F299=""),"",$E299*$F299)</f>
        <v/>
      </c>
    </row>
    <row r="300" spans="1:7">
      <c r="A300" s="15"/>
      <c r="B300" s="15"/>
      <c r="C300" s="15"/>
      <c r="D300" s="27"/>
      <c r="E300" s="28"/>
      <c r="F300" s="16"/>
      <c r="G300" s="29">
        <f>IF(OR($E300="",$F300=""),"",$E300*$F300)</f>
        <v/>
      </c>
    </row>
    <row r="301" spans="1:7">
      <c r="A301" s="15"/>
      <c r="B301" s="15"/>
      <c r="C301" s="15"/>
      <c r="D301" s="27"/>
      <c r="E301" s="28"/>
      <c r="F301" s="16"/>
      <c r="G301" s="29">
        <f>IF(OR($E301="",$F301=""),"",$E301*$F301)</f>
        <v/>
      </c>
    </row>
    <row r="302" spans="1:7">
      <c r="A302" s="15"/>
      <c r="B302" s="15"/>
      <c r="C302" s="15"/>
      <c r="D302" s="27"/>
      <c r="E302" s="28"/>
      <c r="F302" s="16"/>
      <c r="G302" s="29">
        <f>IF(OR($E302="",$F302=""),"",$E302*$F302)</f>
        <v/>
      </c>
    </row>
    <row r="303" spans="1:7">
      <c r="A303" s="15"/>
      <c r="B303" s="15"/>
      <c r="C303" s="15"/>
      <c r="D303" s="27"/>
      <c r="E303" s="28"/>
      <c r="F303" s="16"/>
      <c r="G303" s="29">
        <f>IF(OR($E303="",$F303=""),"",$E303*$F303)</f>
        <v/>
      </c>
    </row>
    <row r="304" spans="1:7">
      <c r="A304" s="15"/>
      <c r="B304" s="15"/>
      <c r="C304" s="15"/>
      <c r="D304" s="27"/>
      <c r="E304" s="28"/>
      <c r="F304" s="16"/>
      <c r="G304" s="29">
        <f>IF(OR($E304="",$F304=""),"",$E304*$F304)</f>
        <v/>
      </c>
    </row>
  </sheetData>
  <autoFilter ref="A4:G304"/>
  <mergeCells count="2">
    <mergeCell ref="A1:H1"/>
    <mergeCell ref="A2:H2"/>
  </mergeCells>
  <dataValidations count="3">
    <dataValidation type="list" allowBlank="1" showInputMessage="1" showErrorMessage="1" errorTitle="Valor inválido" error="Escolha um item da lista." sqref="A5:A304">
      <formula1>EtapaLista</formula1>
    </dataValidation>
    <dataValidation type="list" allowBlank="1" showInputMessage="1" showErrorMessage="1" errorTitle="Valor inválido" error="Escolha um item da lista." sqref="C5:C304">
      <formula1>CatCusto</formula1>
    </dataValidation>
    <dataValidation type="decimal" operator="greaterThanOrEqual" allowBlank="1" showInputMessage="1" showErrorMessage="1" errorTitle="Valor inválido" error="Digite um número maior ou igual a 0." sqref="E5:F3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J1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6.7109375" customWidth="1"/>
    <col min="3" max="3" width="16.7109375" customWidth="1"/>
    <col min="4" max="4" width="28.7109375" customWidth="1"/>
    <col min="5" max="5" width="38.7109375" customWidth="1"/>
    <col min="6" max="6" width="14.7109375" customWidth="1"/>
    <col min="7" max="7" width="10.7109375" customWidth="1"/>
    <col min="8" max="8" width="11.7109375" customWidth="1"/>
    <col min="9" max="9" width="9.7109375" customWidth="1"/>
    <col min="10" max="10" width="18.7109375" customWidth="1"/>
  </cols>
  <sheetData>
    <row r="1" spans="1:10" ht="36" customHeight="1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138</v>
      </c>
      <c r="B2" s="2"/>
      <c r="C2" s="2"/>
      <c r="D2" s="2"/>
      <c r="E2" s="2"/>
      <c r="F2" s="2"/>
      <c r="G2" s="2"/>
      <c r="H2" s="2"/>
      <c r="I2" s="2"/>
      <c r="J2" s="13" t="s">
        <v>43</v>
      </c>
    </row>
    <row r="4" spans="1:10" ht="30" customHeight="1">
      <c r="A4" s="11" t="s">
        <v>139</v>
      </c>
      <c r="B4" s="11" t="s">
        <v>73</v>
      </c>
      <c r="C4" s="11" t="s">
        <v>95</v>
      </c>
      <c r="D4" s="11" t="s">
        <v>140</v>
      </c>
      <c r="E4" s="11" t="s">
        <v>141</v>
      </c>
      <c r="F4" s="11" t="s">
        <v>142</v>
      </c>
      <c r="G4" s="11" t="s">
        <v>143</v>
      </c>
      <c r="H4" s="11" t="s">
        <v>144</v>
      </c>
      <c r="I4" s="11" t="s">
        <v>145</v>
      </c>
      <c r="J4" s="11" t="s">
        <v>146</v>
      </c>
    </row>
    <row r="5" spans="1:10">
      <c r="A5" s="17">
        <v>46148</v>
      </c>
      <c r="B5" s="15" t="s">
        <v>82</v>
      </c>
      <c r="C5" s="15" t="s">
        <v>57</v>
      </c>
      <c r="D5" s="15" t="s">
        <v>69</v>
      </c>
      <c r="E5" s="15" t="s">
        <v>147</v>
      </c>
      <c r="F5" s="16">
        <v>5079.24</v>
      </c>
      <c r="G5" s="27" t="s">
        <v>148</v>
      </c>
      <c r="H5" s="17">
        <v>46163</v>
      </c>
      <c r="I5" s="30">
        <f>IF($A5="","",DATE(YEAR($A5),MONTH($A5),1))</f>
        <v>46143.0</v>
      </c>
      <c r="J5" s="31" t="str">
        <f>IF($A5="","",IF(OR($B5="",$C5="",$F5="",$G5=""),"Preencher tudo",IF(COUNTIF(EtapaLista,$B5)=0,"Etapa inválida","OK")))</f>
        <v>OK</v>
      </c>
    </row>
    <row r="6" spans="1:10">
      <c r="A6" s="17">
        <v>46152</v>
      </c>
      <c r="B6" s="15" t="s">
        <v>82</v>
      </c>
      <c r="C6" s="15" t="s">
        <v>61</v>
      </c>
      <c r="D6" s="15" t="s">
        <v>56</v>
      </c>
      <c r="E6" s="15" t="s">
        <v>149</v>
      </c>
      <c r="F6" s="16">
        <v>2942.93</v>
      </c>
      <c r="G6" s="27" t="s">
        <v>148</v>
      </c>
      <c r="H6" s="17">
        <v>46167</v>
      </c>
      <c r="I6" s="30">
        <f>IF($A6="","",DATE(YEAR($A6),MONTH($A6),1))</f>
        <v>46143.0</v>
      </c>
      <c r="J6" s="31" t="str">
        <f>IF($A6="","",IF(OR($B6="",$C6="",$F6="",$G6=""),"Preencher tudo",IF(COUNTIF(EtapaLista,$B6)=0,"Etapa inválida","OK")))</f>
        <v>OK</v>
      </c>
    </row>
    <row r="7" spans="1:10">
      <c r="A7" s="17">
        <v>46156</v>
      </c>
      <c r="B7" s="15" t="s">
        <v>82</v>
      </c>
      <c r="C7" s="15" t="s">
        <v>55</v>
      </c>
      <c r="D7" s="15" t="s">
        <v>68</v>
      </c>
      <c r="E7" s="15" t="s">
        <v>150</v>
      </c>
      <c r="F7" s="16">
        <v>2575.04</v>
      </c>
      <c r="G7" s="27" t="s">
        <v>148</v>
      </c>
      <c r="H7" s="17">
        <v>46171</v>
      </c>
      <c r="I7" s="30">
        <f>IF($A7="","",DATE(YEAR($A7),MONTH($A7),1))</f>
        <v>46143.0</v>
      </c>
      <c r="J7" s="31" t="str">
        <f>IF($A7="","",IF(OR($B7="",$C7="",$F7="",$G7=""),"Preencher tudo",IF(COUNTIF(EtapaLista,$B7)=0,"Etapa inválida","OK")))</f>
        <v>OK</v>
      </c>
    </row>
    <row r="8" spans="1:10">
      <c r="A8" s="17">
        <v>46162</v>
      </c>
      <c r="B8" s="15" t="s">
        <v>82</v>
      </c>
      <c r="C8" s="15" t="s">
        <v>57</v>
      </c>
      <c r="D8" s="15" t="s">
        <v>56</v>
      </c>
      <c r="E8" s="15" t="s">
        <v>151</v>
      </c>
      <c r="F8" s="16">
        <v>4887.34</v>
      </c>
      <c r="G8" s="27" t="s">
        <v>148</v>
      </c>
      <c r="H8" s="17">
        <v>46177</v>
      </c>
      <c r="I8" s="30">
        <f>IF($A8="","",DATE(YEAR($A8),MONTH($A8),1))</f>
        <v>46143.0</v>
      </c>
      <c r="J8" s="31" t="str">
        <f>IF($A8="","",IF(OR($B8="",$C8="",$F8="",$G8=""),"Preencher tudo",IF(COUNTIF(EtapaLista,$B8)=0,"Etapa inválida","OK")))</f>
        <v>OK</v>
      </c>
    </row>
    <row r="9" spans="1:10">
      <c r="A9" s="17">
        <v>46167</v>
      </c>
      <c r="B9" s="15" t="s">
        <v>82</v>
      </c>
      <c r="C9" s="15" t="s">
        <v>61</v>
      </c>
      <c r="D9" s="15" t="s">
        <v>62</v>
      </c>
      <c r="E9" s="15" t="s">
        <v>152</v>
      </c>
      <c r="F9" s="16">
        <v>2875.45</v>
      </c>
      <c r="G9" s="27" t="s">
        <v>148</v>
      </c>
      <c r="H9" s="17">
        <v>46182</v>
      </c>
      <c r="I9" s="30">
        <f>IF($A9="","",DATE(YEAR($A9),MONTH($A9),1))</f>
        <v>46143.0</v>
      </c>
      <c r="J9" s="31" t="str">
        <f>IF($A9="","",IF(OR($B9="",$C9="",$F9="",$G9=""),"Preencher tudo",IF(COUNTIF(EtapaLista,$B9)=0,"Etapa inválida","OK")))</f>
        <v>OK</v>
      </c>
    </row>
    <row r="10" spans="1:10">
      <c r="A10" s="17">
        <v>46171</v>
      </c>
      <c r="B10" s="15" t="s">
        <v>83</v>
      </c>
      <c r="C10" s="15" t="s">
        <v>57</v>
      </c>
      <c r="D10" s="15" t="s">
        <v>69</v>
      </c>
      <c r="E10" s="15" t="s">
        <v>153</v>
      </c>
      <c r="F10" s="16">
        <v>10442.48</v>
      </c>
      <c r="G10" s="27" t="s">
        <v>148</v>
      </c>
      <c r="H10" s="17">
        <v>46186</v>
      </c>
      <c r="I10" s="30">
        <f>IF($A10="","",DATE(YEAR($A10),MONTH($A10),1))</f>
        <v>46143.0</v>
      </c>
      <c r="J10" s="31" t="str">
        <f>IF($A10="","",IF(OR($B10="",$C10="",$F10="",$G10=""),"Preencher tudo",IF(COUNTIF(EtapaLista,$B10)=0,"Etapa inválida","OK")))</f>
        <v>OK</v>
      </c>
    </row>
    <row r="11" spans="1:10">
      <c r="A11" s="17">
        <v>46184</v>
      </c>
      <c r="B11" s="15" t="s">
        <v>83</v>
      </c>
      <c r="C11" s="15" t="s">
        <v>55</v>
      </c>
      <c r="D11" s="15" t="s">
        <v>64</v>
      </c>
      <c r="E11" s="15" t="s">
        <v>154</v>
      </c>
      <c r="F11" s="16">
        <v>11934.65</v>
      </c>
      <c r="G11" s="27" t="s">
        <v>148</v>
      </c>
      <c r="H11" s="17">
        <v>46199</v>
      </c>
      <c r="I11" s="30">
        <f>IF($A11="","",DATE(YEAR($A11),MONTH($A11),1))</f>
        <v>46174.0</v>
      </c>
      <c r="J11" s="31" t="str">
        <f>IF($A11="","",IF(OR($B11="",$C11="",$F11="",$G11=""),"Preencher tudo",IF(COUNTIF(EtapaLista,$B11)=0,"Etapa inválida","OK")))</f>
        <v>OK</v>
      </c>
    </row>
    <row r="12" spans="1:10">
      <c r="A12" s="17">
        <v>46194</v>
      </c>
      <c r="B12" s="15" t="s">
        <v>83</v>
      </c>
      <c r="C12" s="15" t="s">
        <v>59</v>
      </c>
      <c r="D12" s="15" t="s">
        <v>68</v>
      </c>
      <c r="E12" s="15" t="s">
        <v>155</v>
      </c>
      <c r="F12" s="16">
        <v>16127.59</v>
      </c>
      <c r="G12" s="27" t="s">
        <v>148</v>
      </c>
      <c r="H12" s="17">
        <v>46209</v>
      </c>
      <c r="I12" s="30">
        <f>IF($A12="","",DATE(YEAR($A12),MONTH($A12),1))</f>
        <v>46174.0</v>
      </c>
      <c r="J12" s="31" t="str">
        <f>IF($A12="","",IF(OR($B12="",$C12="",$F12="",$G12=""),"Preencher tudo",IF(COUNTIF(EtapaLista,$B12)=0,"Etapa inválida","OK")))</f>
        <v>OK</v>
      </c>
    </row>
    <row r="13" spans="1:10">
      <c r="A13" s="17">
        <v>46206</v>
      </c>
      <c r="B13" s="15" t="s">
        <v>83</v>
      </c>
      <c r="C13" s="15" t="s">
        <v>57</v>
      </c>
      <c r="D13" s="15" t="s">
        <v>56</v>
      </c>
      <c r="E13" s="15" t="s">
        <v>156</v>
      </c>
      <c r="F13" s="16">
        <v>16615.28</v>
      </c>
      <c r="G13" s="27" t="s">
        <v>148</v>
      </c>
      <c r="H13" s="17">
        <v>46221</v>
      </c>
      <c r="I13" s="30">
        <f>IF($A13="","",DATE(YEAR($A13),MONTH($A13),1))</f>
        <v>46204.0</v>
      </c>
      <c r="J13" s="31" t="str">
        <f>IF($A13="","",IF(OR($B13="",$C13="",$F13="",$G13=""),"Preencher tudo",IF(COUNTIF(EtapaLista,$B13)=0,"Etapa inválida","OK")))</f>
        <v>OK</v>
      </c>
    </row>
    <row r="14" spans="1:10">
      <c r="A14" s="17">
        <v>46213</v>
      </c>
      <c r="B14" s="15" t="s">
        <v>84</v>
      </c>
      <c r="C14" s="15" t="s">
        <v>61</v>
      </c>
      <c r="D14" s="15" t="s">
        <v>56</v>
      </c>
      <c r="E14" s="15" t="s">
        <v>157</v>
      </c>
      <c r="F14" s="16">
        <v>19781.5</v>
      </c>
      <c r="G14" s="27" t="s">
        <v>148</v>
      </c>
      <c r="H14" s="17">
        <v>46228</v>
      </c>
      <c r="I14" s="30">
        <f>IF($A14="","",DATE(YEAR($A14),MONTH($A14),1))</f>
        <v>46204.0</v>
      </c>
      <c r="J14" s="31" t="str">
        <f>IF($A14="","",IF(OR($B14="",$C14="",$F14="",$G14=""),"Preencher tudo",IF(COUNTIF(EtapaLista,$B14)=0,"Etapa inválida","OK")))</f>
        <v>OK</v>
      </c>
    </row>
    <row r="15" spans="1:10">
      <c r="A15" s="17">
        <v>46225</v>
      </c>
      <c r="B15" s="15" t="s">
        <v>84</v>
      </c>
      <c r="C15" s="15" t="s">
        <v>59</v>
      </c>
      <c r="D15" s="15" t="s">
        <v>68</v>
      </c>
      <c r="E15" s="15" t="s">
        <v>158</v>
      </c>
      <c r="F15" s="16">
        <v>22835.32</v>
      </c>
      <c r="G15" s="27" t="s">
        <v>148</v>
      </c>
      <c r="H15" s="17">
        <v>46240</v>
      </c>
      <c r="I15" s="30">
        <f>IF($A15="","",DATE(YEAR($A15),MONTH($A15),1))</f>
        <v>46204.0</v>
      </c>
      <c r="J15" s="31" t="str">
        <f>IF($A15="","",IF(OR($B15="",$C15="",$F15="",$G15=""),"Preencher tudo",IF(COUNTIF(EtapaLista,$B15)=0,"Etapa inválida","OK")))</f>
        <v>OK</v>
      </c>
    </row>
    <row r="16" spans="1:10">
      <c r="A16" s="17">
        <v>46234</v>
      </c>
      <c r="B16" s="15" t="s">
        <v>84</v>
      </c>
      <c r="C16" s="15" t="s">
        <v>55</v>
      </c>
      <c r="D16" s="15" t="s">
        <v>60</v>
      </c>
      <c r="E16" s="15" t="s">
        <v>159</v>
      </c>
      <c r="F16" s="16">
        <v>22823.92</v>
      </c>
      <c r="G16" s="27" t="s">
        <v>148</v>
      </c>
      <c r="H16" s="17">
        <v>46249</v>
      </c>
      <c r="I16" s="30">
        <f>IF($A16="","",DATE(YEAR($A16),MONTH($A16),1))</f>
        <v>46204.0</v>
      </c>
      <c r="J16" s="31" t="str">
        <f>IF($A16="","",IF(OR($B16="",$C16="",$F16="",$G16=""),"Preencher tudo",IF(COUNTIF(EtapaLista,$B16)=0,"Etapa inválida","OK")))</f>
        <v>OK</v>
      </c>
    </row>
    <row r="17" spans="1:10">
      <c r="A17" s="17">
        <v>46244</v>
      </c>
      <c r="B17" s="15" t="s">
        <v>85</v>
      </c>
      <c r="C17" s="15" t="s">
        <v>57</v>
      </c>
      <c r="D17" s="15" t="s">
        <v>69</v>
      </c>
      <c r="E17" s="15" t="s">
        <v>160</v>
      </c>
      <c r="F17" s="16">
        <v>13243.51</v>
      </c>
      <c r="G17" s="27" t="s">
        <v>148</v>
      </c>
      <c r="H17" s="17">
        <v>46259</v>
      </c>
      <c r="I17" s="30">
        <f>IF($A17="","",DATE(YEAR($A17),MONTH($A17),1))</f>
        <v>46235.0</v>
      </c>
      <c r="J17" s="31" t="str">
        <f>IF($A17="","",IF(OR($B17="",$C17="",$F17="",$G17=""),"Preencher tudo",IF(COUNTIF(EtapaLista,$B17)=0,"Etapa inválida","OK")))</f>
        <v>OK</v>
      </c>
    </row>
    <row r="18" spans="1:10">
      <c r="A18" s="17">
        <v>46246</v>
      </c>
      <c r="B18" s="15" t="s">
        <v>84</v>
      </c>
      <c r="C18" s="15" t="s">
        <v>61</v>
      </c>
      <c r="D18" s="15" t="s">
        <v>60</v>
      </c>
      <c r="E18" s="15" t="s">
        <v>161</v>
      </c>
      <c r="F18" s="16">
        <v>19579.26</v>
      </c>
      <c r="G18" s="27" t="s">
        <v>148</v>
      </c>
      <c r="H18" s="17">
        <v>46261</v>
      </c>
      <c r="I18" s="30">
        <f>IF($A18="","",DATE(YEAR($A18),MONTH($A18),1))</f>
        <v>46235.0</v>
      </c>
      <c r="J18" s="31" t="str">
        <f>IF($A18="","",IF(OR($B18="",$C18="",$F18="",$G18=""),"Preencher tudo",IF(COUNTIF(EtapaLista,$B18)=0,"Etapa inválida","OK")))</f>
        <v>OK</v>
      </c>
    </row>
    <row r="19" spans="1:10">
      <c r="A19" s="17">
        <v>46254</v>
      </c>
      <c r="B19" s="15" t="s">
        <v>85</v>
      </c>
      <c r="C19" s="15" t="s">
        <v>55</v>
      </c>
      <c r="D19" s="15" t="s">
        <v>67</v>
      </c>
      <c r="E19" s="15" t="s">
        <v>162</v>
      </c>
      <c r="F19" s="16">
        <v>12912.06</v>
      </c>
      <c r="G19" s="27" t="s">
        <v>148</v>
      </c>
      <c r="H19" s="17">
        <v>46269</v>
      </c>
      <c r="I19" s="30">
        <f>IF($A19="","",DATE(YEAR($A19),MONTH($A19),1))</f>
        <v>46235.0</v>
      </c>
      <c r="J19" s="31" t="str">
        <f>IF($A19="","",IF(OR($B19="",$C19="",$F19="",$G19=""),"Preencher tudo",IF(COUNTIF(EtapaLista,$B19)=0,"Etapa inválida","OK")))</f>
        <v>OK</v>
      </c>
    </row>
    <row r="20" spans="1:10">
      <c r="A20" s="17">
        <v>46265</v>
      </c>
      <c r="B20" s="15" t="s">
        <v>85</v>
      </c>
      <c r="C20" s="15" t="s">
        <v>61</v>
      </c>
      <c r="D20" s="15" t="s">
        <v>70</v>
      </c>
      <c r="E20" s="15" t="s">
        <v>163</v>
      </c>
      <c r="F20" s="16">
        <v>8346.58</v>
      </c>
      <c r="G20" s="27" t="s">
        <v>148</v>
      </c>
      <c r="H20" s="17">
        <v>46280</v>
      </c>
      <c r="I20" s="30">
        <f>IF($A20="","",DATE(YEAR($A20),MONTH($A20),1))</f>
        <v>46235.0</v>
      </c>
      <c r="J20" s="31" t="str">
        <f>IF($A20="","",IF(OR($B20="",$C20="",$F20="",$G20=""),"Preencher tudo",IF(COUNTIF(EtapaLista,$B20)=0,"Etapa inválida","OK")))</f>
        <v>OK</v>
      </c>
    </row>
    <row r="21" spans="1:10">
      <c r="A21" s="17">
        <v>46271</v>
      </c>
      <c r="B21" s="15" t="s">
        <v>86</v>
      </c>
      <c r="C21" s="15" t="s">
        <v>55</v>
      </c>
      <c r="D21" s="15" t="s">
        <v>66</v>
      </c>
      <c r="E21" s="15" t="s">
        <v>164</v>
      </c>
      <c r="F21" s="16">
        <v>5244.53</v>
      </c>
      <c r="G21" s="27" t="s">
        <v>148</v>
      </c>
      <c r="H21" s="17">
        <v>46286</v>
      </c>
      <c r="I21" s="30">
        <f>IF($A21="","",DATE(YEAR($A21),MONTH($A21),1))</f>
        <v>46266.0</v>
      </c>
      <c r="J21" s="31" t="str">
        <f>IF($A21="","",IF(OR($B21="",$C21="",$F21="",$G21=""),"Preencher tudo",IF(COUNTIF(EtapaLista,$B21)=0,"Etapa inválida","OK")))</f>
        <v>OK</v>
      </c>
    </row>
    <row r="22" spans="1:10">
      <c r="A22" s="17">
        <v>46271</v>
      </c>
      <c r="B22" s="15" t="s">
        <v>87</v>
      </c>
      <c r="C22" s="15" t="s">
        <v>55</v>
      </c>
      <c r="D22" s="15" t="s">
        <v>68</v>
      </c>
      <c r="E22" s="15" t="s">
        <v>165</v>
      </c>
      <c r="F22" s="16">
        <v>5361.22</v>
      </c>
      <c r="G22" s="27" t="s">
        <v>148</v>
      </c>
      <c r="H22" s="17">
        <v>46286</v>
      </c>
      <c r="I22" s="30">
        <f>IF($A22="","",DATE(YEAR($A22),MONTH($A22),1))</f>
        <v>46266.0</v>
      </c>
      <c r="J22" s="31" t="str">
        <f>IF($A22="","",IF(OR($B22="",$C22="",$F22="",$G22=""),"Preencher tudo",IF(COUNTIF(EtapaLista,$B22)=0,"Etapa inválida","OK")))</f>
        <v>OK</v>
      </c>
    </row>
    <row r="23" spans="1:10">
      <c r="A23" s="17">
        <v>46275</v>
      </c>
      <c r="B23" s="15" t="s">
        <v>85</v>
      </c>
      <c r="C23" s="15" t="s">
        <v>57</v>
      </c>
      <c r="D23" s="15" t="s">
        <v>69</v>
      </c>
      <c r="E23" s="15" t="s">
        <v>166</v>
      </c>
      <c r="F23" s="16">
        <v>17017.94</v>
      </c>
      <c r="G23" s="27" t="s">
        <v>148</v>
      </c>
      <c r="H23" s="17">
        <v>46290</v>
      </c>
      <c r="I23" s="30">
        <f>IF($A23="","",DATE(YEAR($A23),MONTH($A23),1))</f>
        <v>46266.0</v>
      </c>
      <c r="J23" s="31" t="str">
        <f>IF($A23="","",IF(OR($B23="",$C23="",$F23="",$G23=""),"Preencher tudo",IF(COUNTIF(EtapaLista,$B23)=0,"Etapa inválida","OK")))</f>
        <v>OK</v>
      </c>
    </row>
    <row r="24" spans="1:10">
      <c r="A24" s="17">
        <v>46275</v>
      </c>
      <c r="B24" s="15" t="s">
        <v>86</v>
      </c>
      <c r="C24" s="15" t="s">
        <v>61</v>
      </c>
      <c r="D24" s="15" t="s">
        <v>67</v>
      </c>
      <c r="E24" s="15" t="s">
        <v>167</v>
      </c>
      <c r="F24" s="16">
        <v>4266.51</v>
      </c>
      <c r="G24" s="27" t="s">
        <v>148</v>
      </c>
      <c r="H24" s="17">
        <v>46290</v>
      </c>
      <c r="I24" s="30">
        <f>IF($A24="","",DATE(YEAR($A24),MONTH($A24),1))</f>
        <v>46266.0</v>
      </c>
      <c r="J24" s="31" t="str">
        <f>IF($A24="","",IF(OR($B24="",$C24="",$F24="",$G24=""),"Preencher tudo",IF(COUNTIF(EtapaLista,$B24)=0,"Etapa inválida","OK")))</f>
        <v>OK</v>
      </c>
    </row>
    <row r="25" spans="1:10">
      <c r="A25" s="17">
        <v>46277</v>
      </c>
      <c r="B25" s="15" t="s">
        <v>87</v>
      </c>
      <c r="C25" s="15" t="s">
        <v>57</v>
      </c>
      <c r="D25" s="15" t="s">
        <v>64</v>
      </c>
      <c r="E25" s="15" t="s">
        <v>168</v>
      </c>
      <c r="F25" s="16">
        <v>7770.81</v>
      </c>
      <c r="G25" s="27" t="s">
        <v>148</v>
      </c>
      <c r="H25" s="17">
        <v>46292</v>
      </c>
      <c r="I25" s="30">
        <f>IF($A25="","",DATE(YEAR($A25),MONTH($A25),1))</f>
        <v>46266.0</v>
      </c>
      <c r="J25" s="31" t="str">
        <f>IF($A25="","",IF(OR($B25="",$C25="",$F25="",$G25=""),"Preencher tudo",IF(COUNTIF(EtapaLista,$B25)=0,"Etapa inválida","OK")))</f>
        <v>OK</v>
      </c>
    </row>
    <row r="26" spans="1:10">
      <c r="A26" s="17">
        <v>46282</v>
      </c>
      <c r="B26" s="15" t="s">
        <v>86</v>
      </c>
      <c r="C26" s="15" t="s">
        <v>59</v>
      </c>
      <c r="D26" s="15" t="s">
        <v>68</v>
      </c>
      <c r="E26" s="15" t="s">
        <v>169</v>
      </c>
      <c r="F26" s="16">
        <v>3331.51</v>
      </c>
      <c r="G26" s="27" t="s">
        <v>148</v>
      </c>
      <c r="H26" s="17">
        <v>46297</v>
      </c>
      <c r="I26" s="30">
        <f>IF($A26="","",DATE(YEAR($A26),MONTH($A26),1))</f>
        <v>46266.0</v>
      </c>
      <c r="J26" s="31" t="str">
        <f>IF($A26="","",IF(OR($B26="",$C26="",$F26="",$G26=""),"Preencher tudo",IF(COUNTIF(EtapaLista,$B26)=0,"Etapa inválida","OK")))</f>
        <v>OK</v>
      </c>
    </row>
    <row r="27" spans="1:10">
      <c r="A27" s="17">
        <v>46283</v>
      </c>
      <c r="B27" s="15" t="s">
        <v>88</v>
      </c>
      <c r="C27" s="15" t="s">
        <v>61</v>
      </c>
      <c r="D27" s="15" t="s">
        <v>70</v>
      </c>
      <c r="E27" s="15" t="s">
        <v>170</v>
      </c>
      <c r="F27" s="16">
        <v>4994.21</v>
      </c>
      <c r="G27" s="27" t="s">
        <v>148</v>
      </c>
      <c r="H27" s="17">
        <v>46298</v>
      </c>
      <c r="I27" s="30">
        <f>IF($A27="","",DATE(YEAR($A27),MONTH($A27),1))</f>
        <v>46266.0</v>
      </c>
      <c r="J27" s="31" t="str">
        <f>IF($A27="","",IF(OR($B27="",$C27="",$F27="",$G27=""),"Preencher tudo",IF(COUNTIF(EtapaLista,$B27)=0,"Etapa inválida","OK")))</f>
        <v>OK</v>
      </c>
    </row>
    <row r="28" spans="1:10">
      <c r="A28" s="17">
        <v>46285</v>
      </c>
      <c r="B28" s="15" t="s">
        <v>87</v>
      </c>
      <c r="C28" s="15" t="s">
        <v>59</v>
      </c>
      <c r="D28" s="15" t="s">
        <v>68</v>
      </c>
      <c r="E28" s="15" t="s">
        <v>171</v>
      </c>
      <c r="F28" s="16">
        <v>7420.38</v>
      </c>
      <c r="G28" s="27" t="s">
        <v>148</v>
      </c>
      <c r="H28" s="17">
        <v>46300</v>
      </c>
      <c r="I28" s="30">
        <f>IF($A28="","",DATE(YEAR($A28),MONTH($A28),1))</f>
        <v>46266.0</v>
      </c>
      <c r="J28" s="31" t="str">
        <f>IF($A28="","",IF(OR($B28="",$C28="",$F28="",$G28=""),"Preencher tudo",IF(COUNTIF(EtapaLista,$B28)=0,"Etapa inválida","OK")))</f>
        <v>OK</v>
      </c>
    </row>
    <row r="29" spans="1:10">
      <c r="A29" s="17">
        <v>46287</v>
      </c>
      <c r="B29" s="15" t="s">
        <v>88</v>
      </c>
      <c r="C29" s="15" t="s">
        <v>55</v>
      </c>
      <c r="D29" s="15" t="s">
        <v>66</v>
      </c>
      <c r="E29" s="15" t="s">
        <v>172</v>
      </c>
      <c r="F29" s="16">
        <v>5176.05</v>
      </c>
      <c r="G29" s="27" t="s">
        <v>148</v>
      </c>
      <c r="H29" s="17">
        <v>46302</v>
      </c>
      <c r="I29" s="30">
        <f>IF($A29="","",DATE(YEAR($A29),MONTH($A29),1))</f>
        <v>46266.0</v>
      </c>
      <c r="J29" s="31" t="str">
        <f>IF($A29="","",IF(OR($B29="",$C29="",$F29="",$G29=""),"Preencher tudo",IF(COUNTIF(EtapaLista,$B29)=0,"Etapa inválida","OK")))</f>
        <v>OK</v>
      </c>
    </row>
    <row r="30" spans="1:10">
      <c r="A30" s="17">
        <v>46290</v>
      </c>
      <c r="B30" s="15" t="s">
        <v>86</v>
      </c>
      <c r="C30" s="15" t="s">
        <v>55</v>
      </c>
      <c r="D30" s="15" t="s">
        <v>69</v>
      </c>
      <c r="E30" s="15" t="s">
        <v>173</v>
      </c>
      <c r="F30" s="16">
        <v>6179.26</v>
      </c>
      <c r="G30" s="27" t="s">
        <v>148</v>
      </c>
      <c r="H30" s="17">
        <v>46305</v>
      </c>
      <c r="I30" s="30">
        <f>IF($A30="","",DATE(YEAR($A30),MONTH($A30),1))</f>
        <v>46266.0</v>
      </c>
      <c r="J30" s="31" t="str">
        <f>IF($A30="","",IF(OR($B30="",$C30="",$F30="",$G30=""),"Preencher tudo",IF(COUNTIF(EtapaLista,$B30)=0,"Etapa inválida","OK")))</f>
        <v>OK</v>
      </c>
    </row>
    <row r="31" spans="1:10">
      <c r="A31" s="17">
        <v>46291</v>
      </c>
      <c r="B31" s="15" t="s">
        <v>88</v>
      </c>
      <c r="C31" s="15" t="s">
        <v>59</v>
      </c>
      <c r="D31" s="15" t="s">
        <v>70</v>
      </c>
      <c r="E31" s="15" t="s">
        <v>174</v>
      </c>
      <c r="F31" s="16">
        <v>3741.85</v>
      </c>
      <c r="G31" s="27" t="s">
        <v>175</v>
      </c>
      <c r="H31" s="17">
        <v>46306</v>
      </c>
      <c r="I31" s="30">
        <f>IF($A31="","",DATE(YEAR($A31),MONTH($A31),1))</f>
        <v>46266.0</v>
      </c>
      <c r="J31" s="31" t="str">
        <f>IF($A31="","",IF(OR($B31="",$C31="",$F31="",$G31=""),"Preencher tudo",IF(COUNTIF(EtapaLista,$B31)=0,"Etapa inválida","OK")))</f>
        <v>OK</v>
      </c>
    </row>
    <row r="32" spans="1:10">
      <c r="A32" s="17">
        <v>46292</v>
      </c>
      <c r="B32" s="15" t="s">
        <v>87</v>
      </c>
      <c r="C32" s="15" t="s">
        <v>55</v>
      </c>
      <c r="D32" s="15" t="s">
        <v>60</v>
      </c>
      <c r="E32" s="15" t="s">
        <v>176</v>
      </c>
      <c r="F32" s="16">
        <v>5447.51</v>
      </c>
      <c r="G32" s="27" t="s">
        <v>175</v>
      </c>
      <c r="H32" s="17">
        <v>46307</v>
      </c>
      <c r="I32" s="30">
        <f>IF($A32="","",DATE(YEAR($A32),MONTH($A32),1))</f>
        <v>46266.0</v>
      </c>
      <c r="J32" s="31" t="str">
        <f>IF($A32="","",IF(OR($B32="",$C32="",$F32="",$G32=""),"Preencher tudo",IF(COUNTIF(EtapaLista,$B32)=0,"Etapa inválida","OK")))</f>
        <v>OK</v>
      </c>
    </row>
    <row r="33" spans="1:10">
      <c r="A33" s="17">
        <v>46295</v>
      </c>
      <c r="B33" s="15" t="s">
        <v>86</v>
      </c>
      <c r="C33" s="15" t="s">
        <v>61</v>
      </c>
      <c r="D33" s="15" t="s">
        <v>56</v>
      </c>
      <c r="E33" s="15" t="s">
        <v>177</v>
      </c>
      <c r="F33" s="16">
        <v>5569.67</v>
      </c>
      <c r="G33" s="27" t="s">
        <v>148</v>
      </c>
      <c r="H33" s="17">
        <v>46310</v>
      </c>
      <c r="I33" s="30">
        <f>IF($A33="","",DATE(YEAR($A33),MONTH($A33),1))</f>
        <v>46266.0</v>
      </c>
      <c r="J33" s="31" t="str">
        <f>IF($A33="","",IF(OR($B33="",$C33="",$F33="",$G33=""),"Preencher tudo",IF(COUNTIF(EtapaLista,$B33)=0,"Etapa inválida","OK")))</f>
        <v>OK</v>
      </c>
    </row>
    <row r="34" spans="1:10">
      <c r="A34" s="17">
        <v>46295</v>
      </c>
      <c r="B34" s="15" t="s">
        <v>88</v>
      </c>
      <c r="C34" s="15" t="s">
        <v>61</v>
      </c>
      <c r="D34" s="15" t="s">
        <v>58</v>
      </c>
      <c r="E34" s="15" t="s">
        <v>178</v>
      </c>
      <c r="F34" s="16">
        <v>4252.65</v>
      </c>
      <c r="G34" s="27" t="s">
        <v>148</v>
      </c>
      <c r="H34" s="17">
        <v>46310</v>
      </c>
      <c r="I34" s="30">
        <f>IF($A34="","",DATE(YEAR($A34),MONTH($A34),1))</f>
        <v>46266.0</v>
      </c>
      <c r="J34" s="31" t="str">
        <f>IF($A34="","",IF(OR($B34="",$C34="",$F34="",$G34=""),"Preencher tudo",IF(COUNTIF(EtapaLista,$B34)=0,"Etapa inválida","OK")))</f>
        <v>OK</v>
      </c>
    </row>
    <row r="35" spans="1:10">
      <c r="A35" s="17">
        <v>46298</v>
      </c>
      <c r="B35" s="15" t="s">
        <v>88</v>
      </c>
      <c r="C35" s="15" t="s">
        <v>55</v>
      </c>
      <c r="D35" s="15" t="s">
        <v>69</v>
      </c>
      <c r="E35" s="15" t="s">
        <v>179</v>
      </c>
      <c r="F35" s="16">
        <v>3621.85</v>
      </c>
      <c r="G35" s="27" t="s">
        <v>175</v>
      </c>
      <c r="H35" s="17">
        <v>46313</v>
      </c>
      <c r="I35" s="30">
        <f>IF($A35="","",DATE(YEAR($A35),MONTH($A35),1))</f>
        <v>46296.0</v>
      </c>
      <c r="J35" s="31" t="str">
        <f>IF($A35="","",IF(OR($B35="",$C35="",$F35="",$G35=""),"Preencher tudo",IF(COUNTIF(EtapaLista,$B35)=0,"Etapa inválida","OK")))</f>
        <v>OK</v>
      </c>
    </row>
    <row r="36" spans="1:10">
      <c r="A36" s="17">
        <v>46301</v>
      </c>
      <c r="B36" s="15" t="s">
        <v>88</v>
      </c>
      <c r="C36" s="15" t="s">
        <v>59</v>
      </c>
      <c r="D36" s="15" t="s">
        <v>68</v>
      </c>
      <c r="E36" s="15" t="s">
        <v>180</v>
      </c>
      <c r="F36" s="16">
        <v>3953.39</v>
      </c>
      <c r="G36" s="27" t="s">
        <v>175</v>
      </c>
      <c r="H36" s="17">
        <v>46316</v>
      </c>
      <c r="I36" s="30">
        <f>IF($A36="","",DATE(YEAR($A36),MONTH($A36),1))</f>
        <v>46296.0</v>
      </c>
      <c r="J36" s="31" t="str">
        <f>IF($A36="","",IF(OR($B36="",$C36="",$F36="",$G36=""),"Preencher tudo",IF(COUNTIF(EtapaLista,$B36)=0,"Etapa inválida","OK")))</f>
        <v>OK</v>
      </c>
    </row>
    <row r="37" spans="1:10">
      <c r="A37" s="17">
        <v>46301</v>
      </c>
      <c r="B37" s="15" t="s">
        <v>89</v>
      </c>
      <c r="C37" s="15" t="s">
        <v>59</v>
      </c>
      <c r="D37" s="15" t="s">
        <v>70</v>
      </c>
      <c r="E37" s="15" t="s">
        <v>181</v>
      </c>
      <c r="F37" s="16">
        <v>628.5</v>
      </c>
      <c r="G37" s="27" t="s">
        <v>175</v>
      </c>
      <c r="H37" s="17">
        <v>46316</v>
      </c>
      <c r="I37" s="30">
        <f>IF($A37="","",DATE(YEAR($A37),MONTH($A37),1))</f>
        <v>46296.0</v>
      </c>
      <c r="J37" s="31" t="str">
        <f>IF($A37="","",IF(OR($B37="",$C37="",$F37="",$G37=""),"Preencher tudo",IF(COUNTIF(EtapaLista,$B37)=0,"Etapa inválida","OK")))</f>
        <v>OK</v>
      </c>
    </row>
    <row r="38" spans="1:10">
      <c r="A38" s="17">
        <v>46301</v>
      </c>
      <c r="B38" s="15" t="s">
        <v>89</v>
      </c>
      <c r="C38" s="15" t="s">
        <v>57</v>
      </c>
      <c r="D38" s="15" t="s">
        <v>68</v>
      </c>
      <c r="E38" s="15" t="s">
        <v>182</v>
      </c>
      <c r="F38" s="16">
        <v>856.76</v>
      </c>
      <c r="G38" s="27" t="s">
        <v>175</v>
      </c>
      <c r="H38" s="17">
        <v>46316</v>
      </c>
      <c r="I38" s="30">
        <f>IF($A38="","",DATE(YEAR($A38),MONTH($A38),1))</f>
        <v>46296.0</v>
      </c>
      <c r="J38" s="31" t="str">
        <f>IF($A38="","",IF(OR($B38="",$C38="",$F38="",$G38=""),"Preencher tudo",IF(COUNTIF(EtapaLista,$B38)=0,"Etapa inválida","OK")))</f>
        <v>OK</v>
      </c>
    </row>
    <row r="39" spans="1:10">
      <c r="A39" s="17">
        <v>46301</v>
      </c>
      <c r="B39" s="15" t="s">
        <v>89</v>
      </c>
      <c r="C39" s="15" t="s">
        <v>59</v>
      </c>
      <c r="D39" s="15" t="s">
        <v>67</v>
      </c>
      <c r="E39" s="15" t="s">
        <v>183</v>
      </c>
      <c r="F39" s="16">
        <v>822.83</v>
      </c>
      <c r="G39" s="27" t="s">
        <v>175</v>
      </c>
      <c r="H39" s="17">
        <v>46316</v>
      </c>
      <c r="I39" s="30">
        <f>IF($A39="","",DATE(YEAR($A39),MONTH($A39),1))</f>
        <v>46296.0</v>
      </c>
      <c r="J39" s="31" t="str">
        <f>IF($A39="","",IF(OR($B39="",$C39="",$F39="",$G39=""),"Preencher tudo",IF(COUNTIF(EtapaLista,$B39)=0,"Etapa inválida","OK")))</f>
        <v>OK</v>
      </c>
    </row>
    <row r="40" spans="1:10">
      <c r="A40" s="17">
        <v>46302</v>
      </c>
      <c r="B40" s="15" t="s">
        <v>86</v>
      </c>
      <c r="C40" s="15" t="s">
        <v>59</v>
      </c>
      <c r="D40" s="15" t="s">
        <v>67</v>
      </c>
      <c r="E40" s="15" t="s">
        <v>184</v>
      </c>
      <c r="F40" s="16">
        <v>4672.48</v>
      </c>
      <c r="G40" s="27" t="s">
        <v>175</v>
      </c>
      <c r="H40" s="17">
        <v>46317</v>
      </c>
      <c r="I40" s="30">
        <f>IF($A40="","",DATE(YEAR($A40),MONTH($A40),1))</f>
        <v>46296.0</v>
      </c>
      <c r="J40" s="31" t="str">
        <f>IF($A40="","",IF(OR($B40="",$C40="",$F40="",$G40=""),"Preencher tudo",IF(COUNTIF(EtapaLista,$B40)=0,"Etapa inválida","OK")))</f>
        <v>OK</v>
      </c>
    </row>
    <row r="41" spans="1:10">
      <c r="A41" s="17">
        <v>46302</v>
      </c>
      <c r="B41" s="15" t="s">
        <v>89</v>
      </c>
      <c r="C41" s="15" t="s">
        <v>61</v>
      </c>
      <c r="D41" s="15" t="s">
        <v>62</v>
      </c>
      <c r="E41" s="15" t="s">
        <v>185</v>
      </c>
      <c r="F41" s="16">
        <v>864.15</v>
      </c>
      <c r="G41" s="27" t="s">
        <v>148</v>
      </c>
      <c r="H41" s="17">
        <v>46317</v>
      </c>
      <c r="I41" s="30">
        <f>IF($A41="","",DATE(YEAR($A41),MONTH($A41),1))</f>
        <v>46296.0</v>
      </c>
      <c r="J41" s="31" t="str">
        <f>IF($A41="","",IF(OR($B41="",$C41="",$F41="",$G41=""),"Preencher tudo",IF(COUNTIF(EtapaLista,$B41)=0,"Etapa inválida","OK")))</f>
        <v>OK</v>
      </c>
    </row>
    <row r="42" spans="1:10">
      <c r="A42" s="17">
        <v>46302</v>
      </c>
      <c r="B42" s="15" t="s">
        <v>89</v>
      </c>
      <c r="C42" s="15" t="s">
        <v>57</v>
      </c>
      <c r="D42" s="15" t="s">
        <v>69</v>
      </c>
      <c r="E42" s="15" t="s">
        <v>186</v>
      </c>
      <c r="F42" s="16">
        <v>907.77</v>
      </c>
      <c r="G42" s="27" t="s">
        <v>175</v>
      </c>
      <c r="H42" s="17">
        <v>46317</v>
      </c>
      <c r="I42" s="30">
        <f>IF($A42="","",DATE(YEAR($A42),MONTH($A42),1))</f>
        <v>46296.0</v>
      </c>
      <c r="J42" s="31" t="str">
        <f>IF($A42="","",IF(OR($B42="",$C42="",$F42="",$G42=""),"Preencher tudo",IF(COUNTIF(EtapaLista,$B42)=0,"Etapa inválida","OK")))</f>
        <v>OK</v>
      </c>
    </row>
    <row r="43" spans="1:10">
      <c r="A43" s="17"/>
      <c r="B43" s="15"/>
      <c r="C43" s="15"/>
      <c r="D43" s="15"/>
      <c r="E43" s="15"/>
      <c r="F43" s="16"/>
      <c r="G43" s="27"/>
      <c r="H43" s="17"/>
      <c r="I43" s="30">
        <f>IF($A43="","",DATE(YEAR($A43),MONTH($A43),1))</f>
        <v/>
      </c>
      <c r="J43" s="31">
        <f>IF($A43="","",IF(OR($B43="",$C43="",$F43="",$G43=""),"Preencher tudo",IF(COUNTIF(EtapaLista,$B43)=0,"Etapa inválida","OK")))</f>
        <v/>
      </c>
    </row>
    <row r="44" spans="1:10">
      <c r="A44" s="17"/>
      <c r="B44" s="15"/>
      <c r="C44" s="15"/>
      <c r="D44" s="15"/>
      <c r="E44" s="15"/>
      <c r="F44" s="16"/>
      <c r="G44" s="27"/>
      <c r="H44" s="17"/>
      <c r="I44" s="30">
        <f>IF($A44="","",DATE(YEAR($A44),MONTH($A44),1))</f>
        <v/>
      </c>
      <c r="J44" s="31">
        <f>IF($A44="","",IF(OR($B44="",$C44="",$F44="",$G44=""),"Preencher tudo",IF(COUNTIF(EtapaLista,$B44)=0,"Etapa inválida","OK")))</f>
        <v/>
      </c>
    </row>
    <row r="45" spans="1:10">
      <c r="A45" s="17"/>
      <c r="B45" s="15"/>
      <c r="C45" s="15"/>
      <c r="D45" s="15"/>
      <c r="E45" s="15"/>
      <c r="F45" s="16"/>
      <c r="G45" s="27"/>
      <c r="H45" s="17"/>
      <c r="I45" s="30">
        <f>IF($A45="","",DATE(YEAR($A45),MONTH($A45),1))</f>
        <v/>
      </c>
      <c r="J45" s="31">
        <f>IF($A45="","",IF(OR($B45="",$C45="",$F45="",$G45=""),"Preencher tudo",IF(COUNTIF(EtapaLista,$B45)=0,"Etapa inválida","OK")))</f>
        <v/>
      </c>
    </row>
    <row r="46" spans="1:10">
      <c r="A46" s="17"/>
      <c r="B46" s="15"/>
      <c r="C46" s="15"/>
      <c r="D46" s="15"/>
      <c r="E46" s="15"/>
      <c r="F46" s="16"/>
      <c r="G46" s="27"/>
      <c r="H46" s="17"/>
      <c r="I46" s="30">
        <f>IF($A46="","",DATE(YEAR($A46),MONTH($A46),1))</f>
        <v/>
      </c>
      <c r="J46" s="31">
        <f>IF($A46="","",IF(OR($B46="",$C46="",$F46="",$G46=""),"Preencher tudo",IF(COUNTIF(EtapaLista,$B46)=0,"Etapa inválida","OK")))</f>
        <v/>
      </c>
    </row>
    <row r="47" spans="1:10">
      <c r="A47" s="17"/>
      <c r="B47" s="15"/>
      <c r="C47" s="15"/>
      <c r="D47" s="15"/>
      <c r="E47" s="15"/>
      <c r="F47" s="16"/>
      <c r="G47" s="27"/>
      <c r="H47" s="17"/>
      <c r="I47" s="30">
        <f>IF($A47="","",DATE(YEAR($A47),MONTH($A47),1))</f>
        <v/>
      </c>
      <c r="J47" s="31">
        <f>IF($A47="","",IF(OR($B47="",$C47="",$F47="",$G47=""),"Preencher tudo",IF(COUNTIF(EtapaLista,$B47)=0,"Etapa inválida","OK")))</f>
        <v/>
      </c>
    </row>
    <row r="48" spans="1:10">
      <c r="A48" s="17"/>
      <c r="B48" s="15"/>
      <c r="C48" s="15"/>
      <c r="D48" s="15"/>
      <c r="E48" s="15"/>
      <c r="F48" s="16"/>
      <c r="G48" s="27"/>
      <c r="H48" s="17"/>
      <c r="I48" s="30">
        <f>IF($A48="","",DATE(YEAR($A48),MONTH($A48),1))</f>
        <v/>
      </c>
      <c r="J48" s="31">
        <f>IF($A48="","",IF(OR($B48="",$C48="",$F48="",$G48=""),"Preencher tudo",IF(COUNTIF(EtapaLista,$B48)=0,"Etapa inválida","OK")))</f>
        <v/>
      </c>
    </row>
    <row r="49" spans="1:10">
      <c r="A49" s="17"/>
      <c r="B49" s="15"/>
      <c r="C49" s="15"/>
      <c r="D49" s="15"/>
      <c r="E49" s="15"/>
      <c r="F49" s="16"/>
      <c r="G49" s="27"/>
      <c r="H49" s="17"/>
      <c r="I49" s="30">
        <f>IF($A49="","",DATE(YEAR($A49),MONTH($A49),1))</f>
        <v/>
      </c>
      <c r="J49" s="31">
        <f>IF($A49="","",IF(OR($B49="",$C49="",$F49="",$G49=""),"Preencher tudo",IF(COUNTIF(EtapaLista,$B49)=0,"Etapa inválida","OK")))</f>
        <v/>
      </c>
    </row>
    <row r="50" spans="1:10">
      <c r="A50" s="17"/>
      <c r="B50" s="15"/>
      <c r="C50" s="15"/>
      <c r="D50" s="15"/>
      <c r="E50" s="15"/>
      <c r="F50" s="16"/>
      <c r="G50" s="27"/>
      <c r="H50" s="17"/>
      <c r="I50" s="30">
        <f>IF($A50="","",DATE(YEAR($A50),MONTH($A50),1))</f>
        <v/>
      </c>
      <c r="J50" s="31">
        <f>IF($A50="","",IF(OR($B50="",$C50="",$F50="",$G50=""),"Preencher tudo",IF(COUNTIF(EtapaLista,$B50)=0,"Etapa inválida","OK")))</f>
        <v/>
      </c>
    </row>
    <row r="51" spans="1:10">
      <c r="A51" s="17"/>
      <c r="B51" s="15"/>
      <c r="C51" s="15"/>
      <c r="D51" s="15"/>
      <c r="E51" s="15"/>
      <c r="F51" s="16"/>
      <c r="G51" s="27"/>
      <c r="H51" s="17"/>
      <c r="I51" s="30">
        <f>IF($A51="","",DATE(YEAR($A51),MONTH($A51),1))</f>
        <v/>
      </c>
      <c r="J51" s="31">
        <f>IF($A51="","",IF(OR($B51="",$C51="",$F51="",$G51=""),"Preencher tudo",IF(COUNTIF(EtapaLista,$B51)=0,"Etapa inválida","OK")))</f>
        <v/>
      </c>
    </row>
    <row r="52" spans="1:10">
      <c r="A52" s="17"/>
      <c r="B52" s="15"/>
      <c r="C52" s="15"/>
      <c r="D52" s="15"/>
      <c r="E52" s="15"/>
      <c r="F52" s="16"/>
      <c r="G52" s="27"/>
      <c r="H52" s="17"/>
      <c r="I52" s="30">
        <f>IF($A52="","",DATE(YEAR($A52),MONTH($A52),1))</f>
        <v/>
      </c>
      <c r="J52" s="31">
        <f>IF($A52="","",IF(OR($B52="",$C52="",$F52="",$G52=""),"Preencher tudo",IF(COUNTIF(EtapaLista,$B52)=0,"Etapa inválida","OK")))</f>
        <v/>
      </c>
    </row>
    <row r="53" spans="1:10">
      <c r="A53" s="17"/>
      <c r="B53" s="15"/>
      <c r="C53" s="15"/>
      <c r="D53" s="15"/>
      <c r="E53" s="15"/>
      <c r="F53" s="16"/>
      <c r="G53" s="27"/>
      <c r="H53" s="17"/>
      <c r="I53" s="30">
        <f>IF($A53="","",DATE(YEAR($A53),MONTH($A53),1))</f>
        <v/>
      </c>
      <c r="J53" s="31">
        <f>IF($A53="","",IF(OR($B53="",$C53="",$F53="",$G53=""),"Preencher tudo",IF(COUNTIF(EtapaLista,$B53)=0,"Etapa inválida","OK")))</f>
        <v/>
      </c>
    </row>
    <row r="54" spans="1:10">
      <c r="A54" s="17"/>
      <c r="B54" s="15"/>
      <c r="C54" s="15"/>
      <c r="D54" s="15"/>
      <c r="E54" s="15"/>
      <c r="F54" s="16"/>
      <c r="G54" s="27"/>
      <c r="H54" s="17"/>
      <c r="I54" s="30">
        <f>IF($A54="","",DATE(YEAR($A54),MONTH($A54),1))</f>
        <v/>
      </c>
      <c r="J54" s="31">
        <f>IF($A54="","",IF(OR($B54="",$C54="",$F54="",$G54=""),"Preencher tudo",IF(COUNTIF(EtapaLista,$B54)=0,"Etapa inválida","OK")))</f>
        <v/>
      </c>
    </row>
    <row r="55" spans="1:10">
      <c r="A55" s="17"/>
      <c r="B55" s="15"/>
      <c r="C55" s="15"/>
      <c r="D55" s="15"/>
      <c r="E55" s="15"/>
      <c r="F55" s="16"/>
      <c r="G55" s="27"/>
      <c r="H55" s="17"/>
      <c r="I55" s="30">
        <f>IF($A55="","",DATE(YEAR($A55),MONTH($A55),1))</f>
        <v/>
      </c>
      <c r="J55" s="31">
        <f>IF($A55="","",IF(OR($B55="",$C55="",$F55="",$G55=""),"Preencher tudo",IF(COUNTIF(EtapaLista,$B55)=0,"Etapa inválida","OK")))</f>
        <v/>
      </c>
    </row>
    <row r="56" spans="1:10">
      <c r="A56" s="17"/>
      <c r="B56" s="15"/>
      <c r="C56" s="15"/>
      <c r="D56" s="15"/>
      <c r="E56" s="15"/>
      <c r="F56" s="16"/>
      <c r="G56" s="27"/>
      <c r="H56" s="17"/>
      <c r="I56" s="30">
        <f>IF($A56="","",DATE(YEAR($A56),MONTH($A56),1))</f>
        <v/>
      </c>
      <c r="J56" s="31">
        <f>IF($A56="","",IF(OR($B56="",$C56="",$F56="",$G56=""),"Preencher tudo",IF(COUNTIF(EtapaLista,$B56)=0,"Etapa inválida","OK")))</f>
        <v/>
      </c>
    </row>
    <row r="57" spans="1:10">
      <c r="A57" s="17"/>
      <c r="B57" s="15"/>
      <c r="C57" s="15"/>
      <c r="D57" s="15"/>
      <c r="E57" s="15"/>
      <c r="F57" s="16"/>
      <c r="G57" s="27"/>
      <c r="H57" s="17"/>
      <c r="I57" s="30">
        <f>IF($A57="","",DATE(YEAR($A57),MONTH($A57),1))</f>
        <v/>
      </c>
      <c r="J57" s="31">
        <f>IF($A57="","",IF(OR($B57="",$C57="",$F57="",$G57=""),"Preencher tudo",IF(COUNTIF(EtapaLista,$B57)=0,"Etapa inválida","OK")))</f>
        <v/>
      </c>
    </row>
    <row r="58" spans="1:10">
      <c r="A58" s="17"/>
      <c r="B58" s="15"/>
      <c r="C58" s="15"/>
      <c r="D58" s="15"/>
      <c r="E58" s="15"/>
      <c r="F58" s="16"/>
      <c r="G58" s="27"/>
      <c r="H58" s="17"/>
      <c r="I58" s="30">
        <f>IF($A58="","",DATE(YEAR($A58),MONTH($A58),1))</f>
        <v/>
      </c>
      <c r="J58" s="31">
        <f>IF($A58="","",IF(OR($B58="",$C58="",$F58="",$G58=""),"Preencher tudo",IF(COUNTIF(EtapaLista,$B58)=0,"Etapa inválida","OK")))</f>
        <v/>
      </c>
    </row>
    <row r="59" spans="1:10">
      <c r="A59" s="17"/>
      <c r="B59" s="15"/>
      <c r="C59" s="15"/>
      <c r="D59" s="15"/>
      <c r="E59" s="15"/>
      <c r="F59" s="16"/>
      <c r="G59" s="27"/>
      <c r="H59" s="17"/>
      <c r="I59" s="30">
        <f>IF($A59="","",DATE(YEAR($A59),MONTH($A59),1))</f>
        <v/>
      </c>
      <c r="J59" s="31">
        <f>IF($A59="","",IF(OR($B59="",$C59="",$F59="",$G59=""),"Preencher tudo",IF(COUNTIF(EtapaLista,$B59)=0,"Etapa inválida","OK")))</f>
        <v/>
      </c>
    </row>
    <row r="60" spans="1:10">
      <c r="A60" s="17"/>
      <c r="B60" s="15"/>
      <c r="C60" s="15"/>
      <c r="D60" s="15"/>
      <c r="E60" s="15"/>
      <c r="F60" s="16"/>
      <c r="G60" s="27"/>
      <c r="H60" s="17"/>
      <c r="I60" s="30">
        <f>IF($A60="","",DATE(YEAR($A60),MONTH($A60),1))</f>
        <v/>
      </c>
      <c r="J60" s="31">
        <f>IF($A60="","",IF(OR($B60="",$C60="",$F60="",$G60=""),"Preencher tudo",IF(COUNTIF(EtapaLista,$B60)=0,"Etapa inválida","OK")))</f>
        <v/>
      </c>
    </row>
    <row r="61" spans="1:10">
      <c r="A61" s="17"/>
      <c r="B61" s="15"/>
      <c r="C61" s="15"/>
      <c r="D61" s="15"/>
      <c r="E61" s="15"/>
      <c r="F61" s="16"/>
      <c r="G61" s="27"/>
      <c r="H61" s="17"/>
      <c r="I61" s="30">
        <f>IF($A61="","",DATE(YEAR($A61),MONTH($A61),1))</f>
        <v/>
      </c>
      <c r="J61" s="31">
        <f>IF($A61="","",IF(OR($B61="",$C61="",$F61="",$G61=""),"Preencher tudo",IF(COUNTIF(EtapaLista,$B61)=0,"Etapa inválida","OK")))</f>
        <v/>
      </c>
    </row>
    <row r="62" spans="1:10">
      <c r="A62" s="17"/>
      <c r="B62" s="15"/>
      <c r="C62" s="15"/>
      <c r="D62" s="15"/>
      <c r="E62" s="15"/>
      <c r="F62" s="16"/>
      <c r="G62" s="27"/>
      <c r="H62" s="17"/>
      <c r="I62" s="30">
        <f>IF($A62="","",DATE(YEAR($A62),MONTH($A62),1))</f>
        <v/>
      </c>
      <c r="J62" s="31">
        <f>IF($A62="","",IF(OR($B62="",$C62="",$F62="",$G62=""),"Preencher tudo",IF(COUNTIF(EtapaLista,$B62)=0,"Etapa inválida","OK")))</f>
        <v/>
      </c>
    </row>
    <row r="63" spans="1:10">
      <c r="A63" s="17"/>
      <c r="B63" s="15"/>
      <c r="C63" s="15"/>
      <c r="D63" s="15"/>
      <c r="E63" s="15"/>
      <c r="F63" s="16"/>
      <c r="G63" s="27"/>
      <c r="H63" s="17"/>
      <c r="I63" s="30">
        <f>IF($A63="","",DATE(YEAR($A63),MONTH($A63),1))</f>
        <v/>
      </c>
      <c r="J63" s="31">
        <f>IF($A63="","",IF(OR($B63="",$C63="",$F63="",$G63=""),"Preencher tudo",IF(COUNTIF(EtapaLista,$B63)=0,"Etapa inválida","OK")))</f>
        <v/>
      </c>
    </row>
    <row r="64" spans="1:10">
      <c r="A64" s="17"/>
      <c r="B64" s="15"/>
      <c r="C64" s="15"/>
      <c r="D64" s="15"/>
      <c r="E64" s="15"/>
      <c r="F64" s="16"/>
      <c r="G64" s="27"/>
      <c r="H64" s="17"/>
      <c r="I64" s="30">
        <f>IF($A64="","",DATE(YEAR($A64),MONTH($A64),1))</f>
        <v/>
      </c>
      <c r="J64" s="31">
        <f>IF($A64="","",IF(OR($B64="",$C64="",$F64="",$G64=""),"Preencher tudo",IF(COUNTIF(EtapaLista,$B64)=0,"Etapa inválida","OK")))</f>
        <v/>
      </c>
    </row>
    <row r="65" spans="1:10">
      <c r="A65" s="17"/>
      <c r="B65" s="15"/>
      <c r="C65" s="15"/>
      <c r="D65" s="15"/>
      <c r="E65" s="15"/>
      <c r="F65" s="16"/>
      <c r="G65" s="27"/>
      <c r="H65" s="17"/>
      <c r="I65" s="30">
        <f>IF($A65="","",DATE(YEAR($A65),MONTH($A65),1))</f>
        <v/>
      </c>
      <c r="J65" s="31">
        <f>IF($A65="","",IF(OR($B65="",$C65="",$F65="",$G65=""),"Preencher tudo",IF(COUNTIF(EtapaLista,$B65)=0,"Etapa inválida","OK")))</f>
        <v/>
      </c>
    </row>
    <row r="66" spans="1:10">
      <c r="A66" s="17"/>
      <c r="B66" s="15"/>
      <c r="C66" s="15"/>
      <c r="D66" s="15"/>
      <c r="E66" s="15"/>
      <c r="F66" s="16"/>
      <c r="G66" s="27"/>
      <c r="H66" s="17"/>
      <c r="I66" s="30">
        <f>IF($A66="","",DATE(YEAR($A66),MONTH($A66),1))</f>
        <v/>
      </c>
      <c r="J66" s="31">
        <f>IF($A66="","",IF(OR($B66="",$C66="",$F66="",$G66=""),"Preencher tudo",IF(COUNTIF(EtapaLista,$B66)=0,"Etapa inválida","OK")))</f>
        <v/>
      </c>
    </row>
    <row r="67" spans="1:10">
      <c r="A67" s="17"/>
      <c r="B67" s="15"/>
      <c r="C67" s="15"/>
      <c r="D67" s="15"/>
      <c r="E67" s="15"/>
      <c r="F67" s="16"/>
      <c r="G67" s="27"/>
      <c r="H67" s="17"/>
      <c r="I67" s="30">
        <f>IF($A67="","",DATE(YEAR($A67),MONTH($A67),1))</f>
        <v/>
      </c>
      <c r="J67" s="31">
        <f>IF($A67="","",IF(OR($B67="",$C67="",$F67="",$G67=""),"Preencher tudo",IF(COUNTIF(EtapaLista,$B67)=0,"Etapa inválida","OK")))</f>
        <v/>
      </c>
    </row>
    <row r="68" spans="1:10">
      <c r="A68" s="17"/>
      <c r="B68" s="15"/>
      <c r="C68" s="15"/>
      <c r="D68" s="15"/>
      <c r="E68" s="15"/>
      <c r="F68" s="16"/>
      <c r="G68" s="27"/>
      <c r="H68" s="17"/>
      <c r="I68" s="30">
        <f>IF($A68="","",DATE(YEAR($A68),MONTH($A68),1))</f>
        <v/>
      </c>
      <c r="J68" s="31">
        <f>IF($A68="","",IF(OR($B68="",$C68="",$F68="",$G68=""),"Preencher tudo",IF(COUNTIF(EtapaLista,$B68)=0,"Etapa inválida","OK")))</f>
        <v/>
      </c>
    </row>
    <row r="69" spans="1:10">
      <c r="A69" s="17"/>
      <c r="B69" s="15"/>
      <c r="C69" s="15"/>
      <c r="D69" s="15"/>
      <c r="E69" s="15"/>
      <c r="F69" s="16"/>
      <c r="G69" s="27"/>
      <c r="H69" s="17"/>
      <c r="I69" s="30">
        <f>IF($A69="","",DATE(YEAR($A69),MONTH($A69),1))</f>
        <v/>
      </c>
      <c r="J69" s="31">
        <f>IF($A69="","",IF(OR($B69="",$C69="",$F69="",$G69=""),"Preencher tudo",IF(COUNTIF(EtapaLista,$B69)=0,"Etapa inválida","OK")))</f>
        <v/>
      </c>
    </row>
    <row r="70" spans="1:10">
      <c r="A70" s="17"/>
      <c r="B70" s="15"/>
      <c r="C70" s="15"/>
      <c r="D70" s="15"/>
      <c r="E70" s="15"/>
      <c r="F70" s="16"/>
      <c r="G70" s="27"/>
      <c r="H70" s="17"/>
      <c r="I70" s="30">
        <f>IF($A70="","",DATE(YEAR($A70),MONTH($A70),1))</f>
        <v/>
      </c>
      <c r="J70" s="31">
        <f>IF($A70="","",IF(OR($B70="",$C70="",$F70="",$G70=""),"Preencher tudo",IF(COUNTIF(EtapaLista,$B70)=0,"Etapa inválida","OK")))</f>
        <v/>
      </c>
    </row>
    <row r="71" spans="1:10">
      <c r="A71" s="17"/>
      <c r="B71" s="15"/>
      <c r="C71" s="15"/>
      <c r="D71" s="15"/>
      <c r="E71" s="15"/>
      <c r="F71" s="16"/>
      <c r="G71" s="27"/>
      <c r="H71" s="17"/>
      <c r="I71" s="30">
        <f>IF($A71="","",DATE(YEAR($A71),MONTH($A71),1))</f>
        <v/>
      </c>
      <c r="J71" s="31">
        <f>IF($A71="","",IF(OR($B71="",$C71="",$F71="",$G71=""),"Preencher tudo",IF(COUNTIF(EtapaLista,$B71)=0,"Etapa inválida","OK")))</f>
        <v/>
      </c>
    </row>
    <row r="72" spans="1:10">
      <c r="A72" s="17"/>
      <c r="B72" s="15"/>
      <c r="C72" s="15"/>
      <c r="D72" s="15"/>
      <c r="E72" s="15"/>
      <c r="F72" s="16"/>
      <c r="G72" s="27"/>
      <c r="H72" s="17"/>
      <c r="I72" s="30">
        <f>IF($A72="","",DATE(YEAR($A72),MONTH($A72),1))</f>
        <v/>
      </c>
      <c r="J72" s="31">
        <f>IF($A72="","",IF(OR($B72="",$C72="",$F72="",$G72=""),"Preencher tudo",IF(COUNTIF(EtapaLista,$B72)=0,"Etapa inválida","OK")))</f>
        <v/>
      </c>
    </row>
    <row r="73" spans="1:10">
      <c r="A73" s="17"/>
      <c r="B73" s="15"/>
      <c r="C73" s="15"/>
      <c r="D73" s="15"/>
      <c r="E73" s="15"/>
      <c r="F73" s="16"/>
      <c r="G73" s="27"/>
      <c r="H73" s="17"/>
      <c r="I73" s="30">
        <f>IF($A73="","",DATE(YEAR($A73),MONTH($A73),1))</f>
        <v/>
      </c>
      <c r="J73" s="31">
        <f>IF($A73="","",IF(OR($B73="",$C73="",$F73="",$G73=""),"Preencher tudo",IF(COUNTIF(EtapaLista,$B73)=0,"Etapa inválida","OK")))</f>
        <v/>
      </c>
    </row>
    <row r="74" spans="1:10">
      <c r="A74" s="17"/>
      <c r="B74" s="15"/>
      <c r="C74" s="15"/>
      <c r="D74" s="15"/>
      <c r="E74" s="15"/>
      <c r="F74" s="16"/>
      <c r="G74" s="27"/>
      <c r="H74" s="17"/>
      <c r="I74" s="30">
        <f>IF($A74="","",DATE(YEAR($A74),MONTH($A74),1))</f>
        <v/>
      </c>
      <c r="J74" s="31">
        <f>IF($A74="","",IF(OR($B74="",$C74="",$F74="",$G74=""),"Preencher tudo",IF(COUNTIF(EtapaLista,$B74)=0,"Etapa inválida","OK")))</f>
        <v/>
      </c>
    </row>
    <row r="75" spans="1:10">
      <c r="A75" s="17"/>
      <c r="B75" s="15"/>
      <c r="C75" s="15"/>
      <c r="D75" s="15"/>
      <c r="E75" s="15"/>
      <c r="F75" s="16"/>
      <c r="G75" s="27"/>
      <c r="H75" s="17"/>
      <c r="I75" s="30">
        <f>IF($A75="","",DATE(YEAR($A75),MONTH($A75),1))</f>
        <v/>
      </c>
      <c r="J75" s="31">
        <f>IF($A75="","",IF(OR($B75="",$C75="",$F75="",$G75=""),"Preencher tudo",IF(COUNTIF(EtapaLista,$B75)=0,"Etapa inválida","OK")))</f>
        <v/>
      </c>
    </row>
    <row r="76" spans="1:10">
      <c r="A76" s="17"/>
      <c r="B76" s="15"/>
      <c r="C76" s="15"/>
      <c r="D76" s="15"/>
      <c r="E76" s="15"/>
      <c r="F76" s="16"/>
      <c r="G76" s="27"/>
      <c r="H76" s="17"/>
      <c r="I76" s="30">
        <f>IF($A76="","",DATE(YEAR($A76),MONTH($A76),1))</f>
        <v/>
      </c>
      <c r="J76" s="31">
        <f>IF($A76="","",IF(OR($B76="",$C76="",$F76="",$G76=""),"Preencher tudo",IF(COUNTIF(EtapaLista,$B76)=0,"Etapa inválida","OK")))</f>
        <v/>
      </c>
    </row>
    <row r="77" spans="1:10">
      <c r="A77" s="17"/>
      <c r="B77" s="15"/>
      <c r="C77" s="15"/>
      <c r="D77" s="15"/>
      <c r="E77" s="15"/>
      <c r="F77" s="16"/>
      <c r="G77" s="27"/>
      <c r="H77" s="17"/>
      <c r="I77" s="30">
        <f>IF($A77="","",DATE(YEAR($A77),MONTH($A77),1))</f>
        <v/>
      </c>
      <c r="J77" s="31">
        <f>IF($A77="","",IF(OR($B77="",$C77="",$F77="",$G77=""),"Preencher tudo",IF(COUNTIF(EtapaLista,$B77)=0,"Etapa inválida","OK")))</f>
        <v/>
      </c>
    </row>
    <row r="78" spans="1:10">
      <c r="A78" s="17"/>
      <c r="B78" s="15"/>
      <c r="C78" s="15"/>
      <c r="D78" s="15"/>
      <c r="E78" s="15"/>
      <c r="F78" s="16"/>
      <c r="G78" s="27"/>
      <c r="H78" s="17"/>
      <c r="I78" s="30">
        <f>IF($A78="","",DATE(YEAR($A78),MONTH($A78),1))</f>
        <v/>
      </c>
      <c r="J78" s="31">
        <f>IF($A78="","",IF(OR($B78="",$C78="",$F78="",$G78=""),"Preencher tudo",IF(COUNTIF(EtapaLista,$B78)=0,"Etapa inválida","OK")))</f>
        <v/>
      </c>
    </row>
    <row r="79" spans="1:10">
      <c r="A79" s="17"/>
      <c r="B79" s="15"/>
      <c r="C79" s="15"/>
      <c r="D79" s="15"/>
      <c r="E79" s="15"/>
      <c r="F79" s="16"/>
      <c r="G79" s="27"/>
      <c r="H79" s="17"/>
      <c r="I79" s="30">
        <f>IF($A79="","",DATE(YEAR($A79),MONTH($A79),1))</f>
        <v/>
      </c>
      <c r="J79" s="31">
        <f>IF($A79="","",IF(OR($B79="",$C79="",$F79="",$G79=""),"Preencher tudo",IF(COUNTIF(EtapaLista,$B79)=0,"Etapa inválida","OK")))</f>
        <v/>
      </c>
    </row>
    <row r="80" spans="1:10">
      <c r="A80" s="17"/>
      <c r="B80" s="15"/>
      <c r="C80" s="15"/>
      <c r="D80" s="15"/>
      <c r="E80" s="15"/>
      <c r="F80" s="16"/>
      <c r="G80" s="27"/>
      <c r="H80" s="17"/>
      <c r="I80" s="30">
        <f>IF($A80="","",DATE(YEAR($A80),MONTH($A80),1))</f>
        <v/>
      </c>
      <c r="J80" s="31">
        <f>IF($A80="","",IF(OR($B80="",$C80="",$F80="",$G80=""),"Preencher tudo",IF(COUNTIF(EtapaLista,$B80)=0,"Etapa inválida","OK")))</f>
        <v/>
      </c>
    </row>
    <row r="81" spans="1:10">
      <c r="A81" s="17"/>
      <c r="B81" s="15"/>
      <c r="C81" s="15"/>
      <c r="D81" s="15"/>
      <c r="E81" s="15"/>
      <c r="F81" s="16"/>
      <c r="G81" s="27"/>
      <c r="H81" s="17"/>
      <c r="I81" s="30">
        <f>IF($A81="","",DATE(YEAR($A81),MONTH($A81),1))</f>
        <v/>
      </c>
      <c r="J81" s="31">
        <f>IF($A81="","",IF(OR($B81="",$C81="",$F81="",$G81=""),"Preencher tudo",IF(COUNTIF(EtapaLista,$B81)=0,"Etapa inválida","OK")))</f>
        <v/>
      </c>
    </row>
    <row r="82" spans="1:10">
      <c r="A82" s="17"/>
      <c r="B82" s="15"/>
      <c r="C82" s="15"/>
      <c r="D82" s="15"/>
      <c r="E82" s="15"/>
      <c r="F82" s="16"/>
      <c r="G82" s="27"/>
      <c r="H82" s="17"/>
      <c r="I82" s="30">
        <f>IF($A82="","",DATE(YEAR($A82),MONTH($A82),1))</f>
        <v/>
      </c>
      <c r="J82" s="31">
        <f>IF($A82="","",IF(OR($B82="",$C82="",$F82="",$G82=""),"Preencher tudo",IF(COUNTIF(EtapaLista,$B82)=0,"Etapa inválida","OK")))</f>
        <v/>
      </c>
    </row>
    <row r="83" spans="1:10">
      <c r="A83" s="17"/>
      <c r="B83" s="15"/>
      <c r="C83" s="15"/>
      <c r="D83" s="15"/>
      <c r="E83" s="15"/>
      <c r="F83" s="16"/>
      <c r="G83" s="27"/>
      <c r="H83" s="17"/>
      <c r="I83" s="30">
        <f>IF($A83="","",DATE(YEAR($A83),MONTH($A83),1))</f>
        <v/>
      </c>
      <c r="J83" s="31">
        <f>IF($A83="","",IF(OR($B83="",$C83="",$F83="",$G83=""),"Preencher tudo",IF(COUNTIF(EtapaLista,$B83)=0,"Etapa inválida","OK")))</f>
        <v/>
      </c>
    </row>
    <row r="84" spans="1:10">
      <c r="A84" s="17"/>
      <c r="B84" s="15"/>
      <c r="C84" s="15"/>
      <c r="D84" s="15"/>
      <c r="E84" s="15"/>
      <c r="F84" s="16"/>
      <c r="G84" s="27"/>
      <c r="H84" s="17"/>
      <c r="I84" s="30">
        <f>IF($A84="","",DATE(YEAR($A84),MONTH($A84),1))</f>
        <v/>
      </c>
      <c r="J84" s="31">
        <f>IF($A84="","",IF(OR($B84="",$C84="",$F84="",$G84=""),"Preencher tudo",IF(COUNTIF(EtapaLista,$B84)=0,"Etapa inválida","OK")))</f>
        <v/>
      </c>
    </row>
    <row r="85" spans="1:10">
      <c r="A85" s="17"/>
      <c r="B85" s="15"/>
      <c r="C85" s="15"/>
      <c r="D85" s="15"/>
      <c r="E85" s="15"/>
      <c r="F85" s="16"/>
      <c r="G85" s="27"/>
      <c r="H85" s="17"/>
      <c r="I85" s="30">
        <f>IF($A85="","",DATE(YEAR($A85),MONTH($A85),1))</f>
        <v/>
      </c>
      <c r="J85" s="31">
        <f>IF($A85="","",IF(OR($B85="",$C85="",$F85="",$G85=""),"Preencher tudo",IF(COUNTIF(EtapaLista,$B85)=0,"Etapa inválida","OK")))</f>
        <v/>
      </c>
    </row>
    <row r="86" spans="1:10">
      <c r="A86" s="17"/>
      <c r="B86" s="15"/>
      <c r="C86" s="15"/>
      <c r="D86" s="15"/>
      <c r="E86" s="15"/>
      <c r="F86" s="16"/>
      <c r="G86" s="27"/>
      <c r="H86" s="17"/>
      <c r="I86" s="30">
        <f>IF($A86="","",DATE(YEAR($A86),MONTH($A86),1))</f>
        <v/>
      </c>
      <c r="J86" s="31">
        <f>IF($A86="","",IF(OR($B86="",$C86="",$F86="",$G86=""),"Preencher tudo",IF(COUNTIF(EtapaLista,$B86)=0,"Etapa inválida","OK")))</f>
        <v/>
      </c>
    </row>
    <row r="87" spans="1:10">
      <c r="A87" s="17"/>
      <c r="B87" s="15"/>
      <c r="C87" s="15"/>
      <c r="D87" s="15"/>
      <c r="E87" s="15"/>
      <c r="F87" s="16"/>
      <c r="G87" s="27"/>
      <c r="H87" s="17"/>
      <c r="I87" s="30">
        <f>IF($A87="","",DATE(YEAR($A87),MONTH($A87),1))</f>
        <v/>
      </c>
      <c r="J87" s="31">
        <f>IF($A87="","",IF(OR($B87="",$C87="",$F87="",$G87=""),"Preencher tudo",IF(COUNTIF(EtapaLista,$B87)=0,"Etapa inválida","OK")))</f>
        <v/>
      </c>
    </row>
    <row r="88" spans="1:10">
      <c r="A88" s="17"/>
      <c r="B88" s="15"/>
      <c r="C88" s="15"/>
      <c r="D88" s="15"/>
      <c r="E88" s="15"/>
      <c r="F88" s="16"/>
      <c r="G88" s="27"/>
      <c r="H88" s="17"/>
      <c r="I88" s="30">
        <f>IF($A88="","",DATE(YEAR($A88),MONTH($A88),1))</f>
        <v/>
      </c>
      <c r="J88" s="31">
        <f>IF($A88="","",IF(OR($B88="",$C88="",$F88="",$G88=""),"Preencher tudo",IF(COUNTIF(EtapaLista,$B88)=0,"Etapa inválida","OK")))</f>
        <v/>
      </c>
    </row>
    <row r="89" spans="1:10">
      <c r="A89" s="17"/>
      <c r="B89" s="15"/>
      <c r="C89" s="15"/>
      <c r="D89" s="15"/>
      <c r="E89" s="15"/>
      <c r="F89" s="16"/>
      <c r="G89" s="27"/>
      <c r="H89" s="17"/>
      <c r="I89" s="30">
        <f>IF($A89="","",DATE(YEAR($A89),MONTH($A89),1))</f>
        <v/>
      </c>
      <c r="J89" s="31">
        <f>IF($A89="","",IF(OR($B89="",$C89="",$F89="",$G89=""),"Preencher tudo",IF(COUNTIF(EtapaLista,$B89)=0,"Etapa inválida","OK")))</f>
        <v/>
      </c>
    </row>
    <row r="90" spans="1:10">
      <c r="A90" s="17"/>
      <c r="B90" s="15"/>
      <c r="C90" s="15"/>
      <c r="D90" s="15"/>
      <c r="E90" s="15"/>
      <c r="F90" s="16"/>
      <c r="G90" s="27"/>
      <c r="H90" s="17"/>
      <c r="I90" s="30">
        <f>IF($A90="","",DATE(YEAR($A90),MONTH($A90),1))</f>
        <v/>
      </c>
      <c r="J90" s="31">
        <f>IF($A90="","",IF(OR($B90="",$C90="",$F90="",$G90=""),"Preencher tudo",IF(COUNTIF(EtapaLista,$B90)=0,"Etapa inválida","OK")))</f>
        <v/>
      </c>
    </row>
    <row r="91" spans="1:10">
      <c r="A91" s="17"/>
      <c r="B91" s="15"/>
      <c r="C91" s="15"/>
      <c r="D91" s="15"/>
      <c r="E91" s="15"/>
      <c r="F91" s="16"/>
      <c r="G91" s="27"/>
      <c r="H91" s="17"/>
      <c r="I91" s="30">
        <f>IF($A91="","",DATE(YEAR($A91),MONTH($A91),1))</f>
        <v/>
      </c>
      <c r="J91" s="31">
        <f>IF($A91="","",IF(OR($B91="",$C91="",$F91="",$G91=""),"Preencher tudo",IF(COUNTIF(EtapaLista,$B91)=0,"Etapa inválida","OK")))</f>
        <v/>
      </c>
    </row>
    <row r="92" spans="1:10">
      <c r="A92" s="17"/>
      <c r="B92" s="15"/>
      <c r="C92" s="15"/>
      <c r="D92" s="15"/>
      <c r="E92" s="15"/>
      <c r="F92" s="16"/>
      <c r="G92" s="27"/>
      <c r="H92" s="17"/>
      <c r="I92" s="30">
        <f>IF($A92="","",DATE(YEAR($A92),MONTH($A92),1))</f>
        <v/>
      </c>
      <c r="J92" s="31">
        <f>IF($A92="","",IF(OR($B92="",$C92="",$F92="",$G92=""),"Preencher tudo",IF(COUNTIF(EtapaLista,$B92)=0,"Etapa inválida","OK")))</f>
        <v/>
      </c>
    </row>
    <row r="93" spans="1:10">
      <c r="A93" s="17"/>
      <c r="B93" s="15"/>
      <c r="C93" s="15"/>
      <c r="D93" s="15"/>
      <c r="E93" s="15"/>
      <c r="F93" s="16"/>
      <c r="G93" s="27"/>
      <c r="H93" s="17"/>
      <c r="I93" s="30">
        <f>IF($A93="","",DATE(YEAR($A93),MONTH($A93),1))</f>
        <v/>
      </c>
      <c r="J93" s="31">
        <f>IF($A93="","",IF(OR($B93="",$C93="",$F93="",$G93=""),"Preencher tudo",IF(COUNTIF(EtapaLista,$B93)=0,"Etapa inválida","OK")))</f>
        <v/>
      </c>
    </row>
    <row r="94" spans="1:10">
      <c r="A94" s="17"/>
      <c r="B94" s="15"/>
      <c r="C94" s="15"/>
      <c r="D94" s="15"/>
      <c r="E94" s="15"/>
      <c r="F94" s="16"/>
      <c r="G94" s="27"/>
      <c r="H94" s="17"/>
      <c r="I94" s="30">
        <f>IF($A94="","",DATE(YEAR($A94),MONTH($A94),1))</f>
        <v/>
      </c>
      <c r="J94" s="31">
        <f>IF($A94="","",IF(OR($B94="",$C94="",$F94="",$G94=""),"Preencher tudo",IF(COUNTIF(EtapaLista,$B94)=0,"Etapa inválida","OK")))</f>
        <v/>
      </c>
    </row>
    <row r="95" spans="1:10">
      <c r="A95" s="17"/>
      <c r="B95" s="15"/>
      <c r="C95" s="15"/>
      <c r="D95" s="15"/>
      <c r="E95" s="15"/>
      <c r="F95" s="16"/>
      <c r="G95" s="27"/>
      <c r="H95" s="17"/>
      <c r="I95" s="30">
        <f>IF($A95="","",DATE(YEAR($A95),MONTH($A95),1))</f>
        <v/>
      </c>
      <c r="J95" s="31">
        <f>IF($A95="","",IF(OR($B95="",$C95="",$F95="",$G95=""),"Preencher tudo",IF(COUNTIF(EtapaLista,$B95)=0,"Etapa inválida","OK")))</f>
        <v/>
      </c>
    </row>
    <row r="96" spans="1:10">
      <c r="A96" s="17"/>
      <c r="B96" s="15"/>
      <c r="C96" s="15"/>
      <c r="D96" s="15"/>
      <c r="E96" s="15"/>
      <c r="F96" s="16"/>
      <c r="G96" s="27"/>
      <c r="H96" s="17"/>
      <c r="I96" s="30">
        <f>IF($A96="","",DATE(YEAR($A96),MONTH($A96),1))</f>
        <v/>
      </c>
      <c r="J96" s="31">
        <f>IF($A96="","",IF(OR($B96="",$C96="",$F96="",$G96=""),"Preencher tudo",IF(COUNTIF(EtapaLista,$B96)=0,"Etapa inválida","OK")))</f>
        <v/>
      </c>
    </row>
    <row r="97" spans="1:10">
      <c r="A97" s="17"/>
      <c r="B97" s="15"/>
      <c r="C97" s="15"/>
      <c r="D97" s="15"/>
      <c r="E97" s="15"/>
      <c r="F97" s="16"/>
      <c r="G97" s="27"/>
      <c r="H97" s="17"/>
      <c r="I97" s="30">
        <f>IF($A97="","",DATE(YEAR($A97),MONTH($A97),1))</f>
        <v/>
      </c>
      <c r="J97" s="31">
        <f>IF($A97="","",IF(OR($B97="",$C97="",$F97="",$G97=""),"Preencher tudo",IF(COUNTIF(EtapaLista,$B97)=0,"Etapa inválida","OK")))</f>
        <v/>
      </c>
    </row>
    <row r="98" spans="1:10">
      <c r="A98" s="17"/>
      <c r="B98" s="15"/>
      <c r="C98" s="15"/>
      <c r="D98" s="15"/>
      <c r="E98" s="15"/>
      <c r="F98" s="16"/>
      <c r="G98" s="27"/>
      <c r="H98" s="17"/>
      <c r="I98" s="30">
        <f>IF($A98="","",DATE(YEAR($A98),MONTH($A98),1))</f>
        <v/>
      </c>
      <c r="J98" s="31">
        <f>IF($A98="","",IF(OR($B98="",$C98="",$F98="",$G98=""),"Preencher tudo",IF(COUNTIF(EtapaLista,$B98)=0,"Etapa inválida","OK")))</f>
        <v/>
      </c>
    </row>
    <row r="99" spans="1:10">
      <c r="A99" s="17"/>
      <c r="B99" s="15"/>
      <c r="C99" s="15"/>
      <c r="D99" s="15"/>
      <c r="E99" s="15"/>
      <c r="F99" s="16"/>
      <c r="G99" s="27"/>
      <c r="H99" s="17"/>
      <c r="I99" s="30">
        <f>IF($A99="","",DATE(YEAR($A99),MONTH($A99),1))</f>
        <v/>
      </c>
      <c r="J99" s="31">
        <f>IF($A99="","",IF(OR($B99="",$C99="",$F99="",$G99=""),"Preencher tudo",IF(COUNTIF(EtapaLista,$B99)=0,"Etapa inválida","OK")))</f>
        <v/>
      </c>
    </row>
    <row r="100" spans="1:10">
      <c r="A100" s="17"/>
      <c r="B100" s="15"/>
      <c r="C100" s="15"/>
      <c r="D100" s="15"/>
      <c r="E100" s="15"/>
      <c r="F100" s="16"/>
      <c r="G100" s="27"/>
      <c r="H100" s="17"/>
      <c r="I100" s="30">
        <f>IF($A100="","",DATE(YEAR($A100),MONTH($A100),1))</f>
        <v/>
      </c>
      <c r="J100" s="31">
        <f>IF($A100="","",IF(OR($B100="",$C100="",$F100="",$G100=""),"Preencher tudo",IF(COUNTIF(EtapaLista,$B100)=0,"Etapa inválida","OK")))</f>
        <v/>
      </c>
    </row>
    <row r="101" spans="1:10">
      <c r="A101" s="17"/>
      <c r="B101" s="15"/>
      <c r="C101" s="15"/>
      <c r="D101" s="15"/>
      <c r="E101" s="15"/>
      <c r="F101" s="16"/>
      <c r="G101" s="27"/>
      <c r="H101" s="17"/>
      <c r="I101" s="30">
        <f>IF($A101="","",DATE(YEAR($A101),MONTH($A101),1))</f>
        <v/>
      </c>
      <c r="J101" s="31">
        <f>IF($A101="","",IF(OR($B101="",$C101="",$F101="",$G101=""),"Preencher tudo",IF(COUNTIF(EtapaLista,$B101)=0,"Etapa inválida","OK")))</f>
        <v/>
      </c>
    </row>
    <row r="102" spans="1:10">
      <c r="A102" s="17"/>
      <c r="B102" s="15"/>
      <c r="C102" s="15"/>
      <c r="D102" s="15"/>
      <c r="E102" s="15"/>
      <c r="F102" s="16"/>
      <c r="G102" s="27"/>
      <c r="H102" s="17"/>
      <c r="I102" s="30">
        <f>IF($A102="","",DATE(YEAR($A102),MONTH($A102),1))</f>
        <v/>
      </c>
      <c r="J102" s="31">
        <f>IF($A102="","",IF(OR($B102="",$C102="",$F102="",$G102=""),"Preencher tudo",IF(COUNTIF(EtapaLista,$B102)=0,"Etapa inválida","OK")))</f>
        <v/>
      </c>
    </row>
    <row r="103" spans="1:10">
      <c r="A103" s="17"/>
      <c r="B103" s="15"/>
      <c r="C103" s="15"/>
      <c r="D103" s="15"/>
      <c r="E103" s="15"/>
      <c r="F103" s="16"/>
      <c r="G103" s="27"/>
      <c r="H103" s="17"/>
      <c r="I103" s="30">
        <f>IF($A103="","",DATE(YEAR($A103),MONTH($A103),1))</f>
        <v/>
      </c>
      <c r="J103" s="31">
        <f>IF($A103="","",IF(OR($B103="",$C103="",$F103="",$G103=""),"Preencher tudo",IF(COUNTIF(EtapaLista,$B103)=0,"Etapa inválida","OK")))</f>
        <v/>
      </c>
    </row>
    <row r="104" spans="1:10">
      <c r="A104" s="17"/>
      <c r="B104" s="15"/>
      <c r="C104" s="15"/>
      <c r="D104" s="15"/>
      <c r="E104" s="15"/>
      <c r="F104" s="16"/>
      <c r="G104" s="27"/>
      <c r="H104" s="17"/>
      <c r="I104" s="30">
        <f>IF($A104="","",DATE(YEAR($A104),MONTH($A104),1))</f>
        <v/>
      </c>
      <c r="J104" s="31">
        <f>IF($A104="","",IF(OR($B104="",$C104="",$F104="",$G104=""),"Preencher tudo",IF(COUNTIF(EtapaLista,$B104)=0,"Etapa inválida","OK")))</f>
        <v/>
      </c>
    </row>
    <row r="105" spans="1:10">
      <c r="A105" s="17"/>
      <c r="B105" s="15"/>
      <c r="C105" s="15"/>
      <c r="D105" s="15"/>
      <c r="E105" s="15"/>
      <c r="F105" s="16"/>
      <c r="G105" s="27"/>
      <c r="H105" s="17"/>
      <c r="I105" s="30">
        <f>IF($A105="","",DATE(YEAR($A105),MONTH($A105),1))</f>
        <v/>
      </c>
      <c r="J105" s="31">
        <f>IF($A105="","",IF(OR($B105="",$C105="",$F105="",$G105=""),"Preencher tudo",IF(COUNTIF(EtapaLista,$B105)=0,"Etapa inválida","OK")))</f>
        <v/>
      </c>
    </row>
    <row r="106" spans="1:10">
      <c r="A106" s="17"/>
      <c r="B106" s="15"/>
      <c r="C106" s="15"/>
      <c r="D106" s="15"/>
      <c r="E106" s="15"/>
      <c r="F106" s="16"/>
      <c r="G106" s="27"/>
      <c r="H106" s="17"/>
      <c r="I106" s="30">
        <f>IF($A106="","",DATE(YEAR($A106),MONTH($A106),1))</f>
        <v/>
      </c>
      <c r="J106" s="31">
        <f>IF($A106="","",IF(OR($B106="",$C106="",$F106="",$G106=""),"Preencher tudo",IF(COUNTIF(EtapaLista,$B106)=0,"Etapa inválida","OK")))</f>
        <v/>
      </c>
    </row>
    <row r="107" spans="1:10">
      <c r="A107" s="17"/>
      <c r="B107" s="15"/>
      <c r="C107" s="15"/>
      <c r="D107" s="15"/>
      <c r="E107" s="15"/>
      <c r="F107" s="16"/>
      <c r="G107" s="27"/>
      <c r="H107" s="17"/>
      <c r="I107" s="30">
        <f>IF($A107="","",DATE(YEAR($A107),MONTH($A107),1))</f>
        <v/>
      </c>
      <c r="J107" s="31">
        <f>IF($A107="","",IF(OR($B107="",$C107="",$F107="",$G107=""),"Preencher tudo",IF(COUNTIF(EtapaLista,$B107)=0,"Etapa inválida","OK")))</f>
        <v/>
      </c>
    </row>
    <row r="108" spans="1:10">
      <c r="A108" s="17"/>
      <c r="B108" s="15"/>
      <c r="C108" s="15"/>
      <c r="D108" s="15"/>
      <c r="E108" s="15"/>
      <c r="F108" s="16"/>
      <c r="G108" s="27"/>
      <c r="H108" s="17"/>
      <c r="I108" s="30">
        <f>IF($A108="","",DATE(YEAR($A108),MONTH($A108),1))</f>
        <v/>
      </c>
      <c r="J108" s="31">
        <f>IF($A108="","",IF(OR($B108="",$C108="",$F108="",$G108=""),"Preencher tudo",IF(COUNTIF(EtapaLista,$B108)=0,"Etapa inválida","OK")))</f>
        <v/>
      </c>
    </row>
    <row r="109" spans="1:10">
      <c r="A109" s="17"/>
      <c r="B109" s="15"/>
      <c r="C109" s="15"/>
      <c r="D109" s="15"/>
      <c r="E109" s="15"/>
      <c r="F109" s="16"/>
      <c r="G109" s="27"/>
      <c r="H109" s="17"/>
      <c r="I109" s="30">
        <f>IF($A109="","",DATE(YEAR($A109),MONTH($A109),1))</f>
        <v/>
      </c>
      <c r="J109" s="31">
        <f>IF($A109="","",IF(OR($B109="",$C109="",$F109="",$G109=""),"Preencher tudo",IF(COUNTIF(EtapaLista,$B109)=0,"Etapa inválida","OK")))</f>
        <v/>
      </c>
    </row>
    <row r="110" spans="1:10">
      <c r="A110" s="17"/>
      <c r="B110" s="15"/>
      <c r="C110" s="15"/>
      <c r="D110" s="15"/>
      <c r="E110" s="15"/>
      <c r="F110" s="16"/>
      <c r="G110" s="27"/>
      <c r="H110" s="17"/>
      <c r="I110" s="30">
        <f>IF($A110="","",DATE(YEAR($A110),MONTH($A110),1))</f>
        <v/>
      </c>
      <c r="J110" s="31">
        <f>IF($A110="","",IF(OR($B110="",$C110="",$F110="",$G110=""),"Preencher tudo",IF(COUNTIF(EtapaLista,$B110)=0,"Etapa inválida","OK")))</f>
        <v/>
      </c>
    </row>
    <row r="111" spans="1:10">
      <c r="A111" s="17"/>
      <c r="B111" s="15"/>
      <c r="C111" s="15"/>
      <c r="D111" s="15"/>
      <c r="E111" s="15"/>
      <c r="F111" s="16"/>
      <c r="G111" s="27"/>
      <c r="H111" s="17"/>
      <c r="I111" s="30">
        <f>IF($A111="","",DATE(YEAR($A111),MONTH($A111),1))</f>
        <v/>
      </c>
      <c r="J111" s="31">
        <f>IF($A111="","",IF(OR($B111="",$C111="",$F111="",$G111=""),"Preencher tudo",IF(COUNTIF(EtapaLista,$B111)=0,"Etapa inválida","OK")))</f>
        <v/>
      </c>
    </row>
    <row r="112" spans="1:10">
      <c r="A112" s="17"/>
      <c r="B112" s="15"/>
      <c r="C112" s="15"/>
      <c r="D112" s="15"/>
      <c r="E112" s="15"/>
      <c r="F112" s="16"/>
      <c r="G112" s="27"/>
      <c r="H112" s="17"/>
      <c r="I112" s="30">
        <f>IF($A112="","",DATE(YEAR($A112),MONTH($A112),1))</f>
        <v/>
      </c>
      <c r="J112" s="31">
        <f>IF($A112="","",IF(OR($B112="",$C112="",$F112="",$G112=""),"Preencher tudo",IF(COUNTIF(EtapaLista,$B112)=0,"Etapa inválida","OK")))</f>
        <v/>
      </c>
    </row>
    <row r="113" spans="1:10">
      <c r="A113" s="17"/>
      <c r="B113" s="15"/>
      <c r="C113" s="15"/>
      <c r="D113" s="15"/>
      <c r="E113" s="15"/>
      <c r="F113" s="16"/>
      <c r="G113" s="27"/>
      <c r="H113" s="17"/>
      <c r="I113" s="30">
        <f>IF($A113="","",DATE(YEAR($A113),MONTH($A113),1))</f>
        <v/>
      </c>
      <c r="J113" s="31">
        <f>IF($A113="","",IF(OR($B113="",$C113="",$F113="",$G113=""),"Preencher tudo",IF(COUNTIF(EtapaLista,$B113)=0,"Etapa inválida","OK")))</f>
        <v/>
      </c>
    </row>
    <row r="114" spans="1:10">
      <c r="A114" s="17"/>
      <c r="B114" s="15"/>
      <c r="C114" s="15"/>
      <c r="D114" s="15"/>
      <c r="E114" s="15"/>
      <c r="F114" s="16"/>
      <c r="G114" s="27"/>
      <c r="H114" s="17"/>
      <c r="I114" s="30">
        <f>IF($A114="","",DATE(YEAR($A114),MONTH($A114),1))</f>
        <v/>
      </c>
      <c r="J114" s="31">
        <f>IF($A114="","",IF(OR($B114="",$C114="",$F114="",$G114=""),"Preencher tudo",IF(COUNTIF(EtapaLista,$B114)=0,"Etapa inválida","OK")))</f>
        <v/>
      </c>
    </row>
    <row r="115" spans="1:10">
      <c r="A115" s="17"/>
      <c r="B115" s="15"/>
      <c r="C115" s="15"/>
      <c r="D115" s="15"/>
      <c r="E115" s="15"/>
      <c r="F115" s="16"/>
      <c r="G115" s="27"/>
      <c r="H115" s="17"/>
      <c r="I115" s="30">
        <f>IF($A115="","",DATE(YEAR($A115),MONTH($A115),1))</f>
        <v/>
      </c>
      <c r="J115" s="31">
        <f>IF($A115="","",IF(OR($B115="",$C115="",$F115="",$G115=""),"Preencher tudo",IF(COUNTIF(EtapaLista,$B115)=0,"Etapa inválida","OK")))</f>
        <v/>
      </c>
    </row>
    <row r="116" spans="1:10">
      <c r="A116" s="17"/>
      <c r="B116" s="15"/>
      <c r="C116" s="15"/>
      <c r="D116" s="15"/>
      <c r="E116" s="15"/>
      <c r="F116" s="16"/>
      <c r="G116" s="27"/>
      <c r="H116" s="17"/>
      <c r="I116" s="30">
        <f>IF($A116="","",DATE(YEAR($A116),MONTH($A116),1))</f>
        <v/>
      </c>
      <c r="J116" s="31">
        <f>IF($A116="","",IF(OR($B116="",$C116="",$F116="",$G116=""),"Preencher tudo",IF(COUNTIF(EtapaLista,$B116)=0,"Etapa inválida","OK")))</f>
        <v/>
      </c>
    </row>
    <row r="117" spans="1:10">
      <c r="A117" s="17"/>
      <c r="B117" s="15"/>
      <c r="C117" s="15"/>
      <c r="D117" s="15"/>
      <c r="E117" s="15"/>
      <c r="F117" s="16"/>
      <c r="G117" s="27"/>
      <c r="H117" s="17"/>
      <c r="I117" s="30">
        <f>IF($A117="","",DATE(YEAR($A117),MONTH($A117),1))</f>
        <v/>
      </c>
      <c r="J117" s="31">
        <f>IF($A117="","",IF(OR($B117="",$C117="",$F117="",$G117=""),"Preencher tudo",IF(COUNTIF(EtapaLista,$B117)=0,"Etapa inválida","OK")))</f>
        <v/>
      </c>
    </row>
    <row r="118" spans="1:10">
      <c r="A118" s="17"/>
      <c r="B118" s="15"/>
      <c r="C118" s="15"/>
      <c r="D118" s="15"/>
      <c r="E118" s="15"/>
      <c r="F118" s="16"/>
      <c r="G118" s="27"/>
      <c r="H118" s="17"/>
      <c r="I118" s="30">
        <f>IF($A118="","",DATE(YEAR($A118),MONTH($A118),1))</f>
        <v/>
      </c>
      <c r="J118" s="31">
        <f>IF($A118="","",IF(OR($B118="",$C118="",$F118="",$G118=""),"Preencher tudo",IF(COUNTIF(EtapaLista,$B118)=0,"Etapa inválida","OK")))</f>
        <v/>
      </c>
    </row>
    <row r="119" spans="1:10">
      <c r="A119" s="17"/>
      <c r="B119" s="15"/>
      <c r="C119" s="15"/>
      <c r="D119" s="15"/>
      <c r="E119" s="15"/>
      <c r="F119" s="16"/>
      <c r="G119" s="27"/>
      <c r="H119" s="17"/>
      <c r="I119" s="30">
        <f>IF($A119="","",DATE(YEAR($A119),MONTH($A119),1))</f>
        <v/>
      </c>
      <c r="J119" s="31">
        <f>IF($A119="","",IF(OR($B119="",$C119="",$F119="",$G119=""),"Preencher tudo",IF(COUNTIF(EtapaLista,$B119)=0,"Etapa inválida","OK")))</f>
        <v/>
      </c>
    </row>
    <row r="120" spans="1:10">
      <c r="A120" s="17"/>
      <c r="B120" s="15"/>
      <c r="C120" s="15"/>
      <c r="D120" s="15"/>
      <c r="E120" s="15"/>
      <c r="F120" s="16"/>
      <c r="G120" s="27"/>
      <c r="H120" s="17"/>
      <c r="I120" s="30">
        <f>IF($A120="","",DATE(YEAR($A120),MONTH($A120),1))</f>
        <v/>
      </c>
      <c r="J120" s="31">
        <f>IF($A120="","",IF(OR($B120="",$C120="",$F120="",$G120=""),"Preencher tudo",IF(COUNTIF(EtapaLista,$B120)=0,"Etapa inválida","OK")))</f>
        <v/>
      </c>
    </row>
    <row r="121" spans="1:10">
      <c r="A121" s="17"/>
      <c r="B121" s="15"/>
      <c r="C121" s="15"/>
      <c r="D121" s="15"/>
      <c r="E121" s="15"/>
      <c r="F121" s="16"/>
      <c r="G121" s="27"/>
      <c r="H121" s="17"/>
      <c r="I121" s="30">
        <f>IF($A121="","",DATE(YEAR($A121),MONTH($A121),1))</f>
        <v/>
      </c>
      <c r="J121" s="31">
        <f>IF($A121="","",IF(OR($B121="",$C121="",$F121="",$G121=""),"Preencher tudo",IF(COUNTIF(EtapaLista,$B121)=0,"Etapa inválida","OK")))</f>
        <v/>
      </c>
    </row>
    <row r="122" spans="1:10">
      <c r="A122" s="17"/>
      <c r="B122" s="15"/>
      <c r="C122" s="15"/>
      <c r="D122" s="15"/>
      <c r="E122" s="15"/>
      <c r="F122" s="16"/>
      <c r="G122" s="27"/>
      <c r="H122" s="17"/>
      <c r="I122" s="30">
        <f>IF($A122="","",DATE(YEAR($A122),MONTH($A122),1))</f>
        <v/>
      </c>
      <c r="J122" s="31">
        <f>IF($A122="","",IF(OR($B122="",$C122="",$F122="",$G122=""),"Preencher tudo",IF(COUNTIF(EtapaLista,$B122)=0,"Etapa inválida","OK")))</f>
        <v/>
      </c>
    </row>
    <row r="123" spans="1:10">
      <c r="A123" s="17"/>
      <c r="B123" s="15"/>
      <c r="C123" s="15"/>
      <c r="D123" s="15"/>
      <c r="E123" s="15"/>
      <c r="F123" s="16"/>
      <c r="G123" s="27"/>
      <c r="H123" s="17"/>
      <c r="I123" s="30">
        <f>IF($A123="","",DATE(YEAR($A123),MONTH($A123),1))</f>
        <v/>
      </c>
      <c r="J123" s="31">
        <f>IF($A123="","",IF(OR($B123="",$C123="",$F123="",$G123=""),"Preencher tudo",IF(COUNTIF(EtapaLista,$B123)=0,"Etapa inválida","OK")))</f>
        <v/>
      </c>
    </row>
    <row r="124" spans="1:10">
      <c r="A124" s="17"/>
      <c r="B124" s="15"/>
      <c r="C124" s="15"/>
      <c r="D124" s="15"/>
      <c r="E124" s="15"/>
      <c r="F124" s="16"/>
      <c r="G124" s="27"/>
      <c r="H124" s="17"/>
      <c r="I124" s="30">
        <f>IF($A124="","",DATE(YEAR($A124),MONTH($A124),1))</f>
        <v/>
      </c>
      <c r="J124" s="31">
        <f>IF($A124="","",IF(OR($B124="",$C124="",$F124="",$G124=""),"Preencher tudo",IF(COUNTIF(EtapaLista,$B124)=0,"Etapa inválida","OK")))</f>
        <v/>
      </c>
    </row>
    <row r="125" spans="1:10">
      <c r="A125" s="17"/>
      <c r="B125" s="15"/>
      <c r="C125" s="15"/>
      <c r="D125" s="15"/>
      <c r="E125" s="15"/>
      <c r="F125" s="16"/>
      <c r="G125" s="27"/>
      <c r="H125" s="17"/>
      <c r="I125" s="30">
        <f>IF($A125="","",DATE(YEAR($A125),MONTH($A125),1))</f>
        <v/>
      </c>
      <c r="J125" s="31">
        <f>IF($A125="","",IF(OR($B125="",$C125="",$F125="",$G125=""),"Preencher tudo",IF(COUNTIF(EtapaLista,$B125)=0,"Etapa inválida","OK")))</f>
        <v/>
      </c>
    </row>
    <row r="126" spans="1:10">
      <c r="A126" s="17"/>
      <c r="B126" s="15"/>
      <c r="C126" s="15"/>
      <c r="D126" s="15"/>
      <c r="E126" s="15"/>
      <c r="F126" s="16"/>
      <c r="G126" s="27"/>
      <c r="H126" s="17"/>
      <c r="I126" s="30">
        <f>IF($A126="","",DATE(YEAR($A126),MONTH($A126),1))</f>
        <v/>
      </c>
      <c r="J126" s="31">
        <f>IF($A126="","",IF(OR($B126="",$C126="",$F126="",$G126=""),"Preencher tudo",IF(COUNTIF(EtapaLista,$B126)=0,"Etapa inválida","OK")))</f>
        <v/>
      </c>
    </row>
    <row r="127" spans="1:10">
      <c r="A127" s="17"/>
      <c r="B127" s="15"/>
      <c r="C127" s="15"/>
      <c r="D127" s="15"/>
      <c r="E127" s="15"/>
      <c r="F127" s="16"/>
      <c r="G127" s="27"/>
      <c r="H127" s="17"/>
      <c r="I127" s="30">
        <f>IF($A127="","",DATE(YEAR($A127),MONTH($A127),1))</f>
        <v/>
      </c>
      <c r="J127" s="31">
        <f>IF($A127="","",IF(OR($B127="",$C127="",$F127="",$G127=""),"Preencher tudo",IF(COUNTIF(EtapaLista,$B127)=0,"Etapa inválida","OK")))</f>
        <v/>
      </c>
    </row>
    <row r="128" spans="1:10">
      <c r="A128" s="17"/>
      <c r="B128" s="15"/>
      <c r="C128" s="15"/>
      <c r="D128" s="15"/>
      <c r="E128" s="15"/>
      <c r="F128" s="16"/>
      <c r="G128" s="27"/>
      <c r="H128" s="17"/>
      <c r="I128" s="30">
        <f>IF($A128="","",DATE(YEAR($A128),MONTH($A128),1))</f>
        <v/>
      </c>
      <c r="J128" s="31">
        <f>IF($A128="","",IF(OR($B128="",$C128="",$F128="",$G128=""),"Preencher tudo",IF(COUNTIF(EtapaLista,$B128)=0,"Etapa inválida","OK")))</f>
        <v/>
      </c>
    </row>
    <row r="129" spans="1:10">
      <c r="A129" s="17"/>
      <c r="B129" s="15"/>
      <c r="C129" s="15"/>
      <c r="D129" s="15"/>
      <c r="E129" s="15"/>
      <c r="F129" s="16"/>
      <c r="G129" s="27"/>
      <c r="H129" s="17"/>
      <c r="I129" s="30">
        <f>IF($A129="","",DATE(YEAR($A129),MONTH($A129),1))</f>
        <v/>
      </c>
      <c r="J129" s="31">
        <f>IF($A129="","",IF(OR($B129="",$C129="",$F129="",$G129=""),"Preencher tudo",IF(COUNTIF(EtapaLista,$B129)=0,"Etapa inválida","OK")))</f>
        <v/>
      </c>
    </row>
    <row r="130" spans="1:10">
      <c r="A130" s="17"/>
      <c r="B130" s="15"/>
      <c r="C130" s="15"/>
      <c r="D130" s="15"/>
      <c r="E130" s="15"/>
      <c r="F130" s="16"/>
      <c r="G130" s="27"/>
      <c r="H130" s="17"/>
      <c r="I130" s="30">
        <f>IF($A130="","",DATE(YEAR($A130),MONTH($A130),1))</f>
        <v/>
      </c>
      <c r="J130" s="31">
        <f>IF($A130="","",IF(OR($B130="",$C130="",$F130="",$G130=""),"Preencher tudo",IF(COUNTIF(EtapaLista,$B130)=0,"Etapa inválida","OK")))</f>
        <v/>
      </c>
    </row>
    <row r="131" spans="1:10">
      <c r="A131" s="17"/>
      <c r="B131" s="15"/>
      <c r="C131" s="15"/>
      <c r="D131" s="15"/>
      <c r="E131" s="15"/>
      <c r="F131" s="16"/>
      <c r="G131" s="27"/>
      <c r="H131" s="17"/>
      <c r="I131" s="30">
        <f>IF($A131="","",DATE(YEAR($A131),MONTH($A131),1))</f>
        <v/>
      </c>
      <c r="J131" s="31">
        <f>IF($A131="","",IF(OR($B131="",$C131="",$F131="",$G131=""),"Preencher tudo",IF(COUNTIF(EtapaLista,$B131)=0,"Etapa inválida","OK")))</f>
        <v/>
      </c>
    </row>
    <row r="132" spans="1:10">
      <c r="A132" s="17"/>
      <c r="B132" s="15"/>
      <c r="C132" s="15"/>
      <c r="D132" s="15"/>
      <c r="E132" s="15"/>
      <c r="F132" s="16"/>
      <c r="G132" s="27"/>
      <c r="H132" s="17"/>
      <c r="I132" s="30">
        <f>IF($A132="","",DATE(YEAR($A132),MONTH($A132),1))</f>
        <v/>
      </c>
      <c r="J132" s="31">
        <f>IF($A132="","",IF(OR($B132="",$C132="",$F132="",$G132=""),"Preencher tudo",IF(COUNTIF(EtapaLista,$B132)=0,"Etapa inválida","OK")))</f>
        <v/>
      </c>
    </row>
    <row r="133" spans="1:10">
      <c r="A133" s="17"/>
      <c r="B133" s="15"/>
      <c r="C133" s="15"/>
      <c r="D133" s="15"/>
      <c r="E133" s="15"/>
      <c r="F133" s="16"/>
      <c r="G133" s="27"/>
      <c r="H133" s="17"/>
      <c r="I133" s="30">
        <f>IF($A133="","",DATE(YEAR($A133),MONTH($A133),1))</f>
        <v/>
      </c>
      <c r="J133" s="31">
        <f>IF($A133="","",IF(OR($B133="",$C133="",$F133="",$G133=""),"Preencher tudo",IF(COUNTIF(EtapaLista,$B133)=0,"Etapa inválida","OK")))</f>
        <v/>
      </c>
    </row>
    <row r="134" spans="1:10">
      <c r="A134" s="17"/>
      <c r="B134" s="15"/>
      <c r="C134" s="15"/>
      <c r="D134" s="15"/>
      <c r="E134" s="15"/>
      <c r="F134" s="16"/>
      <c r="G134" s="27"/>
      <c r="H134" s="17"/>
      <c r="I134" s="30">
        <f>IF($A134="","",DATE(YEAR($A134),MONTH($A134),1))</f>
        <v/>
      </c>
      <c r="J134" s="31">
        <f>IF($A134="","",IF(OR($B134="",$C134="",$F134="",$G134=""),"Preencher tudo",IF(COUNTIF(EtapaLista,$B134)=0,"Etapa inválida","OK")))</f>
        <v/>
      </c>
    </row>
    <row r="135" spans="1:10">
      <c r="A135" s="17"/>
      <c r="B135" s="15"/>
      <c r="C135" s="15"/>
      <c r="D135" s="15"/>
      <c r="E135" s="15"/>
      <c r="F135" s="16"/>
      <c r="G135" s="27"/>
      <c r="H135" s="17"/>
      <c r="I135" s="30">
        <f>IF($A135="","",DATE(YEAR($A135),MONTH($A135),1))</f>
        <v/>
      </c>
      <c r="J135" s="31">
        <f>IF($A135="","",IF(OR($B135="",$C135="",$F135="",$G135=""),"Preencher tudo",IF(COUNTIF(EtapaLista,$B135)=0,"Etapa inválida","OK")))</f>
        <v/>
      </c>
    </row>
    <row r="136" spans="1:10">
      <c r="A136" s="17"/>
      <c r="B136" s="15"/>
      <c r="C136" s="15"/>
      <c r="D136" s="15"/>
      <c r="E136" s="15"/>
      <c r="F136" s="16"/>
      <c r="G136" s="27"/>
      <c r="H136" s="17"/>
      <c r="I136" s="30">
        <f>IF($A136="","",DATE(YEAR($A136),MONTH($A136),1))</f>
        <v/>
      </c>
      <c r="J136" s="31">
        <f>IF($A136="","",IF(OR($B136="",$C136="",$F136="",$G136=""),"Preencher tudo",IF(COUNTIF(EtapaLista,$B136)=0,"Etapa inválida","OK")))</f>
        <v/>
      </c>
    </row>
    <row r="137" spans="1:10">
      <c r="A137" s="17"/>
      <c r="B137" s="15"/>
      <c r="C137" s="15"/>
      <c r="D137" s="15"/>
      <c r="E137" s="15"/>
      <c r="F137" s="16"/>
      <c r="G137" s="27"/>
      <c r="H137" s="17"/>
      <c r="I137" s="30">
        <f>IF($A137="","",DATE(YEAR($A137),MONTH($A137),1))</f>
        <v/>
      </c>
      <c r="J137" s="31">
        <f>IF($A137="","",IF(OR($B137="",$C137="",$F137="",$G137=""),"Preencher tudo",IF(COUNTIF(EtapaLista,$B137)=0,"Etapa inválida","OK")))</f>
        <v/>
      </c>
    </row>
    <row r="138" spans="1:10">
      <c r="A138" s="17"/>
      <c r="B138" s="15"/>
      <c r="C138" s="15"/>
      <c r="D138" s="15"/>
      <c r="E138" s="15"/>
      <c r="F138" s="16"/>
      <c r="G138" s="27"/>
      <c r="H138" s="17"/>
      <c r="I138" s="30">
        <f>IF($A138="","",DATE(YEAR($A138),MONTH($A138),1))</f>
        <v/>
      </c>
      <c r="J138" s="31">
        <f>IF($A138="","",IF(OR($B138="",$C138="",$F138="",$G138=""),"Preencher tudo",IF(COUNTIF(EtapaLista,$B138)=0,"Etapa inválida","OK")))</f>
        <v/>
      </c>
    </row>
    <row r="139" spans="1:10">
      <c r="A139" s="17"/>
      <c r="B139" s="15"/>
      <c r="C139" s="15"/>
      <c r="D139" s="15"/>
      <c r="E139" s="15"/>
      <c r="F139" s="16"/>
      <c r="G139" s="27"/>
      <c r="H139" s="17"/>
      <c r="I139" s="30">
        <f>IF($A139="","",DATE(YEAR($A139),MONTH($A139),1))</f>
        <v/>
      </c>
      <c r="J139" s="31">
        <f>IF($A139="","",IF(OR($B139="",$C139="",$F139="",$G139=""),"Preencher tudo",IF(COUNTIF(EtapaLista,$B139)=0,"Etapa inválida","OK")))</f>
        <v/>
      </c>
    </row>
    <row r="140" spans="1:10">
      <c r="A140" s="17"/>
      <c r="B140" s="15"/>
      <c r="C140" s="15"/>
      <c r="D140" s="15"/>
      <c r="E140" s="15"/>
      <c r="F140" s="16"/>
      <c r="G140" s="27"/>
      <c r="H140" s="17"/>
      <c r="I140" s="30">
        <f>IF($A140="","",DATE(YEAR($A140),MONTH($A140),1))</f>
        <v/>
      </c>
      <c r="J140" s="31">
        <f>IF($A140="","",IF(OR($B140="",$C140="",$F140="",$G140=""),"Preencher tudo",IF(COUNTIF(EtapaLista,$B140)=0,"Etapa inválida","OK")))</f>
        <v/>
      </c>
    </row>
    <row r="141" spans="1:10">
      <c r="A141" s="17"/>
      <c r="B141" s="15"/>
      <c r="C141" s="15"/>
      <c r="D141" s="15"/>
      <c r="E141" s="15"/>
      <c r="F141" s="16"/>
      <c r="G141" s="27"/>
      <c r="H141" s="17"/>
      <c r="I141" s="30">
        <f>IF($A141="","",DATE(YEAR($A141),MONTH($A141),1))</f>
        <v/>
      </c>
      <c r="J141" s="31">
        <f>IF($A141="","",IF(OR($B141="",$C141="",$F141="",$G141=""),"Preencher tudo",IF(COUNTIF(EtapaLista,$B141)=0,"Etapa inválida","OK")))</f>
        <v/>
      </c>
    </row>
    <row r="142" spans="1:10">
      <c r="A142" s="17"/>
      <c r="B142" s="15"/>
      <c r="C142" s="15"/>
      <c r="D142" s="15"/>
      <c r="E142" s="15"/>
      <c r="F142" s="16"/>
      <c r="G142" s="27"/>
      <c r="H142" s="17"/>
      <c r="I142" s="30">
        <f>IF($A142="","",DATE(YEAR($A142),MONTH($A142),1))</f>
        <v/>
      </c>
      <c r="J142" s="31">
        <f>IF($A142="","",IF(OR($B142="",$C142="",$F142="",$G142=""),"Preencher tudo",IF(COUNTIF(EtapaLista,$B142)=0,"Etapa inválida","OK")))</f>
        <v/>
      </c>
    </row>
    <row r="143" spans="1:10">
      <c r="A143" s="17"/>
      <c r="B143" s="15"/>
      <c r="C143" s="15"/>
      <c r="D143" s="15"/>
      <c r="E143" s="15"/>
      <c r="F143" s="16"/>
      <c r="G143" s="27"/>
      <c r="H143" s="17"/>
      <c r="I143" s="30">
        <f>IF($A143="","",DATE(YEAR($A143),MONTH($A143),1))</f>
        <v/>
      </c>
      <c r="J143" s="31">
        <f>IF($A143="","",IF(OR($B143="",$C143="",$F143="",$G143=""),"Preencher tudo",IF(COUNTIF(EtapaLista,$B143)=0,"Etapa inválida","OK")))</f>
        <v/>
      </c>
    </row>
    <row r="144" spans="1:10">
      <c r="A144" s="17"/>
      <c r="B144" s="15"/>
      <c r="C144" s="15"/>
      <c r="D144" s="15"/>
      <c r="E144" s="15"/>
      <c r="F144" s="16"/>
      <c r="G144" s="27"/>
      <c r="H144" s="17"/>
      <c r="I144" s="30">
        <f>IF($A144="","",DATE(YEAR($A144),MONTH($A144),1))</f>
        <v/>
      </c>
      <c r="J144" s="31">
        <f>IF($A144="","",IF(OR($B144="",$C144="",$F144="",$G144=""),"Preencher tudo",IF(COUNTIF(EtapaLista,$B144)=0,"Etapa inválida","OK")))</f>
        <v/>
      </c>
    </row>
    <row r="145" spans="1:10">
      <c r="A145" s="17"/>
      <c r="B145" s="15"/>
      <c r="C145" s="15"/>
      <c r="D145" s="15"/>
      <c r="E145" s="15"/>
      <c r="F145" s="16"/>
      <c r="G145" s="27"/>
      <c r="H145" s="17"/>
      <c r="I145" s="30">
        <f>IF($A145="","",DATE(YEAR($A145),MONTH($A145),1))</f>
        <v/>
      </c>
      <c r="J145" s="31">
        <f>IF($A145="","",IF(OR($B145="",$C145="",$F145="",$G145=""),"Preencher tudo",IF(COUNTIF(EtapaLista,$B145)=0,"Etapa inválida","OK")))</f>
        <v/>
      </c>
    </row>
    <row r="146" spans="1:10">
      <c r="A146" s="17"/>
      <c r="B146" s="15"/>
      <c r="C146" s="15"/>
      <c r="D146" s="15"/>
      <c r="E146" s="15"/>
      <c r="F146" s="16"/>
      <c r="G146" s="27"/>
      <c r="H146" s="17"/>
      <c r="I146" s="30">
        <f>IF($A146="","",DATE(YEAR($A146),MONTH($A146),1))</f>
        <v/>
      </c>
      <c r="J146" s="31">
        <f>IF($A146="","",IF(OR($B146="",$C146="",$F146="",$G146=""),"Preencher tudo",IF(COUNTIF(EtapaLista,$B146)=0,"Etapa inválida","OK")))</f>
        <v/>
      </c>
    </row>
    <row r="147" spans="1:10">
      <c r="A147" s="17"/>
      <c r="B147" s="15"/>
      <c r="C147" s="15"/>
      <c r="D147" s="15"/>
      <c r="E147" s="15"/>
      <c r="F147" s="16"/>
      <c r="G147" s="27"/>
      <c r="H147" s="17"/>
      <c r="I147" s="30">
        <f>IF($A147="","",DATE(YEAR($A147),MONTH($A147),1))</f>
        <v/>
      </c>
      <c r="J147" s="31">
        <f>IF($A147="","",IF(OR($B147="",$C147="",$F147="",$G147=""),"Preencher tudo",IF(COUNTIF(EtapaLista,$B147)=0,"Etapa inválida","OK")))</f>
        <v/>
      </c>
    </row>
    <row r="148" spans="1:10">
      <c r="A148" s="17"/>
      <c r="B148" s="15"/>
      <c r="C148" s="15"/>
      <c r="D148" s="15"/>
      <c r="E148" s="15"/>
      <c r="F148" s="16"/>
      <c r="G148" s="27"/>
      <c r="H148" s="17"/>
      <c r="I148" s="30">
        <f>IF($A148="","",DATE(YEAR($A148),MONTH($A148),1))</f>
        <v/>
      </c>
      <c r="J148" s="31">
        <f>IF($A148="","",IF(OR($B148="",$C148="",$F148="",$G148=""),"Preencher tudo",IF(COUNTIF(EtapaLista,$B148)=0,"Etapa inválida","OK")))</f>
        <v/>
      </c>
    </row>
    <row r="149" spans="1:10">
      <c r="A149" s="17"/>
      <c r="B149" s="15"/>
      <c r="C149" s="15"/>
      <c r="D149" s="15"/>
      <c r="E149" s="15"/>
      <c r="F149" s="16"/>
      <c r="G149" s="27"/>
      <c r="H149" s="17"/>
      <c r="I149" s="30">
        <f>IF($A149="","",DATE(YEAR($A149),MONTH($A149),1))</f>
        <v/>
      </c>
      <c r="J149" s="31">
        <f>IF($A149="","",IF(OR($B149="",$C149="",$F149="",$G149=""),"Preencher tudo",IF(COUNTIF(EtapaLista,$B149)=0,"Etapa inválida","OK")))</f>
        <v/>
      </c>
    </row>
    <row r="150" spans="1:10">
      <c r="A150" s="17"/>
      <c r="B150" s="15"/>
      <c r="C150" s="15"/>
      <c r="D150" s="15"/>
      <c r="E150" s="15"/>
      <c r="F150" s="16"/>
      <c r="G150" s="27"/>
      <c r="H150" s="17"/>
      <c r="I150" s="30">
        <f>IF($A150="","",DATE(YEAR($A150),MONTH($A150),1))</f>
        <v/>
      </c>
      <c r="J150" s="31">
        <f>IF($A150="","",IF(OR($B150="",$C150="",$F150="",$G150=""),"Preencher tudo",IF(COUNTIF(EtapaLista,$B150)=0,"Etapa inválida","OK")))</f>
        <v/>
      </c>
    </row>
    <row r="151" spans="1:10">
      <c r="A151" s="17"/>
      <c r="B151" s="15"/>
      <c r="C151" s="15"/>
      <c r="D151" s="15"/>
      <c r="E151" s="15"/>
      <c r="F151" s="16"/>
      <c r="G151" s="27"/>
      <c r="H151" s="17"/>
      <c r="I151" s="30">
        <f>IF($A151="","",DATE(YEAR($A151),MONTH($A151),1))</f>
        <v/>
      </c>
      <c r="J151" s="31">
        <f>IF($A151="","",IF(OR($B151="",$C151="",$F151="",$G151=""),"Preencher tudo",IF(COUNTIF(EtapaLista,$B151)=0,"Etapa inválida","OK")))</f>
        <v/>
      </c>
    </row>
    <row r="152" spans="1:10">
      <c r="A152" s="17"/>
      <c r="B152" s="15"/>
      <c r="C152" s="15"/>
      <c r="D152" s="15"/>
      <c r="E152" s="15"/>
      <c r="F152" s="16"/>
      <c r="G152" s="27"/>
      <c r="H152" s="17"/>
      <c r="I152" s="30">
        <f>IF($A152="","",DATE(YEAR($A152),MONTH($A152),1))</f>
        <v/>
      </c>
      <c r="J152" s="31">
        <f>IF($A152="","",IF(OR($B152="",$C152="",$F152="",$G152=""),"Preencher tudo",IF(COUNTIF(EtapaLista,$B152)=0,"Etapa inválida","OK")))</f>
        <v/>
      </c>
    </row>
    <row r="153" spans="1:10">
      <c r="A153" s="17"/>
      <c r="B153" s="15"/>
      <c r="C153" s="15"/>
      <c r="D153" s="15"/>
      <c r="E153" s="15"/>
      <c r="F153" s="16"/>
      <c r="G153" s="27"/>
      <c r="H153" s="17"/>
      <c r="I153" s="30">
        <f>IF($A153="","",DATE(YEAR($A153),MONTH($A153),1))</f>
        <v/>
      </c>
      <c r="J153" s="31">
        <f>IF($A153="","",IF(OR($B153="",$C153="",$F153="",$G153=""),"Preencher tudo",IF(COUNTIF(EtapaLista,$B153)=0,"Etapa inválida","OK")))</f>
        <v/>
      </c>
    </row>
    <row r="154" spans="1:10">
      <c r="A154" s="17"/>
      <c r="B154" s="15"/>
      <c r="C154" s="15"/>
      <c r="D154" s="15"/>
      <c r="E154" s="15"/>
      <c r="F154" s="16"/>
      <c r="G154" s="27"/>
      <c r="H154" s="17"/>
      <c r="I154" s="30">
        <f>IF($A154="","",DATE(YEAR($A154),MONTH($A154),1))</f>
        <v/>
      </c>
      <c r="J154" s="31">
        <f>IF($A154="","",IF(OR($B154="",$C154="",$F154="",$G154=""),"Preencher tudo",IF(COUNTIF(EtapaLista,$B154)=0,"Etapa inválida","OK")))</f>
        <v/>
      </c>
    </row>
    <row r="155" spans="1:10">
      <c r="A155" s="17"/>
      <c r="B155" s="15"/>
      <c r="C155" s="15"/>
      <c r="D155" s="15"/>
      <c r="E155" s="15"/>
      <c r="F155" s="16"/>
      <c r="G155" s="27"/>
      <c r="H155" s="17"/>
      <c r="I155" s="30">
        <f>IF($A155="","",DATE(YEAR($A155),MONTH($A155),1))</f>
        <v/>
      </c>
      <c r="J155" s="31">
        <f>IF($A155="","",IF(OR($B155="",$C155="",$F155="",$G155=""),"Preencher tudo",IF(COUNTIF(EtapaLista,$B155)=0,"Etapa inválida","OK")))</f>
        <v/>
      </c>
    </row>
    <row r="156" spans="1:10">
      <c r="A156" s="17"/>
      <c r="B156" s="15"/>
      <c r="C156" s="15"/>
      <c r="D156" s="15"/>
      <c r="E156" s="15"/>
      <c r="F156" s="16"/>
      <c r="G156" s="27"/>
      <c r="H156" s="17"/>
      <c r="I156" s="30">
        <f>IF($A156="","",DATE(YEAR($A156),MONTH($A156),1))</f>
        <v/>
      </c>
      <c r="J156" s="31">
        <f>IF($A156="","",IF(OR($B156="",$C156="",$F156="",$G156=""),"Preencher tudo",IF(COUNTIF(EtapaLista,$B156)=0,"Etapa inválida","OK")))</f>
        <v/>
      </c>
    </row>
    <row r="157" spans="1:10">
      <c r="A157" s="17"/>
      <c r="B157" s="15"/>
      <c r="C157" s="15"/>
      <c r="D157" s="15"/>
      <c r="E157" s="15"/>
      <c r="F157" s="16"/>
      <c r="G157" s="27"/>
      <c r="H157" s="17"/>
      <c r="I157" s="30">
        <f>IF($A157="","",DATE(YEAR($A157),MONTH($A157),1))</f>
        <v/>
      </c>
      <c r="J157" s="31">
        <f>IF($A157="","",IF(OR($B157="",$C157="",$F157="",$G157=""),"Preencher tudo",IF(COUNTIF(EtapaLista,$B157)=0,"Etapa inválida","OK")))</f>
        <v/>
      </c>
    </row>
    <row r="158" spans="1:10">
      <c r="A158" s="17"/>
      <c r="B158" s="15"/>
      <c r="C158" s="15"/>
      <c r="D158" s="15"/>
      <c r="E158" s="15"/>
      <c r="F158" s="16"/>
      <c r="G158" s="27"/>
      <c r="H158" s="17"/>
      <c r="I158" s="30">
        <f>IF($A158="","",DATE(YEAR($A158),MONTH($A158),1))</f>
        <v/>
      </c>
      <c r="J158" s="31">
        <f>IF($A158="","",IF(OR($B158="",$C158="",$F158="",$G158=""),"Preencher tudo",IF(COUNTIF(EtapaLista,$B158)=0,"Etapa inválida","OK")))</f>
        <v/>
      </c>
    </row>
    <row r="159" spans="1:10">
      <c r="A159" s="17"/>
      <c r="B159" s="15"/>
      <c r="C159" s="15"/>
      <c r="D159" s="15"/>
      <c r="E159" s="15"/>
      <c r="F159" s="16"/>
      <c r="G159" s="27"/>
      <c r="H159" s="17"/>
      <c r="I159" s="30">
        <f>IF($A159="","",DATE(YEAR($A159),MONTH($A159),1))</f>
        <v/>
      </c>
      <c r="J159" s="31">
        <f>IF($A159="","",IF(OR($B159="",$C159="",$F159="",$G159=""),"Preencher tudo",IF(COUNTIF(EtapaLista,$B159)=0,"Etapa inválida","OK")))</f>
        <v/>
      </c>
    </row>
    <row r="160" spans="1:10">
      <c r="A160" s="17"/>
      <c r="B160" s="15"/>
      <c r="C160" s="15"/>
      <c r="D160" s="15"/>
      <c r="E160" s="15"/>
      <c r="F160" s="16"/>
      <c r="G160" s="27"/>
      <c r="H160" s="17"/>
      <c r="I160" s="30">
        <f>IF($A160="","",DATE(YEAR($A160),MONTH($A160),1))</f>
        <v/>
      </c>
      <c r="J160" s="31">
        <f>IF($A160="","",IF(OR($B160="",$C160="",$F160="",$G160=""),"Preencher tudo",IF(COUNTIF(EtapaLista,$B160)=0,"Etapa inválida","OK")))</f>
        <v/>
      </c>
    </row>
    <row r="161" spans="1:10">
      <c r="A161" s="17"/>
      <c r="B161" s="15"/>
      <c r="C161" s="15"/>
      <c r="D161" s="15"/>
      <c r="E161" s="15"/>
      <c r="F161" s="16"/>
      <c r="G161" s="27"/>
      <c r="H161" s="17"/>
      <c r="I161" s="30">
        <f>IF($A161="","",DATE(YEAR($A161),MONTH($A161),1))</f>
        <v/>
      </c>
      <c r="J161" s="31">
        <f>IF($A161="","",IF(OR($B161="",$C161="",$F161="",$G161=""),"Preencher tudo",IF(COUNTIF(EtapaLista,$B161)=0,"Etapa inválida","OK")))</f>
        <v/>
      </c>
    </row>
    <row r="162" spans="1:10">
      <c r="A162" s="17"/>
      <c r="B162" s="15"/>
      <c r="C162" s="15"/>
      <c r="D162" s="15"/>
      <c r="E162" s="15"/>
      <c r="F162" s="16"/>
      <c r="G162" s="27"/>
      <c r="H162" s="17"/>
      <c r="I162" s="30">
        <f>IF($A162="","",DATE(YEAR($A162),MONTH($A162),1))</f>
        <v/>
      </c>
      <c r="J162" s="31">
        <f>IF($A162="","",IF(OR($B162="",$C162="",$F162="",$G162=""),"Preencher tudo",IF(COUNTIF(EtapaLista,$B162)=0,"Etapa inválida","OK")))</f>
        <v/>
      </c>
    </row>
    <row r="163" spans="1:10">
      <c r="A163" s="17"/>
      <c r="B163" s="15"/>
      <c r="C163" s="15"/>
      <c r="D163" s="15"/>
      <c r="E163" s="15"/>
      <c r="F163" s="16"/>
      <c r="G163" s="27"/>
      <c r="H163" s="17"/>
      <c r="I163" s="30">
        <f>IF($A163="","",DATE(YEAR($A163),MONTH($A163),1))</f>
        <v/>
      </c>
      <c r="J163" s="31">
        <f>IF($A163="","",IF(OR($B163="",$C163="",$F163="",$G163=""),"Preencher tudo",IF(COUNTIF(EtapaLista,$B163)=0,"Etapa inválida","OK")))</f>
        <v/>
      </c>
    </row>
    <row r="164" spans="1:10">
      <c r="A164" s="17"/>
      <c r="B164" s="15"/>
      <c r="C164" s="15"/>
      <c r="D164" s="15"/>
      <c r="E164" s="15"/>
      <c r="F164" s="16"/>
      <c r="G164" s="27"/>
      <c r="H164" s="17"/>
      <c r="I164" s="30">
        <f>IF($A164="","",DATE(YEAR($A164),MONTH($A164),1))</f>
        <v/>
      </c>
      <c r="J164" s="31">
        <f>IF($A164="","",IF(OR($B164="",$C164="",$F164="",$G164=""),"Preencher tudo",IF(COUNTIF(EtapaLista,$B164)=0,"Etapa inválida","OK")))</f>
        <v/>
      </c>
    </row>
    <row r="165" spans="1:10">
      <c r="A165" s="17"/>
      <c r="B165" s="15"/>
      <c r="C165" s="15"/>
      <c r="D165" s="15"/>
      <c r="E165" s="15"/>
      <c r="F165" s="16"/>
      <c r="G165" s="27"/>
      <c r="H165" s="17"/>
      <c r="I165" s="30">
        <f>IF($A165="","",DATE(YEAR($A165),MONTH($A165),1))</f>
        <v/>
      </c>
      <c r="J165" s="31">
        <f>IF($A165="","",IF(OR($B165="",$C165="",$F165="",$G165=""),"Preencher tudo",IF(COUNTIF(EtapaLista,$B165)=0,"Etapa inválida","OK")))</f>
        <v/>
      </c>
    </row>
    <row r="166" spans="1:10">
      <c r="A166" s="17"/>
      <c r="B166" s="15"/>
      <c r="C166" s="15"/>
      <c r="D166" s="15"/>
      <c r="E166" s="15"/>
      <c r="F166" s="16"/>
      <c r="G166" s="27"/>
      <c r="H166" s="17"/>
      <c r="I166" s="30">
        <f>IF($A166="","",DATE(YEAR($A166),MONTH($A166),1))</f>
        <v/>
      </c>
      <c r="J166" s="31">
        <f>IF($A166="","",IF(OR($B166="",$C166="",$F166="",$G166=""),"Preencher tudo",IF(COUNTIF(EtapaLista,$B166)=0,"Etapa inválida","OK")))</f>
        <v/>
      </c>
    </row>
    <row r="167" spans="1:10">
      <c r="A167" s="17"/>
      <c r="B167" s="15"/>
      <c r="C167" s="15"/>
      <c r="D167" s="15"/>
      <c r="E167" s="15"/>
      <c r="F167" s="16"/>
      <c r="G167" s="27"/>
      <c r="H167" s="17"/>
      <c r="I167" s="30">
        <f>IF($A167="","",DATE(YEAR($A167),MONTH($A167),1))</f>
        <v/>
      </c>
      <c r="J167" s="31">
        <f>IF($A167="","",IF(OR($B167="",$C167="",$F167="",$G167=""),"Preencher tudo",IF(COUNTIF(EtapaLista,$B167)=0,"Etapa inválida","OK")))</f>
        <v/>
      </c>
    </row>
    <row r="168" spans="1:10">
      <c r="A168" s="17"/>
      <c r="B168" s="15"/>
      <c r="C168" s="15"/>
      <c r="D168" s="15"/>
      <c r="E168" s="15"/>
      <c r="F168" s="16"/>
      <c r="G168" s="27"/>
      <c r="H168" s="17"/>
      <c r="I168" s="30">
        <f>IF($A168="","",DATE(YEAR($A168),MONTH($A168),1))</f>
        <v/>
      </c>
      <c r="J168" s="31">
        <f>IF($A168="","",IF(OR($B168="",$C168="",$F168="",$G168=""),"Preencher tudo",IF(COUNTIF(EtapaLista,$B168)=0,"Etapa inválida","OK")))</f>
        <v/>
      </c>
    </row>
    <row r="169" spans="1:10">
      <c r="A169" s="17"/>
      <c r="B169" s="15"/>
      <c r="C169" s="15"/>
      <c r="D169" s="15"/>
      <c r="E169" s="15"/>
      <c r="F169" s="16"/>
      <c r="G169" s="27"/>
      <c r="H169" s="17"/>
      <c r="I169" s="30">
        <f>IF($A169="","",DATE(YEAR($A169),MONTH($A169),1))</f>
        <v/>
      </c>
      <c r="J169" s="31">
        <f>IF($A169="","",IF(OR($B169="",$C169="",$F169="",$G169=""),"Preencher tudo",IF(COUNTIF(EtapaLista,$B169)=0,"Etapa inválida","OK")))</f>
        <v/>
      </c>
    </row>
    <row r="170" spans="1:10">
      <c r="A170" s="17"/>
      <c r="B170" s="15"/>
      <c r="C170" s="15"/>
      <c r="D170" s="15"/>
      <c r="E170" s="15"/>
      <c r="F170" s="16"/>
      <c r="G170" s="27"/>
      <c r="H170" s="17"/>
      <c r="I170" s="30">
        <f>IF($A170="","",DATE(YEAR($A170),MONTH($A170),1))</f>
        <v/>
      </c>
      <c r="J170" s="31">
        <f>IF($A170="","",IF(OR($B170="",$C170="",$F170="",$G170=""),"Preencher tudo",IF(COUNTIF(EtapaLista,$B170)=0,"Etapa inválida","OK")))</f>
        <v/>
      </c>
    </row>
    <row r="171" spans="1:10">
      <c r="A171" s="17"/>
      <c r="B171" s="15"/>
      <c r="C171" s="15"/>
      <c r="D171" s="15"/>
      <c r="E171" s="15"/>
      <c r="F171" s="16"/>
      <c r="G171" s="27"/>
      <c r="H171" s="17"/>
      <c r="I171" s="30">
        <f>IF($A171="","",DATE(YEAR($A171),MONTH($A171),1))</f>
        <v/>
      </c>
      <c r="J171" s="31">
        <f>IF($A171="","",IF(OR($B171="",$C171="",$F171="",$G171=""),"Preencher tudo",IF(COUNTIF(EtapaLista,$B171)=0,"Etapa inválida","OK")))</f>
        <v/>
      </c>
    </row>
    <row r="172" spans="1:10">
      <c r="A172" s="17"/>
      <c r="B172" s="15"/>
      <c r="C172" s="15"/>
      <c r="D172" s="15"/>
      <c r="E172" s="15"/>
      <c r="F172" s="16"/>
      <c r="G172" s="27"/>
      <c r="H172" s="17"/>
      <c r="I172" s="30">
        <f>IF($A172="","",DATE(YEAR($A172),MONTH($A172),1))</f>
        <v/>
      </c>
      <c r="J172" s="31">
        <f>IF($A172="","",IF(OR($B172="",$C172="",$F172="",$G172=""),"Preencher tudo",IF(COUNTIF(EtapaLista,$B172)=0,"Etapa inválida","OK")))</f>
        <v/>
      </c>
    </row>
    <row r="173" spans="1:10">
      <c r="A173" s="17"/>
      <c r="B173" s="15"/>
      <c r="C173" s="15"/>
      <c r="D173" s="15"/>
      <c r="E173" s="15"/>
      <c r="F173" s="16"/>
      <c r="G173" s="27"/>
      <c r="H173" s="17"/>
      <c r="I173" s="30">
        <f>IF($A173="","",DATE(YEAR($A173),MONTH($A173),1))</f>
        <v/>
      </c>
      <c r="J173" s="31">
        <f>IF($A173="","",IF(OR($B173="",$C173="",$F173="",$G173=""),"Preencher tudo",IF(COUNTIF(EtapaLista,$B173)=0,"Etapa inválida","OK")))</f>
        <v/>
      </c>
    </row>
    <row r="174" spans="1:10">
      <c r="A174" s="17"/>
      <c r="B174" s="15"/>
      <c r="C174" s="15"/>
      <c r="D174" s="15"/>
      <c r="E174" s="15"/>
      <c r="F174" s="16"/>
      <c r="G174" s="27"/>
      <c r="H174" s="17"/>
      <c r="I174" s="30">
        <f>IF($A174="","",DATE(YEAR($A174),MONTH($A174),1))</f>
        <v/>
      </c>
      <c r="J174" s="31">
        <f>IF($A174="","",IF(OR($B174="",$C174="",$F174="",$G174=""),"Preencher tudo",IF(COUNTIF(EtapaLista,$B174)=0,"Etapa inválida","OK")))</f>
        <v/>
      </c>
    </row>
    <row r="175" spans="1:10">
      <c r="A175" s="17"/>
      <c r="B175" s="15"/>
      <c r="C175" s="15"/>
      <c r="D175" s="15"/>
      <c r="E175" s="15"/>
      <c r="F175" s="16"/>
      <c r="G175" s="27"/>
      <c r="H175" s="17"/>
      <c r="I175" s="30">
        <f>IF($A175="","",DATE(YEAR($A175),MONTH($A175),1))</f>
        <v/>
      </c>
      <c r="J175" s="31">
        <f>IF($A175="","",IF(OR($B175="",$C175="",$F175="",$G175=""),"Preencher tudo",IF(COUNTIF(EtapaLista,$B175)=0,"Etapa inválida","OK")))</f>
        <v/>
      </c>
    </row>
    <row r="176" spans="1:10">
      <c r="A176" s="17"/>
      <c r="B176" s="15"/>
      <c r="C176" s="15"/>
      <c r="D176" s="15"/>
      <c r="E176" s="15"/>
      <c r="F176" s="16"/>
      <c r="G176" s="27"/>
      <c r="H176" s="17"/>
      <c r="I176" s="30">
        <f>IF($A176="","",DATE(YEAR($A176),MONTH($A176),1))</f>
        <v/>
      </c>
      <c r="J176" s="31">
        <f>IF($A176="","",IF(OR($B176="",$C176="",$F176="",$G176=""),"Preencher tudo",IF(COUNTIF(EtapaLista,$B176)=0,"Etapa inválida","OK")))</f>
        <v/>
      </c>
    </row>
    <row r="177" spans="1:10">
      <c r="A177" s="17"/>
      <c r="B177" s="15"/>
      <c r="C177" s="15"/>
      <c r="D177" s="15"/>
      <c r="E177" s="15"/>
      <c r="F177" s="16"/>
      <c r="G177" s="27"/>
      <c r="H177" s="17"/>
      <c r="I177" s="30">
        <f>IF($A177="","",DATE(YEAR($A177),MONTH($A177),1))</f>
        <v/>
      </c>
      <c r="J177" s="31">
        <f>IF($A177="","",IF(OR($B177="",$C177="",$F177="",$G177=""),"Preencher tudo",IF(COUNTIF(EtapaLista,$B177)=0,"Etapa inválida","OK")))</f>
        <v/>
      </c>
    </row>
    <row r="178" spans="1:10">
      <c r="A178" s="17"/>
      <c r="B178" s="15"/>
      <c r="C178" s="15"/>
      <c r="D178" s="15"/>
      <c r="E178" s="15"/>
      <c r="F178" s="16"/>
      <c r="G178" s="27"/>
      <c r="H178" s="17"/>
      <c r="I178" s="30">
        <f>IF($A178="","",DATE(YEAR($A178),MONTH($A178),1))</f>
        <v/>
      </c>
      <c r="J178" s="31">
        <f>IF($A178="","",IF(OR($B178="",$C178="",$F178="",$G178=""),"Preencher tudo",IF(COUNTIF(EtapaLista,$B178)=0,"Etapa inválida","OK")))</f>
        <v/>
      </c>
    </row>
    <row r="179" spans="1:10">
      <c r="A179" s="17"/>
      <c r="B179" s="15"/>
      <c r="C179" s="15"/>
      <c r="D179" s="15"/>
      <c r="E179" s="15"/>
      <c r="F179" s="16"/>
      <c r="G179" s="27"/>
      <c r="H179" s="17"/>
      <c r="I179" s="30">
        <f>IF($A179="","",DATE(YEAR($A179),MONTH($A179),1))</f>
        <v/>
      </c>
      <c r="J179" s="31">
        <f>IF($A179="","",IF(OR($B179="",$C179="",$F179="",$G179=""),"Preencher tudo",IF(COUNTIF(EtapaLista,$B179)=0,"Etapa inválida","OK")))</f>
        <v/>
      </c>
    </row>
    <row r="180" spans="1:10">
      <c r="A180" s="17"/>
      <c r="B180" s="15"/>
      <c r="C180" s="15"/>
      <c r="D180" s="15"/>
      <c r="E180" s="15"/>
      <c r="F180" s="16"/>
      <c r="G180" s="27"/>
      <c r="H180" s="17"/>
      <c r="I180" s="30">
        <f>IF($A180="","",DATE(YEAR($A180),MONTH($A180),1))</f>
        <v/>
      </c>
      <c r="J180" s="31">
        <f>IF($A180="","",IF(OR($B180="",$C180="",$F180="",$G180=""),"Preencher tudo",IF(COUNTIF(EtapaLista,$B180)=0,"Etapa inválida","OK")))</f>
        <v/>
      </c>
    </row>
    <row r="181" spans="1:10">
      <c r="A181" s="17"/>
      <c r="B181" s="15"/>
      <c r="C181" s="15"/>
      <c r="D181" s="15"/>
      <c r="E181" s="15"/>
      <c r="F181" s="16"/>
      <c r="G181" s="27"/>
      <c r="H181" s="17"/>
      <c r="I181" s="30">
        <f>IF($A181="","",DATE(YEAR($A181),MONTH($A181),1))</f>
        <v/>
      </c>
      <c r="J181" s="31">
        <f>IF($A181="","",IF(OR($B181="",$C181="",$F181="",$G181=""),"Preencher tudo",IF(COUNTIF(EtapaLista,$B181)=0,"Etapa inválida","OK")))</f>
        <v/>
      </c>
    </row>
    <row r="182" spans="1:10">
      <c r="A182" s="17"/>
      <c r="B182" s="15"/>
      <c r="C182" s="15"/>
      <c r="D182" s="15"/>
      <c r="E182" s="15"/>
      <c r="F182" s="16"/>
      <c r="G182" s="27"/>
      <c r="H182" s="17"/>
      <c r="I182" s="30">
        <f>IF($A182="","",DATE(YEAR($A182),MONTH($A182),1))</f>
        <v/>
      </c>
      <c r="J182" s="31">
        <f>IF($A182="","",IF(OR($B182="",$C182="",$F182="",$G182=""),"Preencher tudo",IF(COUNTIF(EtapaLista,$B182)=0,"Etapa inválida","OK")))</f>
        <v/>
      </c>
    </row>
    <row r="183" spans="1:10">
      <c r="A183" s="17"/>
      <c r="B183" s="15"/>
      <c r="C183" s="15"/>
      <c r="D183" s="15"/>
      <c r="E183" s="15"/>
      <c r="F183" s="16"/>
      <c r="G183" s="27"/>
      <c r="H183" s="17"/>
      <c r="I183" s="30">
        <f>IF($A183="","",DATE(YEAR($A183),MONTH($A183),1))</f>
        <v/>
      </c>
      <c r="J183" s="31">
        <f>IF($A183="","",IF(OR($B183="",$C183="",$F183="",$G183=""),"Preencher tudo",IF(COUNTIF(EtapaLista,$B183)=0,"Etapa inválida","OK")))</f>
        <v/>
      </c>
    </row>
    <row r="184" spans="1:10">
      <c r="A184" s="17"/>
      <c r="B184" s="15"/>
      <c r="C184" s="15"/>
      <c r="D184" s="15"/>
      <c r="E184" s="15"/>
      <c r="F184" s="16"/>
      <c r="G184" s="27"/>
      <c r="H184" s="17"/>
      <c r="I184" s="30">
        <f>IF($A184="","",DATE(YEAR($A184),MONTH($A184),1))</f>
        <v/>
      </c>
      <c r="J184" s="31">
        <f>IF($A184="","",IF(OR($B184="",$C184="",$F184="",$G184=""),"Preencher tudo",IF(COUNTIF(EtapaLista,$B184)=0,"Etapa inválida","OK")))</f>
        <v/>
      </c>
    </row>
    <row r="185" spans="1:10">
      <c r="A185" s="17"/>
      <c r="B185" s="15"/>
      <c r="C185" s="15"/>
      <c r="D185" s="15"/>
      <c r="E185" s="15"/>
      <c r="F185" s="16"/>
      <c r="G185" s="27"/>
      <c r="H185" s="17"/>
      <c r="I185" s="30">
        <f>IF($A185="","",DATE(YEAR($A185),MONTH($A185),1))</f>
        <v/>
      </c>
      <c r="J185" s="31">
        <f>IF($A185="","",IF(OR($B185="",$C185="",$F185="",$G185=""),"Preencher tudo",IF(COUNTIF(EtapaLista,$B185)=0,"Etapa inválida","OK")))</f>
        <v/>
      </c>
    </row>
    <row r="186" spans="1:10">
      <c r="A186" s="17"/>
      <c r="B186" s="15"/>
      <c r="C186" s="15"/>
      <c r="D186" s="15"/>
      <c r="E186" s="15"/>
      <c r="F186" s="16"/>
      <c r="G186" s="27"/>
      <c r="H186" s="17"/>
      <c r="I186" s="30">
        <f>IF($A186="","",DATE(YEAR($A186),MONTH($A186),1))</f>
        <v/>
      </c>
      <c r="J186" s="31">
        <f>IF($A186="","",IF(OR($B186="",$C186="",$F186="",$G186=""),"Preencher tudo",IF(COUNTIF(EtapaLista,$B186)=0,"Etapa inválida","OK")))</f>
        <v/>
      </c>
    </row>
    <row r="187" spans="1:10">
      <c r="A187" s="17"/>
      <c r="B187" s="15"/>
      <c r="C187" s="15"/>
      <c r="D187" s="15"/>
      <c r="E187" s="15"/>
      <c r="F187" s="16"/>
      <c r="G187" s="27"/>
      <c r="H187" s="17"/>
      <c r="I187" s="30">
        <f>IF($A187="","",DATE(YEAR($A187),MONTH($A187),1))</f>
        <v/>
      </c>
      <c r="J187" s="31">
        <f>IF($A187="","",IF(OR($B187="",$C187="",$F187="",$G187=""),"Preencher tudo",IF(COUNTIF(EtapaLista,$B187)=0,"Etapa inválida","OK")))</f>
        <v/>
      </c>
    </row>
    <row r="188" spans="1:10">
      <c r="A188" s="17"/>
      <c r="B188" s="15"/>
      <c r="C188" s="15"/>
      <c r="D188" s="15"/>
      <c r="E188" s="15"/>
      <c r="F188" s="16"/>
      <c r="G188" s="27"/>
      <c r="H188" s="17"/>
      <c r="I188" s="30">
        <f>IF($A188="","",DATE(YEAR($A188),MONTH($A188),1))</f>
        <v/>
      </c>
      <c r="J188" s="31">
        <f>IF($A188="","",IF(OR($B188="",$C188="",$F188="",$G188=""),"Preencher tudo",IF(COUNTIF(EtapaLista,$B188)=0,"Etapa inválida","OK")))</f>
        <v/>
      </c>
    </row>
    <row r="189" spans="1:10">
      <c r="A189" s="17"/>
      <c r="B189" s="15"/>
      <c r="C189" s="15"/>
      <c r="D189" s="15"/>
      <c r="E189" s="15"/>
      <c r="F189" s="16"/>
      <c r="G189" s="27"/>
      <c r="H189" s="17"/>
      <c r="I189" s="30">
        <f>IF($A189="","",DATE(YEAR($A189),MONTH($A189),1))</f>
        <v/>
      </c>
      <c r="J189" s="31">
        <f>IF($A189="","",IF(OR($B189="",$C189="",$F189="",$G189=""),"Preencher tudo",IF(COUNTIF(EtapaLista,$B189)=0,"Etapa inválida","OK")))</f>
        <v/>
      </c>
    </row>
    <row r="190" spans="1:10">
      <c r="A190" s="17"/>
      <c r="B190" s="15"/>
      <c r="C190" s="15"/>
      <c r="D190" s="15"/>
      <c r="E190" s="15"/>
      <c r="F190" s="16"/>
      <c r="G190" s="27"/>
      <c r="H190" s="17"/>
      <c r="I190" s="30">
        <f>IF($A190="","",DATE(YEAR($A190),MONTH($A190),1))</f>
        <v/>
      </c>
      <c r="J190" s="31">
        <f>IF($A190="","",IF(OR($B190="",$C190="",$F190="",$G190=""),"Preencher tudo",IF(COUNTIF(EtapaLista,$B190)=0,"Etapa inválida","OK")))</f>
        <v/>
      </c>
    </row>
    <row r="191" spans="1:10">
      <c r="A191" s="17"/>
      <c r="B191" s="15"/>
      <c r="C191" s="15"/>
      <c r="D191" s="15"/>
      <c r="E191" s="15"/>
      <c r="F191" s="16"/>
      <c r="G191" s="27"/>
      <c r="H191" s="17"/>
      <c r="I191" s="30">
        <f>IF($A191="","",DATE(YEAR($A191),MONTH($A191),1))</f>
        <v/>
      </c>
      <c r="J191" s="31">
        <f>IF($A191="","",IF(OR($B191="",$C191="",$F191="",$G191=""),"Preencher tudo",IF(COUNTIF(EtapaLista,$B191)=0,"Etapa inválida","OK")))</f>
        <v/>
      </c>
    </row>
    <row r="192" spans="1:10">
      <c r="A192" s="17"/>
      <c r="B192" s="15"/>
      <c r="C192" s="15"/>
      <c r="D192" s="15"/>
      <c r="E192" s="15"/>
      <c r="F192" s="16"/>
      <c r="G192" s="27"/>
      <c r="H192" s="17"/>
      <c r="I192" s="30">
        <f>IF($A192="","",DATE(YEAR($A192),MONTH($A192),1))</f>
        <v/>
      </c>
      <c r="J192" s="31">
        <f>IF($A192="","",IF(OR($B192="",$C192="",$F192="",$G192=""),"Preencher tudo",IF(COUNTIF(EtapaLista,$B192)=0,"Etapa inválida","OK")))</f>
        <v/>
      </c>
    </row>
    <row r="193" spans="1:10">
      <c r="A193" s="17"/>
      <c r="B193" s="15"/>
      <c r="C193" s="15"/>
      <c r="D193" s="15"/>
      <c r="E193" s="15"/>
      <c r="F193" s="16"/>
      <c r="G193" s="27"/>
      <c r="H193" s="17"/>
      <c r="I193" s="30">
        <f>IF($A193="","",DATE(YEAR($A193),MONTH($A193),1))</f>
        <v/>
      </c>
      <c r="J193" s="31">
        <f>IF($A193="","",IF(OR($B193="",$C193="",$F193="",$G193=""),"Preencher tudo",IF(COUNTIF(EtapaLista,$B193)=0,"Etapa inválida","OK")))</f>
        <v/>
      </c>
    </row>
    <row r="194" spans="1:10">
      <c r="A194" s="17"/>
      <c r="B194" s="15"/>
      <c r="C194" s="15"/>
      <c r="D194" s="15"/>
      <c r="E194" s="15"/>
      <c r="F194" s="16"/>
      <c r="G194" s="27"/>
      <c r="H194" s="17"/>
      <c r="I194" s="30">
        <f>IF($A194="","",DATE(YEAR($A194),MONTH($A194),1))</f>
        <v/>
      </c>
      <c r="J194" s="31">
        <f>IF($A194="","",IF(OR($B194="",$C194="",$F194="",$G194=""),"Preencher tudo",IF(COUNTIF(EtapaLista,$B194)=0,"Etapa inválida","OK")))</f>
        <v/>
      </c>
    </row>
    <row r="195" spans="1:10">
      <c r="A195" s="17"/>
      <c r="B195" s="15"/>
      <c r="C195" s="15"/>
      <c r="D195" s="15"/>
      <c r="E195" s="15"/>
      <c r="F195" s="16"/>
      <c r="G195" s="27"/>
      <c r="H195" s="17"/>
      <c r="I195" s="30">
        <f>IF($A195="","",DATE(YEAR($A195),MONTH($A195),1))</f>
        <v/>
      </c>
      <c r="J195" s="31">
        <f>IF($A195="","",IF(OR($B195="",$C195="",$F195="",$G195=""),"Preencher tudo",IF(COUNTIF(EtapaLista,$B195)=0,"Etapa inválida","OK")))</f>
        <v/>
      </c>
    </row>
    <row r="196" spans="1:10">
      <c r="A196" s="17"/>
      <c r="B196" s="15"/>
      <c r="C196" s="15"/>
      <c r="D196" s="15"/>
      <c r="E196" s="15"/>
      <c r="F196" s="16"/>
      <c r="G196" s="27"/>
      <c r="H196" s="17"/>
      <c r="I196" s="30">
        <f>IF($A196="","",DATE(YEAR($A196),MONTH($A196),1))</f>
        <v/>
      </c>
      <c r="J196" s="31">
        <f>IF($A196="","",IF(OR($B196="",$C196="",$F196="",$G196=""),"Preencher tudo",IF(COUNTIF(EtapaLista,$B196)=0,"Etapa inválida","OK")))</f>
        <v/>
      </c>
    </row>
    <row r="197" spans="1:10">
      <c r="A197" s="17"/>
      <c r="B197" s="15"/>
      <c r="C197" s="15"/>
      <c r="D197" s="15"/>
      <c r="E197" s="15"/>
      <c r="F197" s="16"/>
      <c r="G197" s="27"/>
      <c r="H197" s="17"/>
      <c r="I197" s="30">
        <f>IF($A197="","",DATE(YEAR($A197),MONTH($A197),1))</f>
        <v/>
      </c>
      <c r="J197" s="31">
        <f>IF($A197="","",IF(OR($B197="",$C197="",$F197="",$G197=""),"Preencher tudo",IF(COUNTIF(EtapaLista,$B197)=0,"Etapa inválida","OK")))</f>
        <v/>
      </c>
    </row>
    <row r="198" spans="1:10">
      <c r="A198" s="17"/>
      <c r="B198" s="15"/>
      <c r="C198" s="15"/>
      <c r="D198" s="15"/>
      <c r="E198" s="15"/>
      <c r="F198" s="16"/>
      <c r="G198" s="27"/>
      <c r="H198" s="17"/>
      <c r="I198" s="30">
        <f>IF($A198="","",DATE(YEAR($A198),MONTH($A198),1))</f>
        <v/>
      </c>
      <c r="J198" s="31">
        <f>IF($A198="","",IF(OR($B198="",$C198="",$F198="",$G198=""),"Preencher tudo",IF(COUNTIF(EtapaLista,$B198)=0,"Etapa inválida","OK")))</f>
        <v/>
      </c>
    </row>
    <row r="199" spans="1:10">
      <c r="A199" s="17"/>
      <c r="B199" s="15"/>
      <c r="C199" s="15"/>
      <c r="D199" s="15"/>
      <c r="E199" s="15"/>
      <c r="F199" s="16"/>
      <c r="G199" s="27"/>
      <c r="H199" s="17"/>
      <c r="I199" s="30">
        <f>IF($A199="","",DATE(YEAR($A199),MONTH($A199),1))</f>
        <v/>
      </c>
      <c r="J199" s="31">
        <f>IF($A199="","",IF(OR($B199="",$C199="",$F199="",$G199=""),"Preencher tudo",IF(COUNTIF(EtapaLista,$B199)=0,"Etapa inválida","OK")))</f>
        <v/>
      </c>
    </row>
    <row r="200" spans="1:10">
      <c r="A200" s="17"/>
      <c r="B200" s="15"/>
      <c r="C200" s="15"/>
      <c r="D200" s="15"/>
      <c r="E200" s="15"/>
      <c r="F200" s="16"/>
      <c r="G200" s="27"/>
      <c r="H200" s="17"/>
      <c r="I200" s="30">
        <f>IF($A200="","",DATE(YEAR($A200),MONTH($A200),1))</f>
        <v/>
      </c>
      <c r="J200" s="31">
        <f>IF($A200="","",IF(OR($B200="",$C200="",$F200="",$G200=""),"Preencher tudo",IF(COUNTIF(EtapaLista,$B200)=0,"Etapa inválida","OK")))</f>
        <v/>
      </c>
    </row>
    <row r="201" spans="1:10">
      <c r="A201" s="17"/>
      <c r="B201" s="15"/>
      <c r="C201" s="15"/>
      <c r="D201" s="15"/>
      <c r="E201" s="15"/>
      <c r="F201" s="16"/>
      <c r="G201" s="27"/>
      <c r="H201" s="17"/>
      <c r="I201" s="30">
        <f>IF($A201="","",DATE(YEAR($A201),MONTH($A201),1))</f>
        <v/>
      </c>
      <c r="J201" s="31">
        <f>IF($A201="","",IF(OR($B201="",$C201="",$F201="",$G201=""),"Preencher tudo",IF(COUNTIF(EtapaLista,$B201)=0,"Etapa inválida","OK")))</f>
        <v/>
      </c>
    </row>
    <row r="202" spans="1:10">
      <c r="A202" s="17"/>
      <c r="B202" s="15"/>
      <c r="C202" s="15"/>
      <c r="D202" s="15"/>
      <c r="E202" s="15"/>
      <c r="F202" s="16"/>
      <c r="G202" s="27"/>
      <c r="H202" s="17"/>
      <c r="I202" s="30">
        <f>IF($A202="","",DATE(YEAR($A202),MONTH($A202),1))</f>
        <v/>
      </c>
      <c r="J202" s="31">
        <f>IF($A202="","",IF(OR($B202="",$C202="",$F202="",$G202=""),"Preencher tudo",IF(COUNTIF(EtapaLista,$B202)=0,"Etapa inválida","OK")))</f>
        <v/>
      </c>
    </row>
    <row r="203" spans="1:10">
      <c r="A203" s="17"/>
      <c r="B203" s="15"/>
      <c r="C203" s="15"/>
      <c r="D203" s="15"/>
      <c r="E203" s="15"/>
      <c r="F203" s="16"/>
      <c r="G203" s="27"/>
      <c r="H203" s="17"/>
      <c r="I203" s="30">
        <f>IF($A203="","",DATE(YEAR($A203),MONTH($A203),1))</f>
        <v/>
      </c>
      <c r="J203" s="31">
        <f>IF($A203="","",IF(OR($B203="",$C203="",$F203="",$G203=""),"Preencher tudo",IF(COUNTIF(EtapaLista,$B203)=0,"Etapa inválida","OK")))</f>
        <v/>
      </c>
    </row>
    <row r="204" spans="1:10">
      <c r="A204" s="17"/>
      <c r="B204" s="15"/>
      <c r="C204" s="15"/>
      <c r="D204" s="15"/>
      <c r="E204" s="15"/>
      <c r="F204" s="16"/>
      <c r="G204" s="27"/>
      <c r="H204" s="17"/>
      <c r="I204" s="30">
        <f>IF($A204="","",DATE(YEAR($A204),MONTH($A204),1))</f>
        <v/>
      </c>
      <c r="J204" s="31">
        <f>IF($A204="","",IF(OR($B204="",$C204="",$F204="",$G204=""),"Preencher tudo",IF(COUNTIF(EtapaLista,$B204)=0,"Etapa inválida","OK")))</f>
        <v/>
      </c>
    </row>
    <row r="205" spans="1:10">
      <c r="A205" s="17"/>
      <c r="B205" s="15"/>
      <c r="C205" s="15"/>
      <c r="D205" s="15"/>
      <c r="E205" s="15"/>
      <c r="F205" s="16"/>
      <c r="G205" s="27"/>
      <c r="H205" s="17"/>
      <c r="I205" s="30">
        <f>IF($A205="","",DATE(YEAR($A205),MONTH($A205),1))</f>
        <v/>
      </c>
      <c r="J205" s="31">
        <f>IF($A205="","",IF(OR($B205="",$C205="",$F205="",$G205=""),"Preencher tudo",IF(COUNTIF(EtapaLista,$B205)=0,"Etapa inválida","OK")))</f>
        <v/>
      </c>
    </row>
    <row r="206" spans="1:10">
      <c r="A206" s="17"/>
      <c r="B206" s="15"/>
      <c r="C206" s="15"/>
      <c r="D206" s="15"/>
      <c r="E206" s="15"/>
      <c r="F206" s="16"/>
      <c r="G206" s="27"/>
      <c r="H206" s="17"/>
      <c r="I206" s="30">
        <f>IF($A206="","",DATE(YEAR($A206),MONTH($A206),1))</f>
        <v/>
      </c>
      <c r="J206" s="31">
        <f>IF($A206="","",IF(OR($B206="",$C206="",$F206="",$G206=""),"Preencher tudo",IF(COUNTIF(EtapaLista,$B206)=0,"Etapa inválida","OK")))</f>
        <v/>
      </c>
    </row>
    <row r="207" spans="1:10">
      <c r="A207" s="17"/>
      <c r="B207" s="15"/>
      <c r="C207" s="15"/>
      <c r="D207" s="15"/>
      <c r="E207" s="15"/>
      <c r="F207" s="16"/>
      <c r="G207" s="27"/>
      <c r="H207" s="17"/>
      <c r="I207" s="30">
        <f>IF($A207="","",DATE(YEAR($A207),MONTH($A207),1))</f>
        <v/>
      </c>
      <c r="J207" s="31">
        <f>IF($A207="","",IF(OR($B207="",$C207="",$F207="",$G207=""),"Preencher tudo",IF(COUNTIF(EtapaLista,$B207)=0,"Etapa inválida","OK")))</f>
        <v/>
      </c>
    </row>
    <row r="208" spans="1:10">
      <c r="A208" s="17"/>
      <c r="B208" s="15"/>
      <c r="C208" s="15"/>
      <c r="D208" s="15"/>
      <c r="E208" s="15"/>
      <c r="F208" s="16"/>
      <c r="G208" s="27"/>
      <c r="H208" s="17"/>
      <c r="I208" s="30">
        <f>IF($A208="","",DATE(YEAR($A208),MONTH($A208),1))</f>
        <v/>
      </c>
      <c r="J208" s="31">
        <f>IF($A208="","",IF(OR($B208="",$C208="",$F208="",$G208=""),"Preencher tudo",IF(COUNTIF(EtapaLista,$B208)=0,"Etapa inválida","OK")))</f>
        <v/>
      </c>
    </row>
    <row r="209" spans="1:10">
      <c r="A209" s="17"/>
      <c r="B209" s="15"/>
      <c r="C209" s="15"/>
      <c r="D209" s="15"/>
      <c r="E209" s="15"/>
      <c r="F209" s="16"/>
      <c r="G209" s="27"/>
      <c r="H209" s="17"/>
      <c r="I209" s="30">
        <f>IF($A209="","",DATE(YEAR($A209),MONTH($A209),1))</f>
        <v/>
      </c>
      <c r="J209" s="31">
        <f>IF($A209="","",IF(OR($B209="",$C209="",$F209="",$G209=""),"Preencher tudo",IF(COUNTIF(EtapaLista,$B209)=0,"Etapa inválida","OK")))</f>
        <v/>
      </c>
    </row>
    <row r="210" spans="1:10">
      <c r="A210" s="17"/>
      <c r="B210" s="15"/>
      <c r="C210" s="15"/>
      <c r="D210" s="15"/>
      <c r="E210" s="15"/>
      <c r="F210" s="16"/>
      <c r="G210" s="27"/>
      <c r="H210" s="17"/>
      <c r="I210" s="30">
        <f>IF($A210="","",DATE(YEAR($A210),MONTH($A210),1))</f>
        <v/>
      </c>
      <c r="J210" s="31">
        <f>IF($A210="","",IF(OR($B210="",$C210="",$F210="",$G210=""),"Preencher tudo",IF(COUNTIF(EtapaLista,$B210)=0,"Etapa inválida","OK")))</f>
        <v/>
      </c>
    </row>
    <row r="211" spans="1:10">
      <c r="A211" s="17"/>
      <c r="B211" s="15"/>
      <c r="C211" s="15"/>
      <c r="D211" s="15"/>
      <c r="E211" s="15"/>
      <c r="F211" s="16"/>
      <c r="G211" s="27"/>
      <c r="H211" s="17"/>
      <c r="I211" s="30">
        <f>IF($A211="","",DATE(YEAR($A211),MONTH($A211),1))</f>
        <v/>
      </c>
      <c r="J211" s="31">
        <f>IF($A211="","",IF(OR($B211="",$C211="",$F211="",$G211=""),"Preencher tudo",IF(COUNTIF(EtapaLista,$B211)=0,"Etapa inválida","OK")))</f>
        <v/>
      </c>
    </row>
    <row r="212" spans="1:10">
      <c r="A212" s="17"/>
      <c r="B212" s="15"/>
      <c r="C212" s="15"/>
      <c r="D212" s="15"/>
      <c r="E212" s="15"/>
      <c r="F212" s="16"/>
      <c r="G212" s="27"/>
      <c r="H212" s="17"/>
      <c r="I212" s="30">
        <f>IF($A212="","",DATE(YEAR($A212),MONTH($A212),1))</f>
        <v/>
      </c>
      <c r="J212" s="31">
        <f>IF($A212="","",IF(OR($B212="",$C212="",$F212="",$G212=""),"Preencher tudo",IF(COUNTIF(EtapaLista,$B212)=0,"Etapa inválida","OK")))</f>
        <v/>
      </c>
    </row>
    <row r="213" spans="1:10">
      <c r="A213" s="17"/>
      <c r="B213" s="15"/>
      <c r="C213" s="15"/>
      <c r="D213" s="15"/>
      <c r="E213" s="15"/>
      <c r="F213" s="16"/>
      <c r="G213" s="27"/>
      <c r="H213" s="17"/>
      <c r="I213" s="30">
        <f>IF($A213="","",DATE(YEAR($A213),MONTH($A213),1))</f>
        <v/>
      </c>
      <c r="J213" s="31">
        <f>IF($A213="","",IF(OR($B213="",$C213="",$F213="",$G213=""),"Preencher tudo",IF(COUNTIF(EtapaLista,$B213)=0,"Etapa inválida","OK")))</f>
        <v/>
      </c>
    </row>
    <row r="214" spans="1:10">
      <c r="A214" s="17"/>
      <c r="B214" s="15"/>
      <c r="C214" s="15"/>
      <c r="D214" s="15"/>
      <c r="E214" s="15"/>
      <c r="F214" s="16"/>
      <c r="G214" s="27"/>
      <c r="H214" s="17"/>
      <c r="I214" s="30">
        <f>IF($A214="","",DATE(YEAR($A214),MONTH($A214),1))</f>
        <v/>
      </c>
      <c r="J214" s="31">
        <f>IF($A214="","",IF(OR($B214="",$C214="",$F214="",$G214=""),"Preencher tudo",IF(COUNTIF(EtapaLista,$B214)=0,"Etapa inválida","OK")))</f>
        <v/>
      </c>
    </row>
    <row r="215" spans="1:10">
      <c r="A215" s="17"/>
      <c r="B215" s="15"/>
      <c r="C215" s="15"/>
      <c r="D215" s="15"/>
      <c r="E215" s="15"/>
      <c r="F215" s="16"/>
      <c r="G215" s="27"/>
      <c r="H215" s="17"/>
      <c r="I215" s="30">
        <f>IF($A215="","",DATE(YEAR($A215),MONTH($A215),1))</f>
        <v/>
      </c>
      <c r="J215" s="31">
        <f>IF($A215="","",IF(OR($B215="",$C215="",$F215="",$G215=""),"Preencher tudo",IF(COUNTIF(EtapaLista,$B215)=0,"Etapa inválida","OK")))</f>
        <v/>
      </c>
    </row>
    <row r="216" spans="1:10">
      <c r="A216" s="17"/>
      <c r="B216" s="15"/>
      <c r="C216" s="15"/>
      <c r="D216" s="15"/>
      <c r="E216" s="15"/>
      <c r="F216" s="16"/>
      <c r="G216" s="27"/>
      <c r="H216" s="17"/>
      <c r="I216" s="30">
        <f>IF($A216="","",DATE(YEAR($A216),MONTH($A216),1))</f>
        <v/>
      </c>
      <c r="J216" s="31">
        <f>IF($A216="","",IF(OR($B216="",$C216="",$F216="",$G216=""),"Preencher tudo",IF(COUNTIF(EtapaLista,$B216)=0,"Etapa inválida","OK")))</f>
        <v/>
      </c>
    </row>
    <row r="217" spans="1:10">
      <c r="A217" s="17"/>
      <c r="B217" s="15"/>
      <c r="C217" s="15"/>
      <c r="D217" s="15"/>
      <c r="E217" s="15"/>
      <c r="F217" s="16"/>
      <c r="G217" s="27"/>
      <c r="H217" s="17"/>
      <c r="I217" s="30">
        <f>IF($A217="","",DATE(YEAR($A217),MONTH($A217),1))</f>
        <v/>
      </c>
      <c r="J217" s="31">
        <f>IF($A217="","",IF(OR($B217="",$C217="",$F217="",$G217=""),"Preencher tudo",IF(COUNTIF(EtapaLista,$B217)=0,"Etapa inválida","OK")))</f>
        <v/>
      </c>
    </row>
    <row r="218" spans="1:10">
      <c r="A218" s="17"/>
      <c r="B218" s="15"/>
      <c r="C218" s="15"/>
      <c r="D218" s="15"/>
      <c r="E218" s="15"/>
      <c r="F218" s="16"/>
      <c r="G218" s="27"/>
      <c r="H218" s="17"/>
      <c r="I218" s="30">
        <f>IF($A218="","",DATE(YEAR($A218),MONTH($A218),1))</f>
        <v/>
      </c>
      <c r="J218" s="31">
        <f>IF($A218="","",IF(OR($B218="",$C218="",$F218="",$G218=""),"Preencher tudo",IF(COUNTIF(EtapaLista,$B218)=0,"Etapa inválida","OK")))</f>
        <v/>
      </c>
    </row>
    <row r="219" spans="1:10">
      <c r="A219" s="17"/>
      <c r="B219" s="15"/>
      <c r="C219" s="15"/>
      <c r="D219" s="15"/>
      <c r="E219" s="15"/>
      <c r="F219" s="16"/>
      <c r="G219" s="27"/>
      <c r="H219" s="17"/>
      <c r="I219" s="30">
        <f>IF($A219="","",DATE(YEAR($A219),MONTH($A219),1))</f>
        <v/>
      </c>
      <c r="J219" s="31">
        <f>IF($A219="","",IF(OR($B219="",$C219="",$F219="",$G219=""),"Preencher tudo",IF(COUNTIF(EtapaLista,$B219)=0,"Etapa inválida","OK")))</f>
        <v/>
      </c>
    </row>
    <row r="220" spans="1:10">
      <c r="A220" s="17"/>
      <c r="B220" s="15"/>
      <c r="C220" s="15"/>
      <c r="D220" s="15"/>
      <c r="E220" s="15"/>
      <c r="F220" s="16"/>
      <c r="G220" s="27"/>
      <c r="H220" s="17"/>
      <c r="I220" s="30">
        <f>IF($A220="","",DATE(YEAR($A220),MONTH($A220),1))</f>
        <v/>
      </c>
      <c r="J220" s="31">
        <f>IF($A220="","",IF(OR($B220="",$C220="",$F220="",$G220=""),"Preencher tudo",IF(COUNTIF(EtapaLista,$B220)=0,"Etapa inválida","OK")))</f>
        <v/>
      </c>
    </row>
    <row r="221" spans="1:10">
      <c r="A221" s="17"/>
      <c r="B221" s="15"/>
      <c r="C221" s="15"/>
      <c r="D221" s="15"/>
      <c r="E221" s="15"/>
      <c r="F221" s="16"/>
      <c r="G221" s="27"/>
      <c r="H221" s="17"/>
      <c r="I221" s="30">
        <f>IF($A221="","",DATE(YEAR($A221),MONTH($A221),1))</f>
        <v/>
      </c>
      <c r="J221" s="31">
        <f>IF($A221="","",IF(OR($B221="",$C221="",$F221="",$G221=""),"Preencher tudo",IF(COUNTIF(EtapaLista,$B221)=0,"Etapa inválida","OK")))</f>
        <v/>
      </c>
    </row>
    <row r="222" spans="1:10">
      <c r="A222" s="17"/>
      <c r="B222" s="15"/>
      <c r="C222" s="15"/>
      <c r="D222" s="15"/>
      <c r="E222" s="15"/>
      <c r="F222" s="16"/>
      <c r="G222" s="27"/>
      <c r="H222" s="17"/>
      <c r="I222" s="30">
        <f>IF($A222="","",DATE(YEAR($A222),MONTH($A222),1))</f>
        <v/>
      </c>
      <c r="J222" s="31">
        <f>IF($A222="","",IF(OR($B222="",$C222="",$F222="",$G222=""),"Preencher tudo",IF(COUNTIF(EtapaLista,$B222)=0,"Etapa inválida","OK")))</f>
        <v/>
      </c>
    </row>
    <row r="223" spans="1:10">
      <c r="A223" s="17"/>
      <c r="B223" s="15"/>
      <c r="C223" s="15"/>
      <c r="D223" s="15"/>
      <c r="E223" s="15"/>
      <c r="F223" s="16"/>
      <c r="G223" s="27"/>
      <c r="H223" s="17"/>
      <c r="I223" s="30">
        <f>IF($A223="","",DATE(YEAR($A223),MONTH($A223),1))</f>
        <v/>
      </c>
      <c r="J223" s="31">
        <f>IF($A223="","",IF(OR($B223="",$C223="",$F223="",$G223=""),"Preencher tudo",IF(COUNTIF(EtapaLista,$B223)=0,"Etapa inválida","OK")))</f>
        <v/>
      </c>
    </row>
    <row r="224" spans="1:10">
      <c r="A224" s="17"/>
      <c r="B224" s="15"/>
      <c r="C224" s="15"/>
      <c r="D224" s="15"/>
      <c r="E224" s="15"/>
      <c r="F224" s="16"/>
      <c r="G224" s="27"/>
      <c r="H224" s="17"/>
      <c r="I224" s="30">
        <f>IF($A224="","",DATE(YEAR($A224),MONTH($A224),1))</f>
        <v/>
      </c>
      <c r="J224" s="31">
        <f>IF($A224="","",IF(OR($B224="",$C224="",$F224="",$G224=""),"Preencher tudo",IF(COUNTIF(EtapaLista,$B224)=0,"Etapa inválida","OK")))</f>
        <v/>
      </c>
    </row>
    <row r="225" spans="1:10">
      <c r="A225" s="17"/>
      <c r="B225" s="15"/>
      <c r="C225" s="15"/>
      <c r="D225" s="15"/>
      <c r="E225" s="15"/>
      <c r="F225" s="16"/>
      <c r="G225" s="27"/>
      <c r="H225" s="17"/>
      <c r="I225" s="30">
        <f>IF($A225="","",DATE(YEAR($A225),MONTH($A225),1))</f>
        <v/>
      </c>
      <c r="J225" s="31">
        <f>IF($A225="","",IF(OR($B225="",$C225="",$F225="",$G225=""),"Preencher tudo",IF(COUNTIF(EtapaLista,$B225)=0,"Etapa inválida","OK")))</f>
        <v/>
      </c>
    </row>
    <row r="226" spans="1:10">
      <c r="A226" s="17"/>
      <c r="B226" s="15"/>
      <c r="C226" s="15"/>
      <c r="D226" s="15"/>
      <c r="E226" s="15"/>
      <c r="F226" s="16"/>
      <c r="G226" s="27"/>
      <c r="H226" s="17"/>
      <c r="I226" s="30">
        <f>IF($A226="","",DATE(YEAR($A226),MONTH($A226),1))</f>
        <v/>
      </c>
      <c r="J226" s="31">
        <f>IF($A226="","",IF(OR($B226="",$C226="",$F226="",$G226=""),"Preencher tudo",IF(COUNTIF(EtapaLista,$B226)=0,"Etapa inválida","OK")))</f>
        <v/>
      </c>
    </row>
    <row r="227" spans="1:10">
      <c r="A227" s="17"/>
      <c r="B227" s="15"/>
      <c r="C227" s="15"/>
      <c r="D227" s="15"/>
      <c r="E227" s="15"/>
      <c r="F227" s="16"/>
      <c r="G227" s="27"/>
      <c r="H227" s="17"/>
      <c r="I227" s="30">
        <f>IF($A227="","",DATE(YEAR($A227),MONTH($A227),1))</f>
        <v/>
      </c>
      <c r="J227" s="31">
        <f>IF($A227="","",IF(OR($B227="",$C227="",$F227="",$G227=""),"Preencher tudo",IF(COUNTIF(EtapaLista,$B227)=0,"Etapa inválida","OK")))</f>
        <v/>
      </c>
    </row>
    <row r="228" spans="1:10">
      <c r="A228" s="17"/>
      <c r="B228" s="15"/>
      <c r="C228" s="15"/>
      <c r="D228" s="15"/>
      <c r="E228" s="15"/>
      <c r="F228" s="16"/>
      <c r="G228" s="27"/>
      <c r="H228" s="17"/>
      <c r="I228" s="30">
        <f>IF($A228="","",DATE(YEAR($A228),MONTH($A228),1))</f>
        <v/>
      </c>
      <c r="J228" s="31">
        <f>IF($A228="","",IF(OR($B228="",$C228="",$F228="",$G228=""),"Preencher tudo",IF(COUNTIF(EtapaLista,$B228)=0,"Etapa inválida","OK")))</f>
        <v/>
      </c>
    </row>
    <row r="229" spans="1:10">
      <c r="A229" s="17"/>
      <c r="B229" s="15"/>
      <c r="C229" s="15"/>
      <c r="D229" s="15"/>
      <c r="E229" s="15"/>
      <c r="F229" s="16"/>
      <c r="G229" s="27"/>
      <c r="H229" s="17"/>
      <c r="I229" s="30">
        <f>IF($A229="","",DATE(YEAR($A229),MONTH($A229),1))</f>
        <v/>
      </c>
      <c r="J229" s="31">
        <f>IF($A229="","",IF(OR($B229="",$C229="",$F229="",$G229=""),"Preencher tudo",IF(COUNTIF(EtapaLista,$B229)=0,"Etapa inválida","OK")))</f>
        <v/>
      </c>
    </row>
    <row r="230" spans="1:10">
      <c r="A230" s="17"/>
      <c r="B230" s="15"/>
      <c r="C230" s="15"/>
      <c r="D230" s="15"/>
      <c r="E230" s="15"/>
      <c r="F230" s="16"/>
      <c r="G230" s="27"/>
      <c r="H230" s="17"/>
      <c r="I230" s="30">
        <f>IF($A230="","",DATE(YEAR($A230),MONTH($A230),1))</f>
        <v/>
      </c>
      <c r="J230" s="31">
        <f>IF($A230="","",IF(OR($B230="",$C230="",$F230="",$G230=""),"Preencher tudo",IF(COUNTIF(EtapaLista,$B230)=0,"Etapa inválida","OK")))</f>
        <v/>
      </c>
    </row>
    <row r="231" spans="1:10">
      <c r="A231" s="17"/>
      <c r="B231" s="15"/>
      <c r="C231" s="15"/>
      <c r="D231" s="15"/>
      <c r="E231" s="15"/>
      <c r="F231" s="16"/>
      <c r="G231" s="27"/>
      <c r="H231" s="17"/>
      <c r="I231" s="30">
        <f>IF($A231="","",DATE(YEAR($A231),MONTH($A231),1))</f>
        <v/>
      </c>
      <c r="J231" s="31">
        <f>IF($A231="","",IF(OR($B231="",$C231="",$F231="",$G231=""),"Preencher tudo",IF(COUNTIF(EtapaLista,$B231)=0,"Etapa inválida","OK")))</f>
        <v/>
      </c>
    </row>
    <row r="232" spans="1:10">
      <c r="A232" s="17"/>
      <c r="B232" s="15"/>
      <c r="C232" s="15"/>
      <c r="D232" s="15"/>
      <c r="E232" s="15"/>
      <c r="F232" s="16"/>
      <c r="G232" s="27"/>
      <c r="H232" s="17"/>
      <c r="I232" s="30">
        <f>IF($A232="","",DATE(YEAR($A232),MONTH($A232),1))</f>
        <v/>
      </c>
      <c r="J232" s="31">
        <f>IF($A232="","",IF(OR($B232="",$C232="",$F232="",$G232=""),"Preencher tudo",IF(COUNTIF(EtapaLista,$B232)=0,"Etapa inválida","OK")))</f>
        <v/>
      </c>
    </row>
    <row r="233" spans="1:10">
      <c r="A233" s="17"/>
      <c r="B233" s="15"/>
      <c r="C233" s="15"/>
      <c r="D233" s="15"/>
      <c r="E233" s="15"/>
      <c r="F233" s="16"/>
      <c r="G233" s="27"/>
      <c r="H233" s="17"/>
      <c r="I233" s="30">
        <f>IF($A233="","",DATE(YEAR($A233),MONTH($A233),1))</f>
        <v/>
      </c>
      <c r="J233" s="31">
        <f>IF($A233="","",IF(OR($B233="",$C233="",$F233="",$G233=""),"Preencher tudo",IF(COUNTIF(EtapaLista,$B233)=0,"Etapa inválida","OK")))</f>
        <v/>
      </c>
    </row>
    <row r="234" spans="1:10">
      <c r="A234" s="17"/>
      <c r="B234" s="15"/>
      <c r="C234" s="15"/>
      <c r="D234" s="15"/>
      <c r="E234" s="15"/>
      <c r="F234" s="16"/>
      <c r="G234" s="27"/>
      <c r="H234" s="17"/>
      <c r="I234" s="30">
        <f>IF($A234="","",DATE(YEAR($A234),MONTH($A234),1))</f>
        <v/>
      </c>
      <c r="J234" s="31">
        <f>IF($A234="","",IF(OR($B234="",$C234="",$F234="",$G234=""),"Preencher tudo",IF(COUNTIF(EtapaLista,$B234)=0,"Etapa inválida","OK")))</f>
        <v/>
      </c>
    </row>
    <row r="235" spans="1:10">
      <c r="A235" s="17"/>
      <c r="B235" s="15"/>
      <c r="C235" s="15"/>
      <c r="D235" s="15"/>
      <c r="E235" s="15"/>
      <c r="F235" s="16"/>
      <c r="G235" s="27"/>
      <c r="H235" s="17"/>
      <c r="I235" s="30">
        <f>IF($A235="","",DATE(YEAR($A235),MONTH($A235),1))</f>
        <v/>
      </c>
      <c r="J235" s="31">
        <f>IF($A235="","",IF(OR($B235="",$C235="",$F235="",$G235=""),"Preencher tudo",IF(COUNTIF(EtapaLista,$B235)=0,"Etapa inválida","OK")))</f>
        <v/>
      </c>
    </row>
    <row r="236" spans="1:10">
      <c r="A236" s="17"/>
      <c r="B236" s="15"/>
      <c r="C236" s="15"/>
      <c r="D236" s="15"/>
      <c r="E236" s="15"/>
      <c r="F236" s="16"/>
      <c r="G236" s="27"/>
      <c r="H236" s="17"/>
      <c r="I236" s="30">
        <f>IF($A236="","",DATE(YEAR($A236),MONTH($A236),1))</f>
        <v/>
      </c>
      <c r="J236" s="31">
        <f>IF($A236="","",IF(OR($B236="",$C236="",$F236="",$G236=""),"Preencher tudo",IF(COUNTIF(EtapaLista,$B236)=0,"Etapa inválida","OK")))</f>
        <v/>
      </c>
    </row>
    <row r="237" spans="1:10">
      <c r="A237" s="17"/>
      <c r="B237" s="15"/>
      <c r="C237" s="15"/>
      <c r="D237" s="15"/>
      <c r="E237" s="15"/>
      <c r="F237" s="16"/>
      <c r="G237" s="27"/>
      <c r="H237" s="17"/>
      <c r="I237" s="30">
        <f>IF($A237="","",DATE(YEAR($A237),MONTH($A237),1))</f>
        <v/>
      </c>
      <c r="J237" s="31">
        <f>IF($A237="","",IF(OR($B237="",$C237="",$F237="",$G237=""),"Preencher tudo",IF(COUNTIF(EtapaLista,$B237)=0,"Etapa inválida","OK")))</f>
        <v/>
      </c>
    </row>
    <row r="238" spans="1:10">
      <c r="A238" s="17"/>
      <c r="B238" s="15"/>
      <c r="C238" s="15"/>
      <c r="D238" s="15"/>
      <c r="E238" s="15"/>
      <c r="F238" s="16"/>
      <c r="G238" s="27"/>
      <c r="H238" s="17"/>
      <c r="I238" s="30">
        <f>IF($A238="","",DATE(YEAR($A238),MONTH($A238),1))</f>
        <v/>
      </c>
      <c r="J238" s="31">
        <f>IF($A238="","",IF(OR($B238="",$C238="",$F238="",$G238=""),"Preencher tudo",IF(COUNTIF(EtapaLista,$B238)=0,"Etapa inválida","OK")))</f>
        <v/>
      </c>
    </row>
    <row r="239" spans="1:10">
      <c r="A239" s="17"/>
      <c r="B239" s="15"/>
      <c r="C239" s="15"/>
      <c r="D239" s="15"/>
      <c r="E239" s="15"/>
      <c r="F239" s="16"/>
      <c r="G239" s="27"/>
      <c r="H239" s="17"/>
      <c r="I239" s="30">
        <f>IF($A239="","",DATE(YEAR($A239),MONTH($A239),1))</f>
        <v/>
      </c>
      <c r="J239" s="31">
        <f>IF($A239="","",IF(OR($B239="",$C239="",$F239="",$G239=""),"Preencher tudo",IF(COUNTIF(EtapaLista,$B239)=0,"Etapa inválida","OK")))</f>
        <v/>
      </c>
    </row>
    <row r="240" spans="1:10">
      <c r="A240" s="17"/>
      <c r="B240" s="15"/>
      <c r="C240" s="15"/>
      <c r="D240" s="15"/>
      <c r="E240" s="15"/>
      <c r="F240" s="16"/>
      <c r="G240" s="27"/>
      <c r="H240" s="17"/>
      <c r="I240" s="30">
        <f>IF($A240="","",DATE(YEAR($A240),MONTH($A240),1))</f>
        <v/>
      </c>
      <c r="J240" s="31">
        <f>IF($A240="","",IF(OR($B240="",$C240="",$F240="",$G240=""),"Preencher tudo",IF(COUNTIF(EtapaLista,$B240)=0,"Etapa inválida","OK")))</f>
        <v/>
      </c>
    </row>
    <row r="241" spans="1:10">
      <c r="A241" s="17"/>
      <c r="B241" s="15"/>
      <c r="C241" s="15"/>
      <c r="D241" s="15"/>
      <c r="E241" s="15"/>
      <c r="F241" s="16"/>
      <c r="G241" s="27"/>
      <c r="H241" s="17"/>
      <c r="I241" s="30">
        <f>IF($A241="","",DATE(YEAR($A241),MONTH($A241),1))</f>
        <v/>
      </c>
      <c r="J241" s="31">
        <f>IF($A241="","",IF(OR($B241="",$C241="",$F241="",$G241=""),"Preencher tudo",IF(COUNTIF(EtapaLista,$B241)=0,"Etapa inválida","OK")))</f>
        <v/>
      </c>
    </row>
    <row r="242" spans="1:10">
      <c r="A242" s="17"/>
      <c r="B242" s="15"/>
      <c r="C242" s="15"/>
      <c r="D242" s="15"/>
      <c r="E242" s="15"/>
      <c r="F242" s="16"/>
      <c r="G242" s="27"/>
      <c r="H242" s="17"/>
      <c r="I242" s="30">
        <f>IF($A242="","",DATE(YEAR($A242),MONTH($A242),1))</f>
        <v/>
      </c>
      <c r="J242" s="31">
        <f>IF($A242="","",IF(OR($B242="",$C242="",$F242="",$G242=""),"Preencher tudo",IF(COUNTIF(EtapaLista,$B242)=0,"Etapa inválida","OK")))</f>
        <v/>
      </c>
    </row>
    <row r="243" spans="1:10">
      <c r="A243" s="17"/>
      <c r="B243" s="15"/>
      <c r="C243" s="15"/>
      <c r="D243" s="15"/>
      <c r="E243" s="15"/>
      <c r="F243" s="16"/>
      <c r="G243" s="27"/>
      <c r="H243" s="17"/>
      <c r="I243" s="30">
        <f>IF($A243="","",DATE(YEAR($A243),MONTH($A243),1))</f>
        <v/>
      </c>
      <c r="J243" s="31">
        <f>IF($A243="","",IF(OR($B243="",$C243="",$F243="",$G243=""),"Preencher tudo",IF(COUNTIF(EtapaLista,$B243)=0,"Etapa inválida","OK")))</f>
        <v/>
      </c>
    </row>
    <row r="244" spans="1:10">
      <c r="A244" s="17"/>
      <c r="B244" s="15"/>
      <c r="C244" s="15"/>
      <c r="D244" s="15"/>
      <c r="E244" s="15"/>
      <c r="F244" s="16"/>
      <c r="G244" s="27"/>
      <c r="H244" s="17"/>
      <c r="I244" s="30">
        <f>IF($A244="","",DATE(YEAR($A244),MONTH($A244),1))</f>
        <v/>
      </c>
      <c r="J244" s="31">
        <f>IF($A244="","",IF(OR($B244="",$C244="",$F244="",$G244=""),"Preencher tudo",IF(COUNTIF(EtapaLista,$B244)=0,"Etapa inválida","OK")))</f>
        <v/>
      </c>
    </row>
    <row r="245" spans="1:10">
      <c r="A245" s="17"/>
      <c r="B245" s="15"/>
      <c r="C245" s="15"/>
      <c r="D245" s="15"/>
      <c r="E245" s="15"/>
      <c r="F245" s="16"/>
      <c r="G245" s="27"/>
      <c r="H245" s="17"/>
      <c r="I245" s="30">
        <f>IF($A245="","",DATE(YEAR($A245),MONTH($A245),1))</f>
        <v/>
      </c>
      <c r="J245" s="31">
        <f>IF($A245="","",IF(OR($B245="",$C245="",$F245="",$G245=""),"Preencher tudo",IF(COUNTIF(EtapaLista,$B245)=0,"Etapa inválida","OK")))</f>
        <v/>
      </c>
    </row>
    <row r="246" spans="1:10">
      <c r="A246" s="17"/>
      <c r="B246" s="15"/>
      <c r="C246" s="15"/>
      <c r="D246" s="15"/>
      <c r="E246" s="15"/>
      <c r="F246" s="16"/>
      <c r="G246" s="27"/>
      <c r="H246" s="17"/>
      <c r="I246" s="30">
        <f>IF($A246="","",DATE(YEAR($A246),MONTH($A246),1))</f>
        <v/>
      </c>
      <c r="J246" s="31">
        <f>IF($A246="","",IF(OR($B246="",$C246="",$F246="",$G246=""),"Preencher tudo",IF(COUNTIF(EtapaLista,$B246)=0,"Etapa inválida","OK")))</f>
        <v/>
      </c>
    </row>
    <row r="247" spans="1:10">
      <c r="A247" s="17"/>
      <c r="B247" s="15"/>
      <c r="C247" s="15"/>
      <c r="D247" s="15"/>
      <c r="E247" s="15"/>
      <c r="F247" s="16"/>
      <c r="G247" s="27"/>
      <c r="H247" s="17"/>
      <c r="I247" s="30">
        <f>IF($A247="","",DATE(YEAR($A247),MONTH($A247),1))</f>
        <v/>
      </c>
      <c r="J247" s="31">
        <f>IF($A247="","",IF(OR($B247="",$C247="",$F247="",$G247=""),"Preencher tudo",IF(COUNTIF(EtapaLista,$B247)=0,"Etapa inválida","OK")))</f>
        <v/>
      </c>
    </row>
    <row r="248" spans="1:10">
      <c r="A248" s="17"/>
      <c r="B248" s="15"/>
      <c r="C248" s="15"/>
      <c r="D248" s="15"/>
      <c r="E248" s="15"/>
      <c r="F248" s="16"/>
      <c r="G248" s="27"/>
      <c r="H248" s="17"/>
      <c r="I248" s="30">
        <f>IF($A248="","",DATE(YEAR($A248),MONTH($A248),1))</f>
        <v/>
      </c>
      <c r="J248" s="31">
        <f>IF($A248="","",IF(OR($B248="",$C248="",$F248="",$G248=""),"Preencher tudo",IF(COUNTIF(EtapaLista,$B248)=0,"Etapa inválida","OK")))</f>
        <v/>
      </c>
    </row>
    <row r="249" spans="1:10">
      <c r="A249" s="17"/>
      <c r="B249" s="15"/>
      <c r="C249" s="15"/>
      <c r="D249" s="15"/>
      <c r="E249" s="15"/>
      <c r="F249" s="16"/>
      <c r="G249" s="27"/>
      <c r="H249" s="17"/>
      <c r="I249" s="30">
        <f>IF($A249="","",DATE(YEAR($A249),MONTH($A249),1))</f>
        <v/>
      </c>
      <c r="J249" s="31">
        <f>IF($A249="","",IF(OR($B249="",$C249="",$F249="",$G249=""),"Preencher tudo",IF(COUNTIF(EtapaLista,$B249)=0,"Etapa inválida","OK")))</f>
        <v/>
      </c>
    </row>
    <row r="250" spans="1:10">
      <c r="A250" s="17"/>
      <c r="B250" s="15"/>
      <c r="C250" s="15"/>
      <c r="D250" s="15"/>
      <c r="E250" s="15"/>
      <c r="F250" s="16"/>
      <c r="G250" s="27"/>
      <c r="H250" s="17"/>
      <c r="I250" s="30">
        <f>IF($A250="","",DATE(YEAR($A250),MONTH($A250),1))</f>
        <v/>
      </c>
      <c r="J250" s="31">
        <f>IF($A250="","",IF(OR($B250="",$C250="",$F250="",$G250=""),"Preencher tudo",IF(COUNTIF(EtapaLista,$B250)=0,"Etapa inválida","OK")))</f>
        <v/>
      </c>
    </row>
    <row r="251" spans="1:10">
      <c r="A251" s="17"/>
      <c r="B251" s="15"/>
      <c r="C251" s="15"/>
      <c r="D251" s="15"/>
      <c r="E251" s="15"/>
      <c r="F251" s="16"/>
      <c r="G251" s="27"/>
      <c r="H251" s="17"/>
      <c r="I251" s="30">
        <f>IF($A251="","",DATE(YEAR($A251),MONTH($A251),1))</f>
        <v/>
      </c>
      <c r="J251" s="31">
        <f>IF($A251="","",IF(OR($B251="",$C251="",$F251="",$G251=""),"Preencher tudo",IF(COUNTIF(EtapaLista,$B251)=0,"Etapa inválida","OK")))</f>
        <v/>
      </c>
    </row>
    <row r="252" spans="1:10">
      <c r="A252" s="17"/>
      <c r="B252" s="15"/>
      <c r="C252" s="15"/>
      <c r="D252" s="15"/>
      <c r="E252" s="15"/>
      <c r="F252" s="16"/>
      <c r="G252" s="27"/>
      <c r="H252" s="17"/>
      <c r="I252" s="30">
        <f>IF($A252="","",DATE(YEAR($A252),MONTH($A252),1))</f>
        <v/>
      </c>
      <c r="J252" s="31">
        <f>IF($A252="","",IF(OR($B252="",$C252="",$F252="",$G252=""),"Preencher tudo",IF(COUNTIF(EtapaLista,$B252)=0,"Etapa inválida","OK")))</f>
        <v/>
      </c>
    </row>
    <row r="253" spans="1:10">
      <c r="A253" s="17"/>
      <c r="B253" s="15"/>
      <c r="C253" s="15"/>
      <c r="D253" s="15"/>
      <c r="E253" s="15"/>
      <c r="F253" s="16"/>
      <c r="G253" s="27"/>
      <c r="H253" s="17"/>
      <c r="I253" s="30">
        <f>IF($A253="","",DATE(YEAR($A253),MONTH($A253),1))</f>
        <v/>
      </c>
      <c r="J253" s="31">
        <f>IF($A253="","",IF(OR($B253="",$C253="",$F253="",$G253=""),"Preencher tudo",IF(COUNTIF(EtapaLista,$B253)=0,"Etapa inválida","OK")))</f>
        <v/>
      </c>
    </row>
    <row r="254" spans="1:10">
      <c r="A254" s="17"/>
      <c r="B254" s="15"/>
      <c r="C254" s="15"/>
      <c r="D254" s="15"/>
      <c r="E254" s="15"/>
      <c r="F254" s="16"/>
      <c r="G254" s="27"/>
      <c r="H254" s="17"/>
      <c r="I254" s="30">
        <f>IF($A254="","",DATE(YEAR($A254),MONTH($A254),1))</f>
        <v/>
      </c>
      <c r="J254" s="31">
        <f>IF($A254="","",IF(OR($B254="",$C254="",$F254="",$G254=""),"Preencher tudo",IF(COUNTIF(EtapaLista,$B254)=0,"Etapa inválida","OK")))</f>
        <v/>
      </c>
    </row>
    <row r="255" spans="1:10">
      <c r="A255" s="17"/>
      <c r="B255" s="15"/>
      <c r="C255" s="15"/>
      <c r="D255" s="15"/>
      <c r="E255" s="15"/>
      <c r="F255" s="16"/>
      <c r="G255" s="27"/>
      <c r="H255" s="17"/>
      <c r="I255" s="30">
        <f>IF($A255="","",DATE(YEAR($A255),MONTH($A255),1))</f>
        <v/>
      </c>
      <c r="J255" s="31">
        <f>IF($A255="","",IF(OR($B255="",$C255="",$F255="",$G255=""),"Preencher tudo",IF(COUNTIF(EtapaLista,$B255)=0,"Etapa inválida","OK")))</f>
        <v/>
      </c>
    </row>
    <row r="256" spans="1:10">
      <c r="A256" s="17"/>
      <c r="B256" s="15"/>
      <c r="C256" s="15"/>
      <c r="D256" s="15"/>
      <c r="E256" s="15"/>
      <c r="F256" s="16"/>
      <c r="G256" s="27"/>
      <c r="H256" s="17"/>
      <c r="I256" s="30">
        <f>IF($A256="","",DATE(YEAR($A256),MONTH($A256),1))</f>
        <v/>
      </c>
      <c r="J256" s="31">
        <f>IF($A256="","",IF(OR($B256="",$C256="",$F256="",$G256=""),"Preencher tudo",IF(COUNTIF(EtapaLista,$B256)=0,"Etapa inválida","OK")))</f>
        <v/>
      </c>
    </row>
    <row r="257" spans="1:10">
      <c r="A257" s="17"/>
      <c r="B257" s="15"/>
      <c r="C257" s="15"/>
      <c r="D257" s="15"/>
      <c r="E257" s="15"/>
      <c r="F257" s="16"/>
      <c r="G257" s="27"/>
      <c r="H257" s="17"/>
      <c r="I257" s="30">
        <f>IF($A257="","",DATE(YEAR($A257),MONTH($A257),1))</f>
        <v/>
      </c>
      <c r="J257" s="31">
        <f>IF($A257="","",IF(OR($B257="",$C257="",$F257="",$G257=""),"Preencher tudo",IF(COUNTIF(EtapaLista,$B257)=0,"Etapa inválida","OK")))</f>
        <v/>
      </c>
    </row>
    <row r="258" spans="1:10">
      <c r="A258" s="17"/>
      <c r="B258" s="15"/>
      <c r="C258" s="15"/>
      <c r="D258" s="15"/>
      <c r="E258" s="15"/>
      <c r="F258" s="16"/>
      <c r="G258" s="27"/>
      <c r="H258" s="17"/>
      <c r="I258" s="30">
        <f>IF($A258="","",DATE(YEAR($A258),MONTH($A258),1))</f>
        <v/>
      </c>
      <c r="J258" s="31">
        <f>IF($A258="","",IF(OR($B258="",$C258="",$F258="",$G258=""),"Preencher tudo",IF(COUNTIF(EtapaLista,$B258)=0,"Etapa inválida","OK")))</f>
        <v/>
      </c>
    </row>
    <row r="259" spans="1:10">
      <c r="A259" s="17"/>
      <c r="B259" s="15"/>
      <c r="C259" s="15"/>
      <c r="D259" s="15"/>
      <c r="E259" s="15"/>
      <c r="F259" s="16"/>
      <c r="G259" s="27"/>
      <c r="H259" s="17"/>
      <c r="I259" s="30">
        <f>IF($A259="","",DATE(YEAR($A259),MONTH($A259),1))</f>
        <v/>
      </c>
      <c r="J259" s="31">
        <f>IF($A259="","",IF(OR($B259="",$C259="",$F259="",$G259=""),"Preencher tudo",IF(COUNTIF(EtapaLista,$B259)=0,"Etapa inválida","OK")))</f>
        <v/>
      </c>
    </row>
    <row r="260" spans="1:10">
      <c r="A260" s="17"/>
      <c r="B260" s="15"/>
      <c r="C260" s="15"/>
      <c r="D260" s="15"/>
      <c r="E260" s="15"/>
      <c r="F260" s="16"/>
      <c r="G260" s="27"/>
      <c r="H260" s="17"/>
      <c r="I260" s="30">
        <f>IF($A260="","",DATE(YEAR($A260),MONTH($A260),1))</f>
        <v/>
      </c>
      <c r="J260" s="31">
        <f>IF($A260="","",IF(OR($B260="",$C260="",$F260="",$G260=""),"Preencher tudo",IF(COUNTIF(EtapaLista,$B260)=0,"Etapa inválida","OK")))</f>
        <v/>
      </c>
    </row>
    <row r="261" spans="1:10">
      <c r="A261" s="17"/>
      <c r="B261" s="15"/>
      <c r="C261" s="15"/>
      <c r="D261" s="15"/>
      <c r="E261" s="15"/>
      <c r="F261" s="16"/>
      <c r="G261" s="27"/>
      <c r="H261" s="17"/>
      <c r="I261" s="30">
        <f>IF($A261="","",DATE(YEAR($A261),MONTH($A261),1))</f>
        <v/>
      </c>
      <c r="J261" s="31">
        <f>IF($A261="","",IF(OR($B261="",$C261="",$F261="",$G261=""),"Preencher tudo",IF(COUNTIF(EtapaLista,$B261)=0,"Etapa inválida","OK")))</f>
        <v/>
      </c>
    </row>
    <row r="262" spans="1:10">
      <c r="A262" s="17"/>
      <c r="B262" s="15"/>
      <c r="C262" s="15"/>
      <c r="D262" s="15"/>
      <c r="E262" s="15"/>
      <c r="F262" s="16"/>
      <c r="G262" s="27"/>
      <c r="H262" s="17"/>
      <c r="I262" s="30">
        <f>IF($A262="","",DATE(YEAR($A262),MONTH($A262),1))</f>
        <v/>
      </c>
      <c r="J262" s="31">
        <f>IF($A262="","",IF(OR($B262="",$C262="",$F262="",$G262=""),"Preencher tudo",IF(COUNTIF(EtapaLista,$B262)=0,"Etapa inválida","OK")))</f>
        <v/>
      </c>
    </row>
    <row r="263" spans="1:10">
      <c r="A263" s="17"/>
      <c r="B263" s="15"/>
      <c r="C263" s="15"/>
      <c r="D263" s="15"/>
      <c r="E263" s="15"/>
      <c r="F263" s="16"/>
      <c r="G263" s="27"/>
      <c r="H263" s="17"/>
      <c r="I263" s="30">
        <f>IF($A263="","",DATE(YEAR($A263),MONTH($A263),1))</f>
        <v/>
      </c>
      <c r="J263" s="31">
        <f>IF($A263="","",IF(OR($B263="",$C263="",$F263="",$G263=""),"Preencher tudo",IF(COUNTIF(EtapaLista,$B263)=0,"Etapa inválida","OK")))</f>
        <v/>
      </c>
    </row>
    <row r="264" spans="1:10">
      <c r="A264" s="17"/>
      <c r="B264" s="15"/>
      <c r="C264" s="15"/>
      <c r="D264" s="15"/>
      <c r="E264" s="15"/>
      <c r="F264" s="16"/>
      <c r="G264" s="27"/>
      <c r="H264" s="17"/>
      <c r="I264" s="30">
        <f>IF($A264="","",DATE(YEAR($A264),MONTH($A264),1))</f>
        <v/>
      </c>
      <c r="J264" s="31">
        <f>IF($A264="","",IF(OR($B264="",$C264="",$F264="",$G264=""),"Preencher tudo",IF(COUNTIF(EtapaLista,$B264)=0,"Etapa inválida","OK")))</f>
        <v/>
      </c>
    </row>
    <row r="265" spans="1:10">
      <c r="A265" s="17"/>
      <c r="B265" s="15"/>
      <c r="C265" s="15"/>
      <c r="D265" s="15"/>
      <c r="E265" s="15"/>
      <c r="F265" s="16"/>
      <c r="G265" s="27"/>
      <c r="H265" s="17"/>
      <c r="I265" s="30">
        <f>IF($A265="","",DATE(YEAR($A265),MONTH($A265),1))</f>
        <v/>
      </c>
      <c r="J265" s="31">
        <f>IF($A265="","",IF(OR($B265="",$C265="",$F265="",$G265=""),"Preencher tudo",IF(COUNTIF(EtapaLista,$B265)=0,"Etapa inválida","OK")))</f>
        <v/>
      </c>
    </row>
    <row r="266" spans="1:10">
      <c r="A266" s="17"/>
      <c r="B266" s="15"/>
      <c r="C266" s="15"/>
      <c r="D266" s="15"/>
      <c r="E266" s="15"/>
      <c r="F266" s="16"/>
      <c r="G266" s="27"/>
      <c r="H266" s="17"/>
      <c r="I266" s="30">
        <f>IF($A266="","",DATE(YEAR($A266),MONTH($A266),1))</f>
        <v/>
      </c>
      <c r="J266" s="31">
        <f>IF($A266="","",IF(OR($B266="",$C266="",$F266="",$G266=""),"Preencher tudo",IF(COUNTIF(EtapaLista,$B266)=0,"Etapa inválida","OK")))</f>
        <v/>
      </c>
    </row>
    <row r="267" spans="1:10">
      <c r="A267" s="17"/>
      <c r="B267" s="15"/>
      <c r="C267" s="15"/>
      <c r="D267" s="15"/>
      <c r="E267" s="15"/>
      <c r="F267" s="16"/>
      <c r="G267" s="27"/>
      <c r="H267" s="17"/>
      <c r="I267" s="30">
        <f>IF($A267="","",DATE(YEAR($A267),MONTH($A267),1))</f>
        <v/>
      </c>
      <c r="J267" s="31">
        <f>IF($A267="","",IF(OR($B267="",$C267="",$F267="",$G267=""),"Preencher tudo",IF(COUNTIF(EtapaLista,$B267)=0,"Etapa inválida","OK")))</f>
        <v/>
      </c>
    </row>
    <row r="268" spans="1:10">
      <c r="A268" s="17"/>
      <c r="B268" s="15"/>
      <c r="C268" s="15"/>
      <c r="D268" s="15"/>
      <c r="E268" s="15"/>
      <c r="F268" s="16"/>
      <c r="G268" s="27"/>
      <c r="H268" s="17"/>
      <c r="I268" s="30">
        <f>IF($A268="","",DATE(YEAR($A268),MONTH($A268),1))</f>
        <v/>
      </c>
      <c r="J268" s="31">
        <f>IF($A268="","",IF(OR($B268="",$C268="",$F268="",$G268=""),"Preencher tudo",IF(COUNTIF(EtapaLista,$B268)=0,"Etapa inválida","OK")))</f>
        <v/>
      </c>
    </row>
    <row r="269" spans="1:10">
      <c r="A269" s="17"/>
      <c r="B269" s="15"/>
      <c r="C269" s="15"/>
      <c r="D269" s="15"/>
      <c r="E269" s="15"/>
      <c r="F269" s="16"/>
      <c r="G269" s="27"/>
      <c r="H269" s="17"/>
      <c r="I269" s="30">
        <f>IF($A269="","",DATE(YEAR($A269),MONTH($A269),1))</f>
        <v/>
      </c>
      <c r="J269" s="31">
        <f>IF($A269="","",IF(OR($B269="",$C269="",$F269="",$G269=""),"Preencher tudo",IF(COUNTIF(EtapaLista,$B269)=0,"Etapa inválida","OK")))</f>
        <v/>
      </c>
    </row>
    <row r="270" spans="1:10">
      <c r="A270" s="17"/>
      <c r="B270" s="15"/>
      <c r="C270" s="15"/>
      <c r="D270" s="15"/>
      <c r="E270" s="15"/>
      <c r="F270" s="16"/>
      <c r="G270" s="27"/>
      <c r="H270" s="17"/>
      <c r="I270" s="30">
        <f>IF($A270="","",DATE(YEAR($A270),MONTH($A270),1))</f>
        <v/>
      </c>
      <c r="J270" s="31">
        <f>IF($A270="","",IF(OR($B270="",$C270="",$F270="",$G270=""),"Preencher tudo",IF(COUNTIF(EtapaLista,$B270)=0,"Etapa inválida","OK")))</f>
        <v/>
      </c>
    </row>
    <row r="271" spans="1:10">
      <c r="A271" s="17"/>
      <c r="B271" s="15"/>
      <c r="C271" s="15"/>
      <c r="D271" s="15"/>
      <c r="E271" s="15"/>
      <c r="F271" s="16"/>
      <c r="G271" s="27"/>
      <c r="H271" s="17"/>
      <c r="I271" s="30">
        <f>IF($A271="","",DATE(YEAR($A271),MONTH($A271),1))</f>
        <v/>
      </c>
      <c r="J271" s="31">
        <f>IF($A271="","",IF(OR($B271="",$C271="",$F271="",$G271=""),"Preencher tudo",IF(COUNTIF(EtapaLista,$B271)=0,"Etapa inválida","OK")))</f>
        <v/>
      </c>
    </row>
    <row r="272" spans="1:10">
      <c r="A272" s="17"/>
      <c r="B272" s="15"/>
      <c r="C272" s="15"/>
      <c r="D272" s="15"/>
      <c r="E272" s="15"/>
      <c r="F272" s="16"/>
      <c r="G272" s="27"/>
      <c r="H272" s="17"/>
      <c r="I272" s="30">
        <f>IF($A272="","",DATE(YEAR($A272),MONTH($A272),1))</f>
        <v/>
      </c>
      <c r="J272" s="31">
        <f>IF($A272="","",IF(OR($B272="",$C272="",$F272="",$G272=""),"Preencher tudo",IF(COUNTIF(EtapaLista,$B272)=0,"Etapa inválida","OK")))</f>
        <v/>
      </c>
    </row>
    <row r="273" spans="1:10">
      <c r="A273" s="17"/>
      <c r="B273" s="15"/>
      <c r="C273" s="15"/>
      <c r="D273" s="15"/>
      <c r="E273" s="15"/>
      <c r="F273" s="16"/>
      <c r="G273" s="27"/>
      <c r="H273" s="17"/>
      <c r="I273" s="30">
        <f>IF($A273="","",DATE(YEAR($A273),MONTH($A273),1))</f>
        <v/>
      </c>
      <c r="J273" s="31">
        <f>IF($A273="","",IF(OR($B273="",$C273="",$F273="",$G273=""),"Preencher tudo",IF(COUNTIF(EtapaLista,$B273)=0,"Etapa inválida","OK")))</f>
        <v/>
      </c>
    </row>
    <row r="274" spans="1:10">
      <c r="A274" s="17"/>
      <c r="B274" s="15"/>
      <c r="C274" s="15"/>
      <c r="D274" s="15"/>
      <c r="E274" s="15"/>
      <c r="F274" s="16"/>
      <c r="G274" s="27"/>
      <c r="H274" s="17"/>
      <c r="I274" s="30">
        <f>IF($A274="","",DATE(YEAR($A274),MONTH($A274),1))</f>
        <v/>
      </c>
      <c r="J274" s="31">
        <f>IF($A274="","",IF(OR($B274="",$C274="",$F274="",$G274=""),"Preencher tudo",IF(COUNTIF(EtapaLista,$B274)=0,"Etapa inválida","OK")))</f>
        <v/>
      </c>
    </row>
    <row r="275" spans="1:10">
      <c r="A275" s="17"/>
      <c r="B275" s="15"/>
      <c r="C275" s="15"/>
      <c r="D275" s="15"/>
      <c r="E275" s="15"/>
      <c r="F275" s="16"/>
      <c r="G275" s="27"/>
      <c r="H275" s="17"/>
      <c r="I275" s="30">
        <f>IF($A275="","",DATE(YEAR($A275),MONTH($A275),1))</f>
        <v/>
      </c>
      <c r="J275" s="31">
        <f>IF($A275="","",IF(OR($B275="",$C275="",$F275="",$G275=""),"Preencher tudo",IF(COUNTIF(EtapaLista,$B275)=0,"Etapa inválida","OK")))</f>
        <v/>
      </c>
    </row>
    <row r="276" spans="1:10">
      <c r="A276" s="17"/>
      <c r="B276" s="15"/>
      <c r="C276" s="15"/>
      <c r="D276" s="15"/>
      <c r="E276" s="15"/>
      <c r="F276" s="16"/>
      <c r="G276" s="27"/>
      <c r="H276" s="17"/>
      <c r="I276" s="30">
        <f>IF($A276="","",DATE(YEAR($A276),MONTH($A276),1))</f>
        <v/>
      </c>
      <c r="J276" s="31">
        <f>IF($A276="","",IF(OR($B276="",$C276="",$F276="",$G276=""),"Preencher tudo",IF(COUNTIF(EtapaLista,$B276)=0,"Etapa inválida","OK")))</f>
        <v/>
      </c>
    </row>
    <row r="277" spans="1:10">
      <c r="A277" s="17"/>
      <c r="B277" s="15"/>
      <c r="C277" s="15"/>
      <c r="D277" s="15"/>
      <c r="E277" s="15"/>
      <c r="F277" s="16"/>
      <c r="G277" s="27"/>
      <c r="H277" s="17"/>
      <c r="I277" s="30">
        <f>IF($A277="","",DATE(YEAR($A277),MONTH($A277),1))</f>
        <v/>
      </c>
      <c r="J277" s="31">
        <f>IF($A277="","",IF(OR($B277="",$C277="",$F277="",$G277=""),"Preencher tudo",IF(COUNTIF(EtapaLista,$B277)=0,"Etapa inválida","OK")))</f>
        <v/>
      </c>
    </row>
    <row r="278" spans="1:10">
      <c r="A278" s="17"/>
      <c r="B278" s="15"/>
      <c r="C278" s="15"/>
      <c r="D278" s="15"/>
      <c r="E278" s="15"/>
      <c r="F278" s="16"/>
      <c r="G278" s="27"/>
      <c r="H278" s="17"/>
      <c r="I278" s="30">
        <f>IF($A278="","",DATE(YEAR($A278),MONTH($A278),1))</f>
        <v/>
      </c>
      <c r="J278" s="31">
        <f>IF($A278="","",IF(OR($B278="",$C278="",$F278="",$G278=""),"Preencher tudo",IF(COUNTIF(EtapaLista,$B278)=0,"Etapa inválida","OK")))</f>
        <v/>
      </c>
    </row>
    <row r="279" spans="1:10">
      <c r="A279" s="17"/>
      <c r="B279" s="15"/>
      <c r="C279" s="15"/>
      <c r="D279" s="15"/>
      <c r="E279" s="15"/>
      <c r="F279" s="16"/>
      <c r="G279" s="27"/>
      <c r="H279" s="17"/>
      <c r="I279" s="30">
        <f>IF($A279="","",DATE(YEAR($A279),MONTH($A279),1))</f>
        <v/>
      </c>
      <c r="J279" s="31">
        <f>IF($A279="","",IF(OR($B279="",$C279="",$F279="",$G279=""),"Preencher tudo",IF(COUNTIF(EtapaLista,$B279)=0,"Etapa inválida","OK")))</f>
        <v/>
      </c>
    </row>
    <row r="280" spans="1:10">
      <c r="A280" s="17"/>
      <c r="B280" s="15"/>
      <c r="C280" s="15"/>
      <c r="D280" s="15"/>
      <c r="E280" s="15"/>
      <c r="F280" s="16"/>
      <c r="G280" s="27"/>
      <c r="H280" s="17"/>
      <c r="I280" s="30">
        <f>IF($A280="","",DATE(YEAR($A280),MONTH($A280),1))</f>
        <v/>
      </c>
      <c r="J280" s="31">
        <f>IF($A280="","",IF(OR($B280="",$C280="",$F280="",$G280=""),"Preencher tudo",IF(COUNTIF(EtapaLista,$B280)=0,"Etapa inválida","OK")))</f>
        <v/>
      </c>
    </row>
    <row r="281" spans="1:10">
      <c r="A281" s="17"/>
      <c r="B281" s="15"/>
      <c r="C281" s="15"/>
      <c r="D281" s="15"/>
      <c r="E281" s="15"/>
      <c r="F281" s="16"/>
      <c r="G281" s="27"/>
      <c r="H281" s="17"/>
      <c r="I281" s="30">
        <f>IF($A281="","",DATE(YEAR($A281),MONTH($A281),1))</f>
        <v/>
      </c>
      <c r="J281" s="31">
        <f>IF($A281="","",IF(OR($B281="",$C281="",$F281="",$G281=""),"Preencher tudo",IF(COUNTIF(EtapaLista,$B281)=0,"Etapa inválida","OK")))</f>
        <v/>
      </c>
    </row>
    <row r="282" spans="1:10">
      <c r="A282" s="17"/>
      <c r="B282" s="15"/>
      <c r="C282" s="15"/>
      <c r="D282" s="15"/>
      <c r="E282" s="15"/>
      <c r="F282" s="16"/>
      <c r="G282" s="27"/>
      <c r="H282" s="17"/>
      <c r="I282" s="30">
        <f>IF($A282="","",DATE(YEAR($A282),MONTH($A282),1))</f>
        <v/>
      </c>
      <c r="J282" s="31">
        <f>IF($A282="","",IF(OR($B282="",$C282="",$F282="",$G282=""),"Preencher tudo",IF(COUNTIF(EtapaLista,$B282)=0,"Etapa inválida","OK")))</f>
        <v/>
      </c>
    </row>
    <row r="283" spans="1:10">
      <c r="A283" s="17"/>
      <c r="B283" s="15"/>
      <c r="C283" s="15"/>
      <c r="D283" s="15"/>
      <c r="E283" s="15"/>
      <c r="F283" s="16"/>
      <c r="G283" s="27"/>
      <c r="H283" s="17"/>
      <c r="I283" s="30">
        <f>IF($A283="","",DATE(YEAR($A283),MONTH($A283),1))</f>
        <v/>
      </c>
      <c r="J283" s="31">
        <f>IF($A283="","",IF(OR($B283="",$C283="",$F283="",$G283=""),"Preencher tudo",IF(COUNTIF(EtapaLista,$B283)=0,"Etapa inválida","OK")))</f>
        <v/>
      </c>
    </row>
    <row r="284" spans="1:10">
      <c r="A284" s="17"/>
      <c r="B284" s="15"/>
      <c r="C284" s="15"/>
      <c r="D284" s="15"/>
      <c r="E284" s="15"/>
      <c r="F284" s="16"/>
      <c r="G284" s="27"/>
      <c r="H284" s="17"/>
      <c r="I284" s="30">
        <f>IF($A284="","",DATE(YEAR($A284),MONTH($A284),1))</f>
        <v/>
      </c>
      <c r="J284" s="31">
        <f>IF($A284="","",IF(OR($B284="",$C284="",$F284="",$G284=""),"Preencher tudo",IF(COUNTIF(EtapaLista,$B284)=0,"Etapa inválida","OK")))</f>
        <v/>
      </c>
    </row>
    <row r="285" spans="1:10">
      <c r="A285" s="17"/>
      <c r="B285" s="15"/>
      <c r="C285" s="15"/>
      <c r="D285" s="15"/>
      <c r="E285" s="15"/>
      <c r="F285" s="16"/>
      <c r="G285" s="27"/>
      <c r="H285" s="17"/>
      <c r="I285" s="30">
        <f>IF($A285="","",DATE(YEAR($A285),MONTH($A285),1))</f>
        <v/>
      </c>
      <c r="J285" s="31">
        <f>IF($A285="","",IF(OR($B285="",$C285="",$F285="",$G285=""),"Preencher tudo",IF(COUNTIF(EtapaLista,$B285)=0,"Etapa inválida","OK")))</f>
        <v/>
      </c>
    </row>
    <row r="286" spans="1:10">
      <c r="A286" s="17"/>
      <c r="B286" s="15"/>
      <c r="C286" s="15"/>
      <c r="D286" s="15"/>
      <c r="E286" s="15"/>
      <c r="F286" s="16"/>
      <c r="G286" s="27"/>
      <c r="H286" s="17"/>
      <c r="I286" s="30">
        <f>IF($A286="","",DATE(YEAR($A286),MONTH($A286),1))</f>
        <v/>
      </c>
      <c r="J286" s="31">
        <f>IF($A286="","",IF(OR($B286="",$C286="",$F286="",$G286=""),"Preencher tudo",IF(COUNTIF(EtapaLista,$B286)=0,"Etapa inválida","OK")))</f>
        <v/>
      </c>
    </row>
    <row r="287" spans="1:10">
      <c r="A287" s="17"/>
      <c r="B287" s="15"/>
      <c r="C287" s="15"/>
      <c r="D287" s="15"/>
      <c r="E287" s="15"/>
      <c r="F287" s="16"/>
      <c r="G287" s="27"/>
      <c r="H287" s="17"/>
      <c r="I287" s="30">
        <f>IF($A287="","",DATE(YEAR($A287),MONTH($A287),1))</f>
        <v/>
      </c>
      <c r="J287" s="31">
        <f>IF($A287="","",IF(OR($B287="",$C287="",$F287="",$G287=""),"Preencher tudo",IF(COUNTIF(EtapaLista,$B287)=0,"Etapa inválida","OK")))</f>
        <v/>
      </c>
    </row>
    <row r="288" spans="1:10">
      <c r="A288" s="17"/>
      <c r="B288" s="15"/>
      <c r="C288" s="15"/>
      <c r="D288" s="15"/>
      <c r="E288" s="15"/>
      <c r="F288" s="16"/>
      <c r="G288" s="27"/>
      <c r="H288" s="17"/>
      <c r="I288" s="30">
        <f>IF($A288="","",DATE(YEAR($A288),MONTH($A288),1))</f>
        <v/>
      </c>
      <c r="J288" s="31">
        <f>IF($A288="","",IF(OR($B288="",$C288="",$F288="",$G288=""),"Preencher tudo",IF(COUNTIF(EtapaLista,$B288)=0,"Etapa inválida","OK")))</f>
        <v/>
      </c>
    </row>
    <row r="289" spans="1:10">
      <c r="A289" s="17"/>
      <c r="B289" s="15"/>
      <c r="C289" s="15"/>
      <c r="D289" s="15"/>
      <c r="E289" s="15"/>
      <c r="F289" s="16"/>
      <c r="G289" s="27"/>
      <c r="H289" s="17"/>
      <c r="I289" s="30">
        <f>IF($A289="","",DATE(YEAR($A289),MONTH($A289),1))</f>
        <v/>
      </c>
      <c r="J289" s="31">
        <f>IF($A289="","",IF(OR($B289="",$C289="",$F289="",$G289=""),"Preencher tudo",IF(COUNTIF(EtapaLista,$B289)=0,"Etapa inválida","OK")))</f>
        <v/>
      </c>
    </row>
    <row r="290" spans="1:10">
      <c r="A290" s="17"/>
      <c r="B290" s="15"/>
      <c r="C290" s="15"/>
      <c r="D290" s="15"/>
      <c r="E290" s="15"/>
      <c r="F290" s="16"/>
      <c r="G290" s="27"/>
      <c r="H290" s="17"/>
      <c r="I290" s="30">
        <f>IF($A290="","",DATE(YEAR($A290),MONTH($A290),1))</f>
        <v/>
      </c>
      <c r="J290" s="31">
        <f>IF($A290="","",IF(OR($B290="",$C290="",$F290="",$G290=""),"Preencher tudo",IF(COUNTIF(EtapaLista,$B290)=0,"Etapa inválida","OK")))</f>
        <v/>
      </c>
    </row>
    <row r="291" spans="1:10">
      <c r="A291" s="17"/>
      <c r="B291" s="15"/>
      <c r="C291" s="15"/>
      <c r="D291" s="15"/>
      <c r="E291" s="15"/>
      <c r="F291" s="16"/>
      <c r="G291" s="27"/>
      <c r="H291" s="17"/>
      <c r="I291" s="30">
        <f>IF($A291="","",DATE(YEAR($A291),MONTH($A291),1))</f>
        <v/>
      </c>
      <c r="J291" s="31">
        <f>IF($A291="","",IF(OR($B291="",$C291="",$F291="",$G291=""),"Preencher tudo",IF(COUNTIF(EtapaLista,$B291)=0,"Etapa inválida","OK")))</f>
        <v/>
      </c>
    </row>
    <row r="292" spans="1:10">
      <c r="A292" s="17"/>
      <c r="B292" s="15"/>
      <c r="C292" s="15"/>
      <c r="D292" s="15"/>
      <c r="E292" s="15"/>
      <c r="F292" s="16"/>
      <c r="G292" s="27"/>
      <c r="H292" s="17"/>
      <c r="I292" s="30">
        <f>IF($A292="","",DATE(YEAR($A292),MONTH($A292),1))</f>
        <v/>
      </c>
      <c r="J292" s="31">
        <f>IF($A292="","",IF(OR($B292="",$C292="",$F292="",$G292=""),"Preencher tudo",IF(COUNTIF(EtapaLista,$B292)=0,"Etapa inválida","OK")))</f>
        <v/>
      </c>
    </row>
    <row r="293" spans="1:10">
      <c r="A293" s="17"/>
      <c r="B293" s="15"/>
      <c r="C293" s="15"/>
      <c r="D293" s="15"/>
      <c r="E293" s="15"/>
      <c r="F293" s="16"/>
      <c r="G293" s="27"/>
      <c r="H293" s="17"/>
      <c r="I293" s="30">
        <f>IF($A293="","",DATE(YEAR($A293),MONTH($A293),1))</f>
        <v/>
      </c>
      <c r="J293" s="31">
        <f>IF($A293="","",IF(OR($B293="",$C293="",$F293="",$G293=""),"Preencher tudo",IF(COUNTIF(EtapaLista,$B293)=0,"Etapa inválida","OK")))</f>
        <v/>
      </c>
    </row>
    <row r="294" spans="1:10">
      <c r="A294" s="17"/>
      <c r="B294" s="15"/>
      <c r="C294" s="15"/>
      <c r="D294" s="15"/>
      <c r="E294" s="15"/>
      <c r="F294" s="16"/>
      <c r="G294" s="27"/>
      <c r="H294" s="17"/>
      <c r="I294" s="30">
        <f>IF($A294="","",DATE(YEAR($A294),MONTH($A294),1))</f>
        <v/>
      </c>
      <c r="J294" s="31">
        <f>IF($A294="","",IF(OR($B294="",$C294="",$F294="",$G294=""),"Preencher tudo",IF(COUNTIF(EtapaLista,$B294)=0,"Etapa inválida","OK")))</f>
        <v/>
      </c>
    </row>
    <row r="295" spans="1:10">
      <c r="A295" s="17"/>
      <c r="B295" s="15"/>
      <c r="C295" s="15"/>
      <c r="D295" s="15"/>
      <c r="E295" s="15"/>
      <c r="F295" s="16"/>
      <c r="G295" s="27"/>
      <c r="H295" s="17"/>
      <c r="I295" s="30">
        <f>IF($A295="","",DATE(YEAR($A295),MONTH($A295),1))</f>
        <v/>
      </c>
      <c r="J295" s="31">
        <f>IF($A295="","",IF(OR($B295="",$C295="",$F295="",$G295=""),"Preencher tudo",IF(COUNTIF(EtapaLista,$B295)=0,"Etapa inválida","OK")))</f>
        <v/>
      </c>
    </row>
    <row r="296" spans="1:10">
      <c r="A296" s="17"/>
      <c r="B296" s="15"/>
      <c r="C296" s="15"/>
      <c r="D296" s="15"/>
      <c r="E296" s="15"/>
      <c r="F296" s="16"/>
      <c r="G296" s="27"/>
      <c r="H296" s="17"/>
      <c r="I296" s="30">
        <f>IF($A296="","",DATE(YEAR($A296),MONTH($A296),1))</f>
        <v/>
      </c>
      <c r="J296" s="31">
        <f>IF($A296="","",IF(OR($B296="",$C296="",$F296="",$G296=""),"Preencher tudo",IF(COUNTIF(EtapaLista,$B296)=0,"Etapa inválida","OK")))</f>
        <v/>
      </c>
    </row>
    <row r="297" spans="1:10">
      <c r="A297" s="17"/>
      <c r="B297" s="15"/>
      <c r="C297" s="15"/>
      <c r="D297" s="15"/>
      <c r="E297" s="15"/>
      <c r="F297" s="16"/>
      <c r="G297" s="27"/>
      <c r="H297" s="17"/>
      <c r="I297" s="30">
        <f>IF($A297="","",DATE(YEAR($A297),MONTH($A297),1))</f>
        <v/>
      </c>
      <c r="J297" s="31">
        <f>IF($A297="","",IF(OR($B297="",$C297="",$F297="",$G297=""),"Preencher tudo",IF(COUNTIF(EtapaLista,$B297)=0,"Etapa inválida","OK")))</f>
        <v/>
      </c>
    </row>
    <row r="298" spans="1:10">
      <c r="A298" s="17"/>
      <c r="B298" s="15"/>
      <c r="C298" s="15"/>
      <c r="D298" s="15"/>
      <c r="E298" s="15"/>
      <c r="F298" s="16"/>
      <c r="G298" s="27"/>
      <c r="H298" s="17"/>
      <c r="I298" s="30">
        <f>IF($A298="","",DATE(YEAR($A298),MONTH($A298),1))</f>
        <v/>
      </c>
      <c r="J298" s="31">
        <f>IF($A298="","",IF(OR($B298="",$C298="",$F298="",$G298=""),"Preencher tudo",IF(COUNTIF(EtapaLista,$B298)=0,"Etapa inválida","OK")))</f>
        <v/>
      </c>
    </row>
    <row r="299" spans="1:10">
      <c r="A299" s="17"/>
      <c r="B299" s="15"/>
      <c r="C299" s="15"/>
      <c r="D299" s="15"/>
      <c r="E299" s="15"/>
      <c r="F299" s="16"/>
      <c r="G299" s="27"/>
      <c r="H299" s="17"/>
      <c r="I299" s="30">
        <f>IF($A299="","",DATE(YEAR($A299),MONTH($A299),1))</f>
        <v/>
      </c>
      <c r="J299" s="31">
        <f>IF($A299="","",IF(OR($B299="",$C299="",$F299="",$G299=""),"Preencher tudo",IF(COUNTIF(EtapaLista,$B299)=0,"Etapa inválida","OK")))</f>
        <v/>
      </c>
    </row>
    <row r="300" spans="1:10">
      <c r="A300" s="17"/>
      <c r="B300" s="15"/>
      <c r="C300" s="15"/>
      <c r="D300" s="15"/>
      <c r="E300" s="15"/>
      <c r="F300" s="16"/>
      <c r="G300" s="27"/>
      <c r="H300" s="17"/>
      <c r="I300" s="30">
        <f>IF($A300="","",DATE(YEAR($A300),MONTH($A300),1))</f>
        <v/>
      </c>
      <c r="J300" s="31">
        <f>IF($A300="","",IF(OR($B300="",$C300="",$F300="",$G300=""),"Preencher tudo",IF(COUNTIF(EtapaLista,$B300)=0,"Etapa inválida","OK")))</f>
        <v/>
      </c>
    </row>
    <row r="301" spans="1:10">
      <c r="A301" s="17"/>
      <c r="B301" s="15"/>
      <c r="C301" s="15"/>
      <c r="D301" s="15"/>
      <c r="E301" s="15"/>
      <c r="F301" s="16"/>
      <c r="G301" s="27"/>
      <c r="H301" s="17"/>
      <c r="I301" s="30">
        <f>IF($A301="","",DATE(YEAR($A301),MONTH($A301),1))</f>
        <v/>
      </c>
      <c r="J301" s="31">
        <f>IF($A301="","",IF(OR($B301="",$C301="",$F301="",$G301=""),"Preencher tudo",IF(COUNTIF(EtapaLista,$B301)=0,"Etapa inválida","OK")))</f>
        <v/>
      </c>
    </row>
    <row r="302" spans="1:10">
      <c r="A302" s="17"/>
      <c r="B302" s="15"/>
      <c r="C302" s="15"/>
      <c r="D302" s="15"/>
      <c r="E302" s="15"/>
      <c r="F302" s="16"/>
      <c r="G302" s="27"/>
      <c r="H302" s="17"/>
      <c r="I302" s="30">
        <f>IF($A302="","",DATE(YEAR($A302),MONTH($A302),1))</f>
        <v/>
      </c>
      <c r="J302" s="31">
        <f>IF($A302="","",IF(OR($B302="",$C302="",$F302="",$G302=""),"Preencher tudo",IF(COUNTIF(EtapaLista,$B302)=0,"Etapa inválida","OK")))</f>
        <v/>
      </c>
    </row>
    <row r="303" spans="1:10">
      <c r="A303" s="17"/>
      <c r="B303" s="15"/>
      <c r="C303" s="15"/>
      <c r="D303" s="15"/>
      <c r="E303" s="15"/>
      <c r="F303" s="16"/>
      <c r="G303" s="27"/>
      <c r="H303" s="17"/>
      <c r="I303" s="30">
        <f>IF($A303="","",DATE(YEAR($A303),MONTH($A303),1))</f>
        <v/>
      </c>
      <c r="J303" s="31">
        <f>IF($A303="","",IF(OR($B303="",$C303="",$F303="",$G303=""),"Preencher tudo",IF(COUNTIF(EtapaLista,$B303)=0,"Etapa inválida","OK")))</f>
        <v/>
      </c>
    </row>
    <row r="304" spans="1:10">
      <c r="A304" s="17"/>
      <c r="B304" s="15"/>
      <c r="C304" s="15"/>
      <c r="D304" s="15"/>
      <c r="E304" s="15"/>
      <c r="F304" s="16"/>
      <c r="G304" s="27"/>
      <c r="H304" s="17"/>
      <c r="I304" s="30">
        <f>IF($A304="","",DATE(YEAR($A304),MONTH($A304),1))</f>
        <v/>
      </c>
      <c r="J304" s="31">
        <f>IF($A304="","",IF(OR($B304="",$C304="",$F304="",$G304=""),"Preencher tudo",IF(COUNTIF(EtapaLista,$B304)=0,"Etapa inválida","OK")))</f>
        <v/>
      </c>
    </row>
    <row r="305" spans="1:10">
      <c r="A305" s="17"/>
      <c r="B305" s="15"/>
      <c r="C305" s="15"/>
      <c r="D305" s="15"/>
      <c r="E305" s="15"/>
      <c r="F305" s="16"/>
      <c r="G305" s="27"/>
      <c r="H305" s="17"/>
      <c r="I305" s="30">
        <f>IF($A305="","",DATE(YEAR($A305),MONTH($A305),1))</f>
        <v/>
      </c>
      <c r="J305" s="31">
        <f>IF($A305="","",IF(OR($B305="",$C305="",$F305="",$G305=""),"Preencher tudo",IF(COUNTIF(EtapaLista,$B305)=0,"Etapa inválida","OK")))</f>
        <v/>
      </c>
    </row>
    <row r="306" spans="1:10">
      <c r="A306" s="17"/>
      <c r="B306" s="15"/>
      <c r="C306" s="15"/>
      <c r="D306" s="15"/>
      <c r="E306" s="15"/>
      <c r="F306" s="16"/>
      <c r="G306" s="27"/>
      <c r="H306" s="17"/>
      <c r="I306" s="30">
        <f>IF($A306="","",DATE(YEAR($A306),MONTH($A306),1))</f>
        <v/>
      </c>
      <c r="J306" s="31">
        <f>IF($A306="","",IF(OR($B306="",$C306="",$F306="",$G306=""),"Preencher tudo",IF(COUNTIF(EtapaLista,$B306)=0,"Etapa inválida","OK")))</f>
        <v/>
      </c>
    </row>
    <row r="307" spans="1:10">
      <c r="A307" s="17"/>
      <c r="B307" s="15"/>
      <c r="C307" s="15"/>
      <c r="D307" s="15"/>
      <c r="E307" s="15"/>
      <c r="F307" s="16"/>
      <c r="G307" s="27"/>
      <c r="H307" s="17"/>
      <c r="I307" s="30">
        <f>IF($A307="","",DATE(YEAR($A307),MONTH($A307),1))</f>
        <v/>
      </c>
      <c r="J307" s="31">
        <f>IF($A307="","",IF(OR($B307="",$C307="",$F307="",$G307=""),"Preencher tudo",IF(COUNTIF(EtapaLista,$B307)=0,"Etapa inválida","OK")))</f>
        <v/>
      </c>
    </row>
    <row r="308" spans="1:10">
      <c r="A308" s="17"/>
      <c r="B308" s="15"/>
      <c r="C308" s="15"/>
      <c r="D308" s="15"/>
      <c r="E308" s="15"/>
      <c r="F308" s="16"/>
      <c r="G308" s="27"/>
      <c r="H308" s="17"/>
      <c r="I308" s="30">
        <f>IF($A308="","",DATE(YEAR($A308),MONTH($A308),1))</f>
        <v/>
      </c>
      <c r="J308" s="31">
        <f>IF($A308="","",IF(OR($B308="",$C308="",$F308="",$G308=""),"Preencher tudo",IF(COUNTIF(EtapaLista,$B308)=0,"Etapa inválida","OK")))</f>
        <v/>
      </c>
    </row>
    <row r="309" spans="1:10">
      <c r="A309" s="17"/>
      <c r="B309" s="15"/>
      <c r="C309" s="15"/>
      <c r="D309" s="15"/>
      <c r="E309" s="15"/>
      <c r="F309" s="16"/>
      <c r="G309" s="27"/>
      <c r="H309" s="17"/>
      <c r="I309" s="30">
        <f>IF($A309="","",DATE(YEAR($A309),MONTH($A309),1))</f>
        <v/>
      </c>
      <c r="J309" s="31">
        <f>IF($A309="","",IF(OR($B309="",$C309="",$F309="",$G309=""),"Preencher tudo",IF(COUNTIF(EtapaLista,$B309)=0,"Etapa inválida","OK")))</f>
        <v/>
      </c>
    </row>
    <row r="310" spans="1:10">
      <c r="A310" s="17"/>
      <c r="B310" s="15"/>
      <c r="C310" s="15"/>
      <c r="D310" s="15"/>
      <c r="E310" s="15"/>
      <c r="F310" s="16"/>
      <c r="G310" s="27"/>
      <c r="H310" s="17"/>
      <c r="I310" s="30">
        <f>IF($A310="","",DATE(YEAR($A310),MONTH($A310),1))</f>
        <v/>
      </c>
      <c r="J310" s="31">
        <f>IF($A310="","",IF(OR($B310="",$C310="",$F310="",$G310=""),"Preencher tudo",IF(COUNTIF(EtapaLista,$B310)=0,"Etapa inválida","OK")))</f>
        <v/>
      </c>
    </row>
    <row r="311" spans="1:10">
      <c r="A311" s="17"/>
      <c r="B311" s="15"/>
      <c r="C311" s="15"/>
      <c r="D311" s="15"/>
      <c r="E311" s="15"/>
      <c r="F311" s="16"/>
      <c r="G311" s="27"/>
      <c r="H311" s="17"/>
      <c r="I311" s="30">
        <f>IF($A311="","",DATE(YEAR($A311),MONTH($A311),1))</f>
        <v/>
      </c>
      <c r="J311" s="31">
        <f>IF($A311="","",IF(OR($B311="",$C311="",$F311="",$G311=""),"Preencher tudo",IF(COUNTIF(EtapaLista,$B311)=0,"Etapa inválida","OK")))</f>
        <v/>
      </c>
    </row>
    <row r="312" spans="1:10">
      <c r="A312" s="17"/>
      <c r="B312" s="15"/>
      <c r="C312" s="15"/>
      <c r="D312" s="15"/>
      <c r="E312" s="15"/>
      <c r="F312" s="16"/>
      <c r="G312" s="27"/>
      <c r="H312" s="17"/>
      <c r="I312" s="30">
        <f>IF($A312="","",DATE(YEAR($A312),MONTH($A312),1))</f>
        <v/>
      </c>
      <c r="J312" s="31">
        <f>IF($A312="","",IF(OR($B312="",$C312="",$F312="",$G312=""),"Preencher tudo",IF(COUNTIF(EtapaLista,$B312)=0,"Etapa inválida","OK")))</f>
        <v/>
      </c>
    </row>
    <row r="313" spans="1:10">
      <c r="A313" s="17"/>
      <c r="B313" s="15"/>
      <c r="C313" s="15"/>
      <c r="D313" s="15"/>
      <c r="E313" s="15"/>
      <c r="F313" s="16"/>
      <c r="G313" s="27"/>
      <c r="H313" s="17"/>
      <c r="I313" s="30">
        <f>IF($A313="","",DATE(YEAR($A313),MONTH($A313),1))</f>
        <v/>
      </c>
      <c r="J313" s="31">
        <f>IF($A313="","",IF(OR($B313="",$C313="",$F313="",$G313=""),"Preencher tudo",IF(COUNTIF(EtapaLista,$B313)=0,"Etapa inválida","OK")))</f>
        <v/>
      </c>
    </row>
    <row r="314" spans="1:10">
      <c r="A314" s="17"/>
      <c r="B314" s="15"/>
      <c r="C314" s="15"/>
      <c r="D314" s="15"/>
      <c r="E314" s="15"/>
      <c r="F314" s="16"/>
      <c r="G314" s="27"/>
      <c r="H314" s="17"/>
      <c r="I314" s="30">
        <f>IF($A314="","",DATE(YEAR($A314),MONTH($A314),1))</f>
        <v/>
      </c>
      <c r="J314" s="31">
        <f>IF($A314="","",IF(OR($B314="",$C314="",$F314="",$G314=""),"Preencher tudo",IF(COUNTIF(EtapaLista,$B314)=0,"Etapa inválida","OK")))</f>
        <v/>
      </c>
    </row>
    <row r="315" spans="1:10">
      <c r="A315" s="17"/>
      <c r="B315" s="15"/>
      <c r="C315" s="15"/>
      <c r="D315" s="15"/>
      <c r="E315" s="15"/>
      <c r="F315" s="16"/>
      <c r="G315" s="27"/>
      <c r="H315" s="17"/>
      <c r="I315" s="30">
        <f>IF($A315="","",DATE(YEAR($A315),MONTH($A315),1))</f>
        <v/>
      </c>
      <c r="J315" s="31">
        <f>IF($A315="","",IF(OR($B315="",$C315="",$F315="",$G315=""),"Preencher tudo",IF(COUNTIF(EtapaLista,$B315)=0,"Etapa inválida","OK")))</f>
        <v/>
      </c>
    </row>
    <row r="316" spans="1:10">
      <c r="A316" s="17"/>
      <c r="B316" s="15"/>
      <c r="C316" s="15"/>
      <c r="D316" s="15"/>
      <c r="E316" s="15"/>
      <c r="F316" s="16"/>
      <c r="G316" s="27"/>
      <c r="H316" s="17"/>
      <c r="I316" s="30">
        <f>IF($A316="","",DATE(YEAR($A316),MONTH($A316),1))</f>
        <v/>
      </c>
      <c r="J316" s="31">
        <f>IF($A316="","",IF(OR($B316="",$C316="",$F316="",$G316=""),"Preencher tudo",IF(COUNTIF(EtapaLista,$B316)=0,"Etapa inválida","OK")))</f>
        <v/>
      </c>
    </row>
    <row r="317" spans="1:10">
      <c r="A317" s="17"/>
      <c r="B317" s="15"/>
      <c r="C317" s="15"/>
      <c r="D317" s="15"/>
      <c r="E317" s="15"/>
      <c r="F317" s="16"/>
      <c r="G317" s="27"/>
      <c r="H317" s="17"/>
      <c r="I317" s="30">
        <f>IF($A317="","",DATE(YEAR($A317),MONTH($A317),1))</f>
        <v/>
      </c>
      <c r="J317" s="31">
        <f>IF($A317="","",IF(OR($B317="",$C317="",$F317="",$G317=""),"Preencher tudo",IF(COUNTIF(EtapaLista,$B317)=0,"Etapa inválida","OK")))</f>
        <v/>
      </c>
    </row>
    <row r="318" spans="1:10">
      <c r="A318" s="17"/>
      <c r="B318" s="15"/>
      <c r="C318" s="15"/>
      <c r="D318" s="15"/>
      <c r="E318" s="15"/>
      <c r="F318" s="16"/>
      <c r="G318" s="27"/>
      <c r="H318" s="17"/>
      <c r="I318" s="30">
        <f>IF($A318="","",DATE(YEAR($A318),MONTH($A318),1))</f>
        <v/>
      </c>
      <c r="J318" s="31">
        <f>IF($A318="","",IF(OR($B318="",$C318="",$F318="",$G318=""),"Preencher tudo",IF(COUNTIF(EtapaLista,$B318)=0,"Etapa inválida","OK")))</f>
        <v/>
      </c>
    </row>
    <row r="319" spans="1:10">
      <c r="A319" s="17"/>
      <c r="B319" s="15"/>
      <c r="C319" s="15"/>
      <c r="D319" s="15"/>
      <c r="E319" s="15"/>
      <c r="F319" s="16"/>
      <c r="G319" s="27"/>
      <c r="H319" s="17"/>
      <c r="I319" s="30">
        <f>IF($A319="","",DATE(YEAR($A319),MONTH($A319),1))</f>
        <v/>
      </c>
      <c r="J319" s="31">
        <f>IF($A319="","",IF(OR($B319="",$C319="",$F319="",$G319=""),"Preencher tudo",IF(COUNTIF(EtapaLista,$B319)=0,"Etapa inválida","OK")))</f>
        <v/>
      </c>
    </row>
    <row r="320" spans="1:10">
      <c r="A320" s="17"/>
      <c r="B320" s="15"/>
      <c r="C320" s="15"/>
      <c r="D320" s="15"/>
      <c r="E320" s="15"/>
      <c r="F320" s="16"/>
      <c r="G320" s="27"/>
      <c r="H320" s="17"/>
      <c r="I320" s="30">
        <f>IF($A320="","",DATE(YEAR($A320),MONTH($A320),1))</f>
        <v/>
      </c>
      <c r="J320" s="31">
        <f>IF($A320="","",IF(OR($B320="",$C320="",$F320="",$G320=""),"Preencher tudo",IF(COUNTIF(EtapaLista,$B320)=0,"Etapa inválida","OK")))</f>
        <v/>
      </c>
    </row>
    <row r="321" spans="1:10">
      <c r="A321" s="17"/>
      <c r="B321" s="15"/>
      <c r="C321" s="15"/>
      <c r="D321" s="15"/>
      <c r="E321" s="15"/>
      <c r="F321" s="16"/>
      <c r="G321" s="27"/>
      <c r="H321" s="17"/>
      <c r="I321" s="30">
        <f>IF($A321="","",DATE(YEAR($A321),MONTH($A321),1))</f>
        <v/>
      </c>
      <c r="J321" s="31">
        <f>IF($A321="","",IF(OR($B321="",$C321="",$F321="",$G321=""),"Preencher tudo",IF(COUNTIF(EtapaLista,$B321)=0,"Etapa inválida","OK")))</f>
        <v/>
      </c>
    </row>
    <row r="322" spans="1:10">
      <c r="A322" s="17"/>
      <c r="B322" s="15"/>
      <c r="C322" s="15"/>
      <c r="D322" s="15"/>
      <c r="E322" s="15"/>
      <c r="F322" s="16"/>
      <c r="G322" s="27"/>
      <c r="H322" s="17"/>
      <c r="I322" s="30">
        <f>IF($A322="","",DATE(YEAR($A322),MONTH($A322),1))</f>
        <v/>
      </c>
      <c r="J322" s="31">
        <f>IF($A322="","",IF(OR($B322="",$C322="",$F322="",$G322=""),"Preencher tudo",IF(COUNTIF(EtapaLista,$B322)=0,"Etapa inválida","OK")))</f>
        <v/>
      </c>
    </row>
    <row r="323" spans="1:10">
      <c r="A323" s="17"/>
      <c r="B323" s="15"/>
      <c r="C323" s="15"/>
      <c r="D323" s="15"/>
      <c r="E323" s="15"/>
      <c r="F323" s="16"/>
      <c r="G323" s="27"/>
      <c r="H323" s="17"/>
      <c r="I323" s="30">
        <f>IF($A323="","",DATE(YEAR($A323),MONTH($A323),1))</f>
        <v/>
      </c>
      <c r="J323" s="31">
        <f>IF($A323="","",IF(OR($B323="",$C323="",$F323="",$G323=""),"Preencher tudo",IF(COUNTIF(EtapaLista,$B323)=0,"Etapa inválida","OK")))</f>
        <v/>
      </c>
    </row>
    <row r="324" spans="1:10">
      <c r="A324" s="17"/>
      <c r="B324" s="15"/>
      <c r="C324" s="15"/>
      <c r="D324" s="15"/>
      <c r="E324" s="15"/>
      <c r="F324" s="16"/>
      <c r="G324" s="27"/>
      <c r="H324" s="17"/>
      <c r="I324" s="30">
        <f>IF($A324="","",DATE(YEAR($A324),MONTH($A324),1))</f>
        <v/>
      </c>
      <c r="J324" s="31">
        <f>IF($A324="","",IF(OR($B324="",$C324="",$F324="",$G324=""),"Preencher tudo",IF(COUNTIF(EtapaLista,$B324)=0,"Etapa inválida","OK")))</f>
        <v/>
      </c>
    </row>
    <row r="325" spans="1:10">
      <c r="A325" s="17"/>
      <c r="B325" s="15"/>
      <c r="C325" s="15"/>
      <c r="D325" s="15"/>
      <c r="E325" s="15"/>
      <c r="F325" s="16"/>
      <c r="G325" s="27"/>
      <c r="H325" s="17"/>
      <c r="I325" s="30">
        <f>IF($A325="","",DATE(YEAR($A325),MONTH($A325),1))</f>
        <v/>
      </c>
      <c r="J325" s="31">
        <f>IF($A325="","",IF(OR($B325="",$C325="",$F325="",$G325=""),"Preencher tudo",IF(COUNTIF(EtapaLista,$B325)=0,"Etapa inválida","OK")))</f>
        <v/>
      </c>
    </row>
    <row r="326" spans="1:10">
      <c r="A326" s="17"/>
      <c r="B326" s="15"/>
      <c r="C326" s="15"/>
      <c r="D326" s="15"/>
      <c r="E326" s="15"/>
      <c r="F326" s="16"/>
      <c r="G326" s="27"/>
      <c r="H326" s="17"/>
      <c r="I326" s="30">
        <f>IF($A326="","",DATE(YEAR($A326),MONTH($A326),1))</f>
        <v/>
      </c>
      <c r="J326" s="31">
        <f>IF($A326="","",IF(OR($B326="",$C326="",$F326="",$G326=""),"Preencher tudo",IF(COUNTIF(EtapaLista,$B326)=0,"Etapa inválida","OK")))</f>
        <v/>
      </c>
    </row>
    <row r="327" spans="1:10">
      <c r="A327" s="17"/>
      <c r="B327" s="15"/>
      <c r="C327" s="15"/>
      <c r="D327" s="15"/>
      <c r="E327" s="15"/>
      <c r="F327" s="16"/>
      <c r="G327" s="27"/>
      <c r="H327" s="17"/>
      <c r="I327" s="30">
        <f>IF($A327="","",DATE(YEAR($A327),MONTH($A327),1))</f>
        <v/>
      </c>
      <c r="J327" s="31">
        <f>IF($A327="","",IF(OR($B327="",$C327="",$F327="",$G327=""),"Preencher tudo",IF(COUNTIF(EtapaLista,$B327)=0,"Etapa inválida","OK")))</f>
        <v/>
      </c>
    </row>
    <row r="328" spans="1:10">
      <c r="A328" s="17"/>
      <c r="B328" s="15"/>
      <c r="C328" s="15"/>
      <c r="D328" s="15"/>
      <c r="E328" s="15"/>
      <c r="F328" s="16"/>
      <c r="G328" s="27"/>
      <c r="H328" s="17"/>
      <c r="I328" s="30">
        <f>IF($A328="","",DATE(YEAR($A328),MONTH($A328),1))</f>
        <v/>
      </c>
      <c r="J328" s="31">
        <f>IF($A328="","",IF(OR($B328="",$C328="",$F328="",$G328=""),"Preencher tudo",IF(COUNTIF(EtapaLista,$B328)=0,"Etapa inválida","OK")))</f>
        <v/>
      </c>
    </row>
    <row r="329" spans="1:10">
      <c r="A329" s="17"/>
      <c r="B329" s="15"/>
      <c r="C329" s="15"/>
      <c r="D329" s="15"/>
      <c r="E329" s="15"/>
      <c r="F329" s="16"/>
      <c r="G329" s="27"/>
      <c r="H329" s="17"/>
      <c r="I329" s="30">
        <f>IF($A329="","",DATE(YEAR($A329),MONTH($A329),1))</f>
        <v/>
      </c>
      <c r="J329" s="31">
        <f>IF($A329="","",IF(OR($B329="",$C329="",$F329="",$G329=""),"Preencher tudo",IF(COUNTIF(EtapaLista,$B329)=0,"Etapa inválida","OK")))</f>
        <v/>
      </c>
    </row>
    <row r="330" spans="1:10">
      <c r="A330" s="17"/>
      <c r="B330" s="15"/>
      <c r="C330" s="15"/>
      <c r="D330" s="15"/>
      <c r="E330" s="15"/>
      <c r="F330" s="16"/>
      <c r="G330" s="27"/>
      <c r="H330" s="17"/>
      <c r="I330" s="30">
        <f>IF($A330="","",DATE(YEAR($A330),MONTH($A330),1))</f>
        <v/>
      </c>
      <c r="J330" s="31">
        <f>IF($A330="","",IF(OR($B330="",$C330="",$F330="",$G330=""),"Preencher tudo",IF(COUNTIF(EtapaLista,$B330)=0,"Etapa inválida","OK")))</f>
        <v/>
      </c>
    </row>
    <row r="331" spans="1:10">
      <c r="A331" s="17"/>
      <c r="B331" s="15"/>
      <c r="C331" s="15"/>
      <c r="D331" s="15"/>
      <c r="E331" s="15"/>
      <c r="F331" s="16"/>
      <c r="G331" s="27"/>
      <c r="H331" s="17"/>
      <c r="I331" s="30">
        <f>IF($A331="","",DATE(YEAR($A331),MONTH($A331),1))</f>
        <v/>
      </c>
      <c r="J331" s="31">
        <f>IF($A331="","",IF(OR($B331="",$C331="",$F331="",$G331=""),"Preencher tudo",IF(COUNTIF(EtapaLista,$B331)=0,"Etapa inválida","OK")))</f>
        <v/>
      </c>
    </row>
    <row r="332" spans="1:10">
      <c r="A332" s="17"/>
      <c r="B332" s="15"/>
      <c r="C332" s="15"/>
      <c r="D332" s="15"/>
      <c r="E332" s="15"/>
      <c r="F332" s="16"/>
      <c r="G332" s="27"/>
      <c r="H332" s="17"/>
      <c r="I332" s="30">
        <f>IF($A332="","",DATE(YEAR($A332),MONTH($A332),1))</f>
        <v/>
      </c>
      <c r="J332" s="31">
        <f>IF($A332="","",IF(OR($B332="",$C332="",$F332="",$G332=""),"Preencher tudo",IF(COUNTIF(EtapaLista,$B332)=0,"Etapa inválida","OK")))</f>
        <v/>
      </c>
    </row>
    <row r="333" spans="1:10">
      <c r="A333" s="17"/>
      <c r="B333" s="15"/>
      <c r="C333" s="15"/>
      <c r="D333" s="15"/>
      <c r="E333" s="15"/>
      <c r="F333" s="16"/>
      <c r="G333" s="27"/>
      <c r="H333" s="17"/>
      <c r="I333" s="30">
        <f>IF($A333="","",DATE(YEAR($A333),MONTH($A333),1))</f>
        <v/>
      </c>
      <c r="J333" s="31">
        <f>IF($A333="","",IF(OR($B333="",$C333="",$F333="",$G333=""),"Preencher tudo",IF(COUNTIF(EtapaLista,$B333)=0,"Etapa inválida","OK")))</f>
        <v/>
      </c>
    </row>
    <row r="334" spans="1:10">
      <c r="A334" s="17"/>
      <c r="B334" s="15"/>
      <c r="C334" s="15"/>
      <c r="D334" s="15"/>
      <c r="E334" s="15"/>
      <c r="F334" s="16"/>
      <c r="G334" s="27"/>
      <c r="H334" s="17"/>
      <c r="I334" s="30">
        <f>IF($A334="","",DATE(YEAR($A334),MONTH($A334),1))</f>
        <v/>
      </c>
      <c r="J334" s="31">
        <f>IF($A334="","",IF(OR($B334="",$C334="",$F334="",$G334=""),"Preencher tudo",IF(COUNTIF(EtapaLista,$B334)=0,"Etapa inválida","OK")))</f>
        <v/>
      </c>
    </row>
    <row r="335" spans="1:10">
      <c r="A335" s="17"/>
      <c r="B335" s="15"/>
      <c r="C335" s="15"/>
      <c r="D335" s="15"/>
      <c r="E335" s="15"/>
      <c r="F335" s="16"/>
      <c r="G335" s="27"/>
      <c r="H335" s="17"/>
      <c r="I335" s="30">
        <f>IF($A335="","",DATE(YEAR($A335),MONTH($A335),1))</f>
        <v/>
      </c>
      <c r="J335" s="31">
        <f>IF($A335="","",IF(OR($B335="",$C335="",$F335="",$G335=""),"Preencher tudo",IF(COUNTIF(EtapaLista,$B335)=0,"Etapa inválida","OK")))</f>
        <v/>
      </c>
    </row>
    <row r="336" spans="1:10">
      <c r="A336" s="17"/>
      <c r="B336" s="15"/>
      <c r="C336" s="15"/>
      <c r="D336" s="15"/>
      <c r="E336" s="15"/>
      <c r="F336" s="16"/>
      <c r="G336" s="27"/>
      <c r="H336" s="17"/>
      <c r="I336" s="30">
        <f>IF($A336="","",DATE(YEAR($A336),MONTH($A336),1))</f>
        <v/>
      </c>
      <c r="J336" s="31">
        <f>IF($A336="","",IF(OR($B336="",$C336="",$F336="",$G336=""),"Preencher tudo",IF(COUNTIF(EtapaLista,$B336)=0,"Etapa inválida","OK")))</f>
        <v/>
      </c>
    </row>
    <row r="337" spans="1:10">
      <c r="A337" s="17"/>
      <c r="B337" s="15"/>
      <c r="C337" s="15"/>
      <c r="D337" s="15"/>
      <c r="E337" s="15"/>
      <c r="F337" s="16"/>
      <c r="G337" s="27"/>
      <c r="H337" s="17"/>
      <c r="I337" s="30">
        <f>IF($A337="","",DATE(YEAR($A337),MONTH($A337),1))</f>
        <v/>
      </c>
      <c r="J337" s="31">
        <f>IF($A337="","",IF(OR($B337="",$C337="",$F337="",$G337=""),"Preencher tudo",IF(COUNTIF(EtapaLista,$B337)=0,"Etapa inválida","OK")))</f>
        <v/>
      </c>
    </row>
    <row r="338" spans="1:10">
      <c r="A338" s="17"/>
      <c r="B338" s="15"/>
      <c r="C338" s="15"/>
      <c r="D338" s="15"/>
      <c r="E338" s="15"/>
      <c r="F338" s="16"/>
      <c r="G338" s="27"/>
      <c r="H338" s="17"/>
      <c r="I338" s="30">
        <f>IF($A338="","",DATE(YEAR($A338),MONTH($A338),1))</f>
        <v/>
      </c>
      <c r="J338" s="31">
        <f>IF($A338="","",IF(OR($B338="",$C338="",$F338="",$G338=""),"Preencher tudo",IF(COUNTIF(EtapaLista,$B338)=0,"Etapa inválida","OK")))</f>
        <v/>
      </c>
    </row>
    <row r="339" spans="1:10">
      <c r="A339" s="17"/>
      <c r="B339" s="15"/>
      <c r="C339" s="15"/>
      <c r="D339" s="15"/>
      <c r="E339" s="15"/>
      <c r="F339" s="16"/>
      <c r="G339" s="27"/>
      <c r="H339" s="17"/>
      <c r="I339" s="30">
        <f>IF($A339="","",DATE(YEAR($A339),MONTH($A339),1))</f>
        <v/>
      </c>
      <c r="J339" s="31">
        <f>IF($A339="","",IF(OR($B339="",$C339="",$F339="",$G339=""),"Preencher tudo",IF(COUNTIF(EtapaLista,$B339)=0,"Etapa inválida","OK")))</f>
        <v/>
      </c>
    </row>
    <row r="340" spans="1:10">
      <c r="A340" s="17"/>
      <c r="B340" s="15"/>
      <c r="C340" s="15"/>
      <c r="D340" s="15"/>
      <c r="E340" s="15"/>
      <c r="F340" s="16"/>
      <c r="G340" s="27"/>
      <c r="H340" s="17"/>
      <c r="I340" s="30">
        <f>IF($A340="","",DATE(YEAR($A340),MONTH($A340),1))</f>
        <v/>
      </c>
      <c r="J340" s="31">
        <f>IF($A340="","",IF(OR($B340="",$C340="",$F340="",$G340=""),"Preencher tudo",IF(COUNTIF(EtapaLista,$B340)=0,"Etapa inválida","OK")))</f>
        <v/>
      </c>
    </row>
    <row r="341" spans="1:10">
      <c r="A341" s="17"/>
      <c r="B341" s="15"/>
      <c r="C341" s="15"/>
      <c r="D341" s="15"/>
      <c r="E341" s="15"/>
      <c r="F341" s="16"/>
      <c r="G341" s="27"/>
      <c r="H341" s="17"/>
      <c r="I341" s="30">
        <f>IF($A341="","",DATE(YEAR($A341),MONTH($A341),1))</f>
        <v/>
      </c>
      <c r="J341" s="31">
        <f>IF($A341="","",IF(OR($B341="",$C341="",$F341="",$G341=""),"Preencher tudo",IF(COUNTIF(EtapaLista,$B341)=0,"Etapa inválida","OK")))</f>
        <v/>
      </c>
    </row>
    <row r="342" spans="1:10">
      <c r="A342" s="17"/>
      <c r="B342" s="15"/>
      <c r="C342" s="15"/>
      <c r="D342" s="15"/>
      <c r="E342" s="15"/>
      <c r="F342" s="16"/>
      <c r="G342" s="27"/>
      <c r="H342" s="17"/>
      <c r="I342" s="30">
        <f>IF($A342="","",DATE(YEAR($A342),MONTH($A342),1))</f>
        <v/>
      </c>
      <c r="J342" s="31">
        <f>IF($A342="","",IF(OR($B342="",$C342="",$F342="",$G342=""),"Preencher tudo",IF(COUNTIF(EtapaLista,$B342)=0,"Etapa inválida","OK")))</f>
        <v/>
      </c>
    </row>
    <row r="343" spans="1:10">
      <c r="A343" s="17"/>
      <c r="B343" s="15"/>
      <c r="C343" s="15"/>
      <c r="D343" s="15"/>
      <c r="E343" s="15"/>
      <c r="F343" s="16"/>
      <c r="G343" s="27"/>
      <c r="H343" s="17"/>
      <c r="I343" s="30">
        <f>IF($A343="","",DATE(YEAR($A343),MONTH($A343),1))</f>
        <v/>
      </c>
      <c r="J343" s="31">
        <f>IF($A343="","",IF(OR($B343="",$C343="",$F343="",$G343=""),"Preencher tudo",IF(COUNTIF(EtapaLista,$B343)=0,"Etapa inválida","OK")))</f>
        <v/>
      </c>
    </row>
    <row r="344" spans="1:10">
      <c r="A344" s="17"/>
      <c r="B344" s="15"/>
      <c r="C344" s="15"/>
      <c r="D344" s="15"/>
      <c r="E344" s="15"/>
      <c r="F344" s="16"/>
      <c r="G344" s="27"/>
      <c r="H344" s="17"/>
      <c r="I344" s="30">
        <f>IF($A344="","",DATE(YEAR($A344),MONTH($A344),1))</f>
        <v/>
      </c>
      <c r="J344" s="31">
        <f>IF($A344="","",IF(OR($B344="",$C344="",$F344="",$G344=""),"Preencher tudo",IF(COUNTIF(EtapaLista,$B344)=0,"Etapa inválida","OK")))</f>
        <v/>
      </c>
    </row>
    <row r="345" spans="1:10">
      <c r="A345" s="17"/>
      <c r="B345" s="15"/>
      <c r="C345" s="15"/>
      <c r="D345" s="15"/>
      <c r="E345" s="15"/>
      <c r="F345" s="16"/>
      <c r="G345" s="27"/>
      <c r="H345" s="17"/>
      <c r="I345" s="30">
        <f>IF($A345="","",DATE(YEAR($A345),MONTH($A345),1))</f>
        <v/>
      </c>
      <c r="J345" s="31">
        <f>IF($A345="","",IF(OR($B345="",$C345="",$F345="",$G345=""),"Preencher tudo",IF(COUNTIF(EtapaLista,$B345)=0,"Etapa inválida","OK")))</f>
        <v/>
      </c>
    </row>
    <row r="346" spans="1:10">
      <c r="A346" s="17"/>
      <c r="B346" s="15"/>
      <c r="C346" s="15"/>
      <c r="D346" s="15"/>
      <c r="E346" s="15"/>
      <c r="F346" s="16"/>
      <c r="G346" s="27"/>
      <c r="H346" s="17"/>
      <c r="I346" s="30">
        <f>IF($A346="","",DATE(YEAR($A346),MONTH($A346),1))</f>
        <v/>
      </c>
      <c r="J346" s="31">
        <f>IF($A346="","",IF(OR($B346="",$C346="",$F346="",$G346=""),"Preencher tudo",IF(COUNTIF(EtapaLista,$B346)=0,"Etapa inválida","OK")))</f>
        <v/>
      </c>
    </row>
    <row r="347" spans="1:10">
      <c r="A347" s="17"/>
      <c r="B347" s="15"/>
      <c r="C347" s="15"/>
      <c r="D347" s="15"/>
      <c r="E347" s="15"/>
      <c r="F347" s="16"/>
      <c r="G347" s="27"/>
      <c r="H347" s="17"/>
      <c r="I347" s="30">
        <f>IF($A347="","",DATE(YEAR($A347),MONTH($A347),1))</f>
        <v/>
      </c>
      <c r="J347" s="31">
        <f>IF($A347="","",IF(OR($B347="",$C347="",$F347="",$G347=""),"Preencher tudo",IF(COUNTIF(EtapaLista,$B347)=0,"Etapa inválida","OK")))</f>
        <v/>
      </c>
    </row>
    <row r="348" spans="1:10">
      <c r="A348" s="17"/>
      <c r="B348" s="15"/>
      <c r="C348" s="15"/>
      <c r="D348" s="15"/>
      <c r="E348" s="15"/>
      <c r="F348" s="16"/>
      <c r="G348" s="27"/>
      <c r="H348" s="17"/>
      <c r="I348" s="30">
        <f>IF($A348="","",DATE(YEAR($A348),MONTH($A348),1))</f>
        <v/>
      </c>
      <c r="J348" s="31">
        <f>IF($A348="","",IF(OR($B348="",$C348="",$F348="",$G348=""),"Preencher tudo",IF(COUNTIF(EtapaLista,$B348)=0,"Etapa inválida","OK")))</f>
        <v/>
      </c>
    </row>
    <row r="349" spans="1:10">
      <c r="A349" s="17"/>
      <c r="B349" s="15"/>
      <c r="C349" s="15"/>
      <c r="D349" s="15"/>
      <c r="E349" s="15"/>
      <c r="F349" s="16"/>
      <c r="G349" s="27"/>
      <c r="H349" s="17"/>
      <c r="I349" s="30">
        <f>IF($A349="","",DATE(YEAR($A349),MONTH($A349),1))</f>
        <v/>
      </c>
      <c r="J349" s="31">
        <f>IF($A349="","",IF(OR($B349="",$C349="",$F349="",$G349=""),"Preencher tudo",IF(COUNTIF(EtapaLista,$B349)=0,"Etapa inválida","OK")))</f>
        <v/>
      </c>
    </row>
    <row r="350" spans="1:10">
      <c r="A350" s="17"/>
      <c r="B350" s="15"/>
      <c r="C350" s="15"/>
      <c r="D350" s="15"/>
      <c r="E350" s="15"/>
      <c r="F350" s="16"/>
      <c r="G350" s="27"/>
      <c r="H350" s="17"/>
      <c r="I350" s="30">
        <f>IF($A350="","",DATE(YEAR($A350),MONTH($A350),1))</f>
        <v/>
      </c>
      <c r="J350" s="31">
        <f>IF($A350="","",IF(OR($B350="",$C350="",$F350="",$G350=""),"Preencher tudo",IF(COUNTIF(EtapaLista,$B350)=0,"Etapa inválida","OK")))</f>
        <v/>
      </c>
    </row>
    <row r="351" spans="1:10">
      <c r="A351" s="17"/>
      <c r="B351" s="15"/>
      <c r="C351" s="15"/>
      <c r="D351" s="15"/>
      <c r="E351" s="15"/>
      <c r="F351" s="16"/>
      <c r="G351" s="27"/>
      <c r="H351" s="17"/>
      <c r="I351" s="30">
        <f>IF($A351="","",DATE(YEAR($A351),MONTH($A351),1))</f>
        <v/>
      </c>
      <c r="J351" s="31">
        <f>IF($A351="","",IF(OR($B351="",$C351="",$F351="",$G351=""),"Preencher tudo",IF(COUNTIF(EtapaLista,$B351)=0,"Etapa inválida","OK")))</f>
        <v/>
      </c>
    </row>
    <row r="352" spans="1:10">
      <c r="A352" s="17"/>
      <c r="B352" s="15"/>
      <c r="C352" s="15"/>
      <c r="D352" s="15"/>
      <c r="E352" s="15"/>
      <c r="F352" s="16"/>
      <c r="G352" s="27"/>
      <c r="H352" s="17"/>
      <c r="I352" s="30">
        <f>IF($A352="","",DATE(YEAR($A352),MONTH($A352),1))</f>
        <v/>
      </c>
      <c r="J352" s="31">
        <f>IF($A352="","",IF(OR($B352="",$C352="",$F352="",$G352=""),"Preencher tudo",IF(COUNTIF(EtapaLista,$B352)=0,"Etapa inválida","OK")))</f>
        <v/>
      </c>
    </row>
    <row r="353" spans="1:10">
      <c r="A353" s="17"/>
      <c r="B353" s="15"/>
      <c r="C353" s="15"/>
      <c r="D353" s="15"/>
      <c r="E353" s="15"/>
      <c r="F353" s="16"/>
      <c r="G353" s="27"/>
      <c r="H353" s="17"/>
      <c r="I353" s="30">
        <f>IF($A353="","",DATE(YEAR($A353),MONTH($A353),1))</f>
        <v/>
      </c>
      <c r="J353" s="31">
        <f>IF($A353="","",IF(OR($B353="",$C353="",$F353="",$G353=""),"Preencher tudo",IF(COUNTIF(EtapaLista,$B353)=0,"Etapa inválida","OK")))</f>
        <v/>
      </c>
    </row>
    <row r="354" spans="1:10">
      <c r="A354" s="17"/>
      <c r="B354" s="15"/>
      <c r="C354" s="15"/>
      <c r="D354" s="15"/>
      <c r="E354" s="15"/>
      <c r="F354" s="16"/>
      <c r="G354" s="27"/>
      <c r="H354" s="17"/>
      <c r="I354" s="30">
        <f>IF($A354="","",DATE(YEAR($A354),MONTH($A354),1))</f>
        <v/>
      </c>
      <c r="J354" s="31">
        <f>IF($A354="","",IF(OR($B354="",$C354="",$F354="",$G354=""),"Preencher tudo",IF(COUNTIF(EtapaLista,$B354)=0,"Etapa inválida","OK")))</f>
        <v/>
      </c>
    </row>
    <row r="355" spans="1:10">
      <c r="A355" s="17"/>
      <c r="B355" s="15"/>
      <c r="C355" s="15"/>
      <c r="D355" s="15"/>
      <c r="E355" s="15"/>
      <c r="F355" s="16"/>
      <c r="G355" s="27"/>
      <c r="H355" s="17"/>
      <c r="I355" s="30">
        <f>IF($A355="","",DATE(YEAR($A355),MONTH($A355),1))</f>
        <v/>
      </c>
      <c r="J355" s="31">
        <f>IF($A355="","",IF(OR($B355="",$C355="",$F355="",$G355=""),"Preencher tudo",IF(COUNTIF(EtapaLista,$B355)=0,"Etapa inválida","OK")))</f>
        <v/>
      </c>
    </row>
    <row r="356" spans="1:10">
      <c r="A356" s="17"/>
      <c r="B356" s="15"/>
      <c r="C356" s="15"/>
      <c r="D356" s="15"/>
      <c r="E356" s="15"/>
      <c r="F356" s="16"/>
      <c r="G356" s="27"/>
      <c r="H356" s="17"/>
      <c r="I356" s="30">
        <f>IF($A356="","",DATE(YEAR($A356),MONTH($A356),1))</f>
        <v/>
      </c>
      <c r="J356" s="31">
        <f>IF($A356="","",IF(OR($B356="",$C356="",$F356="",$G356=""),"Preencher tudo",IF(COUNTIF(EtapaLista,$B356)=0,"Etapa inválida","OK")))</f>
        <v/>
      </c>
    </row>
    <row r="357" spans="1:10">
      <c r="A357" s="17"/>
      <c r="B357" s="15"/>
      <c r="C357" s="15"/>
      <c r="D357" s="15"/>
      <c r="E357" s="15"/>
      <c r="F357" s="16"/>
      <c r="G357" s="27"/>
      <c r="H357" s="17"/>
      <c r="I357" s="30">
        <f>IF($A357="","",DATE(YEAR($A357),MONTH($A357),1))</f>
        <v/>
      </c>
      <c r="J357" s="31">
        <f>IF($A357="","",IF(OR($B357="",$C357="",$F357="",$G357=""),"Preencher tudo",IF(COUNTIF(EtapaLista,$B357)=0,"Etapa inválida","OK")))</f>
        <v/>
      </c>
    </row>
    <row r="358" spans="1:10">
      <c r="A358" s="17"/>
      <c r="B358" s="15"/>
      <c r="C358" s="15"/>
      <c r="D358" s="15"/>
      <c r="E358" s="15"/>
      <c r="F358" s="16"/>
      <c r="G358" s="27"/>
      <c r="H358" s="17"/>
      <c r="I358" s="30">
        <f>IF($A358="","",DATE(YEAR($A358),MONTH($A358),1))</f>
        <v/>
      </c>
      <c r="J358" s="31">
        <f>IF($A358="","",IF(OR($B358="",$C358="",$F358="",$G358=""),"Preencher tudo",IF(COUNTIF(EtapaLista,$B358)=0,"Etapa inválida","OK")))</f>
        <v/>
      </c>
    </row>
    <row r="359" spans="1:10">
      <c r="A359" s="17"/>
      <c r="B359" s="15"/>
      <c r="C359" s="15"/>
      <c r="D359" s="15"/>
      <c r="E359" s="15"/>
      <c r="F359" s="16"/>
      <c r="G359" s="27"/>
      <c r="H359" s="17"/>
      <c r="I359" s="30">
        <f>IF($A359="","",DATE(YEAR($A359),MONTH($A359),1))</f>
        <v/>
      </c>
      <c r="J359" s="31">
        <f>IF($A359="","",IF(OR($B359="",$C359="",$F359="",$G359=""),"Preencher tudo",IF(COUNTIF(EtapaLista,$B359)=0,"Etapa inválida","OK")))</f>
        <v/>
      </c>
    </row>
    <row r="360" spans="1:10">
      <c r="A360" s="17"/>
      <c r="B360" s="15"/>
      <c r="C360" s="15"/>
      <c r="D360" s="15"/>
      <c r="E360" s="15"/>
      <c r="F360" s="16"/>
      <c r="G360" s="27"/>
      <c r="H360" s="17"/>
      <c r="I360" s="30">
        <f>IF($A360="","",DATE(YEAR($A360),MONTH($A360),1))</f>
        <v/>
      </c>
      <c r="J360" s="31">
        <f>IF($A360="","",IF(OR($B360="",$C360="",$F360="",$G360=""),"Preencher tudo",IF(COUNTIF(EtapaLista,$B360)=0,"Etapa inválida","OK")))</f>
        <v/>
      </c>
    </row>
    <row r="361" spans="1:10">
      <c r="A361" s="17"/>
      <c r="B361" s="15"/>
      <c r="C361" s="15"/>
      <c r="D361" s="15"/>
      <c r="E361" s="15"/>
      <c r="F361" s="16"/>
      <c r="G361" s="27"/>
      <c r="H361" s="17"/>
      <c r="I361" s="30">
        <f>IF($A361="","",DATE(YEAR($A361),MONTH($A361),1))</f>
        <v/>
      </c>
      <c r="J361" s="31">
        <f>IF($A361="","",IF(OR($B361="",$C361="",$F361="",$G361=""),"Preencher tudo",IF(COUNTIF(EtapaLista,$B361)=0,"Etapa inválida","OK")))</f>
        <v/>
      </c>
    </row>
    <row r="362" spans="1:10">
      <c r="A362" s="17"/>
      <c r="B362" s="15"/>
      <c r="C362" s="15"/>
      <c r="D362" s="15"/>
      <c r="E362" s="15"/>
      <c r="F362" s="16"/>
      <c r="G362" s="27"/>
      <c r="H362" s="17"/>
      <c r="I362" s="30">
        <f>IF($A362="","",DATE(YEAR($A362),MONTH($A362),1))</f>
        <v/>
      </c>
      <c r="J362" s="31">
        <f>IF($A362="","",IF(OR($B362="",$C362="",$F362="",$G362=""),"Preencher tudo",IF(COUNTIF(EtapaLista,$B362)=0,"Etapa inválida","OK")))</f>
        <v/>
      </c>
    </row>
    <row r="363" spans="1:10">
      <c r="A363" s="17"/>
      <c r="B363" s="15"/>
      <c r="C363" s="15"/>
      <c r="D363" s="15"/>
      <c r="E363" s="15"/>
      <c r="F363" s="16"/>
      <c r="G363" s="27"/>
      <c r="H363" s="17"/>
      <c r="I363" s="30">
        <f>IF($A363="","",DATE(YEAR($A363),MONTH($A363),1))</f>
        <v/>
      </c>
      <c r="J363" s="31">
        <f>IF($A363="","",IF(OR($B363="",$C363="",$F363="",$G363=""),"Preencher tudo",IF(COUNTIF(EtapaLista,$B363)=0,"Etapa inválida","OK")))</f>
        <v/>
      </c>
    </row>
    <row r="364" spans="1:10">
      <c r="A364" s="17"/>
      <c r="B364" s="15"/>
      <c r="C364" s="15"/>
      <c r="D364" s="15"/>
      <c r="E364" s="15"/>
      <c r="F364" s="16"/>
      <c r="G364" s="27"/>
      <c r="H364" s="17"/>
      <c r="I364" s="30">
        <f>IF($A364="","",DATE(YEAR($A364),MONTH($A364),1))</f>
        <v/>
      </c>
      <c r="J364" s="31">
        <f>IF($A364="","",IF(OR($B364="",$C364="",$F364="",$G364=""),"Preencher tudo",IF(COUNTIF(EtapaLista,$B364)=0,"Etapa inválida","OK")))</f>
        <v/>
      </c>
    </row>
    <row r="365" spans="1:10">
      <c r="A365" s="17"/>
      <c r="B365" s="15"/>
      <c r="C365" s="15"/>
      <c r="D365" s="15"/>
      <c r="E365" s="15"/>
      <c r="F365" s="16"/>
      <c r="G365" s="27"/>
      <c r="H365" s="17"/>
      <c r="I365" s="30">
        <f>IF($A365="","",DATE(YEAR($A365),MONTH($A365),1))</f>
        <v/>
      </c>
      <c r="J365" s="31">
        <f>IF($A365="","",IF(OR($B365="",$C365="",$F365="",$G365=""),"Preencher tudo",IF(COUNTIF(EtapaLista,$B365)=0,"Etapa inválida","OK")))</f>
        <v/>
      </c>
    </row>
    <row r="366" spans="1:10">
      <c r="A366" s="17"/>
      <c r="B366" s="15"/>
      <c r="C366" s="15"/>
      <c r="D366" s="15"/>
      <c r="E366" s="15"/>
      <c r="F366" s="16"/>
      <c r="G366" s="27"/>
      <c r="H366" s="17"/>
      <c r="I366" s="30">
        <f>IF($A366="","",DATE(YEAR($A366),MONTH($A366),1))</f>
        <v/>
      </c>
      <c r="J366" s="31">
        <f>IF($A366="","",IF(OR($B366="",$C366="",$F366="",$G366=""),"Preencher tudo",IF(COUNTIF(EtapaLista,$B366)=0,"Etapa inválida","OK")))</f>
        <v/>
      </c>
    </row>
    <row r="367" spans="1:10">
      <c r="A367" s="17"/>
      <c r="B367" s="15"/>
      <c r="C367" s="15"/>
      <c r="D367" s="15"/>
      <c r="E367" s="15"/>
      <c r="F367" s="16"/>
      <c r="G367" s="27"/>
      <c r="H367" s="17"/>
      <c r="I367" s="30">
        <f>IF($A367="","",DATE(YEAR($A367),MONTH($A367),1))</f>
        <v/>
      </c>
      <c r="J367" s="31">
        <f>IF($A367="","",IF(OR($B367="",$C367="",$F367="",$G367=""),"Preencher tudo",IF(COUNTIF(EtapaLista,$B367)=0,"Etapa inválida","OK")))</f>
        <v/>
      </c>
    </row>
    <row r="368" spans="1:10">
      <c r="A368" s="17"/>
      <c r="B368" s="15"/>
      <c r="C368" s="15"/>
      <c r="D368" s="15"/>
      <c r="E368" s="15"/>
      <c r="F368" s="16"/>
      <c r="G368" s="27"/>
      <c r="H368" s="17"/>
      <c r="I368" s="30">
        <f>IF($A368="","",DATE(YEAR($A368),MONTH($A368),1))</f>
        <v/>
      </c>
      <c r="J368" s="31">
        <f>IF($A368="","",IF(OR($B368="",$C368="",$F368="",$G368=""),"Preencher tudo",IF(COUNTIF(EtapaLista,$B368)=0,"Etapa inválida","OK")))</f>
        <v/>
      </c>
    </row>
    <row r="369" spans="1:10">
      <c r="A369" s="17"/>
      <c r="B369" s="15"/>
      <c r="C369" s="15"/>
      <c r="D369" s="15"/>
      <c r="E369" s="15"/>
      <c r="F369" s="16"/>
      <c r="G369" s="27"/>
      <c r="H369" s="17"/>
      <c r="I369" s="30">
        <f>IF($A369="","",DATE(YEAR($A369),MONTH($A369),1))</f>
        <v/>
      </c>
      <c r="J369" s="31">
        <f>IF($A369="","",IF(OR($B369="",$C369="",$F369="",$G369=""),"Preencher tudo",IF(COUNTIF(EtapaLista,$B369)=0,"Etapa inválida","OK")))</f>
        <v/>
      </c>
    </row>
    <row r="370" spans="1:10">
      <c r="A370" s="17"/>
      <c r="B370" s="15"/>
      <c r="C370" s="15"/>
      <c r="D370" s="15"/>
      <c r="E370" s="15"/>
      <c r="F370" s="16"/>
      <c r="G370" s="27"/>
      <c r="H370" s="17"/>
      <c r="I370" s="30">
        <f>IF($A370="","",DATE(YEAR($A370),MONTH($A370),1))</f>
        <v/>
      </c>
      <c r="J370" s="31">
        <f>IF($A370="","",IF(OR($B370="",$C370="",$F370="",$G370=""),"Preencher tudo",IF(COUNTIF(EtapaLista,$B370)=0,"Etapa inválida","OK")))</f>
        <v/>
      </c>
    </row>
    <row r="371" spans="1:10">
      <c r="A371" s="17"/>
      <c r="B371" s="15"/>
      <c r="C371" s="15"/>
      <c r="D371" s="15"/>
      <c r="E371" s="15"/>
      <c r="F371" s="16"/>
      <c r="G371" s="27"/>
      <c r="H371" s="17"/>
      <c r="I371" s="30">
        <f>IF($A371="","",DATE(YEAR($A371),MONTH($A371),1))</f>
        <v/>
      </c>
      <c r="J371" s="31">
        <f>IF($A371="","",IF(OR($B371="",$C371="",$F371="",$G371=""),"Preencher tudo",IF(COUNTIF(EtapaLista,$B371)=0,"Etapa inválida","OK")))</f>
        <v/>
      </c>
    </row>
    <row r="372" spans="1:10">
      <c r="A372" s="17"/>
      <c r="B372" s="15"/>
      <c r="C372" s="15"/>
      <c r="D372" s="15"/>
      <c r="E372" s="15"/>
      <c r="F372" s="16"/>
      <c r="G372" s="27"/>
      <c r="H372" s="17"/>
      <c r="I372" s="30">
        <f>IF($A372="","",DATE(YEAR($A372),MONTH($A372),1))</f>
        <v/>
      </c>
      <c r="J372" s="31">
        <f>IF($A372="","",IF(OR($B372="",$C372="",$F372="",$G372=""),"Preencher tudo",IF(COUNTIF(EtapaLista,$B372)=0,"Etapa inválida","OK")))</f>
        <v/>
      </c>
    </row>
    <row r="373" spans="1:10">
      <c r="A373" s="17"/>
      <c r="B373" s="15"/>
      <c r="C373" s="15"/>
      <c r="D373" s="15"/>
      <c r="E373" s="15"/>
      <c r="F373" s="16"/>
      <c r="G373" s="27"/>
      <c r="H373" s="17"/>
      <c r="I373" s="30">
        <f>IF($A373="","",DATE(YEAR($A373),MONTH($A373),1))</f>
        <v/>
      </c>
      <c r="J373" s="31">
        <f>IF($A373="","",IF(OR($B373="",$C373="",$F373="",$G373=""),"Preencher tudo",IF(COUNTIF(EtapaLista,$B373)=0,"Etapa inválida","OK")))</f>
        <v/>
      </c>
    </row>
    <row r="374" spans="1:10">
      <c r="A374" s="17"/>
      <c r="B374" s="15"/>
      <c r="C374" s="15"/>
      <c r="D374" s="15"/>
      <c r="E374" s="15"/>
      <c r="F374" s="16"/>
      <c r="G374" s="27"/>
      <c r="H374" s="17"/>
      <c r="I374" s="30">
        <f>IF($A374="","",DATE(YEAR($A374),MONTH($A374),1))</f>
        <v/>
      </c>
      <c r="J374" s="31">
        <f>IF($A374="","",IF(OR($B374="",$C374="",$F374="",$G374=""),"Preencher tudo",IF(COUNTIF(EtapaLista,$B374)=0,"Etapa inválida","OK")))</f>
        <v/>
      </c>
    </row>
    <row r="375" spans="1:10">
      <c r="A375" s="17"/>
      <c r="B375" s="15"/>
      <c r="C375" s="15"/>
      <c r="D375" s="15"/>
      <c r="E375" s="15"/>
      <c r="F375" s="16"/>
      <c r="G375" s="27"/>
      <c r="H375" s="17"/>
      <c r="I375" s="30">
        <f>IF($A375="","",DATE(YEAR($A375),MONTH($A375),1))</f>
        <v/>
      </c>
      <c r="J375" s="31">
        <f>IF($A375="","",IF(OR($B375="",$C375="",$F375="",$G375=""),"Preencher tudo",IF(COUNTIF(EtapaLista,$B375)=0,"Etapa inválida","OK")))</f>
        <v/>
      </c>
    </row>
    <row r="376" spans="1:10">
      <c r="A376" s="17"/>
      <c r="B376" s="15"/>
      <c r="C376" s="15"/>
      <c r="D376" s="15"/>
      <c r="E376" s="15"/>
      <c r="F376" s="16"/>
      <c r="G376" s="27"/>
      <c r="H376" s="17"/>
      <c r="I376" s="30">
        <f>IF($A376="","",DATE(YEAR($A376),MONTH($A376),1))</f>
        <v/>
      </c>
      <c r="J376" s="31">
        <f>IF($A376="","",IF(OR($B376="",$C376="",$F376="",$G376=""),"Preencher tudo",IF(COUNTIF(EtapaLista,$B376)=0,"Etapa inválida","OK")))</f>
        <v/>
      </c>
    </row>
    <row r="377" spans="1:10">
      <c r="A377" s="17"/>
      <c r="B377" s="15"/>
      <c r="C377" s="15"/>
      <c r="D377" s="15"/>
      <c r="E377" s="15"/>
      <c r="F377" s="16"/>
      <c r="G377" s="27"/>
      <c r="H377" s="17"/>
      <c r="I377" s="30">
        <f>IF($A377="","",DATE(YEAR($A377),MONTH($A377),1))</f>
        <v/>
      </c>
      <c r="J377" s="31">
        <f>IF($A377="","",IF(OR($B377="",$C377="",$F377="",$G377=""),"Preencher tudo",IF(COUNTIF(EtapaLista,$B377)=0,"Etapa inválida","OK")))</f>
        <v/>
      </c>
    </row>
    <row r="378" spans="1:10">
      <c r="A378" s="17"/>
      <c r="B378" s="15"/>
      <c r="C378" s="15"/>
      <c r="D378" s="15"/>
      <c r="E378" s="15"/>
      <c r="F378" s="16"/>
      <c r="G378" s="27"/>
      <c r="H378" s="17"/>
      <c r="I378" s="30">
        <f>IF($A378="","",DATE(YEAR($A378),MONTH($A378),1))</f>
        <v/>
      </c>
      <c r="J378" s="31">
        <f>IF($A378="","",IF(OR($B378="",$C378="",$F378="",$G378=""),"Preencher tudo",IF(COUNTIF(EtapaLista,$B378)=0,"Etapa inválida","OK")))</f>
        <v/>
      </c>
    </row>
    <row r="379" spans="1:10">
      <c r="A379" s="17"/>
      <c r="B379" s="15"/>
      <c r="C379" s="15"/>
      <c r="D379" s="15"/>
      <c r="E379" s="15"/>
      <c r="F379" s="16"/>
      <c r="G379" s="27"/>
      <c r="H379" s="17"/>
      <c r="I379" s="30">
        <f>IF($A379="","",DATE(YEAR($A379),MONTH($A379),1))</f>
        <v/>
      </c>
      <c r="J379" s="31">
        <f>IF($A379="","",IF(OR($B379="",$C379="",$F379="",$G379=""),"Preencher tudo",IF(COUNTIF(EtapaLista,$B379)=0,"Etapa inválida","OK")))</f>
        <v/>
      </c>
    </row>
    <row r="380" spans="1:10">
      <c r="A380" s="17"/>
      <c r="B380" s="15"/>
      <c r="C380" s="15"/>
      <c r="D380" s="15"/>
      <c r="E380" s="15"/>
      <c r="F380" s="16"/>
      <c r="G380" s="27"/>
      <c r="H380" s="17"/>
      <c r="I380" s="30">
        <f>IF($A380="","",DATE(YEAR($A380),MONTH($A380),1))</f>
        <v/>
      </c>
      <c r="J380" s="31">
        <f>IF($A380="","",IF(OR($B380="",$C380="",$F380="",$G380=""),"Preencher tudo",IF(COUNTIF(EtapaLista,$B380)=0,"Etapa inválida","OK")))</f>
        <v/>
      </c>
    </row>
    <row r="381" spans="1:10">
      <c r="A381" s="17"/>
      <c r="B381" s="15"/>
      <c r="C381" s="15"/>
      <c r="D381" s="15"/>
      <c r="E381" s="15"/>
      <c r="F381" s="16"/>
      <c r="G381" s="27"/>
      <c r="H381" s="17"/>
      <c r="I381" s="30">
        <f>IF($A381="","",DATE(YEAR($A381),MONTH($A381),1))</f>
        <v/>
      </c>
      <c r="J381" s="31">
        <f>IF($A381="","",IF(OR($B381="",$C381="",$F381="",$G381=""),"Preencher tudo",IF(COUNTIF(EtapaLista,$B381)=0,"Etapa inválida","OK")))</f>
        <v/>
      </c>
    </row>
    <row r="382" spans="1:10">
      <c r="A382" s="17"/>
      <c r="B382" s="15"/>
      <c r="C382" s="15"/>
      <c r="D382" s="15"/>
      <c r="E382" s="15"/>
      <c r="F382" s="16"/>
      <c r="G382" s="27"/>
      <c r="H382" s="17"/>
      <c r="I382" s="30">
        <f>IF($A382="","",DATE(YEAR($A382),MONTH($A382),1))</f>
        <v/>
      </c>
      <c r="J382" s="31">
        <f>IF($A382="","",IF(OR($B382="",$C382="",$F382="",$G382=""),"Preencher tudo",IF(COUNTIF(EtapaLista,$B382)=0,"Etapa inválida","OK")))</f>
        <v/>
      </c>
    </row>
    <row r="383" spans="1:10">
      <c r="A383" s="17"/>
      <c r="B383" s="15"/>
      <c r="C383" s="15"/>
      <c r="D383" s="15"/>
      <c r="E383" s="15"/>
      <c r="F383" s="16"/>
      <c r="G383" s="27"/>
      <c r="H383" s="17"/>
      <c r="I383" s="30">
        <f>IF($A383="","",DATE(YEAR($A383),MONTH($A383),1))</f>
        <v/>
      </c>
      <c r="J383" s="31">
        <f>IF($A383="","",IF(OR($B383="",$C383="",$F383="",$G383=""),"Preencher tudo",IF(COUNTIF(EtapaLista,$B383)=0,"Etapa inválida","OK")))</f>
        <v/>
      </c>
    </row>
    <row r="384" spans="1:10">
      <c r="A384" s="17"/>
      <c r="B384" s="15"/>
      <c r="C384" s="15"/>
      <c r="D384" s="15"/>
      <c r="E384" s="15"/>
      <c r="F384" s="16"/>
      <c r="G384" s="27"/>
      <c r="H384" s="17"/>
      <c r="I384" s="30">
        <f>IF($A384="","",DATE(YEAR($A384),MONTH($A384),1))</f>
        <v/>
      </c>
      <c r="J384" s="31">
        <f>IF($A384="","",IF(OR($B384="",$C384="",$F384="",$G384=""),"Preencher tudo",IF(COUNTIF(EtapaLista,$B384)=0,"Etapa inválida","OK")))</f>
        <v/>
      </c>
    </row>
    <row r="385" spans="1:10">
      <c r="A385" s="17"/>
      <c r="B385" s="15"/>
      <c r="C385" s="15"/>
      <c r="D385" s="15"/>
      <c r="E385" s="15"/>
      <c r="F385" s="16"/>
      <c r="G385" s="27"/>
      <c r="H385" s="17"/>
      <c r="I385" s="30">
        <f>IF($A385="","",DATE(YEAR($A385),MONTH($A385),1))</f>
        <v/>
      </c>
      <c r="J385" s="31">
        <f>IF($A385="","",IF(OR($B385="",$C385="",$F385="",$G385=""),"Preencher tudo",IF(COUNTIF(EtapaLista,$B385)=0,"Etapa inválida","OK")))</f>
        <v/>
      </c>
    </row>
    <row r="386" spans="1:10">
      <c r="A386" s="17"/>
      <c r="B386" s="15"/>
      <c r="C386" s="15"/>
      <c r="D386" s="15"/>
      <c r="E386" s="15"/>
      <c r="F386" s="16"/>
      <c r="G386" s="27"/>
      <c r="H386" s="17"/>
      <c r="I386" s="30">
        <f>IF($A386="","",DATE(YEAR($A386),MONTH($A386),1))</f>
        <v/>
      </c>
      <c r="J386" s="31">
        <f>IF($A386="","",IF(OR($B386="",$C386="",$F386="",$G386=""),"Preencher tudo",IF(COUNTIF(EtapaLista,$B386)=0,"Etapa inválida","OK")))</f>
        <v/>
      </c>
    </row>
    <row r="387" spans="1:10">
      <c r="A387" s="17"/>
      <c r="B387" s="15"/>
      <c r="C387" s="15"/>
      <c r="D387" s="15"/>
      <c r="E387" s="15"/>
      <c r="F387" s="16"/>
      <c r="G387" s="27"/>
      <c r="H387" s="17"/>
      <c r="I387" s="30">
        <f>IF($A387="","",DATE(YEAR($A387),MONTH($A387),1))</f>
        <v/>
      </c>
      <c r="J387" s="31">
        <f>IF($A387="","",IF(OR($B387="",$C387="",$F387="",$G387=""),"Preencher tudo",IF(COUNTIF(EtapaLista,$B387)=0,"Etapa inválida","OK")))</f>
        <v/>
      </c>
    </row>
    <row r="388" spans="1:10">
      <c r="A388" s="17"/>
      <c r="B388" s="15"/>
      <c r="C388" s="15"/>
      <c r="D388" s="15"/>
      <c r="E388" s="15"/>
      <c r="F388" s="16"/>
      <c r="G388" s="27"/>
      <c r="H388" s="17"/>
      <c r="I388" s="30">
        <f>IF($A388="","",DATE(YEAR($A388),MONTH($A388),1))</f>
        <v/>
      </c>
      <c r="J388" s="31">
        <f>IF($A388="","",IF(OR($B388="",$C388="",$F388="",$G388=""),"Preencher tudo",IF(COUNTIF(EtapaLista,$B388)=0,"Etapa inválida","OK")))</f>
        <v/>
      </c>
    </row>
    <row r="389" spans="1:10">
      <c r="A389" s="17"/>
      <c r="B389" s="15"/>
      <c r="C389" s="15"/>
      <c r="D389" s="15"/>
      <c r="E389" s="15"/>
      <c r="F389" s="16"/>
      <c r="G389" s="27"/>
      <c r="H389" s="17"/>
      <c r="I389" s="30">
        <f>IF($A389="","",DATE(YEAR($A389),MONTH($A389),1))</f>
        <v/>
      </c>
      <c r="J389" s="31">
        <f>IF($A389="","",IF(OR($B389="",$C389="",$F389="",$G389=""),"Preencher tudo",IF(COUNTIF(EtapaLista,$B389)=0,"Etapa inválida","OK")))</f>
        <v/>
      </c>
    </row>
    <row r="390" spans="1:10">
      <c r="A390" s="17"/>
      <c r="B390" s="15"/>
      <c r="C390" s="15"/>
      <c r="D390" s="15"/>
      <c r="E390" s="15"/>
      <c r="F390" s="16"/>
      <c r="G390" s="27"/>
      <c r="H390" s="17"/>
      <c r="I390" s="30">
        <f>IF($A390="","",DATE(YEAR($A390),MONTH($A390),1))</f>
        <v/>
      </c>
      <c r="J390" s="31">
        <f>IF($A390="","",IF(OR($B390="",$C390="",$F390="",$G390=""),"Preencher tudo",IF(COUNTIF(EtapaLista,$B390)=0,"Etapa inválida","OK")))</f>
        <v/>
      </c>
    </row>
    <row r="391" spans="1:10">
      <c r="A391" s="17"/>
      <c r="B391" s="15"/>
      <c r="C391" s="15"/>
      <c r="D391" s="15"/>
      <c r="E391" s="15"/>
      <c r="F391" s="16"/>
      <c r="G391" s="27"/>
      <c r="H391" s="17"/>
      <c r="I391" s="30">
        <f>IF($A391="","",DATE(YEAR($A391),MONTH($A391),1))</f>
        <v/>
      </c>
      <c r="J391" s="31">
        <f>IF($A391="","",IF(OR($B391="",$C391="",$F391="",$G391=""),"Preencher tudo",IF(COUNTIF(EtapaLista,$B391)=0,"Etapa inválida","OK")))</f>
        <v/>
      </c>
    </row>
    <row r="392" spans="1:10">
      <c r="A392" s="17"/>
      <c r="B392" s="15"/>
      <c r="C392" s="15"/>
      <c r="D392" s="15"/>
      <c r="E392" s="15"/>
      <c r="F392" s="16"/>
      <c r="G392" s="27"/>
      <c r="H392" s="17"/>
      <c r="I392" s="30">
        <f>IF($A392="","",DATE(YEAR($A392),MONTH($A392),1))</f>
        <v/>
      </c>
      <c r="J392" s="31">
        <f>IF($A392="","",IF(OR($B392="",$C392="",$F392="",$G392=""),"Preencher tudo",IF(COUNTIF(EtapaLista,$B392)=0,"Etapa inválida","OK")))</f>
        <v/>
      </c>
    </row>
    <row r="393" spans="1:10">
      <c r="A393" s="17"/>
      <c r="B393" s="15"/>
      <c r="C393" s="15"/>
      <c r="D393" s="15"/>
      <c r="E393" s="15"/>
      <c r="F393" s="16"/>
      <c r="G393" s="27"/>
      <c r="H393" s="17"/>
      <c r="I393" s="30">
        <f>IF($A393="","",DATE(YEAR($A393),MONTH($A393),1))</f>
        <v/>
      </c>
      <c r="J393" s="31">
        <f>IF($A393="","",IF(OR($B393="",$C393="",$F393="",$G393=""),"Preencher tudo",IF(COUNTIF(EtapaLista,$B393)=0,"Etapa inválida","OK")))</f>
        <v/>
      </c>
    </row>
    <row r="394" spans="1:10">
      <c r="A394" s="17"/>
      <c r="B394" s="15"/>
      <c r="C394" s="15"/>
      <c r="D394" s="15"/>
      <c r="E394" s="15"/>
      <c r="F394" s="16"/>
      <c r="G394" s="27"/>
      <c r="H394" s="17"/>
      <c r="I394" s="30">
        <f>IF($A394="","",DATE(YEAR($A394),MONTH($A394),1))</f>
        <v/>
      </c>
      <c r="J394" s="31">
        <f>IF($A394="","",IF(OR($B394="",$C394="",$F394="",$G394=""),"Preencher tudo",IF(COUNTIF(EtapaLista,$B394)=0,"Etapa inválida","OK")))</f>
        <v/>
      </c>
    </row>
    <row r="395" spans="1:10">
      <c r="A395" s="17"/>
      <c r="B395" s="15"/>
      <c r="C395" s="15"/>
      <c r="D395" s="15"/>
      <c r="E395" s="15"/>
      <c r="F395" s="16"/>
      <c r="G395" s="27"/>
      <c r="H395" s="17"/>
      <c r="I395" s="30">
        <f>IF($A395="","",DATE(YEAR($A395),MONTH($A395),1))</f>
        <v/>
      </c>
      <c r="J395" s="31">
        <f>IF($A395="","",IF(OR($B395="",$C395="",$F395="",$G395=""),"Preencher tudo",IF(COUNTIF(EtapaLista,$B395)=0,"Etapa inválida","OK")))</f>
        <v/>
      </c>
    </row>
    <row r="396" spans="1:10">
      <c r="A396" s="17"/>
      <c r="B396" s="15"/>
      <c r="C396" s="15"/>
      <c r="D396" s="15"/>
      <c r="E396" s="15"/>
      <c r="F396" s="16"/>
      <c r="G396" s="27"/>
      <c r="H396" s="17"/>
      <c r="I396" s="30">
        <f>IF($A396="","",DATE(YEAR($A396),MONTH($A396),1))</f>
        <v/>
      </c>
      <c r="J396" s="31">
        <f>IF($A396="","",IF(OR($B396="",$C396="",$F396="",$G396=""),"Preencher tudo",IF(COUNTIF(EtapaLista,$B396)=0,"Etapa inválida","OK")))</f>
        <v/>
      </c>
    </row>
    <row r="397" spans="1:10">
      <c r="A397" s="17"/>
      <c r="B397" s="15"/>
      <c r="C397" s="15"/>
      <c r="D397" s="15"/>
      <c r="E397" s="15"/>
      <c r="F397" s="16"/>
      <c r="G397" s="27"/>
      <c r="H397" s="17"/>
      <c r="I397" s="30">
        <f>IF($A397="","",DATE(YEAR($A397),MONTH($A397),1))</f>
        <v/>
      </c>
      <c r="J397" s="31">
        <f>IF($A397="","",IF(OR($B397="",$C397="",$F397="",$G397=""),"Preencher tudo",IF(COUNTIF(EtapaLista,$B397)=0,"Etapa inválida","OK")))</f>
        <v/>
      </c>
    </row>
    <row r="398" spans="1:10">
      <c r="A398" s="17"/>
      <c r="B398" s="15"/>
      <c r="C398" s="15"/>
      <c r="D398" s="15"/>
      <c r="E398" s="15"/>
      <c r="F398" s="16"/>
      <c r="G398" s="27"/>
      <c r="H398" s="17"/>
      <c r="I398" s="30">
        <f>IF($A398="","",DATE(YEAR($A398),MONTH($A398),1))</f>
        <v/>
      </c>
      <c r="J398" s="31">
        <f>IF($A398="","",IF(OR($B398="",$C398="",$F398="",$G398=""),"Preencher tudo",IF(COUNTIF(EtapaLista,$B398)=0,"Etapa inválida","OK")))</f>
        <v/>
      </c>
    </row>
    <row r="399" spans="1:10">
      <c r="A399" s="17"/>
      <c r="B399" s="15"/>
      <c r="C399" s="15"/>
      <c r="D399" s="15"/>
      <c r="E399" s="15"/>
      <c r="F399" s="16"/>
      <c r="G399" s="27"/>
      <c r="H399" s="17"/>
      <c r="I399" s="30">
        <f>IF($A399="","",DATE(YEAR($A399),MONTH($A399),1))</f>
        <v/>
      </c>
      <c r="J399" s="31">
        <f>IF($A399="","",IF(OR($B399="",$C399="",$F399="",$G399=""),"Preencher tudo",IF(COUNTIF(EtapaLista,$B399)=0,"Etapa inválida","OK")))</f>
        <v/>
      </c>
    </row>
    <row r="400" spans="1:10">
      <c r="A400" s="17"/>
      <c r="B400" s="15"/>
      <c r="C400" s="15"/>
      <c r="D400" s="15"/>
      <c r="E400" s="15"/>
      <c r="F400" s="16"/>
      <c r="G400" s="27"/>
      <c r="H400" s="17"/>
      <c r="I400" s="30">
        <f>IF($A400="","",DATE(YEAR($A400),MONTH($A400),1))</f>
        <v/>
      </c>
      <c r="J400" s="31">
        <f>IF($A400="","",IF(OR($B400="",$C400="",$F400="",$G400=""),"Preencher tudo",IF(COUNTIF(EtapaLista,$B400)=0,"Etapa inválida","OK")))</f>
        <v/>
      </c>
    </row>
    <row r="401" spans="1:10">
      <c r="A401" s="17"/>
      <c r="B401" s="15"/>
      <c r="C401" s="15"/>
      <c r="D401" s="15"/>
      <c r="E401" s="15"/>
      <c r="F401" s="16"/>
      <c r="G401" s="27"/>
      <c r="H401" s="17"/>
      <c r="I401" s="30">
        <f>IF($A401="","",DATE(YEAR($A401),MONTH($A401),1))</f>
        <v/>
      </c>
      <c r="J401" s="31">
        <f>IF($A401="","",IF(OR($B401="",$C401="",$F401="",$G401=""),"Preencher tudo",IF(COUNTIF(EtapaLista,$B401)=0,"Etapa inválida","OK")))</f>
        <v/>
      </c>
    </row>
    <row r="402" spans="1:10">
      <c r="A402" s="17"/>
      <c r="B402" s="15"/>
      <c r="C402" s="15"/>
      <c r="D402" s="15"/>
      <c r="E402" s="15"/>
      <c r="F402" s="16"/>
      <c r="G402" s="27"/>
      <c r="H402" s="17"/>
      <c r="I402" s="30">
        <f>IF($A402="","",DATE(YEAR($A402),MONTH($A402),1))</f>
        <v/>
      </c>
      <c r="J402" s="31">
        <f>IF($A402="","",IF(OR($B402="",$C402="",$F402="",$G402=""),"Preencher tudo",IF(COUNTIF(EtapaLista,$B402)=0,"Etapa inválida","OK")))</f>
        <v/>
      </c>
    </row>
    <row r="403" spans="1:10">
      <c r="A403" s="17"/>
      <c r="B403" s="15"/>
      <c r="C403" s="15"/>
      <c r="D403" s="15"/>
      <c r="E403" s="15"/>
      <c r="F403" s="16"/>
      <c r="G403" s="27"/>
      <c r="H403" s="17"/>
      <c r="I403" s="30">
        <f>IF($A403="","",DATE(YEAR($A403),MONTH($A403),1))</f>
        <v/>
      </c>
      <c r="J403" s="31">
        <f>IF($A403="","",IF(OR($B403="",$C403="",$F403="",$G403=""),"Preencher tudo",IF(COUNTIF(EtapaLista,$B403)=0,"Etapa inválida","OK")))</f>
        <v/>
      </c>
    </row>
    <row r="404" spans="1:10">
      <c r="A404" s="17"/>
      <c r="B404" s="15"/>
      <c r="C404" s="15"/>
      <c r="D404" s="15"/>
      <c r="E404" s="15"/>
      <c r="F404" s="16"/>
      <c r="G404" s="27"/>
      <c r="H404" s="17"/>
      <c r="I404" s="30">
        <f>IF($A404="","",DATE(YEAR($A404),MONTH($A404),1))</f>
        <v/>
      </c>
      <c r="J404" s="31">
        <f>IF($A404="","",IF(OR($B404="",$C404="",$F404="",$G404=""),"Preencher tudo",IF(COUNTIF(EtapaLista,$B404)=0,"Etapa inválida","OK")))</f>
        <v/>
      </c>
    </row>
    <row r="405" spans="1:10">
      <c r="A405" s="17"/>
      <c r="B405" s="15"/>
      <c r="C405" s="15"/>
      <c r="D405" s="15"/>
      <c r="E405" s="15"/>
      <c r="F405" s="16"/>
      <c r="G405" s="27"/>
      <c r="H405" s="17"/>
      <c r="I405" s="30">
        <f>IF($A405="","",DATE(YEAR($A405),MONTH($A405),1))</f>
        <v/>
      </c>
      <c r="J405" s="31">
        <f>IF($A405="","",IF(OR($B405="",$C405="",$F405="",$G405=""),"Preencher tudo",IF(COUNTIF(EtapaLista,$B405)=0,"Etapa inválida","OK")))</f>
        <v/>
      </c>
    </row>
    <row r="406" spans="1:10">
      <c r="A406" s="17"/>
      <c r="B406" s="15"/>
      <c r="C406" s="15"/>
      <c r="D406" s="15"/>
      <c r="E406" s="15"/>
      <c r="F406" s="16"/>
      <c r="G406" s="27"/>
      <c r="H406" s="17"/>
      <c r="I406" s="30">
        <f>IF($A406="","",DATE(YEAR($A406),MONTH($A406),1))</f>
        <v/>
      </c>
      <c r="J406" s="31">
        <f>IF($A406="","",IF(OR($B406="",$C406="",$F406="",$G406=""),"Preencher tudo",IF(COUNTIF(EtapaLista,$B406)=0,"Etapa inválida","OK")))</f>
        <v/>
      </c>
    </row>
    <row r="407" spans="1:10">
      <c r="A407" s="17"/>
      <c r="B407" s="15"/>
      <c r="C407" s="15"/>
      <c r="D407" s="15"/>
      <c r="E407" s="15"/>
      <c r="F407" s="16"/>
      <c r="G407" s="27"/>
      <c r="H407" s="17"/>
      <c r="I407" s="30">
        <f>IF($A407="","",DATE(YEAR($A407),MONTH($A407),1))</f>
        <v/>
      </c>
      <c r="J407" s="31">
        <f>IF($A407="","",IF(OR($B407="",$C407="",$F407="",$G407=""),"Preencher tudo",IF(COUNTIF(EtapaLista,$B407)=0,"Etapa inválida","OK")))</f>
        <v/>
      </c>
    </row>
    <row r="408" spans="1:10">
      <c r="A408" s="17"/>
      <c r="B408" s="15"/>
      <c r="C408" s="15"/>
      <c r="D408" s="15"/>
      <c r="E408" s="15"/>
      <c r="F408" s="16"/>
      <c r="G408" s="27"/>
      <c r="H408" s="17"/>
      <c r="I408" s="30">
        <f>IF($A408="","",DATE(YEAR($A408),MONTH($A408),1))</f>
        <v/>
      </c>
      <c r="J408" s="31">
        <f>IF($A408="","",IF(OR($B408="",$C408="",$F408="",$G408=""),"Preencher tudo",IF(COUNTIF(EtapaLista,$B408)=0,"Etapa inválida","OK")))</f>
        <v/>
      </c>
    </row>
    <row r="409" spans="1:10">
      <c r="A409" s="17"/>
      <c r="B409" s="15"/>
      <c r="C409" s="15"/>
      <c r="D409" s="15"/>
      <c r="E409" s="15"/>
      <c r="F409" s="16"/>
      <c r="G409" s="27"/>
      <c r="H409" s="17"/>
      <c r="I409" s="30">
        <f>IF($A409="","",DATE(YEAR($A409),MONTH($A409),1))</f>
        <v/>
      </c>
      <c r="J409" s="31">
        <f>IF($A409="","",IF(OR($B409="",$C409="",$F409="",$G409=""),"Preencher tudo",IF(COUNTIF(EtapaLista,$B409)=0,"Etapa inválida","OK")))</f>
        <v/>
      </c>
    </row>
    <row r="410" spans="1:10">
      <c r="A410" s="17"/>
      <c r="B410" s="15"/>
      <c r="C410" s="15"/>
      <c r="D410" s="15"/>
      <c r="E410" s="15"/>
      <c r="F410" s="16"/>
      <c r="G410" s="27"/>
      <c r="H410" s="17"/>
      <c r="I410" s="30">
        <f>IF($A410="","",DATE(YEAR($A410),MONTH($A410),1))</f>
        <v/>
      </c>
      <c r="J410" s="31">
        <f>IF($A410="","",IF(OR($B410="",$C410="",$F410="",$G410=""),"Preencher tudo",IF(COUNTIF(EtapaLista,$B410)=0,"Etapa inválida","OK")))</f>
        <v/>
      </c>
    </row>
    <row r="411" spans="1:10">
      <c r="A411" s="17"/>
      <c r="B411" s="15"/>
      <c r="C411" s="15"/>
      <c r="D411" s="15"/>
      <c r="E411" s="15"/>
      <c r="F411" s="16"/>
      <c r="G411" s="27"/>
      <c r="H411" s="17"/>
      <c r="I411" s="30">
        <f>IF($A411="","",DATE(YEAR($A411),MONTH($A411),1))</f>
        <v/>
      </c>
      <c r="J411" s="31">
        <f>IF($A411="","",IF(OR($B411="",$C411="",$F411="",$G411=""),"Preencher tudo",IF(COUNTIF(EtapaLista,$B411)=0,"Etapa inválida","OK")))</f>
        <v/>
      </c>
    </row>
    <row r="412" spans="1:10">
      <c r="A412" s="17"/>
      <c r="B412" s="15"/>
      <c r="C412" s="15"/>
      <c r="D412" s="15"/>
      <c r="E412" s="15"/>
      <c r="F412" s="16"/>
      <c r="G412" s="27"/>
      <c r="H412" s="17"/>
      <c r="I412" s="30">
        <f>IF($A412="","",DATE(YEAR($A412),MONTH($A412),1))</f>
        <v/>
      </c>
      <c r="J412" s="31">
        <f>IF($A412="","",IF(OR($B412="",$C412="",$F412="",$G412=""),"Preencher tudo",IF(COUNTIF(EtapaLista,$B412)=0,"Etapa inválida","OK")))</f>
        <v/>
      </c>
    </row>
    <row r="413" spans="1:10">
      <c r="A413" s="17"/>
      <c r="B413" s="15"/>
      <c r="C413" s="15"/>
      <c r="D413" s="15"/>
      <c r="E413" s="15"/>
      <c r="F413" s="16"/>
      <c r="G413" s="27"/>
      <c r="H413" s="17"/>
      <c r="I413" s="30">
        <f>IF($A413="","",DATE(YEAR($A413),MONTH($A413),1))</f>
        <v/>
      </c>
      <c r="J413" s="31">
        <f>IF($A413="","",IF(OR($B413="",$C413="",$F413="",$G413=""),"Preencher tudo",IF(COUNTIF(EtapaLista,$B413)=0,"Etapa inválida","OK")))</f>
        <v/>
      </c>
    </row>
    <row r="414" spans="1:10">
      <c r="A414" s="17"/>
      <c r="B414" s="15"/>
      <c r="C414" s="15"/>
      <c r="D414" s="15"/>
      <c r="E414" s="15"/>
      <c r="F414" s="16"/>
      <c r="G414" s="27"/>
      <c r="H414" s="17"/>
      <c r="I414" s="30">
        <f>IF($A414="","",DATE(YEAR($A414),MONTH($A414),1))</f>
        <v/>
      </c>
      <c r="J414" s="31">
        <f>IF($A414="","",IF(OR($B414="",$C414="",$F414="",$G414=""),"Preencher tudo",IF(COUNTIF(EtapaLista,$B414)=0,"Etapa inválida","OK")))</f>
        <v/>
      </c>
    </row>
    <row r="415" spans="1:10">
      <c r="A415" s="17"/>
      <c r="B415" s="15"/>
      <c r="C415" s="15"/>
      <c r="D415" s="15"/>
      <c r="E415" s="15"/>
      <c r="F415" s="16"/>
      <c r="G415" s="27"/>
      <c r="H415" s="17"/>
      <c r="I415" s="30">
        <f>IF($A415="","",DATE(YEAR($A415),MONTH($A415),1))</f>
        <v/>
      </c>
      <c r="J415" s="31">
        <f>IF($A415="","",IF(OR($B415="",$C415="",$F415="",$G415=""),"Preencher tudo",IF(COUNTIF(EtapaLista,$B415)=0,"Etapa inválida","OK")))</f>
        <v/>
      </c>
    </row>
    <row r="416" spans="1:10">
      <c r="A416" s="17"/>
      <c r="B416" s="15"/>
      <c r="C416" s="15"/>
      <c r="D416" s="15"/>
      <c r="E416" s="15"/>
      <c r="F416" s="16"/>
      <c r="G416" s="27"/>
      <c r="H416" s="17"/>
      <c r="I416" s="30">
        <f>IF($A416="","",DATE(YEAR($A416),MONTH($A416),1))</f>
        <v/>
      </c>
      <c r="J416" s="31">
        <f>IF($A416="","",IF(OR($B416="",$C416="",$F416="",$G416=""),"Preencher tudo",IF(COUNTIF(EtapaLista,$B416)=0,"Etapa inválida","OK")))</f>
        <v/>
      </c>
    </row>
    <row r="417" spans="1:10">
      <c r="A417" s="17"/>
      <c r="B417" s="15"/>
      <c r="C417" s="15"/>
      <c r="D417" s="15"/>
      <c r="E417" s="15"/>
      <c r="F417" s="16"/>
      <c r="G417" s="27"/>
      <c r="H417" s="17"/>
      <c r="I417" s="30">
        <f>IF($A417="","",DATE(YEAR($A417),MONTH($A417),1))</f>
        <v/>
      </c>
      <c r="J417" s="31">
        <f>IF($A417="","",IF(OR($B417="",$C417="",$F417="",$G417=""),"Preencher tudo",IF(COUNTIF(EtapaLista,$B417)=0,"Etapa inválida","OK")))</f>
        <v/>
      </c>
    </row>
    <row r="418" spans="1:10">
      <c r="A418" s="17"/>
      <c r="B418" s="15"/>
      <c r="C418" s="15"/>
      <c r="D418" s="15"/>
      <c r="E418" s="15"/>
      <c r="F418" s="16"/>
      <c r="G418" s="27"/>
      <c r="H418" s="17"/>
      <c r="I418" s="30">
        <f>IF($A418="","",DATE(YEAR($A418),MONTH($A418),1))</f>
        <v/>
      </c>
      <c r="J418" s="31">
        <f>IF($A418="","",IF(OR($B418="",$C418="",$F418="",$G418=""),"Preencher tudo",IF(COUNTIF(EtapaLista,$B418)=0,"Etapa inválida","OK")))</f>
        <v/>
      </c>
    </row>
    <row r="419" spans="1:10">
      <c r="A419" s="17"/>
      <c r="B419" s="15"/>
      <c r="C419" s="15"/>
      <c r="D419" s="15"/>
      <c r="E419" s="15"/>
      <c r="F419" s="16"/>
      <c r="G419" s="27"/>
      <c r="H419" s="17"/>
      <c r="I419" s="30">
        <f>IF($A419="","",DATE(YEAR($A419),MONTH($A419),1))</f>
        <v/>
      </c>
      <c r="J419" s="31">
        <f>IF($A419="","",IF(OR($B419="",$C419="",$F419="",$G419=""),"Preencher tudo",IF(COUNTIF(EtapaLista,$B419)=0,"Etapa inválida","OK")))</f>
        <v/>
      </c>
    </row>
    <row r="420" spans="1:10">
      <c r="A420" s="17"/>
      <c r="B420" s="15"/>
      <c r="C420" s="15"/>
      <c r="D420" s="15"/>
      <c r="E420" s="15"/>
      <c r="F420" s="16"/>
      <c r="G420" s="27"/>
      <c r="H420" s="17"/>
      <c r="I420" s="30">
        <f>IF($A420="","",DATE(YEAR($A420),MONTH($A420),1))</f>
        <v/>
      </c>
      <c r="J420" s="31">
        <f>IF($A420="","",IF(OR($B420="",$C420="",$F420="",$G420=""),"Preencher tudo",IF(COUNTIF(EtapaLista,$B420)=0,"Etapa inválida","OK")))</f>
        <v/>
      </c>
    </row>
    <row r="421" spans="1:10">
      <c r="A421" s="17"/>
      <c r="B421" s="15"/>
      <c r="C421" s="15"/>
      <c r="D421" s="15"/>
      <c r="E421" s="15"/>
      <c r="F421" s="16"/>
      <c r="G421" s="27"/>
      <c r="H421" s="17"/>
      <c r="I421" s="30">
        <f>IF($A421="","",DATE(YEAR($A421),MONTH($A421),1))</f>
        <v/>
      </c>
      <c r="J421" s="31">
        <f>IF($A421="","",IF(OR($B421="",$C421="",$F421="",$G421=""),"Preencher tudo",IF(COUNTIF(EtapaLista,$B421)=0,"Etapa inválida","OK")))</f>
        <v/>
      </c>
    </row>
    <row r="422" spans="1:10">
      <c r="A422" s="17"/>
      <c r="B422" s="15"/>
      <c r="C422" s="15"/>
      <c r="D422" s="15"/>
      <c r="E422" s="15"/>
      <c r="F422" s="16"/>
      <c r="G422" s="27"/>
      <c r="H422" s="17"/>
      <c r="I422" s="30">
        <f>IF($A422="","",DATE(YEAR($A422),MONTH($A422),1))</f>
        <v/>
      </c>
      <c r="J422" s="31">
        <f>IF($A422="","",IF(OR($B422="",$C422="",$F422="",$G422=""),"Preencher tudo",IF(COUNTIF(EtapaLista,$B422)=0,"Etapa inválida","OK")))</f>
        <v/>
      </c>
    </row>
    <row r="423" spans="1:10">
      <c r="A423" s="17"/>
      <c r="B423" s="15"/>
      <c r="C423" s="15"/>
      <c r="D423" s="15"/>
      <c r="E423" s="15"/>
      <c r="F423" s="16"/>
      <c r="G423" s="27"/>
      <c r="H423" s="17"/>
      <c r="I423" s="30">
        <f>IF($A423="","",DATE(YEAR($A423),MONTH($A423),1))</f>
        <v/>
      </c>
      <c r="J423" s="31">
        <f>IF($A423="","",IF(OR($B423="",$C423="",$F423="",$G423=""),"Preencher tudo",IF(COUNTIF(EtapaLista,$B423)=0,"Etapa inválida","OK")))</f>
        <v/>
      </c>
    </row>
    <row r="424" spans="1:10">
      <c r="A424" s="17"/>
      <c r="B424" s="15"/>
      <c r="C424" s="15"/>
      <c r="D424" s="15"/>
      <c r="E424" s="15"/>
      <c r="F424" s="16"/>
      <c r="G424" s="27"/>
      <c r="H424" s="17"/>
      <c r="I424" s="30">
        <f>IF($A424="","",DATE(YEAR($A424),MONTH($A424),1))</f>
        <v/>
      </c>
      <c r="J424" s="31">
        <f>IF($A424="","",IF(OR($B424="",$C424="",$F424="",$G424=""),"Preencher tudo",IF(COUNTIF(EtapaLista,$B424)=0,"Etapa inválida","OK")))</f>
        <v/>
      </c>
    </row>
    <row r="425" spans="1:10">
      <c r="A425" s="17"/>
      <c r="B425" s="15"/>
      <c r="C425" s="15"/>
      <c r="D425" s="15"/>
      <c r="E425" s="15"/>
      <c r="F425" s="16"/>
      <c r="G425" s="27"/>
      <c r="H425" s="17"/>
      <c r="I425" s="30">
        <f>IF($A425="","",DATE(YEAR($A425),MONTH($A425),1))</f>
        <v/>
      </c>
      <c r="J425" s="31">
        <f>IF($A425="","",IF(OR($B425="",$C425="",$F425="",$G425=""),"Preencher tudo",IF(COUNTIF(EtapaLista,$B425)=0,"Etapa inválida","OK")))</f>
        <v/>
      </c>
    </row>
    <row r="426" spans="1:10">
      <c r="A426" s="17"/>
      <c r="B426" s="15"/>
      <c r="C426" s="15"/>
      <c r="D426" s="15"/>
      <c r="E426" s="15"/>
      <c r="F426" s="16"/>
      <c r="G426" s="27"/>
      <c r="H426" s="17"/>
      <c r="I426" s="30">
        <f>IF($A426="","",DATE(YEAR($A426),MONTH($A426),1))</f>
        <v/>
      </c>
      <c r="J426" s="31">
        <f>IF($A426="","",IF(OR($B426="",$C426="",$F426="",$G426=""),"Preencher tudo",IF(COUNTIF(EtapaLista,$B426)=0,"Etapa inválida","OK")))</f>
        <v/>
      </c>
    </row>
    <row r="427" spans="1:10">
      <c r="A427" s="17"/>
      <c r="B427" s="15"/>
      <c r="C427" s="15"/>
      <c r="D427" s="15"/>
      <c r="E427" s="15"/>
      <c r="F427" s="16"/>
      <c r="G427" s="27"/>
      <c r="H427" s="17"/>
      <c r="I427" s="30">
        <f>IF($A427="","",DATE(YEAR($A427),MONTH($A427),1))</f>
        <v/>
      </c>
      <c r="J427" s="31">
        <f>IF($A427="","",IF(OR($B427="",$C427="",$F427="",$G427=""),"Preencher tudo",IF(COUNTIF(EtapaLista,$B427)=0,"Etapa inválida","OK")))</f>
        <v/>
      </c>
    </row>
    <row r="428" spans="1:10">
      <c r="A428" s="17"/>
      <c r="B428" s="15"/>
      <c r="C428" s="15"/>
      <c r="D428" s="15"/>
      <c r="E428" s="15"/>
      <c r="F428" s="16"/>
      <c r="G428" s="27"/>
      <c r="H428" s="17"/>
      <c r="I428" s="30">
        <f>IF($A428="","",DATE(YEAR($A428),MONTH($A428),1))</f>
        <v/>
      </c>
      <c r="J428" s="31">
        <f>IF($A428="","",IF(OR($B428="",$C428="",$F428="",$G428=""),"Preencher tudo",IF(COUNTIF(EtapaLista,$B428)=0,"Etapa inválida","OK")))</f>
        <v/>
      </c>
    </row>
    <row r="429" spans="1:10">
      <c r="A429" s="17"/>
      <c r="B429" s="15"/>
      <c r="C429" s="15"/>
      <c r="D429" s="15"/>
      <c r="E429" s="15"/>
      <c r="F429" s="16"/>
      <c r="G429" s="27"/>
      <c r="H429" s="17"/>
      <c r="I429" s="30">
        <f>IF($A429="","",DATE(YEAR($A429),MONTH($A429),1))</f>
        <v/>
      </c>
      <c r="J429" s="31">
        <f>IF($A429="","",IF(OR($B429="",$C429="",$F429="",$G429=""),"Preencher tudo",IF(COUNTIF(EtapaLista,$B429)=0,"Etapa inválida","OK")))</f>
        <v/>
      </c>
    </row>
    <row r="430" spans="1:10">
      <c r="A430" s="17"/>
      <c r="B430" s="15"/>
      <c r="C430" s="15"/>
      <c r="D430" s="15"/>
      <c r="E430" s="15"/>
      <c r="F430" s="16"/>
      <c r="G430" s="27"/>
      <c r="H430" s="17"/>
      <c r="I430" s="30">
        <f>IF($A430="","",DATE(YEAR($A430),MONTH($A430),1))</f>
        <v/>
      </c>
      <c r="J430" s="31">
        <f>IF($A430="","",IF(OR($B430="",$C430="",$F430="",$G430=""),"Preencher tudo",IF(COUNTIF(EtapaLista,$B430)=0,"Etapa inválida","OK")))</f>
        <v/>
      </c>
    </row>
    <row r="431" spans="1:10">
      <c r="A431" s="17"/>
      <c r="B431" s="15"/>
      <c r="C431" s="15"/>
      <c r="D431" s="15"/>
      <c r="E431" s="15"/>
      <c r="F431" s="16"/>
      <c r="G431" s="27"/>
      <c r="H431" s="17"/>
      <c r="I431" s="30">
        <f>IF($A431="","",DATE(YEAR($A431),MONTH($A431),1))</f>
        <v/>
      </c>
      <c r="J431" s="31">
        <f>IF($A431="","",IF(OR($B431="",$C431="",$F431="",$G431=""),"Preencher tudo",IF(COUNTIF(EtapaLista,$B431)=0,"Etapa inválida","OK")))</f>
        <v/>
      </c>
    </row>
    <row r="432" spans="1:10">
      <c r="A432" s="17"/>
      <c r="B432" s="15"/>
      <c r="C432" s="15"/>
      <c r="D432" s="15"/>
      <c r="E432" s="15"/>
      <c r="F432" s="16"/>
      <c r="G432" s="27"/>
      <c r="H432" s="17"/>
      <c r="I432" s="30">
        <f>IF($A432="","",DATE(YEAR($A432),MONTH($A432),1))</f>
        <v/>
      </c>
      <c r="J432" s="31">
        <f>IF($A432="","",IF(OR($B432="",$C432="",$F432="",$G432=""),"Preencher tudo",IF(COUNTIF(EtapaLista,$B432)=0,"Etapa inválida","OK")))</f>
        <v/>
      </c>
    </row>
    <row r="433" spans="1:10">
      <c r="A433" s="17"/>
      <c r="B433" s="15"/>
      <c r="C433" s="15"/>
      <c r="D433" s="15"/>
      <c r="E433" s="15"/>
      <c r="F433" s="16"/>
      <c r="G433" s="27"/>
      <c r="H433" s="17"/>
      <c r="I433" s="30">
        <f>IF($A433="","",DATE(YEAR($A433),MONTH($A433),1))</f>
        <v/>
      </c>
      <c r="J433" s="31">
        <f>IF($A433="","",IF(OR($B433="",$C433="",$F433="",$G433=""),"Preencher tudo",IF(COUNTIF(EtapaLista,$B433)=0,"Etapa inválida","OK")))</f>
        <v/>
      </c>
    </row>
    <row r="434" spans="1:10">
      <c r="A434" s="17"/>
      <c r="B434" s="15"/>
      <c r="C434" s="15"/>
      <c r="D434" s="15"/>
      <c r="E434" s="15"/>
      <c r="F434" s="16"/>
      <c r="G434" s="27"/>
      <c r="H434" s="17"/>
      <c r="I434" s="30">
        <f>IF($A434="","",DATE(YEAR($A434),MONTH($A434),1))</f>
        <v/>
      </c>
      <c r="J434" s="31">
        <f>IF($A434="","",IF(OR($B434="",$C434="",$F434="",$G434=""),"Preencher tudo",IF(COUNTIF(EtapaLista,$B434)=0,"Etapa inválida","OK")))</f>
        <v/>
      </c>
    </row>
    <row r="435" spans="1:10">
      <c r="A435" s="17"/>
      <c r="B435" s="15"/>
      <c r="C435" s="15"/>
      <c r="D435" s="15"/>
      <c r="E435" s="15"/>
      <c r="F435" s="16"/>
      <c r="G435" s="27"/>
      <c r="H435" s="17"/>
      <c r="I435" s="30">
        <f>IF($A435="","",DATE(YEAR($A435),MONTH($A435),1))</f>
        <v/>
      </c>
      <c r="J435" s="31">
        <f>IF($A435="","",IF(OR($B435="",$C435="",$F435="",$G435=""),"Preencher tudo",IF(COUNTIF(EtapaLista,$B435)=0,"Etapa inválida","OK")))</f>
        <v/>
      </c>
    </row>
    <row r="436" spans="1:10">
      <c r="A436" s="17"/>
      <c r="B436" s="15"/>
      <c r="C436" s="15"/>
      <c r="D436" s="15"/>
      <c r="E436" s="15"/>
      <c r="F436" s="16"/>
      <c r="G436" s="27"/>
      <c r="H436" s="17"/>
      <c r="I436" s="30">
        <f>IF($A436="","",DATE(YEAR($A436),MONTH($A436),1))</f>
        <v/>
      </c>
      <c r="J436" s="31">
        <f>IF($A436="","",IF(OR($B436="",$C436="",$F436="",$G436=""),"Preencher tudo",IF(COUNTIF(EtapaLista,$B436)=0,"Etapa inválida","OK")))</f>
        <v/>
      </c>
    </row>
    <row r="437" spans="1:10">
      <c r="A437" s="17"/>
      <c r="B437" s="15"/>
      <c r="C437" s="15"/>
      <c r="D437" s="15"/>
      <c r="E437" s="15"/>
      <c r="F437" s="16"/>
      <c r="G437" s="27"/>
      <c r="H437" s="17"/>
      <c r="I437" s="30">
        <f>IF($A437="","",DATE(YEAR($A437),MONTH($A437),1))</f>
        <v/>
      </c>
      <c r="J437" s="31">
        <f>IF($A437="","",IF(OR($B437="",$C437="",$F437="",$G437=""),"Preencher tudo",IF(COUNTIF(EtapaLista,$B437)=0,"Etapa inválida","OK")))</f>
        <v/>
      </c>
    </row>
    <row r="438" spans="1:10">
      <c r="A438" s="17"/>
      <c r="B438" s="15"/>
      <c r="C438" s="15"/>
      <c r="D438" s="15"/>
      <c r="E438" s="15"/>
      <c r="F438" s="16"/>
      <c r="G438" s="27"/>
      <c r="H438" s="17"/>
      <c r="I438" s="30">
        <f>IF($A438="","",DATE(YEAR($A438),MONTH($A438),1))</f>
        <v/>
      </c>
      <c r="J438" s="31">
        <f>IF($A438="","",IF(OR($B438="",$C438="",$F438="",$G438=""),"Preencher tudo",IF(COUNTIF(EtapaLista,$B438)=0,"Etapa inválida","OK")))</f>
        <v/>
      </c>
    </row>
    <row r="439" spans="1:10">
      <c r="A439" s="17"/>
      <c r="B439" s="15"/>
      <c r="C439" s="15"/>
      <c r="D439" s="15"/>
      <c r="E439" s="15"/>
      <c r="F439" s="16"/>
      <c r="G439" s="27"/>
      <c r="H439" s="17"/>
      <c r="I439" s="30">
        <f>IF($A439="","",DATE(YEAR($A439),MONTH($A439),1))</f>
        <v/>
      </c>
      <c r="J439" s="31">
        <f>IF($A439="","",IF(OR($B439="",$C439="",$F439="",$G439=""),"Preencher tudo",IF(COUNTIF(EtapaLista,$B439)=0,"Etapa inválida","OK")))</f>
        <v/>
      </c>
    </row>
    <row r="440" spans="1:10">
      <c r="A440" s="17"/>
      <c r="B440" s="15"/>
      <c r="C440" s="15"/>
      <c r="D440" s="15"/>
      <c r="E440" s="15"/>
      <c r="F440" s="16"/>
      <c r="G440" s="27"/>
      <c r="H440" s="17"/>
      <c r="I440" s="30">
        <f>IF($A440="","",DATE(YEAR($A440),MONTH($A440),1))</f>
        <v/>
      </c>
      <c r="J440" s="31">
        <f>IF($A440="","",IF(OR($B440="",$C440="",$F440="",$G440=""),"Preencher tudo",IF(COUNTIF(EtapaLista,$B440)=0,"Etapa inválida","OK")))</f>
        <v/>
      </c>
    </row>
    <row r="441" spans="1:10">
      <c r="A441" s="17"/>
      <c r="B441" s="15"/>
      <c r="C441" s="15"/>
      <c r="D441" s="15"/>
      <c r="E441" s="15"/>
      <c r="F441" s="16"/>
      <c r="G441" s="27"/>
      <c r="H441" s="17"/>
      <c r="I441" s="30">
        <f>IF($A441="","",DATE(YEAR($A441),MONTH($A441),1))</f>
        <v/>
      </c>
      <c r="J441" s="31">
        <f>IF($A441="","",IF(OR($B441="",$C441="",$F441="",$G441=""),"Preencher tudo",IF(COUNTIF(EtapaLista,$B441)=0,"Etapa inválida","OK")))</f>
        <v/>
      </c>
    </row>
    <row r="442" spans="1:10">
      <c r="A442" s="17"/>
      <c r="B442" s="15"/>
      <c r="C442" s="15"/>
      <c r="D442" s="15"/>
      <c r="E442" s="15"/>
      <c r="F442" s="16"/>
      <c r="G442" s="27"/>
      <c r="H442" s="17"/>
      <c r="I442" s="30">
        <f>IF($A442="","",DATE(YEAR($A442),MONTH($A442),1))</f>
        <v/>
      </c>
      <c r="J442" s="31">
        <f>IF($A442="","",IF(OR($B442="",$C442="",$F442="",$G442=""),"Preencher tudo",IF(COUNTIF(EtapaLista,$B442)=0,"Etapa inválida","OK")))</f>
        <v/>
      </c>
    </row>
    <row r="443" spans="1:10">
      <c r="A443" s="17"/>
      <c r="B443" s="15"/>
      <c r="C443" s="15"/>
      <c r="D443" s="15"/>
      <c r="E443" s="15"/>
      <c r="F443" s="16"/>
      <c r="G443" s="27"/>
      <c r="H443" s="17"/>
      <c r="I443" s="30">
        <f>IF($A443="","",DATE(YEAR($A443),MONTH($A443),1))</f>
        <v/>
      </c>
      <c r="J443" s="31">
        <f>IF($A443="","",IF(OR($B443="",$C443="",$F443="",$G443=""),"Preencher tudo",IF(COUNTIF(EtapaLista,$B443)=0,"Etapa inválida","OK")))</f>
        <v/>
      </c>
    </row>
    <row r="444" spans="1:10">
      <c r="A444" s="17"/>
      <c r="B444" s="15"/>
      <c r="C444" s="15"/>
      <c r="D444" s="15"/>
      <c r="E444" s="15"/>
      <c r="F444" s="16"/>
      <c r="G444" s="27"/>
      <c r="H444" s="17"/>
      <c r="I444" s="30">
        <f>IF($A444="","",DATE(YEAR($A444),MONTH($A444),1))</f>
        <v/>
      </c>
      <c r="J444" s="31">
        <f>IF($A444="","",IF(OR($B444="",$C444="",$F444="",$G444=""),"Preencher tudo",IF(COUNTIF(EtapaLista,$B444)=0,"Etapa inválida","OK")))</f>
        <v/>
      </c>
    </row>
    <row r="445" spans="1:10">
      <c r="A445" s="17"/>
      <c r="B445" s="15"/>
      <c r="C445" s="15"/>
      <c r="D445" s="15"/>
      <c r="E445" s="15"/>
      <c r="F445" s="16"/>
      <c r="G445" s="27"/>
      <c r="H445" s="17"/>
      <c r="I445" s="30">
        <f>IF($A445="","",DATE(YEAR($A445),MONTH($A445),1))</f>
        <v/>
      </c>
      <c r="J445" s="31">
        <f>IF($A445="","",IF(OR($B445="",$C445="",$F445="",$G445=""),"Preencher tudo",IF(COUNTIF(EtapaLista,$B445)=0,"Etapa inválida","OK")))</f>
        <v/>
      </c>
    </row>
    <row r="446" spans="1:10">
      <c r="A446" s="17"/>
      <c r="B446" s="15"/>
      <c r="C446" s="15"/>
      <c r="D446" s="15"/>
      <c r="E446" s="15"/>
      <c r="F446" s="16"/>
      <c r="G446" s="27"/>
      <c r="H446" s="17"/>
      <c r="I446" s="30">
        <f>IF($A446="","",DATE(YEAR($A446),MONTH($A446),1))</f>
        <v/>
      </c>
      <c r="J446" s="31">
        <f>IF($A446="","",IF(OR($B446="",$C446="",$F446="",$G446=""),"Preencher tudo",IF(COUNTIF(EtapaLista,$B446)=0,"Etapa inválida","OK")))</f>
        <v/>
      </c>
    </row>
    <row r="447" spans="1:10">
      <c r="A447" s="17"/>
      <c r="B447" s="15"/>
      <c r="C447" s="15"/>
      <c r="D447" s="15"/>
      <c r="E447" s="15"/>
      <c r="F447" s="16"/>
      <c r="G447" s="27"/>
      <c r="H447" s="17"/>
      <c r="I447" s="30">
        <f>IF($A447="","",DATE(YEAR($A447),MONTH($A447),1))</f>
        <v/>
      </c>
      <c r="J447" s="31">
        <f>IF($A447="","",IF(OR($B447="",$C447="",$F447="",$G447=""),"Preencher tudo",IF(COUNTIF(EtapaLista,$B447)=0,"Etapa inválida","OK")))</f>
        <v/>
      </c>
    </row>
    <row r="448" spans="1:10">
      <c r="A448" s="17"/>
      <c r="B448" s="15"/>
      <c r="C448" s="15"/>
      <c r="D448" s="15"/>
      <c r="E448" s="15"/>
      <c r="F448" s="16"/>
      <c r="G448" s="27"/>
      <c r="H448" s="17"/>
      <c r="I448" s="30">
        <f>IF($A448="","",DATE(YEAR($A448),MONTH($A448),1))</f>
        <v/>
      </c>
      <c r="J448" s="31">
        <f>IF($A448="","",IF(OR($B448="",$C448="",$F448="",$G448=""),"Preencher tudo",IF(COUNTIF(EtapaLista,$B448)=0,"Etapa inválida","OK")))</f>
        <v/>
      </c>
    </row>
    <row r="449" spans="1:10">
      <c r="A449" s="17"/>
      <c r="B449" s="15"/>
      <c r="C449" s="15"/>
      <c r="D449" s="15"/>
      <c r="E449" s="15"/>
      <c r="F449" s="16"/>
      <c r="G449" s="27"/>
      <c r="H449" s="17"/>
      <c r="I449" s="30">
        <f>IF($A449="","",DATE(YEAR($A449),MONTH($A449),1))</f>
        <v/>
      </c>
      <c r="J449" s="31">
        <f>IF($A449="","",IF(OR($B449="",$C449="",$F449="",$G449=""),"Preencher tudo",IF(COUNTIF(EtapaLista,$B449)=0,"Etapa inválida","OK")))</f>
        <v/>
      </c>
    </row>
    <row r="450" spans="1:10">
      <c r="A450" s="17"/>
      <c r="B450" s="15"/>
      <c r="C450" s="15"/>
      <c r="D450" s="15"/>
      <c r="E450" s="15"/>
      <c r="F450" s="16"/>
      <c r="G450" s="27"/>
      <c r="H450" s="17"/>
      <c r="I450" s="30">
        <f>IF($A450="","",DATE(YEAR($A450),MONTH($A450),1))</f>
        <v/>
      </c>
      <c r="J450" s="31">
        <f>IF($A450="","",IF(OR($B450="",$C450="",$F450="",$G450=""),"Preencher tudo",IF(COUNTIF(EtapaLista,$B450)=0,"Etapa inválida","OK")))</f>
        <v/>
      </c>
    </row>
    <row r="451" spans="1:10">
      <c r="A451" s="17"/>
      <c r="B451" s="15"/>
      <c r="C451" s="15"/>
      <c r="D451" s="15"/>
      <c r="E451" s="15"/>
      <c r="F451" s="16"/>
      <c r="G451" s="27"/>
      <c r="H451" s="17"/>
      <c r="I451" s="30">
        <f>IF($A451="","",DATE(YEAR($A451),MONTH($A451),1))</f>
        <v/>
      </c>
      <c r="J451" s="31">
        <f>IF($A451="","",IF(OR($B451="",$C451="",$F451="",$G451=""),"Preencher tudo",IF(COUNTIF(EtapaLista,$B451)=0,"Etapa inválida","OK")))</f>
        <v/>
      </c>
    </row>
    <row r="452" spans="1:10">
      <c r="A452" s="17"/>
      <c r="B452" s="15"/>
      <c r="C452" s="15"/>
      <c r="D452" s="15"/>
      <c r="E452" s="15"/>
      <c r="F452" s="16"/>
      <c r="G452" s="27"/>
      <c r="H452" s="17"/>
      <c r="I452" s="30">
        <f>IF($A452="","",DATE(YEAR($A452),MONTH($A452),1))</f>
        <v/>
      </c>
      <c r="J452" s="31">
        <f>IF($A452="","",IF(OR($B452="",$C452="",$F452="",$G452=""),"Preencher tudo",IF(COUNTIF(EtapaLista,$B452)=0,"Etapa inválida","OK")))</f>
        <v/>
      </c>
    </row>
    <row r="453" spans="1:10">
      <c r="A453" s="17"/>
      <c r="B453" s="15"/>
      <c r="C453" s="15"/>
      <c r="D453" s="15"/>
      <c r="E453" s="15"/>
      <c r="F453" s="16"/>
      <c r="G453" s="27"/>
      <c r="H453" s="17"/>
      <c r="I453" s="30">
        <f>IF($A453="","",DATE(YEAR($A453),MONTH($A453),1))</f>
        <v/>
      </c>
      <c r="J453" s="31">
        <f>IF($A453="","",IF(OR($B453="",$C453="",$F453="",$G453=""),"Preencher tudo",IF(COUNTIF(EtapaLista,$B453)=0,"Etapa inválida","OK")))</f>
        <v/>
      </c>
    </row>
    <row r="454" spans="1:10">
      <c r="A454" s="17"/>
      <c r="B454" s="15"/>
      <c r="C454" s="15"/>
      <c r="D454" s="15"/>
      <c r="E454" s="15"/>
      <c r="F454" s="16"/>
      <c r="G454" s="27"/>
      <c r="H454" s="17"/>
      <c r="I454" s="30">
        <f>IF($A454="","",DATE(YEAR($A454),MONTH($A454),1))</f>
        <v/>
      </c>
      <c r="J454" s="31">
        <f>IF($A454="","",IF(OR($B454="",$C454="",$F454="",$G454=""),"Preencher tudo",IF(COUNTIF(EtapaLista,$B454)=0,"Etapa inválida","OK")))</f>
        <v/>
      </c>
    </row>
    <row r="455" spans="1:10">
      <c r="A455" s="17"/>
      <c r="B455" s="15"/>
      <c r="C455" s="15"/>
      <c r="D455" s="15"/>
      <c r="E455" s="15"/>
      <c r="F455" s="16"/>
      <c r="G455" s="27"/>
      <c r="H455" s="17"/>
      <c r="I455" s="30">
        <f>IF($A455="","",DATE(YEAR($A455),MONTH($A455),1))</f>
        <v/>
      </c>
      <c r="J455" s="31">
        <f>IF($A455="","",IF(OR($B455="",$C455="",$F455="",$G455=""),"Preencher tudo",IF(COUNTIF(EtapaLista,$B455)=0,"Etapa inválida","OK")))</f>
        <v/>
      </c>
    </row>
    <row r="456" spans="1:10">
      <c r="A456" s="17"/>
      <c r="B456" s="15"/>
      <c r="C456" s="15"/>
      <c r="D456" s="15"/>
      <c r="E456" s="15"/>
      <c r="F456" s="16"/>
      <c r="G456" s="27"/>
      <c r="H456" s="17"/>
      <c r="I456" s="30">
        <f>IF($A456="","",DATE(YEAR($A456),MONTH($A456),1))</f>
        <v/>
      </c>
      <c r="J456" s="31">
        <f>IF($A456="","",IF(OR($B456="",$C456="",$F456="",$G456=""),"Preencher tudo",IF(COUNTIF(EtapaLista,$B456)=0,"Etapa inválida","OK")))</f>
        <v/>
      </c>
    </row>
    <row r="457" spans="1:10">
      <c r="A457" s="17"/>
      <c r="B457" s="15"/>
      <c r="C457" s="15"/>
      <c r="D457" s="15"/>
      <c r="E457" s="15"/>
      <c r="F457" s="16"/>
      <c r="G457" s="27"/>
      <c r="H457" s="17"/>
      <c r="I457" s="30">
        <f>IF($A457="","",DATE(YEAR($A457),MONTH($A457),1))</f>
        <v/>
      </c>
      <c r="J457" s="31">
        <f>IF($A457="","",IF(OR($B457="",$C457="",$F457="",$G457=""),"Preencher tudo",IF(COUNTIF(EtapaLista,$B457)=0,"Etapa inválida","OK")))</f>
        <v/>
      </c>
    </row>
    <row r="458" spans="1:10">
      <c r="A458" s="17"/>
      <c r="B458" s="15"/>
      <c r="C458" s="15"/>
      <c r="D458" s="15"/>
      <c r="E458" s="15"/>
      <c r="F458" s="16"/>
      <c r="G458" s="27"/>
      <c r="H458" s="17"/>
      <c r="I458" s="30">
        <f>IF($A458="","",DATE(YEAR($A458),MONTH($A458),1))</f>
        <v/>
      </c>
      <c r="J458" s="31">
        <f>IF($A458="","",IF(OR($B458="",$C458="",$F458="",$G458=""),"Preencher tudo",IF(COUNTIF(EtapaLista,$B458)=0,"Etapa inválida","OK")))</f>
        <v/>
      </c>
    </row>
    <row r="459" spans="1:10">
      <c r="A459" s="17"/>
      <c r="B459" s="15"/>
      <c r="C459" s="15"/>
      <c r="D459" s="15"/>
      <c r="E459" s="15"/>
      <c r="F459" s="16"/>
      <c r="G459" s="27"/>
      <c r="H459" s="17"/>
      <c r="I459" s="30">
        <f>IF($A459="","",DATE(YEAR($A459),MONTH($A459),1))</f>
        <v/>
      </c>
      <c r="J459" s="31">
        <f>IF($A459="","",IF(OR($B459="",$C459="",$F459="",$G459=""),"Preencher tudo",IF(COUNTIF(EtapaLista,$B459)=0,"Etapa inválida","OK")))</f>
        <v/>
      </c>
    </row>
    <row r="460" spans="1:10">
      <c r="A460" s="17"/>
      <c r="B460" s="15"/>
      <c r="C460" s="15"/>
      <c r="D460" s="15"/>
      <c r="E460" s="15"/>
      <c r="F460" s="16"/>
      <c r="G460" s="27"/>
      <c r="H460" s="17"/>
      <c r="I460" s="30">
        <f>IF($A460="","",DATE(YEAR($A460),MONTH($A460),1))</f>
        <v/>
      </c>
      <c r="J460" s="31">
        <f>IF($A460="","",IF(OR($B460="",$C460="",$F460="",$G460=""),"Preencher tudo",IF(COUNTIF(EtapaLista,$B460)=0,"Etapa inválida","OK")))</f>
        <v/>
      </c>
    </row>
    <row r="461" spans="1:10">
      <c r="A461" s="17"/>
      <c r="B461" s="15"/>
      <c r="C461" s="15"/>
      <c r="D461" s="15"/>
      <c r="E461" s="15"/>
      <c r="F461" s="16"/>
      <c r="G461" s="27"/>
      <c r="H461" s="17"/>
      <c r="I461" s="30">
        <f>IF($A461="","",DATE(YEAR($A461),MONTH($A461),1))</f>
        <v/>
      </c>
      <c r="J461" s="31">
        <f>IF($A461="","",IF(OR($B461="",$C461="",$F461="",$G461=""),"Preencher tudo",IF(COUNTIF(EtapaLista,$B461)=0,"Etapa inválida","OK")))</f>
        <v/>
      </c>
    </row>
    <row r="462" spans="1:10">
      <c r="A462" s="17"/>
      <c r="B462" s="15"/>
      <c r="C462" s="15"/>
      <c r="D462" s="15"/>
      <c r="E462" s="15"/>
      <c r="F462" s="16"/>
      <c r="G462" s="27"/>
      <c r="H462" s="17"/>
      <c r="I462" s="30">
        <f>IF($A462="","",DATE(YEAR($A462),MONTH($A462),1))</f>
        <v/>
      </c>
      <c r="J462" s="31">
        <f>IF($A462="","",IF(OR($B462="",$C462="",$F462="",$G462=""),"Preencher tudo",IF(COUNTIF(EtapaLista,$B462)=0,"Etapa inválida","OK")))</f>
        <v/>
      </c>
    </row>
    <row r="463" spans="1:10">
      <c r="A463" s="17"/>
      <c r="B463" s="15"/>
      <c r="C463" s="15"/>
      <c r="D463" s="15"/>
      <c r="E463" s="15"/>
      <c r="F463" s="16"/>
      <c r="G463" s="27"/>
      <c r="H463" s="17"/>
      <c r="I463" s="30">
        <f>IF($A463="","",DATE(YEAR($A463),MONTH($A463),1))</f>
        <v/>
      </c>
      <c r="J463" s="31">
        <f>IF($A463="","",IF(OR($B463="",$C463="",$F463="",$G463=""),"Preencher tudo",IF(COUNTIF(EtapaLista,$B463)=0,"Etapa inválida","OK")))</f>
        <v/>
      </c>
    </row>
    <row r="464" spans="1:10">
      <c r="A464" s="17"/>
      <c r="B464" s="15"/>
      <c r="C464" s="15"/>
      <c r="D464" s="15"/>
      <c r="E464" s="15"/>
      <c r="F464" s="16"/>
      <c r="G464" s="27"/>
      <c r="H464" s="17"/>
      <c r="I464" s="30">
        <f>IF($A464="","",DATE(YEAR($A464),MONTH($A464),1))</f>
        <v/>
      </c>
      <c r="J464" s="31">
        <f>IF($A464="","",IF(OR($B464="",$C464="",$F464="",$G464=""),"Preencher tudo",IF(COUNTIF(EtapaLista,$B464)=0,"Etapa inválida","OK")))</f>
        <v/>
      </c>
    </row>
    <row r="465" spans="1:10">
      <c r="A465" s="17"/>
      <c r="B465" s="15"/>
      <c r="C465" s="15"/>
      <c r="D465" s="15"/>
      <c r="E465" s="15"/>
      <c r="F465" s="16"/>
      <c r="G465" s="27"/>
      <c r="H465" s="17"/>
      <c r="I465" s="30">
        <f>IF($A465="","",DATE(YEAR($A465),MONTH($A465),1))</f>
        <v/>
      </c>
      <c r="J465" s="31">
        <f>IF($A465="","",IF(OR($B465="",$C465="",$F465="",$G465=""),"Preencher tudo",IF(COUNTIF(EtapaLista,$B465)=0,"Etapa inválida","OK")))</f>
        <v/>
      </c>
    </row>
    <row r="466" spans="1:10">
      <c r="A466" s="17"/>
      <c r="B466" s="15"/>
      <c r="C466" s="15"/>
      <c r="D466" s="15"/>
      <c r="E466" s="15"/>
      <c r="F466" s="16"/>
      <c r="G466" s="27"/>
      <c r="H466" s="17"/>
      <c r="I466" s="30">
        <f>IF($A466="","",DATE(YEAR($A466),MONTH($A466),1))</f>
        <v/>
      </c>
      <c r="J466" s="31">
        <f>IF($A466="","",IF(OR($B466="",$C466="",$F466="",$G466=""),"Preencher tudo",IF(COUNTIF(EtapaLista,$B466)=0,"Etapa inválida","OK")))</f>
        <v/>
      </c>
    </row>
    <row r="467" spans="1:10">
      <c r="A467" s="17"/>
      <c r="B467" s="15"/>
      <c r="C467" s="15"/>
      <c r="D467" s="15"/>
      <c r="E467" s="15"/>
      <c r="F467" s="16"/>
      <c r="G467" s="27"/>
      <c r="H467" s="17"/>
      <c r="I467" s="30">
        <f>IF($A467="","",DATE(YEAR($A467),MONTH($A467),1))</f>
        <v/>
      </c>
      <c r="J467" s="31">
        <f>IF($A467="","",IF(OR($B467="",$C467="",$F467="",$G467=""),"Preencher tudo",IF(COUNTIF(EtapaLista,$B467)=0,"Etapa inválida","OK")))</f>
        <v/>
      </c>
    </row>
    <row r="468" spans="1:10">
      <c r="A468" s="17"/>
      <c r="B468" s="15"/>
      <c r="C468" s="15"/>
      <c r="D468" s="15"/>
      <c r="E468" s="15"/>
      <c r="F468" s="16"/>
      <c r="G468" s="27"/>
      <c r="H468" s="17"/>
      <c r="I468" s="30">
        <f>IF($A468="","",DATE(YEAR($A468),MONTH($A468),1))</f>
        <v/>
      </c>
      <c r="J468" s="31">
        <f>IF($A468="","",IF(OR($B468="",$C468="",$F468="",$G468=""),"Preencher tudo",IF(COUNTIF(EtapaLista,$B468)=0,"Etapa inválida","OK")))</f>
        <v/>
      </c>
    </row>
    <row r="469" spans="1:10">
      <c r="A469" s="17"/>
      <c r="B469" s="15"/>
      <c r="C469" s="15"/>
      <c r="D469" s="15"/>
      <c r="E469" s="15"/>
      <c r="F469" s="16"/>
      <c r="G469" s="27"/>
      <c r="H469" s="17"/>
      <c r="I469" s="30">
        <f>IF($A469="","",DATE(YEAR($A469),MONTH($A469),1))</f>
        <v/>
      </c>
      <c r="J469" s="31">
        <f>IF($A469="","",IF(OR($B469="",$C469="",$F469="",$G469=""),"Preencher tudo",IF(COUNTIF(EtapaLista,$B469)=0,"Etapa inválida","OK")))</f>
        <v/>
      </c>
    </row>
    <row r="470" spans="1:10">
      <c r="A470" s="17"/>
      <c r="B470" s="15"/>
      <c r="C470" s="15"/>
      <c r="D470" s="15"/>
      <c r="E470" s="15"/>
      <c r="F470" s="16"/>
      <c r="G470" s="27"/>
      <c r="H470" s="17"/>
      <c r="I470" s="30">
        <f>IF($A470="","",DATE(YEAR($A470),MONTH($A470),1))</f>
        <v/>
      </c>
      <c r="J470" s="31">
        <f>IF($A470="","",IF(OR($B470="",$C470="",$F470="",$G470=""),"Preencher tudo",IF(COUNTIF(EtapaLista,$B470)=0,"Etapa inválida","OK")))</f>
        <v/>
      </c>
    </row>
    <row r="471" spans="1:10">
      <c r="A471" s="17"/>
      <c r="B471" s="15"/>
      <c r="C471" s="15"/>
      <c r="D471" s="15"/>
      <c r="E471" s="15"/>
      <c r="F471" s="16"/>
      <c r="G471" s="27"/>
      <c r="H471" s="17"/>
      <c r="I471" s="30">
        <f>IF($A471="","",DATE(YEAR($A471),MONTH($A471),1))</f>
        <v/>
      </c>
      <c r="J471" s="31">
        <f>IF($A471="","",IF(OR($B471="",$C471="",$F471="",$G471=""),"Preencher tudo",IF(COUNTIF(EtapaLista,$B471)=0,"Etapa inválida","OK")))</f>
        <v/>
      </c>
    </row>
    <row r="472" spans="1:10">
      <c r="A472" s="17"/>
      <c r="B472" s="15"/>
      <c r="C472" s="15"/>
      <c r="D472" s="15"/>
      <c r="E472" s="15"/>
      <c r="F472" s="16"/>
      <c r="G472" s="27"/>
      <c r="H472" s="17"/>
      <c r="I472" s="30">
        <f>IF($A472="","",DATE(YEAR($A472),MONTH($A472),1))</f>
        <v/>
      </c>
      <c r="J472" s="31">
        <f>IF($A472="","",IF(OR($B472="",$C472="",$F472="",$G472=""),"Preencher tudo",IF(COUNTIF(EtapaLista,$B472)=0,"Etapa inválida","OK")))</f>
        <v/>
      </c>
    </row>
    <row r="473" spans="1:10">
      <c r="A473" s="17"/>
      <c r="B473" s="15"/>
      <c r="C473" s="15"/>
      <c r="D473" s="15"/>
      <c r="E473" s="15"/>
      <c r="F473" s="16"/>
      <c r="G473" s="27"/>
      <c r="H473" s="17"/>
      <c r="I473" s="30">
        <f>IF($A473="","",DATE(YEAR($A473),MONTH($A473),1))</f>
        <v/>
      </c>
      <c r="J473" s="31">
        <f>IF($A473="","",IF(OR($B473="",$C473="",$F473="",$G473=""),"Preencher tudo",IF(COUNTIF(EtapaLista,$B473)=0,"Etapa inválida","OK")))</f>
        <v/>
      </c>
    </row>
    <row r="474" spans="1:10">
      <c r="A474" s="17"/>
      <c r="B474" s="15"/>
      <c r="C474" s="15"/>
      <c r="D474" s="15"/>
      <c r="E474" s="15"/>
      <c r="F474" s="16"/>
      <c r="G474" s="27"/>
      <c r="H474" s="17"/>
      <c r="I474" s="30">
        <f>IF($A474="","",DATE(YEAR($A474),MONTH($A474),1))</f>
        <v/>
      </c>
      <c r="J474" s="31">
        <f>IF($A474="","",IF(OR($B474="",$C474="",$F474="",$G474=""),"Preencher tudo",IF(COUNTIF(EtapaLista,$B474)=0,"Etapa inválida","OK")))</f>
        <v/>
      </c>
    </row>
    <row r="475" spans="1:10">
      <c r="A475" s="17"/>
      <c r="B475" s="15"/>
      <c r="C475" s="15"/>
      <c r="D475" s="15"/>
      <c r="E475" s="15"/>
      <c r="F475" s="16"/>
      <c r="G475" s="27"/>
      <c r="H475" s="17"/>
      <c r="I475" s="30">
        <f>IF($A475="","",DATE(YEAR($A475),MONTH($A475),1))</f>
        <v/>
      </c>
      <c r="J475" s="31">
        <f>IF($A475="","",IF(OR($B475="",$C475="",$F475="",$G475=""),"Preencher tudo",IF(COUNTIF(EtapaLista,$B475)=0,"Etapa inválida","OK")))</f>
        <v/>
      </c>
    </row>
    <row r="476" spans="1:10">
      <c r="A476" s="17"/>
      <c r="B476" s="15"/>
      <c r="C476" s="15"/>
      <c r="D476" s="15"/>
      <c r="E476" s="15"/>
      <c r="F476" s="16"/>
      <c r="G476" s="27"/>
      <c r="H476" s="17"/>
      <c r="I476" s="30">
        <f>IF($A476="","",DATE(YEAR($A476),MONTH($A476),1))</f>
        <v/>
      </c>
      <c r="J476" s="31">
        <f>IF($A476="","",IF(OR($B476="",$C476="",$F476="",$G476=""),"Preencher tudo",IF(COUNTIF(EtapaLista,$B476)=0,"Etapa inválida","OK")))</f>
        <v/>
      </c>
    </row>
    <row r="477" spans="1:10">
      <c r="A477" s="17"/>
      <c r="B477" s="15"/>
      <c r="C477" s="15"/>
      <c r="D477" s="15"/>
      <c r="E477" s="15"/>
      <c r="F477" s="16"/>
      <c r="G477" s="27"/>
      <c r="H477" s="17"/>
      <c r="I477" s="30">
        <f>IF($A477="","",DATE(YEAR($A477),MONTH($A477),1))</f>
        <v/>
      </c>
      <c r="J477" s="31">
        <f>IF($A477="","",IF(OR($B477="",$C477="",$F477="",$G477=""),"Preencher tudo",IF(COUNTIF(EtapaLista,$B477)=0,"Etapa inválida","OK")))</f>
        <v/>
      </c>
    </row>
    <row r="478" spans="1:10">
      <c r="A478" s="17"/>
      <c r="B478" s="15"/>
      <c r="C478" s="15"/>
      <c r="D478" s="15"/>
      <c r="E478" s="15"/>
      <c r="F478" s="16"/>
      <c r="G478" s="27"/>
      <c r="H478" s="17"/>
      <c r="I478" s="30">
        <f>IF($A478="","",DATE(YEAR($A478),MONTH($A478),1))</f>
        <v/>
      </c>
      <c r="J478" s="31">
        <f>IF($A478="","",IF(OR($B478="",$C478="",$F478="",$G478=""),"Preencher tudo",IF(COUNTIF(EtapaLista,$B478)=0,"Etapa inválida","OK")))</f>
        <v/>
      </c>
    </row>
    <row r="479" spans="1:10">
      <c r="A479" s="17"/>
      <c r="B479" s="15"/>
      <c r="C479" s="15"/>
      <c r="D479" s="15"/>
      <c r="E479" s="15"/>
      <c r="F479" s="16"/>
      <c r="G479" s="27"/>
      <c r="H479" s="17"/>
      <c r="I479" s="30">
        <f>IF($A479="","",DATE(YEAR($A479),MONTH($A479),1))</f>
        <v/>
      </c>
      <c r="J479" s="31">
        <f>IF($A479="","",IF(OR($B479="",$C479="",$F479="",$G479=""),"Preencher tudo",IF(COUNTIF(EtapaLista,$B479)=0,"Etapa inválida","OK")))</f>
        <v/>
      </c>
    </row>
    <row r="480" spans="1:10">
      <c r="A480" s="17"/>
      <c r="B480" s="15"/>
      <c r="C480" s="15"/>
      <c r="D480" s="15"/>
      <c r="E480" s="15"/>
      <c r="F480" s="16"/>
      <c r="G480" s="27"/>
      <c r="H480" s="17"/>
      <c r="I480" s="30">
        <f>IF($A480="","",DATE(YEAR($A480),MONTH($A480),1))</f>
        <v/>
      </c>
      <c r="J480" s="31">
        <f>IF($A480="","",IF(OR($B480="",$C480="",$F480="",$G480=""),"Preencher tudo",IF(COUNTIF(EtapaLista,$B480)=0,"Etapa inválida","OK")))</f>
        <v/>
      </c>
    </row>
    <row r="481" spans="1:10">
      <c r="A481" s="17"/>
      <c r="B481" s="15"/>
      <c r="C481" s="15"/>
      <c r="D481" s="15"/>
      <c r="E481" s="15"/>
      <c r="F481" s="16"/>
      <c r="G481" s="27"/>
      <c r="H481" s="17"/>
      <c r="I481" s="30">
        <f>IF($A481="","",DATE(YEAR($A481),MONTH($A481),1))</f>
        <v/>
      </c>
      <c r="J481" s="31">
        <f>IF($A481="","",IF(OR($B481="",$C481="",$F481="",$G481=""),"Preencher tudo",IF(COUNTIF(EtapaLista,$B481)=0,"Etapa inválida","OK")))</f>
        <v/>
      </c>
    </row>
    <row r="482" spans="1:10">
      <c r="A482" s="17"/>
      <c r="B482" s="15"/>
      <c r="C482" s="15"/>
      <c r="D482" s="15"/>
      <c r="E482" s="15"/>
      <c r="F482" s="16"/>
      <c r="G482" s="27"/>
      <c r="H482" s="17"/>
      <c r="I482" s="30">
        <f>IF($A482="","",DATE(YEAR($A482),MONTH($A482),1))</f>
        <v/>
      </c>
      <c r="J482" s="31">
        <f>IF($A482="","",IF(OR($B482="",$C482="",$F482="",$G482=""),"Preencher tudo",IF(COUNTIF(EtapaLista,$B482)=0,"Etapa inválida","OK")))</f>
        <v/>
      </c>
    </row>
    <row r="483" spans="1:10">
      <c r="A483" s="17"/>
      <c r="B483" s="15"/>
      <c r="C483" s="15"/>
      <c r="D483" s="15"/>
      <c r="E483" s="15"/>
      <c r="F483" s="16"/>
      <c r="G483" s="27"/>
      <c r="H483" s="17"/>
      <c r="I483" s="30">
        <f>IF($A483="","",DATE(YEAR($A483),MONTH($A483),1))</f>
        <v/>
      </c>
      <c r="J483" s="31">
        <f>IF($A483="","",IF(OR($B483="",$C483="",$F483="",$G483=""),"Preencher tudo",IF(COUNTIF(EtapaLista,$B483)=0,"Etapa inválida","OK")))</f>
        <v/>
      </c>
    </row>
    <row r="484" spans="1:10">
      <c r="A484" s="17"/>
      <c r="B484" s="15"/>
      <c r="C484" s="15"/>
      <c r="D484" s="15"/>
      <c r="E484" s="15"/>
      <c r="F484" s="16"/>
      <c r="G484" s="27"/>
      <c r="H484" s="17"/>
      <c r="I484" s="30">
        <f>IF($A484="","",DATE(YEAR($A484),MONTH($A484),1))</f>
        <v/>
      </c>
      <c r="J484" s="31">
        <f>IF($A484="","",IF(OR($B484="",$C484="",$F484="",$G484=""),"Preencher tudo",IF(COUNTIF(EtapaLista,$B484)=0,"Etapa inválida","OK")))</f>
        <v/>
      </c>
    </row>
    <row r="485" spans="1:10">
      <c r="A485" s="17"/>
      <c r="B485" s="15"/>
      <c r="C485" s="15"/>
      <c r="D485" s="15"/>
      <c r="E485" s="15"/>
      <c r="F485" s="16"/>
      <c r="G485" s="27"/>
      <c r="H485" s="17"/>
      <c r="I485" s="30">
        <f>IF($A485="","",DATE(YEAR($A485),MONTH($A485),1))</f>
        <v/>
      </c>
      <c r="J485" s="31">
        <f>IF($A485="","",IF(OR($B485="",$C485="",$F485="",$G485=""),"Preencher tudo",IF(COUNTIF(EtapaLista,$B485)=0,"Etapa inválida","OK")))</f>
        <v/>
      </c>
    </row>
    <row r="486" spans="1:10">
      <c r="A486" s="17"/>
      <c r="B486" s="15"/>
      <c r="C486" s="15"/>
      <c r="D486" s="15"/>
      <c r="E486" s="15"/>
      <c r="F486" s="16"/>
      <c r="G486" s="27"/>
      <c r="H486" s="17"/>
      <c r="I486" s="30">
        <f>IF($A486="","",DATE(YEAR($A486),MONTH($A486),1))</f>
        <v/>
      </c>
      <c r="J486" s="31">
        <f>IF($A486="","",IF(OR($B486="",$C486="",$F486="",$G486=""),"Preencher tudo",IF(COUNTIF(EtapaLista,$B486)=0,"Etapa inválida","OK")))</f>
        <v/>
      </c>
    </row>
    <row r="487" spans="1:10">
      <c r="A487" s="17"/>
      <c r="B487" s="15"/>
      <c r="C487" s="15"/>
      <c r="D487" s="15"/>
      <c r="E487" s="15"/>
      <c r="F487" s="16"/>
      <c r="G487" s="27"/>
      <c r="H487" s="17"/>
      <c r="I487" s="30">
        <f>IF($A487="","",DATE(YEAR($A487),MONTH($A487),1))</f>
        <v/>
      </c>
      <c r="J487" s="31">
        <f>IF($A487="","",IF(OR($B487="",$C487="",$F487="",$G487=""),"Preencher tudo",IF(COUNTIF(EtapaLista,$B487)=0,"Etapa inválida","OK")))</f>
        <v/>
      </c>
    </row>
    <row r="488" spans="1:10">
      <c r="A488" s="17"/>
      <c r="B488" s="15"/>
      <c r="C488" s="15"/>
      <c r="D488" s="15"/>
      <c r="E488" s="15"/>
      <c r="F488" s="16"/>
      <c r="G488" s="27"/>
      <c r="H488" s="17"/>
      <c r="I488" s="30">
        <f>IF($A488="","",DATE(YEAR($A488),MONTH($A488),1))</f>
        <v/>
      </c>
      <c r="J488" s="31">
        <f>IF($A488="","",IF(OR($B488="",$C488="",$F488="",$G488=""),"Preencher tudo",IF(COUNTIF(EtapaLista,$B488)=0,"Etapa inválida","OK")))</f>
        <v/>
      </c>
    </row>
    <row r="489" spans="1:10">
      <c r="A489" s="17"/>
      <c r="B489" s="15"/>
      <c r="C489" s="15"/>
      <c r="D489" s="15"/>
      <c r="E489" s="15"/>
      <c r="F489" s="16"/>
      <c r="G489" s="27"/>
      <c r="H489" s="17"/>
      <c r="I489" s="30">
        <f>IF($A489="","",DATE(YEAR($A489),MONTH($A489),1))</f>
        <v/>
      </c>
      <c r="J489" s="31">
        <f>IF($A489="","",IF(OR($B489="",$C489="",$F489="",$G489=""),"Preencher tudo",IF(COUNTIF(EtapaLista,$B489)=0,"Etapa inválida","OK")))</f>
        <v/>
      </c>
    </row>
    <row r="490" spans="1:10">
      <c r="A490" s="17"/>
      <c r="B490" s="15"/>
      <c r="C490" s="15"/>
      <c r="D490" s="15"/>
      <c r="E490" s="15"/>
      <c r="F490" s="16"/>
      <c r="G490" s="27"/>
      <c r="H490" s="17"/>
      <c r="I490" s="30">
        <f>IF($A490="","",DATE(YEAR($A490),MONTH($A490),1))</f>
        <v/>
      </c>
      <c r="J490" s="31">
        <f>IF($A490="","",IF(OR($B490="",$C490="",$F490="",$G490=""),"Preencher tudo",IF(COUNTIF(EtapaLista,$B490)=0,"Etapa inválida","OK")))</f>
        <v/>
      </c>
    </row>
    <row r="491" spans="1:10">
      <c r="A491" s="17"/>
      <c r="B491" s="15"/>
      <c r="C491" s="15"/>
      <c r="D491" s="15"/>
      <c r="E491" s="15"/>
      <c r="F491" s="16"/>
      <c r="G491" s="27"/>
      <c r="H491" s="17"/>
      <c r="I491" s="30">
        <f>IF($A491="","",DATE(YEAR($A491),MONTH($A491),1))</f>
        <v/>
      </c>
      <c r="J491" s="31">
        <f>IF($A491="","",IF(OR($B491="",$C491="",$F491="",$G491=""),"Preencher tudo",IF(COUNTIF(EtapaLista,$B491)=0,"Etapa inválida","OK")))</f>
        <v/>
      </c>
    </row>
    <row r="492" spans="1:10">
      <c r="A492" s="17"/>
      <c r="B492" s="15"/>
      <c r="C492" s="15"/>
      <c r="D492" s="15"/>
      <c r="E492" s="15"/>
      <c r="F492" s="16"/>
      <c r="G492" s="27"/>
      <c r="H492" s="17"/>
      <c r="I492" s="30">
        <f>IF($A492="","",DATE(YEAR($A492),MONTH($A492),1))</f>
        <v/>
      </c>
      <c r="J492" s="31">
        <f>IF($A492="","",IF(OR($B492="",$C492="",$F492="",$G492=""),"Preencher tudo",IF(COUNTIF(EtapaLista,$B492)=0,"Etapa inválida","OK")))</f>
        <v/>
      </c>
    </row>
    <row r="493" spans="1:10">
      <c r="A493" s="17"/>
      <c r="B493" s="15"/>
      <c r="C493" s="15"/>
      <c r="D493" s="15"/>
      <c r="E493" s="15"/>
      <c r="F493" s="16"/>
      <c r="G493" s="27"/>
      <c r="H493" s="17"/>
      <c r="I493" s="30">
        <f>IF($A493="","",DATE(YEAR($A493),MONTH($A493),1))</f>
        <v/>
      </c>
      <c r="J493" s="31">
        <f>IF($A493="","",IF(OR($B493="",$C493="",$F493="",$G493=""),"Preencher tudo",IF(COUNTIF(EtapaLista,$B493)=0,"Etapa inválida","OK")))</f>
        <v/>
      </c>
    </row>
    <row r="494" spans="1:10">
      <c r="A494" s="17"/>
      <c r="B494" s="15"/>
      <c r="C494" s="15"/>
      <c r="D494" s="15"/>
      <c r="E494" s="15"/>
      <c r="F494" s="16"/>
      <c r="G494" s="27"/>
      <c r="H494" s="17"/>
      <c r="I494" s="30">
        <f>IF($A494="","",DATE(YEAR($A494),MONTH($A494),1))</f>
        <v/>
      </c>
      <c r="J494" s="31">
        <f>IF($A494="","",IF(OR($B494="",$C494="",$F494="",$G494=""),"Preencher tudo",IF(COUNTIF(EtapaLista,$B494)=0,"Etapa inválida","OK")))</f>
        <v/>
      </c>
    </row>
    <row r="495" spans="1:10">
      <c r="A495" s="17"/>
      <c r="B495" s="15"/>
      <c r="C495" s="15"/>
      <c r="D495" s="15"/>
      <c r="E495" s="15"/>
      <c r="F495" s="16"/>
      <c r="G495" s="27"/>
      <c r="H495" s="17"/>
      <c r="I495" s="30">
        <f>IF($A495="","",DATE(YEAR($A495),MONTH($A495),1))</f>
        <v/>
      </c>
      <c r="J495" s="31">
        <f>IF($A495="","",IF(OR($B495="",$C495="",$F495="",$G495=""),"Preencher tudo",IF(COUNTIF(EtapaLista,$B495)=0,"Etapa inválida","OK")))</f>
        <v/>
      </c>
    </row>
    <row r="496" spans="1:10">
      <c r="A496" s="17"/>
      <c r="B496" s="15"/>
      <c r="C496" s="15"/>
      <c r="D496" s="15"/>
      <c r="E496" s="15"/>
      <c r="F496" s="16"/>
      <c r="G496" s="27"/>
      <c r="H496" s="17"/>
      <c r="I496" s="30">
        <f>IF($A496="","",DATE(YEAR($A496),MONTH($A496),1))</f>
        <v/>
      </c>
      <c r="J496" s="31">
        <f>IF($A496="","",IF(OR($B496="",$C496="",$F496="",$G496=""),"Preencher tudo",IF(COUNTIF(EtapaLista,$B496)=0,"Etapa inválida","OK")))</f>
        <v/>
      </c>
    </row>
    <row r="497" spans="1:10">
      <c r="A497" s="17"/>
      <c r="B497" s="15"/>
      <c r="C497" s="15"/>
      <c r="D497" s="15"/>
      <c r="E497" s="15"/>
      <c r="F497" s="16"/>
      <c r="G497" s="27"/>
      <c r="H497" s="17"/>
      <c r="I497" s="30">
        <f>IF($A497="","",DATE(YEAR($A497),MONTH($A497),1))</f>
        <v/>
      </c>
      <c r="J497" s="31">
        <f>IF($A497="","",IF(OR($B497="",$C497="",$F497="",$G497=""),"Preencher tudo",IF(COUNTIF(EtapaLista,$B497)=0,"Etapa inválida","OK")))</f>
        <v/>
      </c>
    </row>
    <row r="498" spans="1:10">
      <c r="A498" s="17"/>
      <c r="B498" s="15"/>
      <c r="C498" s="15"/>
      <c r="D498" s="15"/>
      <c r="E498" s="15"/>
      <c r="F498" s="16"/>
      <c r="G498" s="27"/>
      <c r="H498" s="17"/>
      <c r="I498" s="30">
        <f>IF($A498="","",DATE(YEAR($A498),MONTH($A498),1))</f>
        <v/>
      </c>
      <c r="J498" s="31">
        <f>IF($A498="","",IF(OR($B498="",$C498="",$F498="",$G498=""),"Preencher tudo",IF(COUNTIF(EtapaLista,$B498)=0,"Etapa inválida","OK")))</f>
        <v/>
      </c>
    </row>
    <row r="499" spans="1:10">
      <c r="A499" s="17"/>
      <c r="B499" s="15"/>
      <c r="C499" s="15"/>
      <c r="D499" s="15"/>
      <c r="E499" s="15"/>
      <c r="F499" s="16"/>
      <c r="G499" s="27"/>
      <c r="H499" s="17"/>
      <c r="I499" s="30">
        <f>IF($A499="","",DATE(YEAR($A499),MONTH($A499),1))</f>
        <v/>
      </c>
      <c r="J499" s="31">
        <f>IF($A499="","",IF(OR($B499="",$C499="",$F499="",$G499=""),"Preencher tudo",IF(COUNTIF(EtapaLista,$B499)=0,"Etapa inválida","OK")))</f>
        <v/>
      </c>
    </row>
    <row r="500" spans="1:10">
      <c r="A500" s="17"/>
      <c r="B500" s="15"/>
      <c r="C500" s="15"/>
      <c r="D500" s="15"/>
      <c r="E500" s="15"/>
      <c r="F500" s="16"/>
      <c r="G500" s="27"/>
      <c r="H500" s="17"/>
      <c r="I500" s="30">
        <f>IF($A500="","",DATE(YEAR($A500),MONTH($A500),1))</f>
        <v/>
      </c>
      <c r="J500" s="31">
        <f>IF($A500="","",IF(OR($B500="",$C500="",$F500="",$G500=""),"Preencher tudo",IF(COUNTIF(EtapaLista,$B500)=0,"Etapa inválida","OK")))</f>
        <v/>
      </c>
    </row>
    <row r="501" spans="1:10">
      <c r="A501" s="17"/>
      <c r="B501" s="15"/>
      <c r="C501" s="15"/>
      <c r="D501" s="15"/>
      <c r="E501" s="15"/>
      <c r="F501" s="16"/>
      <c r="G501" s="27"/>
      <c r="H501" s="17"/>
      <c r="I501" s="30">
        <f>IF($A501="","",DATE(YEAR($A501),MONTH($A501),1))</f>
        <v/>
      </c>
      <c r="J501" s="31">
        <f>IF($A501="","",IF(OR($B501="",$C501="",$F501="",$G501=""),"Preencher tudo",IF(COUNTIF(EtapaLista,$B501)=0,"Etapa inválida","OK")))</f>
        <v/>
      </c>
    </row>
    <row r="502" spans="1:10">
      <c r="A502" s="17"/>
      <c r="B502" s="15"/>
      <c r="C502" s="15"/>
      <c r="D502" s="15"/>
      <c r="E502" s="15"/>
      <c r="F502" s="16"/>
      <c r="G502" s="27"/>
      <c r="H502" s="17"/>
      <c r="I502" s="30">
        <f>IF($A502="","",DATE(YEAR($A502),MONTH($A502),1))</f>
        <v/>
      </c>
      <c r="J502" s="31">
        <f>IF($A502="","",IF(OR($B502="",$C502="",$F502="",$G502=""),"Preencher tudo",IF(COUNTIF(EtapaLista,$B502)=0,"Etapa inválida","OK")))</f>
        <v/>
      </c>
    </row>
    <row r="503" spans="1:10">
      <c r="A503" s="17"/>
      <c r="B503" s="15"/>
      <c r="C503" s="15"/>
      <c r="D503" s="15"/>
      <c r="E503" s="15"/>
      <c r="F503" s="16"/>
      <c r="G503" s="27"/>
      <c r="H503" s="17"/>
      <c r="I503" s="30">
        <f>IF($A503="","",DATE(YEAR($A503),MONTH($A503),1))</f>
        <v/>
      </c>
      <c r="J503" s="31">
        <f>IF($A503="","",IF(OR($B503="",$C503="",$F503="",$G503=""),"Preencher tudo",IF(COUNTIF(EtapaLista,$B503)=0,"Etapa inválida","OK")))</f>
        <v/>
      </c>
    </row>
    <row r="504" spans="1:10">
      <c r="A504" s="17"/>
      <c r="B504" s="15"/>
      <c r="C504" s="15"/>
      <c r="D504" s="15"/>
      <c r="E504" s="15"/>
      <c r="F504" s="16"/>
      <c r="G504" s="27"/>
      <c r="H504" s="17"/>
      <c r="I504" s="30">
        <f>IF($A504="","",DATE(YEAR($A504),MONTH($A504),1))</f>
        <v/>
      </c>
      <c r="J504" s="31">
        <f>IF($A504="","",IF(OR($B504="",$C504="",$F504="",$G504=""),"Preencher tudo",IF(COUNTIF(EtapaLista,$B504)=0,"Etapa inválida","OK")))</f>
        <v/>
      </c>
    </row>
    <row r="505" spans="1:10">
      <c r="A505" s="17"/>
      <c r="B505" s="15"/>
      <c r="C505" s="15"/>
      <c r="D505" s="15"/>
      <c r="E505" s="15"/>
      <c r="F505" s="16"/>
      <c r="G505" s="27"/>
      <c r="H505" s="17"/>
      <c r="I505" s="30">
        <f>IF($A505="","",DATE(YEAR($A505),MONTH($A505),1))</f>
        <v/>
      </c>
      <c r="J505" s="31">
        <f>IF($A505="","",IF(OR($B505="",$C505="",$F505="",$G505=""),"Preencher tudo",IF(COUNTIF(EtapaLista,$B505)=0,"Etapa inválida","OK")))</f>
        <v/>
      </c>
    </row>
    <row r="506" spans="1:10">
      <c r="A506" s="17"/>
      <c r="B506" s="15"/>
      <c r="C506" s="15"/>
      <c r="D506" s="15"/>
      <c r="E506" s="15"/>
      <c r="F506" s="16"/>
      <c r="G506" s="27"/>
      <c r="H506" s="17"/>
      <c r="I506" s="30">
        <f>IF($A506="","",DATE(YEAR($A506),MONTH($A506),1))</f>
        <v/>
      </c>
      <c r="J506" s="31">
        <f>IF($A506="","",IF(OR($B506="",$C506="",$F506="",$G506=""),"Preencher tudo",IF(COUNTIF(EtapaLista,$B506)=0,"Etapa inválida","OK")))</f>
        <v/>
      </c>
    </row>
    <row r="507" spans="1:10">
      <c r="A507" s="17"/>
      <c r="B507" s="15"/>
      <c r="C507" s="15"/>
      <c r="D507" s="15"/>
      <c r="E507" s="15"/>
      <c r="F507" s="16"/>
      <c r="G507" s="27"/>
      <c r="H507" s="17"/>
      <c r="I507" s="30">
        <f>IF($A507="","",DATE(YEAR($A507),MONTH($A507),1))</f>
        <v/>
      </c>
      <c r="J507" s="31">
        <f>IF($A507="","",IF(OR($B507="",$C507="",$F507="",$G507=""),"Preencher tudo",IF(COUNTIF(EtapaLista,$B507)=0,"Etapa inválida","OK")))</f>
        <v/>
      </c>
    </row>
    <row r="508" spans="1:10">
      <c r="A508" s="17"/>
      <c r="B508" s="15"/>
      <c r="C508" s="15"/>
      <c r="D508" s="15"/>
      <c r="E508" s="15"/>
      <c r="F508" s="16"/>
      <c r="G508" s="27"/>
      <c r="H508" s="17"/>
      <c r="I508" s="30">
        <f>IF($A508="","",DATE(YEAR($A508),MONTH($A508),1))</f>
        <v/>
      </c>
      <c r="J508" s="31">
        <f>IF($A508="","",IF(OR($B508="",$C508="",$F508="",$G508=""),"Preencher tudo",IF(COUNTIF(EtapaLista,$B508)=0,"Etapa inválida","OK")))</f>
        <v/>
      </c>
    </row>
    <row r="509" spans="1:10">
      <c r="A509" s="17"/>
      <c r="B509" s="15"/>
      <c r="C509" s="15"/>
      <c r="D509" s="15"/>
      <c r="E509" s="15"/>
      <c r="F509" s="16"/>
      <c r="G509" s="27"/>
      <c r="H509" s="17"/>
      <c r="I509" s="30">
        <f>IF($A509="","",DATE(YEAR($A509),MONTH($A509),1))</f>
        <v/>
      </c>
      <c r="J509" s="31">
        <f>IF($A509="","",IF(OR($B509="",$C509="",$F509="",$G509=""),"Preencher tudo",IF(COUNTIF(EtapaLista,$B509)=0,"Etapa inválida","OK")))</f>
        <v/>
      </c>
    </row>
    <row r="510" spans="1:10">
      <c r="A510" s="17"/>
      <c r="B510" s="15"/>
      <c r="C510" s="15"/>
      <c r="D510" s="15"/>
      <c r="E510" s="15"/>
      <c r="F510" s="16"/>
      <c r="G510" s="27"/>
      <c r="H510" s="17"/>
      <c r="I510" s="30">
        <f>IF($A510="","",DATE(YEAR($A510),MONTH($A510),1))</f>
        <v/>
      </c>
      <c r="J510" s="31">
        <f>IF($A510="","",IF(OR($B510="",$C510="",$F510="",$G510=""),"Preencher tudo",IF(COUNTIF(EtapaLista,$B510)=0,"Etapa inválida","OK")))</f>
        <v/>
      </c>
    </row>
    <row r="511" spans="1:10">
      <c r="A511" s="17"/>
      <c r="B511" s="15"/>
      <c r="C511" s="15"/>
      <c r="D511" s="15"/>
      <c r="E511" s="15"/>
      <c r="F511" s="16"/>
      <c r="G511" s="27"/>
      <c r="H511" s="17"/>
      <c r="I511" s="30">
        <f>IF($A511="","",DATE(YEAR($A511),MONTH($A511),1))</f>
        <v/>
      </c>
      <c r="J511" s="31">
        <f>IF($A511="","",IF(OR($B511="",$C511="",$F511="",$G511=""),"Preencher tudo",IF(COUNTIF(EtapaLista,$B511)=0,"Etapa inválida","OK")))</f>
        <v/>
      </c>
    </row>
    <row r="512" spans="1:10">
      <c r="A512" s="17"/>
      <c r="B512" s="15"/>
      <c r="C512" s="15"/>
      <c r="D512" s="15"/>
      <c r="E512" s="15"/>
      <c r="F512" s="16"/>
      <c r="G512" s="27"/>
      <c r="H512" s="17"/>
      <c r="I512" s="30">
        <f>IF($A512="","",DATE(YEAR($A512),MONTH($A512),1))</f>
        <v/>
      </c>
      <c r="J512" s="31">
        <f>IF($A512="","",IF(OR($B512="",$C512="",$F512="",$G512=""),"Preencher tudo",IF(COUNTIF(EtapaLista,$B512)=0,"Etapa inválida","OK")))</f>
        <v/>
      </c>
    </row>
    <row r="513" spans="1:10">
      <c r="A513" s="17"/>
      <c r="B513" s="15"/>
      <c r="C513" s="15"/>
      <c r="D513" s="15"/>
      <c r="E513" s="15"/>
      <c r="F513" s="16"/>
      <c r="G513" s="27"/>
      <c r="H513" s="17"/>
      <c r="I513" s="30">
        <f>IF($A513="","",DATE(YEAR($A513),MONTH($A513),1))</f>
        <v/>
      </c>
      <c r="J513" s="31">
        <f>IF($A513="","",IF(OR($B513="",$C513="",$F513="",$G513=""),"Preencher tudo",IF(COUNTIF(EtapaLista,$B513)=0,"Etapa inválida","OK")))</f>
        <v/>
      </c>
    </row>
    <row r="514" spans="1:10">
      <c r="A514" s="17"/>
      <c r="B514" s="15"/>
      <c r="C514" s="15"/>
      <c r="D514" s="15"/>
      <c r="E514" s="15"/>
      <c r="F514" s="16"/>
      <c r="G514" s="27"/>
      <c r="H514" s="17"/>
      <c r="I514" s="30">
        <f>IF($A514="","",DATE(YEAR($A514),MONTH($A514),1))</f>
        <v/>
      </c>
      <c r="J514" s="31">
        <f>IF($A514="","",IF(OR($B514="",$C514="",$F514="",$G514=""),"Preencher tudo",IF(COUNTIF(EtapaLista,$B514)=0,"Etapa inválida","OK")))</f>
        <v/>
      </c>
    </row>
    <row r="515" spans="1:10">
      <c r="A515" s="17"/>
      <c r="B515" s="15"/>
      <c r="C515" s="15"/>
      <c r="D515" s="15"/>
      <c r="E515" s="15"/>
      <c r="F515" s="16"/>
      <c r="G515" s="27"/>
      <c r="H515" s="17"/>
      <c r="I515" s="30">
        <f>IF($A515="","",DATE(YEAR($A515),MONTH($A515),1))</f>
        <v/>
      </c>
      <c r="J515" s="31">
        <f>IF($A515="","",IF(OR($B515="",$C515="",$F515="",$G515=""),"Preencher tudo",IF(COUNTIF(EtapaLista,$B515)=0,"Etapa inválida","OK")))</f>
        <v/>
      </c>
    </row>
    <row r="516" spans="1:10">
      <c r="A516" s="17"/>
      <c r="B516" s="15"/>
      <c r="C516" s="15"/>
      <c r="D516" s="15"/>
      <c r="E516" s="15"/>
      <c r="F516" s="16"/>
      <c r="G516" s="27"/>
      <c r="H516" s="17"/>
      <c r="I516" s="30">
        <f>IF($A516="","",DATE(YEAR($A516),MONTH($A516),1))</f>
        <v/>
      </c>
      <c r="J516" s="31">
        <f>IF($A516="","",IF(OR($B516="",$C516="",$F516="",$G516=""),"Preencher tudo",IF(COUNTIF(EtapaLista,$B516)=0,"Etapa inválida","OK")))</f>
        <v/>
      </c>
    </row>
    <row r="517" spans="1:10">
      <c r="A517" s="17"/>
      <c r="B517" s="15"/>
      <c r="C517" s="15"/>
      <c r="D517" s="15"/>
      <c r="E517" s="15"/>
      <c r="F517" s="16"/>
      <c r="G517" s="27"/>
      <c r="H517" s="17"/>
      <c r="I517" s="30">
        <f>IF($A517="","",DATE(YEAR($A517),MONTH($A517),1))</f>
        <v/>
      </c>
      <c r="J517" s="31">
        <f>IF($A517="","",IF(OR($B517="",$C517="",$F517="",$G517=""),"Preencher tudo",IF(COUNTIF(EtapaLista,$B517)=0,"Etapa inválida","OK")))</f>
        <v/>
      </c>
    </row>
    <row r="518" spans="1:10">
      <c r="A518" s="17"/>
      <c r="B518" s="15"/>
      <c r="C518" s="15"/>
      <c r="D518" s="15"/>
      <c r="E518" s="15"/>
      <c r="F518" s="16"/>
      <c r="G518" s="27"/>
      <c r="H518" s="17"/>
      <c r="I518" s="30">
        <f>IF($A518="","",DATE(YEAR($A518),MONTH($A518),1))</f>
        <v/>
      </c>
      <c r="J518" s="31">
        <f>IF($A518="","",IF(OR($B518="",$C518="",$F518="",$G518=""),"Preencher tudo",IF(COUNTIF(EtapaLista,$B518)=0,"Etapa inválida","OK")))</f>
        <v/>
      </c>
    </row>
    <row r="519" spans="1:10">
      <c r="A519" s="17"/>
      <c r="B519" s="15"/>
      <c r="C519" s="15"/>
      <c r="D519" s="15"/>
      <c r="E519" s="15"/>
      <c r="F519" s="16"/>
      <c r="G519" s="27"/>
      <c r="H519" s="17"/>
      <c r="I519" s="30">
        <f>IF($A519="","",DATE(YEAR($A519),MONTH($A519),1))</f>
        <v/>
      </c>
      <c r="J519" s="31">
        <f>IF($A519="","",IF(OR($B519="",$C519="",$F519="",$G519=""),"Preencher tudo",IF(COUNTIF(EtapaLista,$B519)=0,"Etapa inválida","OK")))</f>
        <v/>
      </c>
    </row>
    <row r="520" spans="1:10">
      <c r="A520" s="17"/>
      <c r="B520" s="15"/>
      <c r="C520" s="15"/>
      <c r="D520" s="15"/>
      <c r="E520" s="15"/>
      <c r="F520" s="16"/>
      <c r="G520" s="27"/>
      <c r="H520" s="17"/>
      <c r="I520" s="30">
        <f>IF($A520="","",DATE(YEAR($A520),MONTH($A520),1))</f>
        <v/>
      </c>
      <c r="J520" s="31">
        <f>IF($A520="","",IF(OR($B520="",$C520="",$F520="",$G520=""),"Preencher tudo",IF(COUNTIF(EtapaLista,$B520)=0,"Etapa inválida","OK")))</f>
        <v/>
      </c>
    </row>
    <row r="521" spans="1:10">
      <c r="A521" s="17"/>
      <c r="B521" s="15"/>
      <c r="C521" s="15"/>
      <c r="D521" s="15"/>
      <c r="E521" s="15"/>
      <c r="F521" s="16"/>
      <c r="G521" s="27"/>
      <c r="H521" s="17"/>
      <c r="I521" s="30">
        <f>IF($A521="","",DATE(YEAR($A521),MONTH($A521),1))</f>
        <v/>
      </c>
      <c r="J521" s="31">
        <f>IF($A521="","",IF(OR($B521="",$C521="",$F521="",$G521=""),"Preencher tudo",IF(COUNTIF(EtapaLista,$B521)=0,"Etapa inválida","OK")))</f>
        <v/>
      </c>
    </row>
    <row r="522" spans="1:10">
      <c r="A522" s="17"/>
      <c r="B522" s="15"/>
      <c r="C522" s="15"/>
      <c r="D522" s="15"/>
      <c r="E522" s="15"/>
      <c r="F522" s="16"/>
      <c r="G522" s="27"/>
      <c r="H522" s="17"/>
      <c r="I522" s="30">
        <f>IF($A522="","",DATE(YEAR($A522),MONTH($A522),1))</f>
        <v/>
      </c>
      <c r="J522" s="31">
        <f>IF($A522="","",IF(OR($B522="",$C522="",$F522="",$G522=""),"Preencher tudo",IF(COUNTIF(EtapaLista,$B522)=0,"Etapa inválida","OK")))</f>
        <v/>
      </c>
    </row>
    <row r="523" spans="1:10">
      <c r="A523" s="17"/>
      <c r="B523" s="15"/>
      <c r="C523" s="15"/>
      <c r="D523" s="15"/>
      <c r="E523" s="15"/>
      <c r="F523" s="16"/>
      <c r="G523" s="27"/>
      <c r="H523" s="17"/>
      <c r="I523" s="30">
        <f>IF($A523="","",DATE(YEAR($A523),MONTH($A523),1))</f>
        <v/>
      </c>
      <c r="J523" s="31">
        <f>IF($A523="","",IF(OR($B523="",$C523="",$F523="",$G523=""),"Preencher tudo",IF(COUNTIF(EtapaLista,$B523)=0,"Etapa inválida","OK")))</f>
        <v/>
      </c>
    </row>
    <row r="524" spans="1:10">
      <c r="A524" s="17"/>
      <c r="B524" s="15"/>
      <c r="C524" s="15"/>
      <c r="D524" s="15"/>
      <c r="E524" s="15"/>
      <c r="F524" s="16"/>
      <c r="G524" s="27"/>
      <c r="H524" s="17"/>
      <c r="I524" s="30">
        <f>IF($A524="","",DATE(YEAR($A524),MONTH($A524),1))</f>
        <v/>
      </c>
      <c r="J524" s="31">
        <f>IF($A524="","",IF(OR($B524="",$C524="",$F524="",$G524=""),"Preencher tudo",IF(COUNTIF(EtapaLista,$B524)=0,"Etapa inválida","OK")))</f>
        <v/>
      </c>
    </row>
    <row r="525" spans="1:10">
      <c r="A525" s="17"/>
      <c r="B525" s="15"/>
      <c r="C525" s="15"/>
      <c r="D525" s="15"/>
      <c r="E525" s="15"/>
      <c r="F525" s="16"/>
      <c r="G525" s="27"/>
      <c r="H525" s="17"/>
      <c r="I525" s="30">
        <f>IF($A525="","",DATE(YEAR($A525),MONTH($A525),1))</f>
        <v/>
      </c>
      <c r="J525" s="31">
        <f>IF($A525="","",IF(OR($B525="",$C525="",$F525="",$G525=""),"Preencher tudo",IF(COUNTIF(EtapaLista,$B525)=0,"Etapa inválida","OK")))</f>
        <v/>
      </c>
    </row>
    <row r="526" spans="1:10">
      <c r="A526" s="17"/>
      <c r="B526" s="15"/>
      <c r="C526" s="15"/>
      <c r="D526" s="15"/>
      <c r="E526" s="15"/>
      <c r="F526" s="16"/>
      <c r="G526" s="27"/>
      <c r="H526" s="17"/>
      <c r="I526" s="30">
        <f>IF($A526="","",DATE(YEAR($A526),MONTH($A526),1))</f>
        <v/>
      </c>
      <c r="J526" s="31">
        <f>IF($A526="","",IF(OR($B526="",$C526="",$F526="",$G526=""),"Preencher tudo",IF(COUNTIF(EtapaLista,$B526)=0,"Etapa inválida","OK")))</f>
        <v/>
      </c>
    </row>
    <row r="527" spans="1:10">
      <c r="A527" s="17"/>
      <c r="B527" s="15"/>
      <c r="C527" s="15"/>
      <c r="D527" s="15"/>
      <c r="E527" s="15"/>
      <c r="F527" s="16"/>
      <c r="G527" s="27"/>
      <c r="H527" s="17"/>
      <c r="I527" s="30">
        <f>IF($A527="","",DATE(YEAR($A527),MONTH($A527),1))</f>
        <v/>
      </c>
      <c r="J527" s="31">
        <f>IF($A527="","",IF(OR($B527="",$C527="",$F527="",$G527=""),"Preencher tudo",IF(COUNTIF(EtapaLista,$B527)=0,"Etapa inválida","OK")))</f>
        <v/>
      </c>
    </row>
    <row r="528" spans="1:10">
      <c r="A528" s="17"/>
      <c r="B528" s="15"/>
      <c r="C528" s="15"/>
      <c r="D528" s="15"/>
      <c r="E528" s="15"/>
      <c r="F528" s="16"/>
      <c r="G528" s="27"/>
      <c r="H528" s="17"/>
      <c r="I528" s="30">
        <f>IF($A528="","",DATE(YEAR($A528),MONTH($A528),1))</f>
        <v/>
      </c>
      <c r="J528" s="31">
        <f>IF($A528="","",IF(OR($B528="",$C528="",$F528="",$G528=""),"Preencher tudo",IF(COUNTIF(EtapaLista,$B528)=0,"Etapa inválida","OK")))</f>
        <v/>
      </c>
    </row>
    <row r="529" spans="1:10">
      <c r="A529" s="17"/>
      <c r="B529" s="15"/>
      <c r="C529" s="15"/>
      <c r="D529" s="15"/>
      <c r="E529" s="15"/>
      <c r="F529" s="16"/>
      <c r="G529" s="27"/>
      <c r="H529" s="17"/>
      <c r="I529" s="30">
        <f>IF($A529="","",DATE(YEAR($A529),MONTH($A529),1))</f>
        <v/>
      </c>
      <c r="J529" s="31">
        <f>IF($A529="","",IF(OR($B529="",$C529="",$F529="",$G529=""),"Preencher tudo",IF(COUNTIF(EtapaLista,$B529)=0,"Etapa inválida","OK")))</f>
        <v/>
      </c>
    </row>
    <row r="530" spans="1:10">
      <c r="A530" s="17"/>
      <c r="B530" s="15"/>
      <c r="C530" s="15"/>
      <c r="D530" s="15"/>
      <c r="E530" s="15"/>
      <c r="F530" s="16"/>
      <c r="G530" s="27"/>
      <c r="H530" s="17"/>
      <c r="I530" s="30">
        <f>IF($A530="","",DATE(YEAR($A530),MONTH($A530),1))</f>
        <v/>
      </c>
      <c r="J530" s="31">
        <f>IF($A530="","",IF(OR($B530="",$C530="",$F530="",$G530=""),"Preencher tudo",IF(COUNTIF(EtapaLista,$B530)=0,"Etapa inválida","OK")))</f>
        <v/>
      </c>
    </row>
    <row r="531" spans="1:10">
      <c r="A531" s="17"/>
      <c r="B531" s="15"/>
      <c r="C531" s="15"/>
      <c r="D531" s="15"/>
      <c r="E531" s="15"/>
      <c r="F531" s="16"/>
      <c r="G531" s="27"/>
      <c r="H531" s="17"/>
      <c r="I531" s="30">
        <f>IF($A531="","",DATE(YEAR($A531),MONTH($A531),1))</f>
        <v/>
      </c>
      <c r="J531" s="31">
        <f>IF($A531="","",IF(OR($B531="",$C531="",$F531="",$G531=""),"Preencher tudo",IF(COUNTIF(EtapaLista,$B531)=0,"Etapa inválida","OK")))</f>
        <v/>
      </c>
    </row>
    <row r="532" spans="1:10">
      <c r="A532" s="17"/>
      <c r="B532" s="15"/>
      <c r="C532" s="15"/>
      <c r="D532" s="15"/>
      <c r="E532" s="15"/>
      <c r="F532" s="16"/>
      <c r="G532" s="27"/>
      <c r="H532" s="17"/>
      <c r="I532" s="30">
        <f>IF($A532="","",DATE(YEAR($A532),MONTH($A532),1))</f>
        <v/>
      </c>
      <c r="J532" s="31">
        <f>IF($A532="","",IF(OR($B532="",$C532="",$F532="",$G532=""),"Preencher tudo",IF(COUNTIF(EtapaLista,$B532)=0,"Etapa inválida","OK")))</f>
        <v/>
      </c>
    </row>
    <row r="533" spans="1:10">
      <c r="A533" s="17"/>
      <c r="B533" s="15"/>
      <c r="C533" s="15"/>
      <c r="D533" s="15"/>
      <c r="E533" s="15"/>
      <c r="F533" s="16"/>
      <c r="G533" s="27"/>
      <c r="H533" s="17"/>
      <c r="I533" s="30">
        <f>IF($A533="","",DATE(YEAR($A533),MONTH($A533),1))</f>
        <v/>
      </c>
      <c r="J533" s="31">
        <f>IF($A533="","",IF(OR($B533="",$C533="",$F533="",$G533=""),"Preencher tudo",IF(COUNTIF(EtapaLista,$B533)=0,"Etapa inválida","OK")))</f>
        <v/>
      </c>
    </row>
    <row r="534" spans="1:10">
      <c r="A534" s="17"/>
      <c r="B534" s="15"/>
      <c r="C534" s="15"/>
      <c r="D534" s="15"/>
      <c r="E534" s="15"/>
      <c r="F534" s="16"/>
      <c r="G534" s="27"/>
      <c r="H534" s="17"/>
      <c r="I534" s="30">
        <f>IF($A534="","",DATE(YEAR($A534),MONTH($A534),1))</f>
        <v/>
      </c>
      <c r="J534" s="31">
        <f>IF($A534="","",IF(OR($B534="",$C534="",$F534="",$G534=""),"Preencher tudo",IF(COUNTIF(EtapaLista,$B534)=0,"Etapa inválida","OK")))</f>
        <v/>
      </c>
    </row>
    <row r="535" spans="1:10">
      <c r="A535" s="17"/>
      <c r="B535" s="15"/>
      <c r="C535" s="15"/>
      <c r="D535" s="15"/>
      <c r="E535" s="15"/>
      <c r="F535" s="16"/>
      <c r="G535" s="27"/>
      <c r="H535" s="17"/>
      <c r="I535" s="30">
        <f>IF($A535="","",DATE(YEAR($A535),MONTH($A535),1))</f>
        <v/>
      </c>
      <c r="J535" s="31">
        <f>IF($A535="","",IF(OR($B535="",$C535="",$F535="",$G535=""),"Preencher tudo",IF(COUNTIF(EtapaLista,$B535)=0,"Etapa inválida","OK")))</f>
        <v/>
      </c>
    </row>
    <row r="536" spans="1:10">
      <c r="A536" s="17"/>
      <c r="B536" s="15"/>
      <c r="C536" s="15"/>
      <c r="D536" s="15"/>
      <c r="E536" s="15"/>
      <c r="F536" s="16"/>
      <c r="G536" s="27"/>
      <c r="H536" s="17"/>
      <c r="I536" s="30">
        <f>IF($A536="","",DATE(YEAR($A536),MONTH($A536),1))</f>
        <v/>
      </c>
      <c r="J536" s="31">
        <f>IF($A536="","",IF(OR($B536="",$C536="",$F536="",$G536=""),"Preencher tudo",IF(COUNTIF(EtapaLista,$B536)=0,"Etapa inválida","OK")))</f>
        <v/>
      </c>
    </row>
    <row r="537" spans="1:10">
      <c r="A537" s="17"/>
      <c r="B537" s="15"/>
      <c r="C537" s="15"/>
      <c r="D537" s="15"/>
      <c r="E537" s="15"/>
      <c r="F537" s="16"/>
      <c r="G537" s="27"/>
      <c r="H537" s="17"/>
      <c r="I537" s="30">
        <f>IF($A537="","",DATE(YEAR($A537),MONTH($A537),1))</f>
        <v/>
      </c>
      <c r="J537" s="31">
        <f>IF($A537="","",IF(OR($B537="",$C537="",$F537="",$G537=""),"Preencher tudo",IF(COUNTIF(EtapaLista,$B537)=0,"Etapa inválida","OK")))</f>
        <v/>
      </c>
    </row>
    <row r="538" spans="1:10">
      <c r="A538" s="17"/>
      <c r="B538" s="15"/>
      <c r="C538" s="15"/>
      <c r="D538" s="15"/>
      <c r="E538" s="15"/>
      <c r="F538" s="16"/>
      <c r="G538" s="27"/>
      <c r="H538" s="17"/>
      <c r="I538" s="30">
        <f>IF($A538="","",DATE(YEAR($A538),MONTH($A538),1))</f>
        <v/>
      </c>
      <c r="J538" s="31">
        <f>IF($A538="","",IF(OR($B538="",$C538="",$F538="",$G538=""),"Preencher tudo",IF(COUNTIF(EtapaLista,$B538)=0,"Etapa inválida","OK")))</f>
        <v/>
      </c>
    </row>
    <row r="539" spans="1:10">
      <c r="A539" s="17"/>
      <c r="B539" s="15"/>
      <c r="C539" s="15"/>
      <c r="D539" s="15"/>
      <c r="E539" s="15"/>
      <c r="F539" s="16"/>
      <c r="G539" s="27"/>
      <c r="H539" s="17"/>
      <c r="I539" s="30">
        <f>IF($A539="","",DATE(YEAR($A539),MONTH($A539),1))</f>
        <v/>
      </c>
      <c r="J539" s="31">
        <f>IF($A539="","",IF(OR($B539="",$C539="",$F539="",$G539=""),"Preencher tudo",IF(COUNTIF(EtapaLista,$B539)=0,"Etapa inválida","OK")))</f>
        <v/>
      </c>
    </row>
    <row r="540" spans="1:10">
      <c r="A540" s="17"/>
      <c r="B540" s="15"/>
      <c r="C540" s="15"/>
      <c r="D540" s="15"/>
      <c r="E540" s="15"/>
      <c r="F540" s="16"/>
      <c r="G540" s="27"/>
      <c r="H540" s="17"/>
      <c r="I540" s="30">
        <f>IF($A540="","",DATE(YEAR($A540),MONTH($A540),1))</f>
        <v/>
      </c>
      <c r="J540" s="31">
        <f>IF($A540="","",IF(OR($B540="",$C540="",$F540="",$G540=""),"Preencher tudo",IF(COUNTIF(EtapaLista,$B540)=0,"Etapa inválida","OK")))</f>
        <v/>
      </c>
    </row>
    <row r="541" spans="1:10">
      <c r="A541" s="17"/>
      <c r="B541" s="15"/>
      <c r="C541" s="15"/>
      <c r="D541" s="15"/>
      <c r="E541" s="15"/>
      <c r="F541" s="16"/>
      <c r="G541" s="27"/>
      <c r="H541" s="17"/>
      <c r="I541" s="30">
        <f>IF($A541="","",DATE(YEAR($A541),MONTH($A541),1))</f>
        <v/>
      </c>
      <c r="J541" s="31">
        <f>IF($A541="","",IF(OR($B541="",$C541="",$F541="",$G541=""),"Preencher tudo",IF(COUNTIF(EtapaLista,$B541)=0,"Etapa inválida","OK")))</f>
        <v/>
      </c>
    </row>
    <row r="542" spans="1:10">
      <c r="A542" s="17"/>
      <c r="B542" s="15"/>
      <c r="C542" s="15"/>
      <c r="D542" s="15"/>
      <c r="E542" s="15"/>
      <c r="F542" s="16"/>
      <c r="G542" s="27"/>
      <c r="H542" s="17"/>
      <c r="I542" s="30">
        <f>IF($A542="","",DATE(YEAR($A542),MONTH($A542),1))</f>
        <v/>
      </c>
      <c r="J542" s="31">
        <f>IF($A542="","",IF(OR($B542="",$C542="",$F542="",$G542=""),"Preencher tudo",IF(COUNTIF(EtapaLista,$B542)=0,"Etapa inválida","OK")))</f>
        <v/>
      </c>
    </row>
    <row r="543" spans="1:10">
      <c r="A543" s="17"/>
      <c r="B543" s="15"/>
      <c r="C543" s="15"/>
      <c r="D543" s="15"/>
      <c r="E543" s="15"/>
      <c r="F543" s="16"/>
      <c r="G543" s="27"/>
      <c r="H543" s="17"/>
      <c r="I543" s="30">
        <f>IF($A543="","",DATE(YEAR($A543),MONTH($A543),1))</f>
        <v/>
      </c>
      <c r="J543" s="31">
        <f>IF($A543="","",IF(OR($B543="",$C543="",$F543="",$G543=""),"Preencher tudo",IF(COUNTIF(EtapaLista,$B543)=0,"Etapa inválida","OK")))</f>
        <v/>
      </c>
    </row>
    <row r="544" spans="1:10">
      <c r="A544" s="17"/>
      <c r="B544" s="15"/>
      <c r="C544" s="15"/>
      <c r="D544" s="15"/>
      <c r="E544" s="15"/>
      <c r="F544" s="16"/>
      <c r="G544" s="27"/>
      <c r="H544" s="17"/>
      <c r="I544" s="30">
        <f>IF($A544="","",DATE(YEAR($A544),MONTH($A544),1))</f>
        <v/>
      </c>
      <c r="J544" s="31">
        <f>IF($A544="","",IF(OR($B544="",$C544="",$F544="",$G544=""),"Preencher tudo",IF(COUNTIF(EtapaLista,$B544)=0,"Etapa inválida","OK")))</f>
        <v/>
      </c>
    </row>
    <row r="545" spans="1:10">
      <c r="A545" s="17"/>
      <c r="B545" s="15"/>
      <c r="C545" s="15"/>
      <c r="D545" s="15"/>
      <c r="E545" s="15"/>
      <c r="F545" s="16"/>
      <c r="G545" s="27"/>
      <c r="H545" s="17"/>
      <c r="I545" s="30">
        <f>IF($A545="","",DATE(YEAR($A545),MONTH($A545),1))</f>
        <v/>
      </c>
      <c r="J545" s="31">
        <f>IF($A545="","",IF(OR($B545="",$C545="",$F545="",$G545=""),"Preencher tudo",IF(COUNTIF(EtapaLista,$B545)=0,"Etapa inválida","OK")))</f>
        <v/>
      </c>
    </row>
    <row r="546" spans="1:10">
      <c r="A546" s="17"/>
      <c r="B546" s="15"/>
      <c r="C546" s="15"/>
      <c r="D546" s="15"/>
      <c r="E546" s="15"/>
      <c r="F546" s="16"/>
      <c r="G546" s="27"/>
      <c r="H546" s="17"/>
      <c r="I546" s="30">
        <f>IF($A546="","",DATE(YEAR($A546),MONTH($A546),1))</f>
        <v/>
      </c>
      <c r="J546" s="31">
        <f>IF($A546="","",IF(OR($B546="",$C546="",$F546="",$G546=""),"Preencher tudo",IF(COUNTIF(EtapaLista,$B546)=0,"Etapa inválida","OK")))</f>
        <v/>
      </c>
    </row>
    <row r="547" spans="1:10">
      <c r="A547" s="17"/>
      <c r="B547" s="15"/>
      <c r="C547" s="15"/>
      <c r="D547" s="15"/>
      <c r="E547" s="15"/>
      <c r="F547" s="16"/>
      <c r="G547" s="27"/>
      <c r="H547" s="17"/>
      <c r="I547" s="30">
        <f>IF($A547="","",DATE(YEAR($A547),MONTH($A547),1))</f>
        <v/>
      </c>
      <c r="J547" s="31">
        <f>IF($A547="","",IF(OR($B547="",$C547="",$F547="",$G547=""),"Preencher tudo",IF(COUNTIF(EtapaLista,$B547)=0,"Etapa inválida","OK")))</f>
        <v/>
      </c>
    </row>
    <row r="548" spans="1:10">
      <c r="A548" s="17"/>
      <c r="B548" s="15"/>
      <c r="C548" s="15"/>
      <c r="D548" s="15"/>
      <c r="E548" s="15"/>
      <c r="F548" s="16"/>
      <c r="G548" s="27"/>
      <c r="H548" s="17"/>
      <c r="I548" s="30">
        <f>IF($A548="","",DATE(YEAR($A548),MONTH($A548),1))</f>
        <v/>
      </c>
      <c r="J548" s="31">
        <f>IF($A548="","",IF(OR($B548="",$C548="",$F548="",$G548=""),"Preencher tudo",IF(COUNTIF(EtapaLista,$B548)=0,"Etapa inválida","OK")))</f>
        <v/>
      </c>
    </row>
    <row r="549" spans="1:10">
      <c r="A549" s="17"/>
      <c r="B549" s="15"/>
      <c r="C549" s="15"/>
      <c r="D549" s="15"/>
      <c r="E549" s="15"/>
      <c r="F549" s="16"/>
      <c r="G549" s="27"/>
      <c r="H549" s="17"/>
      <c r="I549" s="30">
        <f>IF($A549="","",DATE(YEAR($A549),MONTH($A549),1))</f>
        <v/>
      </c>
      <c r="J549" s="31">
        <f>IF($A549="","",IF(OR($B549="",$C549="",$F549="",$G549=""),"Preencher tudo",IF(COUNTIF(EtapaLista,$B549)=0,"Etapa inválida","OK")))</f>
        <v/>
      </c>
    </row>
    <row r="550" spans="1:10">
      <c r="A550" s="17"/>
      <c r="B550" s="15"/>
      <c r="C550" s="15"/>
      <c r="D550" s="15"/>
      <c r="E550" s="15"/>
      <c r="F550" s="16"/>
      <c r="G550" s="27"/>
      <c r="H550" s="17"/>
      <c r="I550" s="30">
        <f>IF($A550="","",DATE(YEAR($A550),MONTH($A550),1))</f>
        <v/>
      </c>
      <c r="J550" s="31">
        <f>IF($A550="","",IF(OR($B550="",$C550="",$F550="",$G550=""),"Preencher tudo",IF(COUNTIF(EtapaLista,$B550)=0,"Etapa inválida","OK")))</f>
        <v/>
      </c>
    </row>
    <row r="551" spans="1:10">
      <c r="A551" s="17"/>
      <c r="B551" s="15"/>
      <c r="C551" s="15"/>
      <c r="D551" s="15"/>
      <c r="E551" s="15"/>
      <c r="F551" s="16"/>
      <c r="G551" s="27"/>
      <c r="H551" s="17"/>
      <c r="I551" s="30">
        <f>IF($A551="","",DATE(YEAR($A551),MONTH($A551),1))</f>
        <v/>
      </c>
      <c r="J551" s="31">
        <f>IF($A551="","",IF(OR($B551="",$C551="",$F551="",$G551=""),"Preencher tudo",IF(COUNTIF(EtapaLista,$B551)=0,"Etapa inválida","OK")))</f>
        <v/>
      </c>
    </row>
    <row r="552" spans="1:10">
      <c r="A552" s="17"/>
      <c r="B552" s="15"/>
      <c r="C552" s="15"/>
      <c r="D552" s="15"/>
      <c r="E552" s="15"/>
      <c r="F552" s="16"/>
      <c r="G552" s="27"/>
      <c r="H552" s="17"/>
      <c r="I552" s="30">
        <f>IF($A552="","",DATE(YEAR($A552),MONTH($A552),1))</f>
        <v/>
      </c>
      <c r="J552" s="31">
        <f>IF($A552="","",IF(OR($B552="",$C552="",$F552="",$G552=""),"Preencher tudo",IF(COUNTIF(EtapaLista,$B552)=0,"Etapa inválida","OK")))</f>
        <v/>
      </c>
    </row>
    <row r="553" spans="1:10">
      <c r="A553" s="17"/>
      <c r="B553" s="15"/>
      <c r="C553" s="15"/>
      <c r="D553" s="15"/>
      <c r="E553" s="15"/>
      <c r="F553" s="16"/>
      <c r="G553" s="27"/>
      <c r="H553" s="17"/>
      <c r="I553" s="30">
        <f>IF($A553="","",DATE(YEAR($A553),MONTH($A553),1))</f>
        <v/>
      </c>
      <c r="J553" s="31">
        <f>IF($A553="","",IF(OR($B553="",$C553="",$F553="",$G553=""),"Preencher tudo",IF(COUNTIF(EtapaLista,$B553)=0,"Etapa inválida","OK")))</f>
        <v/>
      </c>
    </row>
    <row r="554" spans="1:10">
      <c r="A554" s="17"/>
      <c r="B554" s="15"/>
      <c r="C554" s="15"/>
      <c r="D554" s="15"/>
      <c r="E554" s="15"/>
      <c r="F554" s="16"/>
      <c r="G554" s="27"/>
      <c r="H554" s="17"/>
      <c r="I554" s="30">
        <f>IF($A554="","",DATE(YEAR($A554),MONTH($A554),1))</f>
        <v/>
      </c>
      <c r="J554" s="31">
        <f>IF($A554="","",IF(OR($B554="",$C554="",$F554="",$G554=""),"Preencher tudo",IF(COUNTIF(EtapaLista,$B554)=0,"Etapa inválida","OK")))</f>
        <v/>
      </c>
    </row>
    <row r="555" spans="1:10">
      <c r="A555" s="17"/>
      <c r="B555" s="15"/>
      <c r="C555" s="15"/>
      <c r="D555" s="15"/>
      <c r="E555" s="15"/>
      <c r="F555" s="16"/>
      <c r="G555" s="27"/>
      <c r="H555" s="17"/>
      <c r="I555" s="30">
        <f>IF($A555="","",DATE(YEAR($A555),MONTH($A555),1))</f>
        <v/>
      </c>
      <c r="J555" s="31">
        <f>IF($A555="","",IF(OR($B555="",$C555="",$F555="",$G555=""),"Preencher tudo",IF(COUNTIF(EtapaLista,$B555)=0,"Etapa inválida","OK")))</f>
        <v/>
      </c>
    </row>
    <row r="556" spans="1:10">
      <c r="A556" s="17"/>
      <c r="B556" s="15"/>
      <c r="C556" s="15"/>
      <c r="D556" s="15"/>
      <c r="E556" s="15"/>
      <c r="F556" s="16"/>
      <c r="G556" s="27"/>
      <c r="H556" s="17"/>
      <c r="I556" s="30">
        <f>IF($A556="","",DATE(YEAR($A556),MONTH($A556),1))</f>
        <v/>
      </c>
      <c r="J556" s="31">
        <f>IF($A556="","",IF(OR($B556="",$C556="",$F556="",$G556=""),"Preencher tudo",IF(COUNTIF(EtapaLista,$B556)=0,"Etapa inválida","OK")))</f>
        <v/>
      </c>
    </row>
    <row r="557" spans="1:10">
      <c r="A557" s="17"/>
      <c r="B557" s="15"/>
      <c r="C557" s="15"/>
      <c r="D557" s="15"/>
      <c r="E557" s="15"/>
      <c r="F557" s="16"/>
      <c r="G557" s="27"/>
      <c r="H557" s="17"/>
      <c r="I557" s="30">
        <f>IF($A557="","",DATE(YEAR($A557),MONTH($A557),1))</f>
        <v/>
      </c>
      <c r="J557" s="31">
        <f>IF($A557="","",IF(OR($B557="",$C557="",$F557="",$G557=""),"Preencher tudo",IF(COUNTIF(EtapaLista,$B557)=0,"Etapa inválida","OK")))</f>
        <v/>
      </c>
    </row>
    <row r="558" spans="1:10">
      <c r="A558" s="17"/>
      <c r="B558" s="15"/>
      <c r="C558" s="15"/>
      <c r="D558" s="15"/>
      <c r="E558" s="15"/>
      <c r="F558" s="16"/>
      <c r="G558" s="27"/>
      <c r="H558" s="17"/>
      <c r="I558" s="30">
        <f>IF($A558="","",DATE(YEAR($A558),MONTH($A558),1))</f>
        <v/>
      </c>
      <c r="J558" s="31">
        <f>IF($A558="","",IF(OR($B558="",$C558="",$F558="",$G558=""),"Preencher tudo",IF(COUNTIF(EtapaLista,$B558)=0,"Etapa inválida","OK")))</f>
        <v/>
      </c>
    </row>
    <row r="559" spans="1:10">
      <c r="A559" s="17"/>
      <c r="B559" s="15"/>
      <c r="C559" s="15"/>
      <c r="D559" s="15"/>
      <c r="E559" s="15"/>
      <c r="F559" s="16"/>
      <c r="G559" s="27"/>
      <c r="H559" s="17"/>
      <c r="I559" s="30">
        <f>IF($A559="","",DATE(YEAR($A559),MONTH($A559),1))</f>
        <v/>
      </c>
      <c r="J559" s="31">
        <f>IF($A559="","",IF(OR($B559="",$C559="",$F559="",$G559=""),"Preencher tudo",IF(COUNTIF(EtapaLista,$B559)=0,"Etapa inválida","OK")))</f>
        <v/>
      </c>
    </row>
    <row r="560" spans="1:10">
      <c r="A560" s="17"/>
      <c r="B560" s="15"/>
      <c r="C560" s="15"/>
      <c r="D560" s="15"/>
      <c r="E560" s="15"/>
      <c r="F560" s="16"/>
      <c r="G560" s="27"/>
      <c r="H560" s="17"/>
      <c r="I560" s="30">
        <f>IF($A560="","",DATE(YEAR($A560),MONTH($A560),1))</f>
        <v/>
      </c>
      <c r="J560" s="31">
        <f>IF($A560="","",IF(OR($B560="",$C560="",$F560="",$G560=""),"Preencher tudo",IF(COUNTIF(EtapaLista,$B560)=0,"Etapa inválida","OK")))</f>
        <v/>
      </c>
    </row>
    <row r="561" spans="1:10">
      <c r="A561" s="17"/>
      <c r="B561" s="15"/>
      <c r="C561" s="15"/>
      <c r="D561" s="15"/>
      <c r="E561" s="15"/>
      <c r="F561" s="16"/>
      <c r="G561" s="27"/>
      <c r="H561" s="17"/>
      <c r="I561" s="30">
        <f>IF($A561="","",DATE(YEAR($A561),MONTH($A561),1))</f>
        <v/>
      </c>
      <c r="J561" s="31">
        <f>IF($A561="","",IF(OR($B561="",$C561="",$F561="",$G561=""),"Preencher tudo",IF(COUNTIF(EtapaLista,$B561)=0,"Etapa inválida","OK")))</f>
        <v/>
      </c>
    </row>
    <row r="562" spans="1:10">
      <c r="A562" s="17"/>
      <c r="B562" s="15"/>
      <c r="C562" s="15"/>
      <c r="D562" s="15"/>
      <c r="E562" s="15"/>
      <c r="F562" s="16"/>
      <c r="G562" s="27"/>
      <c r="H562" s="17"/>
      <c r="I562" s="30">
        <f>IF($A562="","",DATE(YEAR($A562),MONTH($A562),1))</f>
        <v/>
      </c>
      <c r="J562" s="31">
        <f>IF($A562="","",IF(OR($B562="",$C562="",$F562="",$G562=""),"Preencher tudo",IF(COUNTIF(EtapaLista,$B562)=0,"Etapa inválida","OK")))</f>
        <v/>
      </c>
    </row>
    <row r="563" spans="1:10">
      <c r="A563" s="17"/>
      <c r="B563" s="15"/>
      <c r="C563" s="15"/>
      <c r="D563" s="15"/>
      <c r="E563" s="15"/>
      <c r="F563" s="16"/>
      <c r="G563" s="27"/>
      <c r="H563" s="17"/>
      <c r="I563" s="30">
        <f>IF($A563="","",DATE(YEAR($A563),MONTH($A563),1))</f>
        <v/>
      </c>
      <c r="J563" s="31">
        <f>IF($A563="","",IF(OR($B563="",$C563="",$F563="",$G563=""),"Preencher tudo",IF(COUNTIF(EtapaLista,$B563)=0,"Etapa inválida","OK")))</f>
        <v/>
      </c>
    </row>
    <row r="564" spans="1:10">
      <c r="A564" s="17"/>
      <c r="B564" s="15"/>
      <c r="C564" s="15"/>
      <c r="D564" s="15"/>
      <c r="E564" s="15"/>
      <c r="F564" s="16"/>
      <c r="G564" s="27"/>
      <c r="H564" s="17"/>
      <c r="I564" s="30">
        <f>IF($A564="","",DATE(YEAR($A564),MONTH($A564),1))</f>
        <v/>
      </c>
      <c r="J564" s="31">
        <f>IF($A564="","",IF(OR($B564="",$C564="",$F564="",$G564=""),"Preencher tudo",IF(COUNTIF(EtapaLista,$B564)=0,"Etapa inválida","OK")))</f>
        <v/>
      </c>
    </row>
    <row r="565" spans="1:10">
      <c r="A565" s="17"/>
      <c r="B565" s="15"/>
      <c r="C565" s="15"/>
      <c r="D565" s="15"/>
      <c r="E565" s="15"/>
      <c r="F565" s="16"/>
      <c r="G565" s="27"/>
      <c r="H565" s="17"/>
      <c r="I565" s="30">
        <f>IF($A565="","",DATE(YEAR($A565),MONTH($A565),1))</f>
        <v/>
      </c>
      <c r="J565" s="31">
        <f>IF($A565="","",IF(OR($B565="",$C565="",$F565="",$G565=""),"Preencher tudo",IF(COUNTIF(EtapaLista,$B565)=0,"Etapa inválida","OK")))</f>
        <v/>
      </c>
    </row>
    <row r="566" spans="1:10">
      <c r="A566" s="17"/>
      <c r="B566" s="15"/>
      <c r="C566" s="15"/>
      <c r="D566" s="15"/>
      <c r="E566" s="15"/>
      <c r="F566" s="16"/>
      <c r="G566" s="27"/>
      <c r="H566" s="17"/>
      <c r="I566" s="30">
        <f>IF($A566="","",DATE(YEAR($A566),MONTH($A566),1))</f>
        <v/>
      </c>
      <c r="J566" s="31">
        <f>IF($A566="","",IF(OR($B566="",$C566="",$F566="",$G566=""),"Preencher tudo",IF(COUNTIF(EtapaLista,$B566)=0,"Etapa inválida","OK")))</f>
        <v/>
      </c>
    </row>
    <row r="567" spans="1:10">
      <c r="A567" s="17"/>
      <c r="B567" s="15"/>
      <c r="C567" s="15"/>
      <c r="D567" s="15"/>
      <c r="E567" s="15"/>
      <c r="F567" s="16"/>
      <c r="G567" s="27"/>
      <c r="H567" s="17"/>
      <c r="I567" s="30">
        <f>IF($A567="","",DATE(YEAR($A567),MONTH($A567),1))</f>
        <v/>
      </c>
      <c r="J567" s="31">
        <f>IF($A567="","",IF(OR($B567="",$C567="",$F567="",$G567=""),"Preencher tudo",IF(COUNTIF(EtapaLista,$B567)=0,"Etapa inválida","OK")))</f>
        <v/>
      </c>
    </row>
    <row r="568" spans="1:10">
      <c r="A568" s="17"/>
      <c r="B568" s="15"/>
      <c r="C568" s="15"/>
      <c r="D568" s="15"/>
      <c r="E568" s="15"/>
      <c r="F568" s="16"/>
      <c r="G568" s="27"/>
      <c r="H568" s="17"/>
      <c r="I568" s="30">
        <f>IF($A568="","",DATE(YEAR($A568),MONTH($A568),1))</f>
        <v/>
      </c>
      <c r="J568" s="31">
        <f>IF($A568="","",IF(OR($B568="",$C568="",$F568="",$G568=""),"Preencher tudo",IF(COUNTIF(EtapaLista,$B568)=0,"Etapa inválida","OK")))</f>
        <v/>
      </c>
    </row>
    <row r="569" spans="1:10">
      <c r="A569" s="17"/>
      <c r="B569" s="15"/>
      <c r="C569" s="15"/>
      <c r="D569" s="15"/>
      <c r="E569" s="15"/>
      <c r="F569" s="16"/>
      <c r="G569" s="27"/>
      <c r="H569" s="17"/>
      <c r="I569" s="30">
        <f>IF($A569="","",DATE(YEAR($A569),MONTH($A569),1))</f>
        <v/>
      </c>
      <c r="J569" s="31">
        <f>IF($A569="","",IF(OR($B569="",$C569="",$F569="",$G569=""),"Preencher tudo",IF(COUNTIF(EtapaLista,$B569)=0,"Etapa inválida","OK")))</f>
        <v/>
      </c>
    </row>
    <row r="570" spans="1:10">
      <c r="A570" s="17"/>
      <c r="B570" s="15"/>
      <c r="C570" s="15"/>
      <c r="D570" s="15"/>
      <c r="E570" s="15"/>
      <c r="F570" s="16"/>
      <c r="G570" s="27"/>
      <c r="H570" s="17"/>
      <c r="I570" s="30">
        <f>IF($A570="","",DATE(YEAR($A570),MONTH($A570),1))</f>
        <v/>
      </c>
      <c r="J570" s="31">
        <f>IF($A570="","",IF(OR($B570="",$C570="",$F570="",$G570=""),"Preencher tudo",IF(COUNTIF(EtapaLista,$B570)=0,"Etapa inválida","OK")))</f>
        <v/>
      </c>
    </row>
    <row r="571" spans="1:10">
      <c r="A571" s="17"/>
      <c r="B571" s="15"/>
      <c r="C571" s="15"/>
      <c r="D571" s="15"/>
      <c r="E571" s="15"/>
      <c r="F571" s="16"/>
      <c r="G571" s="27"/>
      <c r="H571" s="17"/>
      <c r="I571" s="30">
        <f>IF($A571="","",DATE(YEAR($A571),MONTH($A571),1))</f>
        <v/>
      </c>
      <c r="J571" s="31">
        <f>IF($A571="","",IF(OR($B571="",$C571="",$F571="",$G571=""),"Preencher tudo",IF(COUNTIF(EtapaLista,$B571)=0,"Etapa inválida","OK")))</f>
        <v/>
      </c>
    </row>
    <row r="572" spans="1:10">
      <c r="A572" s="17"/>
      <c r="B572" s="15"/>
      <c r="C572" s="15"/>
      <c r="D572" s="15"/>
      <c r="E572" s="15"/>
      <c r="F572" s="16"/>
      <c r="G572" s="27"/>
      <c r="H572" s="17"/>
      <c r="I572" s="30">
        <f>IF($A572="","",DATE(YEAR($A572),MONTH($A572),1))</f>
        <v/>
      </c>
      <c r="J572" s="31">
        <f>IF($A572="","",IF(OR($B572="",$C572="",$F572="",$G572=""),"Preencher tudo",IF(COUNTIF(EtapaLista,$B572)=0,"Etapa inválida","OK")))</f>
        <v/>
      </c>
    </row>
    <row r="573" spans="1:10">
      <c r="A573" s="17"/>
      <c r="B573" s="15"/>
      <c r="C573" s="15"/>
      <c r="D573" s="15"/>
      <c r="E573" s="15"/>
      <c r="F573" s="16"/>
      <c r="G573" s="27"/>
      <c r="H573" s="17"/>
      <c r="I573" s="30">
        <f>IF($A573="","",DATE(YEAR($A573),MONTH($A573),1))</f>
        <v/>
      </c>
      <c r="J573" s="31">
        <f>IF($A573="","",IF(OR($B573="",$C573="",$F573="",$G573=""),"Preencher tudo",IF(COUNTIF(EtapaLista,$B573)=0,"Etapa inválida","OK")))</f>
        <v/>
      </c>
    </row>
    <row r="574" spans="1:10">
      <c r="A574" s="17"/>
      <c r="B574" s="15"/>
      <c r="C574" s="15"/>
      <c r="D574" s="15"/>
      <c r="E574" s="15"/>
      <c r="F574" s="16"/>
      <c r="G574" s="27"/>
      <c r="H574" s="17"/>
      <c r="I574" s="30">
        <f>IF($A574="","",DATE(YEAR($A574),MONTH($A574),1))</f>
        <v/>
      </c>
      <c r="J574" s="31">
        <f>IF($A574="","",IF(OR($B574="",$C574="",$F574="",$G574=""),"Preencher tudo",IF(COUNTIF(EtapaLista,$B574)=0,"Etapa inválida","OK")))</f>
        <v/>
      </c>
    </row>
    <row r="575" spans="1:10">
      <c r="A575" s="17"/>
      <c r="B575" s="15"/>
      <c r="C575" s="15"/>
      <c r="D575" s="15"/>
      <c r="E575" s="15"/>
      <c r="F575" s="16"/>
      <c r="G575" s="27"/>
      <c r="H575" s="17"/>
      <c r="I575" s="30">
        <f>IF($A575="","",DATE(YEAR($A575),MONTH($A575),1))</f>
        <v/>
      </c>
      <c r="J575" s="31">
        <f>IF($A575="","",IF(OR($B575="",$C575="",$F575="",$G575=""),"Preencher tudo",IF(COUNTIF(EtapaLista,$B575)=0,"Etapa inválida","OK")))</f>
        <v/>
      </c>
    </row>
    <row r="576" spans="1:10">
      <c r="A576" s="17"/>
      <c r="B576" s="15"/>
      <c r="C576" s="15"/>
      <c r="D576" s="15"/>
      <c r="E576" s="15"/>
      <c r="F576" s="16"/>
      <c r="G576" s="27"/>
      <c r="H576" s="17"/>
      <c r="I576" s="30">
        <f>IF($A576="","",DATE(YEAR($A576),MONTH($A576),1))</f>
        <v/>
      </c>
      <c r="J576" s="31">
        <f>IF($A576="","",IF(OR($B576="",$C576="",$F576="",$G576=""),"Preencher tudo",IF(COUNTIF(EtapaLista,$B576)=0,"Etapa inválida","OK")))</f>
        <v/>
      </c>
    </row>
    <row r="577" spans="1:10">
      <c r="A577" s="17"/>
      <c r="B577" s="15"/>
      <c r="C577" s="15"/>
      <c r="D577" s="15"/>
      <c r="E577" s="15"/>
      <c r="F577" s="16"/>
      <c r="G577" s="27"/>
      <c r="H577" s="17"/>
      <c r="I577" s="30">
        <f>IF($A577="","",DATE(YEAR($A577),MONTH($A577),1))</f>
        <v/>
      </c>
      <c r="J577" s="31">
        <f>IF($A577="","",IF(OR($B577="",$C577="",$F577="",$G577=""),"Preencher tudo",IF(COUNTIF(EtapaLista,$B577)=0,"Etapa inválida","OK")))</f>
        <v/>
      </c>
    </row>
    <row r="578" spans="1:10">
      <c r="A578" s="17"/>
      <c r="B578" s="15"/>
      <c r="C578" s="15"/>
      <c r="D578" s="15"/>
      <c r="E578" s="15"/>
      <c r="F578" s="16"/>
      <c r="G578" s="27"/>
      <c r="H578" s="17"/>
      <c r="I578" s="30">
        <f>IF($A578="","",DATE(YEAR($A578),MONTH($A578),1))</f>
        <v/>
      </c>
      <c r="J578" s="31">
        <f>IF($A578="","",IF(OR($B578="",$C578="",$F578="",$G578=""),"Preencher tudo",IF(COUNTIF(EtapaLista,$B578)=0,"Etapa inválida","OK")))</f>
        <v/>
      </c>
    </row>
    <row r="579" spans="1:10">
      <c r="A579" s="17"/>
      <c r="B579" s="15"/>
      <c r="C579" s="15"/>
      <c r="D579" s="15"/>
      <c r="E579" s="15"/>
      <c r="F579" s="16"/>
      <c r="G579" s="27"/>
      <c r="H579" s="17"/>
      <c r="I579" s="30">
        <f>IF($A579="","",DATE(YEAR($A579),MONTH($A579),1))</f>
        <v/>
      </c>
      <c r="J579" s="31">
        <f>IF($A579="","",IF(OR($B579="",$C579="",$F579="",$G579=""),"Preencher tudo",IF(COUNTIF(EtapaLista,$B579)=0,"Etapa inválida","OK")))</f>
        <v/>
      </c>
    </row>
    <row r="580" spans="1:10">
      <c r="A580" s="17"/>
      <c r="B580" s="15"/>
      <c r="C580" s="15"/>
      <c r="D580" s="15"/>
      <c r="E580" s="15"/>
      <c r="F580" s="16"/>
      <c r="G580" s="27"/>
      <c r="H580" s="17"/>
      <c r="I580" s="30">
        <f>IF($A580="","",DATE(YEAR($A580),MONTH($A580),1))</f>
        <v/>
      </c>
      <c r="J580" s="31">
        <f>IF($A580="","",IF(OR($B580="",$C580="",$F580="",$G580=""),"Preencher tudo",IF(COUNTIF(EtapaLista,$B580)=0,"Etapa inválida","OK")))</f>
        <v/>
      </c>
    </row>
    <row r="581" spans="1:10">
      <c r="A581" s="17"/>
      <c r="B581" s="15"/>
      <c r="C581" s="15"/>
      <c r="D581" s="15"/>
      <c r="E581" s="15"/>
      <c r="F581" s="16"/>
      <c r="G581" s="27"/>
      <c r="H581" s="17"/>
      <c r="I581" s="30">
        <f>IF($A581="","",DATE(YEAR($A581),MONTH($A581),1))</f>
        <v/>
      </c>
      <c r="J581" s="31">
        <f>IF($A581="","",IF(OR($B581="",$C581="",$F581="",$G581=""),"Preencher tudo",IF(COUNTIF(EtapaLista,$B581)=0,"Etapa inválida","OK")))</f>
        <v/>
      </c>
    </row>
    <row r="582" spans="1:10">
      <c r="A582" s="17"/>
      <c r="B582" s="15"/>
      <c r="C582" s="15"/>
      <c r="D582" s="15"/>
      <c r="E582" s="15"/>
      <c r="F582" s="16"/>
      <c r="G582" s="27"/>
      <c r="H582" s="17"/>
      <c r="I582" s="30">
        <f>IF($A582="","",DATE(YEAR($A582),MONTH($A582),1))</f>
        <v/>
      </c>
      <c r="J582" s="31">
        <f>IF($A582="","",IF(OR($B582="",$C582="",$F582="",$G582=""),"Preencher tudo",IF(COUNTIF(EtapaLista,$B582)=0,"Etapa inválida","OK")))</f>
        <v/>
      </c>
    </row>
    <row r="583" spans="1:10">
      <c r="A583" s="17"/>
      <c r="B583" s="15"/>
      <c r="C583" s="15"/>
      <c r="D583" s="15"/>
      <c r="E583" s="15"/>
      <c r="F583" s="16"/>
      <c r="G583" s="27"/>
      <c r="H583" s="17"/>
      <c r="I583" s="30">
        <f>IF($A583="","",DATE(YEAR($A583),MONTH($A583),1))</f>
        <v/>
      </c>
      <c r="J583" s="31">
        <f>IF($A583="","",IF(OR($B583="",$C583="",$F583="",$G583=""),"Preencher tudo",IF(COUNTIF(EtapaLista,$B583)=0,"Etapa inválida","OK")))</f>
        <v/>
      </c>
    </row>
    <row r="584" spans="1:10">
      <c r="A584" s="17"/>
      <c r="B584" s="15"/>
      <c r="C584" s="15"/>
      <c r="D584" s="15"/>
      <c r="E584" s="15"/>
      <c r="F584" s="16"/>
      <c r="G584" s="27"/>
      <c r="H584" s="17"/>
      <c r="I584" s="30">
        <f>IF($A584="","",DATE(YEAR($A584),MONTH($A584),1))</f>
        <v/>
      </c>
      <c r="J584" s="31">
        <f>IF($A584="","",IF(OR($B584="",$C584="",$F584="",$G584=""),"Preencher tudo",IF(COUNTIF(EtapaLista,$B584)=0,"Etapa inválida","OK")))</f>
        <v/>
      </c>
    </row>
    <row r="585" spans="1:10">
      <c r="A585" s="17"/>
      <c r="B585" s="15"/>
      <c r="C585" s="15"/>
      <c r="D585" s="15"/>
      <c r="E585" s="15"/>
      <c r="F585" s="16"/>
      <c r="G585" s="27"/>
      <c r="H585" s="17"/>
      <c r="I585" s="30">
        <f>IF($A585="","",DATE(YEAR($A585),MONTH($A585),1))</f>
        <v/>
      </c>
      <c r="J585" s="31">
        <f>IF($A585="","",IF(OR($B585="",$C585="",$F585="",$G585=""),"Preencher tudo",IF(COUNTIF(EtapaLista,$B585)=0,"Etapa inválida","OK")))</f>
        <v/>
      </c>
    </row>
    <row r="586" spans="1:10">
      <c r="A586" s="17"/>
      <c r="B586" s="15"/>
      <c r="C586" s="15"/>
      <c r="D586" s="15"/>
      <c r="E586" s="15"/>
      <c r="F586" s="16"/>
      <c r="G586" s="27"/>
      <c r="H586" s="17"/>
      <c r="I586" s="30">
        <f>IF($A586="","",DATE(YEAR($A586),MONTH($A586),1))</f>
        <v/>
      </c>
      <c r="J586" s="31">
        <f>IF($A586="","",IF(OR($B586="",$C586="",$F586="",$G586=""),"Preencher tudo",IF(COUNTIF(EtapaLista,$B586)=0,"Etapa inválida","OK")))</f>
        <v/>
      </c>
    </row>
    <row r="587" spans="1:10">
      <c r="A587" s="17"/>
      <c r="B587" s="15"/>
      <c r="C587" s="15"/>
      <c r="D587" s="15"/>
      <c r="E587" s="15"/>
      <c r="F587" s="16"/>
      <c r="G587" s="27"/>
      <c r="H587" s="17"/>
      <c r="I587" s="30">
        <f>IF($A587="","",DATE(YEAR($A587),MONTH($A587),1))</f>
        <v/>
      </c>
      <c r="J587" s="31">
        <f>IF($A587="","",IF(OR($B587="",$C587="",$F587="",$G587=""),"Preencher tudo",IF(COUNTIF(EtapaLista,$B587)=0,"Etapa inválida","OK")))</f>
        <v/>
      </c>
    </row>
    <row r="588" spans="1:10">
      <c r="A588" s="17"/>
      <c r="B588" s="15"/>
      <c r="C588" s="15"/>
      <c r="D588" s="15"/>
      <c r="E588" s="15"/>
      <c r="F588" s="16"/>
      <c r="G588" s="27"/>
      <c r="H588" s="17"/>
      <c r="I588" s="30">
        <f>IF($A588="","",DATE(YEAR($A588),MONTH($A588),1))</f>
        <v/>
      </c>
      <c r="J588" s="31">
        <f>IF($A588="","",IF(OR($B588="",$C588="",$F588="",$G588=""),"Preencher tudo",IF(COUNTIF(EtapaLista,$B588)=0,"Etapa inválida","OK")))</f>
        <v/>
      </c>
    </row>
    <row r="589" spans="1:10">
      <c r="A589" s="17"/>
      <c r="B589" s="15"/>
      <c r="C589" s="15"/>
      <c r="D589" s="15"/>
      <c r="E589" s="15"/>
      <c r="F589" s="16"/>
      <c r="G589" s="27"/>
      <c r="H589" s="17"/>
      <c r="I589" s="30">
        <f>IF($A589="","",DATE(YEAR($A589),MONTH($A589),1))</f>
        <v/>
      </c>
      <c r="J589" s="31">
        <f>IF($A589="","",IF(OR($B589="",$C589="",$F589="",$G589=""),"Preencher tudo",IF(COUNTIF(EtapaLista,$B589)=0,"Etapa inválida","OK")))</f>
        <v/>
      </c>
    </row>
    <row r="590" spans="1:10">
      <c r="A590" s="17"/>
      <c r="B590" s="15"/>
      <c r="C590" s="15"/>
      <c r="D590" s="15"/>
      <c r="E590" s="15"/>
      <c r="F590" s="16"/>
      <c r="G590" s="27"/>
      <c r="H590" s="17"/>
      <c r="I590" s="30">
        <f>IF($A590="","",DATE(YEAR($A590),MONTH($A590),1))</f>
        <v/>
      </c>
      <c r="J590" s="31">
        <f>IF($A590="","",IF(OR($B590="",$C590="",$F590="",$G590=""),"Preencher tudo",IF(COUNTIF(EtapaLista,$B590)=0,"Etapa inválida","OK")))</f>
        <v/>
      </c>
    </row>
    <row r="591" spans="1:10">
      <c r="A591" s="17"/>
      <c r="B591" s="15"/>
      <c r="C591" s="15"/>
      <c r="D591" s="15"/>
      <c r="E591" s="15"/>
      <c r="F591" s="16"/>
      <c r="G591" s="27"/>
      <c r="H591" s="17"/>
      <c r="I591" s="30">
        <f>IF($A591="","",DATE(YEAR($A591),MONTH($A591),1))</f>
        <v/>
      </c>
      <c r="J591" s="31">
        <f>IF($A591="","",IF(OR($B591="",$C591="",$F591="",$G591=""),"Preencher tudo",IF(COUNTIF(EtapaLista,$B591)=0,"Etapa inválida","OK")))</f>
        <v/>
      </c>
    </row>
    <row r="592" spans="1:10">
      <c r="A592" s="17"/>
      <c r="B592" s="15"/>
      <c r="C592" s="15"/>
      <c r="D592" s="15"/>
      <c r="E592" s="15"/>
      <c r="F592" s="16"/>
      <c r="G592" s="27"/>
      <c r="H592" s="17"/>
      <c r="I592" s="30">
        <f>IF($A592="","",DATE(YEAR($A592),MONTH($A592),1))</f>
        <v/>
      </c>
      <c r="J592" s="31">
        <f>IF($A592="","",IF(OR($B592="",$C592="",$F592="",$G592=""),"Preencher tudo",IF(COUNTIF(EtapaLista,$B592)=0,"Etapa inválida","OK")))</f>
        <v/>
      </c>
    </row>
    <row r="593" spans="1:10">
      <c r="A593" s="17"/>
      <c r="B593" s="15"/>
      <c r="C593" s="15"/>
      <c r="D593" s="15"/>
      <c r="E593" s="15"/>
      <c r="F593" s="16"/>
      <c r="G593" s="27"/>
      <c r="H593" s="17"/>
      <c r="I593" s="30">
        <f>IF($A593="","",DATE(YEAR($A593),MONTH($A593),1))</f>
        <v/>
      </c>
      <c r="J593" s="31">
        <f>IF($A593="","",IF(OR($B593="",$C593="",$F593="",$G593=""),"Preencher tudo",IF(COUNTIF(EtapaLista,$B593)=0,"Etapa inválida","OK")))</f>
        <v/>
      </c>
    </row>
    <row r="594" spans="1:10">
      <c r="A594" s="17"/>
      <c r="B594" s="15"/>
      <c r="C594" s="15"/>
      <c r="D594" s="15"/>
      <c r="E594" s="15"/>
      <c r="F594" s="16"/>
      <c r="G594" s="27"/>
      <c r="H594" s="17"/>
      <c r="I594" s="30">
        <f>IF($A594="","",DATE(YEAR($A594),MONTH($A594),1))</f>
        <v/>
      </c>
      <c r="J594" s="31">
        <f>IF($A594="","",IF(OR($B594="",$C594="",$F594="",$G594=""),"Preencher tudo",IF(COUNTIF(EtapaLista,$B594)=0,"Etapa inválida","OK")))</f>
        <v/>
      </c>
    </row>
    <row r="595" spans="1:10">
      <c r="A595" s="17"/>
      <c r="B595" s="15"/>
      <c r="C595" s="15"/>
      <c r="D595" s="15"/>
      <c r="E595" s="15"/>
      <c r="F595" s="16"/>
      <c r="G595" s="27"/>
      <c r="H595" s="17"/>
      <c r="I595" s="30">
        <f>IF($A595="","",DATE(YEAR($A595),MONTH($A595),1))</f>
        <v/>
      </c>
      <c r="J595" s="31">
        <f>IF($A595="","",IF(OR($B595="",$C595="",$F595="",$G595=""),"Preencher tudo",IF(COUNTIF(EtapaLista,$B595)=0,"Etapa inválida","OK")))</f>
        <v/>
      </c>
    </row>
    <row r="596" spans="1:10">
      <c r="A596" s="17"/>
      <c r="B596" s="15"/>
      <c r="C596" s="15"/>
      <c r="D596" s="15"/>
      <c r="E596" s="15"/>
      <c r="F596" s="16"/>
      <c r="G596" s="27"/>
      <c r="H596" s="17"/>
      <c r="I596" s="30">
        <f>IF($A596="","",DATE(YEAR($A596),MONTH($A596),1))</f>
        <v/>
      </c>
      <c r="J596" s="31">
        <f>IF($A596="","",IF(OR($B596="",$C596="",$F596="",$G596=""),"Preencher tudo",IF(COUNTIF(EtapaLista,$B596)=0,"Etapa inválida","OK")))</f>
        <v/>
      </c>
    </row>
    <row r="597" spans="1:10">
      <c r="A597" s="17"/>
      <c r="B597" s="15"/>
      <c r="C597" s="15"/>
      <c r="D597" s="15"/>
      <c r="E597" s="15"/>
      <c r="F597" s="16"/>
      <c r="G597" s="27"/>
      <c r="H597" s="17"/>
      <c r="I597" s="30">
        <f>IF($A597="","",DATE(YEAR($A597),MONTH($A597),1))</f>
        <v/>
      </c>
      <c r="J597" s="31">
        <f>IF($A597="","",IF(OR($B597="",$C597="",$F597="",$G597=""),"Preencher tudo",IF(COUNTIF(EtapaLista,$B597)=0,"Etapa inválida","OK")))</f>
        <v/>
      </c>
    </row>
    <row r="598" spans="1:10">
      <c r="A598" s="17"/>
      <c r="B598" s="15"/>
      <c r="C598" s="15"/>
      <c r="D598" s="15"/>
      <c r="E598" s="15"/>
      <c r="F598" s="16"/>
      <c r="G598" s="27"/>
      <c r="H598" s="17"/>
      <c r="I598" s="30">
        <f>IF($A598="","",DATE(YEAR($A598),MONTH($A598),1))</f>
        <v/>
      </c>
      <c r="J598" s="31">
        <f>IF($A598="","",IF(OR($B598="",$C598="",$F598="",$G598=""),"Preencher tudo",IF(COUNTIF(EtapaLista,$B598)=0,"Etapa inválida","OK")))</f>
        <v/>
      </c>
    </row>
    <row r="599" spans="1:10">
      <c r="A599" s="17"/>
      <c r="B599" s="15"/>
      <c r="C599" s="15"/>
      <c r="D599" s="15"/>
      <c r="E599" s="15"/>
      <c r="F599" s="16"/>
      <c r="G599" s="27"/>
      <c r="H599" s="17"/>
      <c r="I599" s="30">
        <f>IF($A599="","",DATE(YEAR($A599),MONTH($A599),1))</f>
        <v/>
      </c>
      <c r="J599" s="31">
        <f>IF($A599="","",IF(OR($B599="",$C599="",$F599="",$G599=""),"Preencher tudo",IF(COUNTIF(EtapaLista,$B599)=0,"Etapa inválida","OK")))</f>
        <v/>
      </c>
    </row>
    <row r="600" spans="1:10">
      <c r="A600" s="17"/>
      <c r="B600" s="15"/>
      <c r="C600" s="15"/>
      <c r="D600" s="15"/>
      <c r="E600" s="15"/>
      <c r="F600" s="16"/>
      <c r="G600" s="27"/>
      <c r="H600" s="17"/>
      <c r="I600" s="30">
        <f>IF($A600="","",DATE(YEAR($A600),MONTH($A600),1))</f>
        <v/>
      </c>
      <c r="J600" s="31">
        <f>IF($A600="","",IF(OR($B600="",$C600="",$F600="",$G600=""),"Preencher tudo",IF(COUNTIF(EtapaLista,$B600)=0,"Etapa inválida","OK")))</f>
        <v/>
      </c>
    </row>
    <row r="601" spans="1:10">
      <c r="A601" s="17"/>
      <c r="B601" s="15"/>
      <c r="C601" s="15"/>
      <c r="D601" s="15"/>
      <c r="E601" s="15"/>
      <c r="F601" s="16"/>
      <c r="G601" s="27"/>
      <c r="H601" s="17"/>
      <c r="I601" s="30">
        <f>IF($A601="","",DATE(YEAR($A601),MONTH($A601),1))</f>
        <v/>
      </c>
      <c r="J601" s="31">
        <f>IF($A601="","",IF(OR($B601="",$C601="",$F601="",$G601=""),"Preencher tudo",IF(COUNTIF(EtapaLista,$B601)=0,"Etapa inválida","OK")))</f>
        <v/>
      </c>
    </row>
    <row r="602" spans="1:10">
      <c r="A602" s="17"/>
      <c r="B602" s="15"/>
      <c r="C602" s="15"/>
      <c r="D602" s="15"/>
      <c r="E602" s="15"/>
      <c r="F602" s="16"/>
      <c r="G602" s="27"/>
      <c r="H602" s="17"/>
      <c r="I602" s="30">
        <f>IF($A602="","",DATE(YEAR($A602),MONTH($A602),1))</f>
        <v/>
      </c>
      <c r="J602" s="31">
        <f>IF($A602="","",IF(OR($B602="",$C602="",$F602="",$G602=""),"Preencher tudo",IF(COUNTIF(EtapaLista,$B602)=0,"Etapa inválida","OK")))</f>
        <v/>
      </c>
    </row>
    <row r="603" spans="1:10">
      <c r="A603" s="17"/>
      <c r="B603" s="15"/>
      <c r="C603" s="15"/>
      <c r="D603" s="15"/>
      <c r="E603" s="15"/>
      <c r="F603" s="16"/>
      <c r="G603" s="27"/>
      <c r="H603" s="17"/>
      <c r="I603" s="30">
        <f>IF($A603="","",DATE(YEAR($A603),MONTH($A603),1))</f>
        <v/>
      </c>
      <c r="J603" s="31">
        <f>IF($A603="","",IF(OR($B603="",$C603="",$F603="",$G603=""),"Preencher tudo",IF(COUNTIF(EtapaLista,$B603)=0,"Etapa inválida","OK")))</f>
        <v/>
      </c>
    </row>
    <row r="604" spans="1:10">
      <c r="A604" s="17"/>
      <c r="B604" s="15"/>
      <c r="C604" s="15"/>
      <c r="D604" s="15"/>
      <c r="E604" s="15"/>
      <c r="F604" s="16"/>
      <c r="G604" s="27"/>
      <c r="H604" s="17"/>
      <c r="I604" s="30">
        <f>IF($A604="","",DATE(YEAR($A604),MONTH($A604),1))</f>
        <v/>
      </c>
      <c r="J604" s="31">
        <f>IF($A604="","",IF(OR($B604="",$C604="",$F604="",$G604=""),"Preencher tudo",IF(COUNTIF(EtapaLista,$B604)=0,"Etapa inválida","OK")))</f>
        <v/>
      </c>
    </row>
    <row r="605" spans="1:10">
      <c r="A605" s="17"/>
      <c r="B605" s="15"/>
      <c r="C605" s="15"/>
      <c r="D605" s="15"/>
      <c r="E605" s="15"/>
      <c r="F605" s="16"/>
      <c r="G605" s="27"/>
      <c r="H605" s="17"/>
      <c r="I605" s="30">
        <f>IF($A605="","",DATE(YEAR($A605),MONTH($A605),1))</f>
        <v/>
      </c>
      <c r="J605" s="31">
        <f>IF($A605="","",IF(OR($B605="",$C605="",$F605="",$G605=""),"Preencher tudo",IF(COUNTIF(EtapaLista,$B605)=0,"Etapa inválida","OK")))</f>
        <v/>
      </c>
    </row>
    <row r="606" spans="1:10">
      <c r="A606" s="17"/>
      <c r="B606" s="15"/>
      <c r="C606" s="15"/>
      <c r="D606" s="15"/>
      <c r="E606" s="15"/>
      <c r="F606" s="16"/>
      <c r="G606" s="27"/>
      <c r="H606" s="17"/>
      <c r="I606" s="30">
        <f>IF($A606="","",DATE(YEAR($A606),MONTH($A606),1))</f>
        <v/>
      </c>
      <c r="J606" s="31">
        <f>IF($A606="","",IF(OR($B606="",$C606="",$F606="",$G606=""),"Preencher tudo",IF(COUNTIF(EtapaLista,$B606)=0,"Etapa inválida","OK")))</f>
        <v/>
      </c>
    </row>
    <row r="607" spans="1:10">
      <c r="A607" s="17"/>
      <c r="B607" s="15"/>
      <c r="C607" s="15"/>
      <c r="D607" s="15"/>
      <c r="E607" s="15"/>
      <c r="F607" s="16"/>
      <c r="G607" s="27"/>
      <c r="H607" s="17"/>
      <c r="I607" s="30">
        <f>IF($A607="","",DATE(YEAR($A607),MONTH($A607),1))</f>
        <v/>
      </c>
      <c r="J607" s="31">
        <f>IF($A607="","",IF(OR($B607="",$C607="",$F607="",$G607=""),"Preencher tudo",IF(COUNTIF(EtapaLista,$B607)=0,"Etapa inválida","OK")))</f>
        <v/>
      </c>
    </row>
    <row r="608" spans="1:10">
      <c r="A608" s="17"/>
      <c r="B608" s="15"/>
      <c r="C608" s="15"/>
      <c r="D608" s="15"/>
      <c r="E608" s="15"/>
      <c r="F608" s="16"/>
      <c r="G608" s="27"/>
      <c r="H608" s="17"/>
      <c r="I608" s="30">
        <f>IF($A608="","",DATE(YEAR($A608),MONTH($A608),1))</f>
        <v/>
      </c>
      <c r="J608" s="31">
        <f>IF($A608="","",IF(OR($B608="",$C608="",$F608="",$G608=""),"Preencher tudo",IF(COUNTIF(EtapaLista,$B608)=0,"Etapa inválida","OK")))</f>
        <v/>
      </c>
    </row>
    <row r="609" spans="1:10">
      <c r="A609" s="17"/>
      <c r="B609" s="15"/>
      <c r="C609" s="15"/>
      <c r="D609" s="15"/>
      <c r="E609" s="15"/>
      <c r="F609" s="16"/>
      <c r="G609" s="27"/>
      <c r="H609" s="17"/>
      <c r="I609" s="30">
        <f>IF($A609="","",DATE(YEAR($A609),MONTH($A609),1))</f>
        <v/>
      </c>
      <c r="J609" s="31">
        <f>IF($A609="","",IF(OR($B609="",$C609="",$F609="",$G609=""),"Preencher tudo",IF(COUNTIF(EtapaLista,$B609)=0,"Etapa inválida","OK")))</f>
        <v/>
      </c>
    </row>
    <row r="610" spans="1:10">
      <c r="A610" s="17"/>
      <c r="B610" s="15"/>
      <c r="C610" s="15"/>
      <c r="D610" s="15"/>
      <c r="E610" s="15"/>
      <c r="F610" s="16"/>
      <c r="G610" s="27"/>
      <c r="H610" s="17"/>
      <c r="I610" s="30">
        <f>IF($A610="","",DATE(YEAR($A610),MONTH($A610),1))</f>
        <v/>
      </c>
      <c r="J610" s="31">
        <f>IF($A610="","",IF(OR($B610="",$C610="",$F610="",$G610=""),"Preencher tudo",IF(COUNTIF(EtapaLista,$B610)=0,"Etapa inválida","OK")))</f>
        <v/>
      </c>
    </row>
    <row r="611" spans="1:10">
      <c r="A611" s="17"/>
      <c r="B611" s="15"/>
      <c r="C611" s="15"/>
      <c r="D611" s="15"/>
      <c r="E611" s="15"/>
      <c r="F611" s="16"/>
      <c r="G611" s="27"/>
      <c r="H611" s="17"/>
      <c r="I611" s="30">
        <f>IF($A611="","",DATE(YEAR($A611),MONTH($A611),1))</f>
        <v/>
      </c>
      <c r="J611" s="31">
        <f>IF($A611="","",IF(OR($B611="",$C611="",$F611="",$G611=""),"Preencher tudo",IF(COUNTIF(EtapaLista,$B611)=0,"Etapa inválida","OK")))</f>
        <v/>
      </c>
    </row>
    <row r="612" spans="1:10">
      <c r="A612" s="17"/>
      <c r="B612" s="15"/>
      <c r="C612" s="15"/>
      <c r="D612" s="15"/>
      <c r="E612" s="15"/>
      <c r="F612" s="16"/>
      <c r="G612" s="27"/>
      <c r="H612" s="17"/>
      <c r="I612" s="30">
        <f>IF($A612="","",DATE(YEAR($A612),MONTH($A612),1))</f>
        <v/>
      </c>
      <c r="J612" s="31">
        <f>IF($A612="","",IF(OR($B612="",$C612="",$F612="",$G612=""),"Preencher tudo",IF(COUNTIF(EtapaLista,$B612)=0,"Etapa inválida","OK")))</f>
        <v/>
      </c>
    </row>
    <row r="613" spans="1:10">
      <c r="A613" s="17"/>
      <c r="B613" s="15"/>
      <c r="C613" s="15"/>
      <c r="D613" s="15"/>
      <c r="E613" s="15"/>
      <c r="F613" s="16"/>
      <c r="G613" s="27"/>
      <c r="H613" s="17"/>
      <c r="I613" s="30">
        <f>IF($A613="","",DATE(YEAR($A613),MONTH($A613),1))</f>
        <v/>
      </c>
      <c r="J613" s="31">
        <f>IF($A613="","",IF(OR($B613="",$C613="",$F613="",$G613=""),"Preencher tudo",IF(COUNTIF(EtapaLista,$B613)=0,"Etapa inválida","OK")))</f>
        <v/>
      </c>
    </row>
    <row r="614" spans="1:10">
      <c r="A614" s="17"/>
      <c r="B614" s="15"/>
      <c r="C614" s="15"/>
      <c r="D614" s="15"/>
      <c r="E614" s="15"/>
      <c r="F614" s="16"/>
      <c r="G614" s="27"/>
      <c r="H614" s="17"/>
      <c r="I614" s="30">
        <f>IF($A614="","",DATE(YEAR($A614),MONTH($A614),1))</f>
        <v/>
      </c>
      <c r="J614" s="31">
        <f>IF($A614="","",IF(OR($B614="",$C614="",$F614="",$G614=""),"Preencher tudo",IF(COUNTIF(EtapaLista,$B614)=0,"Etapa inválida","OK")))</f>
        <v/>
      </c>
    </row>
    <row r="615" spans="1:10">
      <c r="A615" s="17"/>
      <c r="B615" s="15"/>
      <c r="C615" s="15"/>
      <c r="D615" s="15"/>
      <c r="E615" s="15"/>
      <c r="F615" s="16"/>
      <c r="G615" s="27"/>
      <c r="H615" s="17"/>
      <c r="I615" s="30">
        <f>IF($A615="","",DATE(YEAR($A615),MONTH($A615),1))</f>
        <v/>
      </c>
      <c r="J615" s="31">
        <f>IF($A615="","",IF(OR($B615="",$C615="",$F615="",$G615=""),"Preencher tudo",IF(COUNTIF(EtapaLista,$B615)=0,"Etapa inválida","OK")))</f>
        <v/>
      </c>
    </row>
    <row r="616" spans="1:10">
      <c r="A616" s="17"/>
      <c r="B616" s="15"/>
      <c r="C616" s="15"/>
      <c r="D616" s="15"/>
      <c r="E616" s="15"/>
      <c r="F616" s="16"/>
      <c r="G616" s="27"/>
      <c r="H616" s="17"/>
      <c r="I616" s="30">
        <f>IF($A616="","",DATE(YEAR($A616),MONTH($A616),1))</f>
        <v/>
      </c>
      <c r="J616" s="31">
        <f>IF($A616="","",IF(OR($B616="",$C616="",$F616="",$G616=""),"Preencher tudo",IF(COUNTIF(EtapaLista,$B616)=0,"Etapa inválida","OK")))</f>
        <v/>
      </c>
    </row>
    <row r="617" spans="1:10">
      <c r="A617" s="17"/>
      <c r="B617" s="15"/>
      <c r="C617" s="15"/>
      <c r="D617" s="15"/>
      <c r="E617" s="15"/>
      <c r="F617" s="16"/>
      <c r="G617" s="27"/>
      <c r="H617" s="17"/>
      <c r="I617" s="30">
        <f>IF($A617="","",DATE(YEAR($A617),MONTH($A617),1))</f>
        <v/>
      </c>
      <c r="J617" s="31">
        <f>IF($A617="","",IF(OR($B617="",$C617="",$F617="",$G617=""),"Preencher tudo",IF(COUNTIF(EtapaLista,$B617)=0,"Etapa inválida","OK")))</f>
        <v/>
      </c>
    </row>
    <row r="618" spans="1:10">
      <c r="A618" s="17"/>
      <c r="B618" s="15"/>
      <c r="C618" s="15"/>
      <c r="D618" s="15"/>
      <c r="E618" s="15"/>
      <c r="F618" s="16"/>
      <c r="G618" s="27"/>
      <c r="H618" s="17"/>
      <c r="I618" s="30">
        <f>IF($A618="","",DATE(YEAR($A618),MONTH($A618),1))</f>
        <v/>
      </c>
      <c r="J618" s="31">
        <f>IF($A618="","",IF(OR($B618="",$C618="",$F618="",$G618=""),"Preencher tudo",IF(COUNTIF(EtapaLista,$B618)=0,"Etapa inválida","OK")))</f>
        <v/>
      </c>
    </row>
    <row r="619" spans="1:10">
      <c r="A619" s="17"/>
      <c r="B619" s="15"/>
      <c r="C619" s="15"/>
      <c r="D619" s="15"/>
      <c r="E619" s="15"/>
      <c r="F619" s="16"/>
      <c r="G619" s="27"/>
      <c r="H619" s="17"/>
      <c r="I619" s="30">
        <f>IF($A619="","",DATE(YEAR($A619),MONTH($A619),1))</f>
        <v/>
      </c>
      <c r="J619" s="31">
        <f>IF($A619="","",IF(OR($B619="",$C619="",$F619="",$G619=""),"Preencher tudo",IF(COUNTIF(EtapaLista,$B619)=0,"Etapa inválida","OK")))</f>
        <v/>
      </c>
    </row>
    <row r="620" spans="1:10">
      <c r="A620" s="17"/>
      <c r="B620" s="15"/>
      <c r="C620" s="15"/>
      <c r="D620" s="15"/>
      <c r="E620" s="15"/>
      <c r="F620" s="16"/>
      <c r="G620" s="27"/>
      <c r="H620" s="17"/>
      <c r="I620" s="30">
        <f>IF($A620="","",DATE(YEAR($A620),MONTH($A620),1))</f>
        <v/>
      </c>
      <c r="J620" s="31">
        <f>IF($A620="","",IF(OR($B620="",$C620="",$F620="",$G620=""),"Preencher tudo",IF(COUNTIF(EtapaLista,$B620)=0,"Etapa inválida","OK")))</f>
        <v/>
      </c>
    </row>
    <row r="621" spans="1:10">
      <c r="A621" s="17"/>
      <c r="B621" s="15"/>
      <c r="C621" s="15"/>
      <c r="D621" s="15"/>
      <c r="E621" s="15"/>
      <c r="F621" s="16"/>
      <c r="G621" s="27"/>
      <c r="H621" s="17"/>
      <c r="I621" s="30">
        <f>IF($A621="","",DATE(YEAR($A621),MONTH($A621),1))</f>
        <v/>
      </c>
      <c r="J621" s="31">
        <f>IF($A621="","",IF(OR($B621="",$C621="",$F621="",$G621=""),"Preencher tudo",IF(COUNTIF(EtapaLista,$B621)=0,"Etapa inválida","OK")))</f>
        <v/>
      </c>
    </row>
    <row r="622" spans="1:10">
      <c r="A622" s="17"/>
      <c r="B622" s="15"/>
      <c r="C622" s="15"/>
      <c r="D622" s="15"/>
      <c r="E622" s="15"/>
      <c r="F622" s="16"/>
      <c r="G622" s="27"/>
      <c r="H622" s="17"/>
      <c r="I622" s="30">
        <f>IF($A622="","",DATE(YEAR($A622),MONTH($A622),1))</f>
        <v/>
      </c>
      <c r="J622" s="31">
        <f>IF($A622="","",IF(OR($B622="",$C622="",$F622="",$G622=""),"Preencher tudo",IF(COUNTIF(EtapaLista,$B622)=0,"Etapa inválida","OK")))</f>
        <v/>
      </c>
    </row>
    <row r="623" spans="1:10">
      <c r="A623" s="17"/>
      <c r="B623" s="15"/>
      <c r="C623" s="15"/>
      <c r="D623" s="15"/>
      <c r="E623" s="15"/>
      <c r="F623" s="16"/>
      <c r="G623" s="27"/>
      <c r="H623" s="17"/>
      <c r="I623" s="30">
        <f>IF($A623="","",DATE(YEAR($A623),MONTH($A623),1))</f>
        <v/>
      </c>
      <c r="J623" s="31">
        <f>IF($A623="","",IF(OR($B623="",$C623="",$F623="",$G623=""),"Preencher tudo",IF(COUNTIF(EtapaLista,$B623)=0,"Etapa inválida","OK")))</f>
        <v/>
      </c>
    </row>
    <row r="624" spans="1:10">
      <c r="A624" s="17"/>
      <c r="B624" s="15"/>
      <c r="C624" s="15"/>
      <c r="D624" s="15"/>
      <c r="E624" s="15"/>
      <c r="F624" s="16"/>
      <c r="G624" s="27"/>
      <c r="H624" s="17"/>
      <c r="I624" s="30">
        <f>IF($A624="","",DATE(YEAR($A624),MONTH($A624),1))</f>
        <v/>
      </c>
      <c r="J624" s="31">
        <f>IF($A624="","",IF(OR($B624="",$C624="",$F624="",$G624=""),"Preencher tudo",IF(COUNTIF(EtapaLista,$B624)=0,"Etapa inválida","OK")))</f>
        <v/>
      </c>
    </row>
    <row r="625" spans="1:10">
      <c r="A625" s="17"/>
      <c r="B625" s="15"/>
      <c r="C625" s="15"/>
      <c r="D625" s="15"/>
      <c r="E625" s="15"/>
      <c r="F625" s="16"/>
      <c r="G625" s="27"/>
      <c r="H625" s="17"/>
      <c r="I625" s="30">
        <f>IF($A625="","",DATE(YEAR($A625),MONTH($A625),1))</f>
        <v/>
      </c>
      <c r="J625" s="31">
        <f>IF($A625="","",IF(OR($B625="",$C625="",$F625="",$G625=""),"Preencher tudo",IF(COUNTIF(EtapaLista,$B625)=0,"Etapa inválida","OK")))</f>
        <v/>
      </c>
    </row>
    <row r="626" spans="1:10">
      <c r="A626" s="17"/>
      <c r="B626" s="15"/>
      <c r="C626" s="15"/>
      <c r="D626" s="15"/>
      <c r="E626" s="15"/>
      <c r="F626" s="16"/>
      <c r="G626" s="27"/>
      <c r="H626" s="17"/>
      <c r="I626" s="30">
        <f>IF($A626="","",DATE(YEAR($A626),MONTH($A626),1))</f>
        <v/>
      </c>
      <c r="J626" s="31">
        <f>IF($A626="","",IF(OR($B626="",$C626="",$F626="",$G626=""),"Preencher tudo",IF(COUNTIF(EtapaLista,$B626)=0,"Etapa inválida","OK")))</f>
        <v/>
      </c>
    </row>
    <row r="627" spans="1:10">
      <c r="A627" s="17"/>
      <c r="B627" s="15"/>
      <c r="C627" s="15"/>
      <c r="D627" s="15"/>
      <c r="E627" s="15"/>
      <c r="F627" s="16"/>
      <c r="G627" s="27"/>
      <c r="H627" s="17"/>
      <c r="I627" s="30">
        <f>IF($A627="","",DATE(YEAR($A627),MONTH($A627),1))</f>
        <v/>
      </c>
      <c r="J627" s="31">
        <f>IF($A627="","",IF(OR($B627="",$C627="",$F627="",$G627=""),"Preencher tudo",IF(COUNTIF(EtapaLista,$B627)=0,"Etapa inválida","OK")))</f>
        <v/>
      </c>
    </row>
    <row r="628" spans="1:10">
      <c r="A628" s="17"/>
      <c r="B628" s="15"/>
      <c r="C628" s="15"/>
      <c r="D628" s="15"/>
      <c r="E628" s="15"/>
      <c r="F628" s="16"/>
      <c r="G628" s="27"/>
      <c r="H628" s="17"/>
      <c r="I628" s="30">
        <f>IF($A628="","",DATE(YEAR($A628),MONTH($A628),1))</f>
        <v/>
      </c>
      <c r="J628" s="31">
        <f>IF($A628="","",IF(OR($B628="",$C628="",$F628="",$G628=""),"Preencher tudo",IF(COUNTIF(EtapaLista,$B628)=0,"Etapa inválida","OK")))</f>
        <v/>
      </c>
    </row>
    <row r="629" spans="1:10">
      <c r="A629" s="17"/>
      <c r="B629" s="15"/>
      <c r="C629" s="15"/>
      <c r="D629" s="15"/>
      <c r="E629" s="15"/>
      <c r="F629" s="16"/>
      <c r="G629" s="27"/>
      <c r="H629" s="17"/>
      <c r="I629" s="30">
        <f>IF($A629="","",DATE(YEAR($A629),MONTH($A629),1))</f>
        <v/>
      </c>
      <c r="J629" s="31">
        <f>IF($A629="","",IF(OR($B629="",$C629="",$F629="",$G629=""),"Preencher tudo",IF(COUNTIF(EtapaLista,$B629)=0,"Etapa inválida","OK")))</f>
        <v/>
      </c>
    </row>
    <row r="630" spans="1:10">
      <c r="A630" s="17"/>
      <c r="B630" s="15"/>
      <c r="C630" s="15"/>
      <c r="D630" s="15"/>
      <c r="E630" s="15"/>
      <c r="F630" s="16"/>
      <c r="G630" s="27"/>
      <c r="H630" s="17"/>
      <c r="I630" s="30">
        <f>IF($A630="","",DATE(YEAR($A630),MONTH($A630),1))</f>
        <v/>
      </c>
      <c r="J630" s="31">
        <f>IF($A630="","",IF(OR($B630="",$C630="",$F630="",$G630=""),"Preencher tudo",IF(COUNTIF(EtapaLista,$B630)=0,"Etapa inválida","OK")))</f>
        <v/>
      </c>
    </row>
    <row r="631" spans="1:10">
      <c r="A631" s="17"/>
      <c r="B631" s="15"/>
      <c r="C631" s="15"/>
      <c r="D631" s="15"/>
      <c r="E631" s="15"/>
      <c r="F631" s="16"/>
      <c r="G631" s="27"/>
      <c r="H631" s="17"/>
      <c r="I631" s="30">
        <f>IF($A631="","",DATE(YEAR($A631),MONTH($A631),1))</f>
        <v/>
      </c>
      <c r="J631" s="31">
        <f>IF($A631="","",IF(OR($B631="",$C631="",$F631="",$G631=""),"Preencher tudo",IF(COUNTIF(EtapaLista,$B631)=0,"Etapa inválida","OK")))</f>
        <v/>
      </c>
    </row>
    <row r="632" spans="1:10">
      <c r="A632" s="17"/>
      <c r="B632" s="15"/>
      <c r="C632" s="15"/>
      <c r="D632" s="15"/>
      <c r="E632" s="15"/>
      <c r="F632" s="16"/>
      <c r="G632" s="27"/>
      <c r="H632" s="17"/>
      <c r="I632" s="30">
        <f>IF($A632="","",DATE(YEAR($A632),MONTH($A632),1))</f>
        <v/>
      </c>
      <c r="J632" s="31">
        <f>IF($A632="","",IF(OR($B632="",$C632="",$F632="",$G632=""),"Preencher tudo",IF(COUNTIF(EtapaLista,$B632)=0,"Etapa inválida","OK")))</f>
        <v/>
      </c>
    </row>
    <row r="633" spans="1:10">
      <c r="A633" s="17"/>
      <c r="B633" s="15"/>
      <c r="C633" s="15"/>
      <c r="D633" s="15"/>
      <c r="E633" s="15"/>
      <c r="F633" s="16"/>
      <c r="G633" s="27"/>
      <c r="H633" s="17"/>
      <c r="I633" s="30">
        <f>IF($A633="","",DATE(YEAR($A633),MONTH($A633),1))</f>
        <v/>
      </c>
      <c r="J633" s="31">
        <f>IF($A633="","",IF(OR($B633="",$C633="",$F633="",$G633=""),"Preencher tudo",IF(COUNTIF(EtapaLista,$B633)=0,"Etapa inválida","OK")))</f>
        <v/>
      </c>
    </row>
    <row r="634" spans="1:10">
      <c r="A634" s="17"/>
      <c r="B634" s="15"/>
      <c r="C634" s="15"/>
      <c r="D634" s="15"/>
      <c r="E634" s="15"/>
      <c r="F634" s="16"/>
      <c r="G634" s="27"/>
      <c r="H634" s="17"/>
      <c r="I634" s="30">
        <f>IF($A634="","",DATE(YEAR($A634),MONTH($A634),1))</f>
        <v/>
      </c>
      <c r="J634" s="31">
        <f>IF($A634="","",IF(OR($B634="",$C634="",$F634="",$G634=""),"Preencher tudo",IF(COUNTIF(EtapaLista,$B634)=0,"Etapa inválida","OK")))</f>
        <v/>
      </c>
    </row>
    <row r="635" spans="1:10">
      <c r="A635" s="17"/>
      <c r="B635" s="15"/>
      <c r="C635" s="15"/>
      <c r="D635" s="15"/>
      <c r="E635" s="15"/>
      <c r="F635" s="16"/>
      <c r="G635" s="27"/>
      <c r="H635" s="17"/>
      <c r="I635" s="30">
        <f>IF($A635="","",DATE(YEAR($A635),MONTH($A635),1))</f>
        <v/>
      </c>
      <c r="J635" s="31">
        <f>IF($A635="","",IF(OR($B635="",$C635="",$F635="",$G635=""),"Preencher tudo",IF(COUNTIF(EtapaLista,$B635)=0,"Etapa inválida","OK")))</f>
        <v/>
      </c>
    </row>
    <row r="636" spans="1:10">
      <c r="A636" s="17"/>
      <c r="B636" s="15"/>
      <c r="C636" s="15"/>
      <c r="D636" s="15"/>
      <c r="E636" s="15"/>
      <c r="F636" s="16"/>
      <c r="G636" s="27"/>
      <c r="H636" s="17"/>
      <c r="I636" s="30">
        <f>IF($A636="","",DATE(YEAR($A636),MONTH($A636),1))</f>
        <v/>
      </c>
      <c r="J636" s="31">
        <f>IF($A636="","",IF(OR($B636="",$C636="",$F636="",$G636=""),"Preencher tudo",IF(COUNTIF(EtapaLista,$B636)=0,"Etapa inválida","OK")))</f>
        <v/>
      </c>
    </row>
    <row r="637" spans="1:10">
      <c r="A637" s="17"/>
      <c r="B637" s="15"/>
      <c r="C637" s="15"/>
      <c r="D637" s="15"/>
      <c r="E637" s="15"/>
      <c r="F637" s="16"/>
      <c r="G637" s="27"/>
      <c r="H637" s="17"/>
      <c r="I637" s="30">
        <f>IF($A637="","",DATE(YEAR($A637),MONTH($A637),1))</f>
        <v/>
      </c>
      <c r="J637" s="31">
        <f>IF($A637="","",IF(OR($B637="",$C637="",$F637="",$G637=""),"Preencher tudo",IF(COUNTIF(EtapaLista,$B637)=0,"Etapa inválida","OK")))</f>
        <v/>
      </c>
    </row>
    <row r="638" spans="1:10">
      <c r="A638" s="17"/>
      <c r="B638" s="15"/>
      <c r="C638" s="15"/>
      <c r="D638" s="15"/>
      <c r="E638" s="15"/>
      <c r="F638" s="16"/>
      <c r="G638" s="27"/>
      <c r="H638" s="17"/>
      <c r="I638" s="30">
        <f>IF($A638="","",DATE(YEAR($A638),MONTH($A638),1))</f>
        <v/>
      </c>
      <c r="J638" s="31">
        <f>IF($A638="","",IF(OR($B638="",$C638="",$F638="",$G638=""),"Preencher tudo",IF(COUNTIF(EtapaLista,$B638)=0,"Etapa inválida","OK")))</f>
        <v/>
      </c>
    </row>
    <row r="639" spans="1:10">
      <c r="A639" s="17"/>
      <c r="B639" s="15"/>
      <c r="C639" s="15"/>
      <c r="D639" s="15"/>
      <c r="E639" s="15"/>
      <c r="F639" s="16"/>
      <c r="G639" s="27"/>
      <c r="H639" s="17"/>
      <c r="I639" s="30">
        <f>IF($A639="","",DATE(YEAR($A639),MONTH($A639),1))</f>
        <v/>
      </c>
      <c r="J639" s="31">
        <f>IF($A639="","",IF(OR($B639="",$C639="",$F639="",$G639=""),"Preencher tudo",IF(COUNTIF(EtapaLista,$B639)=0,"Etapa inválida","OK")))</f>
        <v/>
      </c>
    </row>
    <row r="640" spans="1:10">
      <c r="A640" s="17"/>
      <c r="B640" s="15"/>
      <c r="C640" s="15"/>
      <c r="D640" s="15"/>
      <c r="E640" s="15"/>
      <c r="F640" s="16"/>
      <c r="G640" s="27"/>
      <c r="H640" s="17"/>
      <c r="I640" s="30">
        <f>IF($A640="","",DATE(YEAR($A640),MONTH($A640),1))</f>
        <v/>
      </c>
      <c r="J640" s="31">
        <f>IF($A640="","",IF(OR($B640="",$C640="",$F640="",$G640=""),"Preencher tudo",IF(COUNTIF(EtapaLista,$B640)=0,"Etapa inválida","OK")))</f>
        <v/>
      </c>
    </row>
    <row r="641" spans="1:10">
      <c r="A641" s="17"/>
      <c r="B641" s="15"/>
      <c r="C641" s="15"/>
      <c r="D641" s="15"/>
      <c r="E641" s="15"/>
      <c r="F641" s="16"/>
      <c r="G641" s="27"/>
      <c r="H641" s="17"/>
      <c r="I641" s="30">
        <f>IF($A641="","",DATE(YEAR($A641),MONTH($A641),1))</f>
        <v/>
      </c>
      <c r="J641" s="31">
        <f>IF($A641="","",IF(OR($B641="",$C641="",$F641="",$G641=""),"Preencher tudo",IF(COUNTIF(EtapaLista,$B641)=0,"Etapa inválida","OK")))</f>
        <v/>
      </c>
    </row>
    <row r="642" spans="1:10">
      <c r="A642" s="17"/>
      <c r="B642" s="15"/>
      <c r="C642" s="15"/>
      <c r="D642" s="15"/>
      <c r="E642" s="15"/>
      <c r="F642" s="16"/>
      <c r="G642" s="27"/>
      <c r="H642" s="17"/>
      <c r="I642" s="30">
        <f>IF($A642="","",DATE(YEAR($A642),MONTH($A642),1))</f>
        <v/>
      </c>
      <c r="J642" s="31">
        <f>IF($A642="","",IF(OR($B642="",$C642="",$F642="",$G642=""),"Preencher tudo",IF(COUNTIF(EtapaLista,$B642)=0,"Etapa inválida","OK")))</f>
        <v/>
      </c>
    </row>
    <row r="643" spans="1:10">
      <c r="A643" s="17"/>
      <c r="B643" s="15"/>
      <c r="C643" s="15"/>
      <c r="D643" s="15"/>
      <c r="E643" s="15"/>
      <c r="F643" s="16"/>
      <c r="G643" s="27"/>
      <c r="H643" s="17"/>
      <c r="I643" s="30">
        <f>IF($A643="","",DATE(YEAR($A643),MONTH($A643),1))</f>
        <v/>
      </c>
      <c r="J643" s="31">
        <f>IF($A643="","",IF(OR($B643="",$C643="",$F643="",$G643=""),"Preencher tudo",IF(COUNTIF(EtapaLista,$B643)=0,"Etapa inválida","OK")))</f>
        <v/>
      </c>
    </row>
    <row r="644" spans="1:10">
      <c r="A644" s="17"/>
      <c r="B644" s="15"/>
      <c r="C644" s="15"/>
      <c r="D644" s="15"/>
      <c r="E644" s="15"/>
      <c r="F644" s="16"/>
      <c r="G644" s="27"/>
      <c r="H644" s="17"/>
      <c r="I644" s="30">
        <f>IF($A644="","",DATE(YEAR($A644),MONTH($A644),1))</f>
        <v/>
      </c>
      <c r="J644" s="31">
        <f>IF($A644="","",IF(OR($B644="",$C644="",$F644="",$G644=""),"Preencher tudo",IF(COUNTIF(EtapaLista,$B644)=0,"Etapa inválida","OK")))</f>
        <v/>
      </c>
    </row>
    <row r="645" spans="1:10">
      <c r="A645" s="17"/>
      <c r="B645" s="15"/>
      <c r="C645" s="15"/>
      <c r="D645" s="15"/>
      <c r="E645" s="15"/>
      <c r="F645" s="16"/>
      <c r="G645" s="27"/>
      <c r="H645" s="17"/>
      <c r="I645" s="30">
        <f>IF($A645="","",DATE(YEAR($A645),MONTH($A645),1))</f>
        <v/>
      </c>
      <c r="J645" s="31">
        <f>IF($A645="","",IF(OR($B645="",$C645="",$F645="",$G645=""),"Preencher tudo",IF(COUNTIF(EtapaLista,$B645)=0,"Etapa inválida","OK")))</f>
        <v/>
      </c>
    </row>
    <row r="646" spans="1:10">
      <c r="A646" s="17"/>
      <c r="B646" s="15"/>
      <c r="C646" s="15"/>
      <c r="D646" s="15"/>
      <c r="E646" s="15"/>
      <c r="F646" s="16"/>
      <c r="G646" s="27"/>
      <c r="H646" s="17"/>
      <c r="I646" s="30">
        <f>IF($A646="","",DATE(YEAR($A646),MONTH($A646),1))</f>
        <v/>
      </c>
      <c r="J646" s="31">
        <f>IF($A646="","",IF(OR($B646="",$C646="",$F646="",$G646=""),"Preencher tudo",IF(COUNTIF(EtapaLista,$B646)=0,"Etapa inválida","OK")))</f>
        <v/>
      </c>
    </row>
    <row r="647" spans="1:10">
      <c r="A647" s="17"/>
      <c r="B647" s="15"/>
      <c r="C647" s="15"/>
      <c r="D647" s="15"/>
      <c r="E647" s="15"/>
      <c r="F647" s="16"/>
      <c r="G647" s="27"/>
      <c r="H647" s="17"/>
      <c r="I647" s="30">
        <f>IF($A647="","",DATE(YEAR($A647),MONTH($A647),1))</f>
        <v/>
      </c>
      <c r="J647" s="31">
        <f>IF($A647="","",IF(OR($B647="",$C647="",$F647="",$G647=""),"Preencher tudo",IF(COUNTIF(EtapaLista,$B647)=0,"Etapa inválida","OK")))</f>
        <v/>
      </c>
    </row>
    <row r="648" spans="1:10">
      <c r="A648" s="17"/>
      <c r="B648" s="15"/>
      <c r="C648" s="15"/>
      <c r="D648" s="15"/>
      <c r="E648" s="15"/>
      <c r="F648" s="16"/>
      <c r="G648" s="27"/>
      <c r="H648" s="17"/>
      <c r="I648" s="30">
        <f>IF($A648="","",DATE(YEAR($A648),MONTH($A648),1))</f>
        <v/>
      </c>
      <c r="J648" s="31">
        <f>IF($A648="","",IF(OR($B648="",$C648="",$F648="",$G648=""),"Preencher tudo",IF(COUNTIF(EtapaLista,$B648)=0,"Etapa inválida","OK")))</f>
        <v/>
      </c>
    </row>
    <row r="649" spans="1:10">
      <c r="A649" s="17"/>
      <c r="B649" s="15"/>
      <c r="C649" s="15"/>
      <c r="D649" s="15"/>
      <c r="E649" s="15"/>
      <c r="F649" s="16"/>
      <c r="G649" s="27"/>
      <c r="H649" s="17"/>
      <c r="I649" s="30">
        <f>IF($A649="","",DATE(YEAR($A649),MONTH($A649),1))</f>
        <v/>
      </c>
      <c r="J649" s="31">
        <f>IF($A649="","",IF(OR($B649="",$C649="",$F649="",$G649=""),"Preencher tudo",IF(COUNTIF(EtapaLista,$B649)=0,"Etapa inválida","OK")))</f>
        <v/>
      </c>
    </row>
    <row r="650" spans="1:10">
      <c r="A650" s="17"/>
      <c r="B650" s="15"/>
      <c r="C650" s="15"/>
      <c r="D650" s="15"/>
      <c r="E650" s="15"/>
      <c r="F650" s="16"/>
      <c r="G650" s="27"/>
      <c r="H650" s="17"/>
      <c r="I650" s="30">
        <f>IF($A650="","",DATE(YEAR($A650),MONTH($A650),1))</f>
        <v/>
      </c>
      <c r="J650" s="31">
        <f>IF($A650="","",IF(OR($B650="",$C650="",$F650="",$G650=""),"Preencher tudo",IF(COUNTIF(EtapaLista,$B650)=0,"Etapa inválida","OK")))</f>
        <v/>
      </c>
    </row>
    <row r="651" spans="1:10">
      <c r="A651" s="17"/>
      <c r="B651" s="15"/>
      <c r="C651" s="15"/>
      <c r="D651" s="15"/>
      <c r="E651" s="15"/>
      <c r="F651" s="16"/>
      <c r="G651" s="27"/>
      <c r="H651" s="17"/>
      <c r="I651" s="30">
        <f>IF($A651="","",DATE(YEAR($A651),MONTH($A651),1))</f>
        <v/>
      </c>
      <c r="J651" s="31">
        <f>IF($A651="","",IF(OR($B651="",$C651="",$F651="",$G651=""),"Preencher tudo",IF(COUNTIF(EtapaLista,$B651)=0,"Etapa inválida","OK")))</f>
        <v/>
      </c>
    </row>
    <row r="652" spans="1:10">
      <c r="A652" s="17"/>
      <c r="B652" s="15"/>
      <c r="C652" s="15"/>
      <c r="D652" s="15"/>
      <c r="E652" s="15"/>
      <c r="F652" s="16"/>
      <c r="G652" s="27"/>
      <c r="H652" s="17"/>
      <c r="I652" s="30">
        <f>IF($A652="","",DATE(YEAR($A652),MONTH($A652),1))</f>
        <v/>
      </c>
      <c r="J652" s="31">
        <f>IF($A652="","",IF(OR($B652="",$C652="",$F652="",$G652=""),"Preencher tudo",IF(COUNTIF(EtapaLista,$B652)=0,"Etapa inválida","OK")))</f>
        <v/>
      </c>
    </row>
    <row r="653" spans="1:10">
      <c r="A653" s="17"/>
      <c r="B653" s="15"/>
      <c r="C653" s="15"/>
      <c r="D653" s="15"/>
      <c r="E653" s="15"/>
      <c r="F653" s="16"/>
      <c r="G653" s="27"/>
      <c r="H653" s="17"/>
      <c r="I653" s="30">
        <f>IF($A653="","",DATE(YEAR($A653),MONTH($A653),1))</f>
        <v/>
      </c>
      <c r="J653" s="31">
        <f>IF($A653="","",IF(OR($B653="",$C653="",$F653="",$G653=""),"Preencher tudo",IF(COUNTIF(EtapaLista,$B653)=0,"Etapa inválida","OK")))</f>
        <v/>
      </c>
    </row>
    <row r="654" spans="1:10">
      <c r="A654" s="17"/>
      <c r="B654" s="15"/>
      <c r="C654" s="15"/>
      <c r="D654" s="15"/>
      <c r="E654" s="15"/>
      <c r="F654" s="16"/>
      <c r="G654" s="27"/>
      <c r="H654" s="17"/>
      <c r="I654" s="30">
        <f>IF($A654="","",DATE(YEAR($A654),MONTH($A654),1))</f>
        <v/>
      </c>
      <c r="J654" s="31">
        <f>IF($A654="","",IF(OR($B654="",$C654="",$F654="",$G654=""),"Preencher tudo",IF(COUNTIF(EtapaLista,$B654)=0,"Etapa inválida","OK")))</f>
        <v/>
      </c>
    </row>
    <row r="655" spans="1:10">
      <c r="A655" s="17"/>
      <c r="B655" s="15"/>
      <c r="C655" s="15"/>
      <c r="D655" s="15"/>
      <c r="E655" s="15"/>
      <c r="F655" s="16"/>
      <c r="G655" s="27"/>
      <c r="H655" s="17"/>
      <c r="I655" s="30">
        <f>IF($A655="","",DATE(YEAR($A655),MONTH($A655),1))</f>
        <v/>
      </c>
      <c r="J655" s="31">
        <f>IF($A655="","",IF(OR($B655="",$C655="",$F655="",$G655=""),"Preencher tudo",IF(COUNTIF(EtapaLista,$B655)=0,"Etapa inválida","OK")))</f>
        <v/>
      </c>
    </row>
    <row r="656" spans="1:10">
      <c r="A656" s="17"/>
      <c r="B656" s="15"/>
      <c r="C656" s="15"/>
      <c r="D656" s="15"/>
      <c r="E656" s="15"/>
      <c r="F656" s="16"/>
      <c r="G656" s="27"/>
      <c r="H656" s="17"/>
      <c r="I656" s="30">
        <f>IF($A656="","",DATE(YEAR($A656),MONTH($A656),1))</f>
        <v/>
      </c>
      <c r="J656" s="31">
        <f>IF($A656="","",IF(OR($B656="",$C656="",$F656="",$G656=""),"Preencher tudo",IF(COUNTIF(EtapaLista,$B656)=0,"Etapa inválida","OK")))</f>
        <v/>
      </c>
    </row>
    <row r="657" spans="1:10">
      <c r="A657" s="17"/>
      <c r="B657" s="15"/>
      <c r="C657" s="15"/>
      <c r="D657" s="15"/>
      <c r="E657" s="15"/>
      <c r="F657" s="16"/>
      <c r="G657" s="27"/>
      <c r="H657" s="17"/>
      <c r="I657" s="30">
        <f>IF($A657="","",DATE(YEAR($A657),MONTH($A657),1))</f>
        <v/>
      </c>
      <c r="J657" s="31">
        <f>IF($A657="","",IF(OR($B657="",$C657="",$F657="",$G657=""),"Preencher tudo",IF(COUNTIF(EtapaLista,$B657)=0,"Etapa inválida","OK")))</f>
        <v/>
      </c>
    </row>
    <row r="658" spans="1:10">
      <c r="A658" s="17"/>
      <c r="B658" s="15"/>
      <c r="C658" s="15"/>
      <c r="D658" s="15"/>
      <c r="E658" s="15"/>
      <c r="F658" s="16"/>
      <c r="G658" s="27"/>
      <c r="H658" s="17"/>
      <c r="I658" s="30">
        <f>IF($A658="","",DATE(YEAR($A658),MONTH($A658),1))</f>
        <v/>
      </c>
      <c r="J658" s="31">
        <f>IF($A658="","",IF(OR($B658="",$C658="",$F658="",$G658=""),"Preencher tudo",IF(COUNTIF(EtapaLista,$B658)=0,"Etapa inválida","OK")))</f>
        <v/>
      </c>
    </row>
    <row r="659" spans="1:10">
      <c r="A659" s="17"/>
      <c r="B659" s="15"/>
      <c r="C659" s="15"/>
      <c r="D659" s="15"/>
      <c r="E659" s="15"/>
      <c r="F659" s="16"/>
      <c r="G659" s="27"/>
      <c r="H659" s="17"/>
      <c r="I659" s="30">
        <f>IF($A659="","",DATE(YEAR($A659),MONTH($A659),1))</f>
        <v/>
      </c>
      <c r="J659" s="31">
        <f>IF($A659="","",IF(OR($B659="",$C659="",$F659="",$G659=""),"Preencher tudo",IF(COUNTIF(EtapaLista,$B659)=0,"Etapa inválida","OK")))</f>
        <v/>
      </c>
    </row>
    <row r="660" spans="1:10">
      <c r="A660" s="17"/>
      <c r="B660" s="15"/>
      <c r="C660" s="15"/>
      <c r="D660" s="15"/>
      <c r="E660" s="15"/>
      <c r="F660" s="16"/>
      <c r="G660" s="27"/>
      <c r="H660" s="17"/>
      <c r="I660" s="30">
        <f>IF($A660="","",DATE(YEAR($A660),MONTH($A660),1))</f>
        <v/>
      </c>
      <c r="J660" s="31">
        <f>IF($A660="","",IF(OR($B660="",$C660="",$F660="",$G660=""),"Preencher tudo",IF(COUNTIF(EtapaLista,$B660)=0,"Etapa inválida","OK")))</f>
        <v/>
      </c>
    </row>
    <row r="661" spans="1:10">
      <c r="A661" s="17"/>
      <c r="B661" s="15"/>
      <c r="C661" s="15"/>
      <c r="D661" s="15"/>
      <c r="E661" s="15"/>
      <c r="F661" s="16"/>
      <c r="G661" s="27"/>
      <c r="H661" s="17"/>
      <c r="I661" s="30">
        <f>IF($A661="","",DATE(YEAR($A661),MONTH($A661),1))</f>
        <v/>
      </c>
      <c r="J661" s="31">
        <f>IF($A661="","",IF(OR($B661="",$C661="",$F661="",$G661=""),"Preencher tudo",IF(COUNTIF(EtapaLista,$B661)=0,"Etapa inválida","OK")))</f>
        <v/>
      </c>
    </row>
    <row r="662" spans="1:10">
      <c r="A662" s="17"/>
      <c r="B662" s="15"/>
      <c r="C662" s="15"/>
      <c r="D662" s="15"/>
      <c r="E662" s="15"/>
      <c r="F662" s="16"/>
      <c r="G662" s="27"/>
      <c r="H662" s="17"/>
      <c r="I662" s="30">
        <f>IF($A662="","",DATE(YEAR($A662),MONTH($A662),1))</f>
        <v/>
      </c>
      <c r="J662" s="31">
        <f>IF($A662="","",IF(OR($B662="",$C662="",$F662="",$G662=""),"Preencher tudo",IF(COUNTIF(EtapaLista,$B662)=0,"Etapa inválida","OK")))</f>
        <v/>
      </c>
    </row>
    <row r="663" spans="1:10">
      <c r="A663" s="17"/>
      <c r="B663" s="15"/>
      <c r="C663" s="15"/>
      <c r="D663" s="15"/>
      <c r="E663" s="15"/>
      <c r="F663" s="16"/>
      <c r="G663" s="27"/>
      <c r="H663" s="17"/>
      <c r="I663" s="30">
        <f>IF($A663="","",DATE(YEAR($A663),MONTH($A663),1))</f>
        <v/>
      </c>
      <c r="J663" s="31">
        <f>IF($A663="","",IF(OR($B663="",$C663="",$F663="",$G663=""),"Preencher tudo",IF(COUNTIF(EtapaLista,$B663)=0,"Etapa inválida","OK")))</f>
        <v/>
      </c>
    </row>
    <row r="664" spans="1:10">
      <c r="A664" s="17"/>
      <c r="B664" s="15"/>
      <c r="C664" s="15"/>
      <c r="D664" s="15"/>
      <c r="E664" s="15"/>
      <c r="F664" s="16"/>
      <c r="G664" s="27"/>
      <c r="H664" s="17"/>
      <c r="I664" s="30">
        <f>IF($A664="","",DATE(YEAR($A664),MONTH($A664),1))</f>
        <v/>
      </c>
      <c r="J664" s="31">
        <f>IF($A664="","",IF(OR($B664="",$C664="",$F664="",$G664=""),"Preencher tudo",IF(COUNTIF(EtapaLista,$B664)=0,"Etapa inválida","OK")))</f>
        <v/>
      </c>
    </row>
    <row r="665" spans="1:10">
      <c r="A665" s="17"/>
      <c r="B665" s="15"/>
      <c r="C665" s="15"/>
      <c r="D665" s="15"/>
      <c r="E665" s="15"/>
      <c r="F665" s="16"/>
      <c r="G665" s="27"/>
      <c r="H665" s="17"/>
      <c r="I665" s="30">
        <f>IF($A665="","",DATE(YEAR($A665),MONTH($A665),1))</f>
        <v/>
      </c>
      <c r="J665" s="31">
        <f>IF($A665="","",IF(OR($B665="",$C665="",$F665="",$G665=""),"Preencher tudo",IF(COUNTIF(EtapaLista,$B665)=0,"Etapa inválida","OK")))</f>
        <v/>
      </c>
    </row>
    <row r="666" spans="1:10">
      <c r="A666" s="17"/>
      <c r="B666" s="15"/>
      <c r="C666" s="15"/>
      <c r="D666" s="15"/>
      <c r="E666" s="15"/>
      <c r="F666" s="16"/>
      <c r="G666" s="27"/>
      <c r="H666" s="17"/>
      <c r="I666" s="30">
        <f>IF($A666="","",DATE(YEAR($A666),MONTH($A666),1))</f>
        <v/>
      </c>
      <c r="J666" s="31">
        <f>IF($A666="","",IF(OR($B666="",$C666="",$F666="",$G666=""),"Preencher tudo",IF(COUNTIF(EtapaLista,$B666)=0,"Etapa inválida","OK")))</f>
        <v/>
      </c>
    </row>
    <row r="667" spans="1:10">
      <c r="A667" s="17"/>
      <c r="B667" s="15"/>
      <c r="C667" s="15"/>
      <c r="D667" s="15"/>
      <c r="E667" s="15"/>
      <c r="F667" s="16"/>
      <c r="G667" s="27"/>
      <c r="H667" s="17"/>
      <c r="I667" s="30">
        <f>IF($A667="","",DATE(YEAR($A667),MONTH($A667),1))</f>
        <v/>
      </c>
      <c r="J667" s="31">
        <f>IF($A667="","",IF(OR($B667="",$C667="",$F667="",$G667=""),"Preencher tudo",IF(COUNTIF(EtapaLista,$B667)=0,"Etapa inválida","OK")))</f>
        <v/>
      </c>
    </row>
    <row r="668" spans="1:10">
      <c r="A668" s="17"/>
      <c r="B668" s="15"/>
      <c r="C668" s="15"/>
      <c r="D668" s="15"/>
      <c r="E668" s="15"/>
      <c r="F668" s="16"/>
      <c r="G668" s="27"/>
      <c r="H668" s="17"/>
      <c r="I668" s="30">
        <f>IF($A668="","",DATE(YEAR($A668),MONTH($A668),1))</f>
        <v/>
      </c>
      <c r="J668" s="31">
        <f>IF($A668="","",IF(OR($B668="",$C668="",$F668="",$G668=""),"Preencher tudo",IF(COUNTIF(EtapaLista,$B668)=0,"Etapa inválida","OK")))</f>
        <v/>
      </c>
    </row>
    <row r="669" spans="1:10">
      <c r="A669" s="17"/>
      <c r="B669" s="15"/>
      <c r="C669" s="15"/>
      <c r="D669" s="15"/>
      <c r="E669" s="15"/>
      <c r="F669" s="16"/>
      <c r="G669" s="27"/>
      <c r="H669" s="17"/>
      <c r="I669" s="30">
        <f>IF($A669="","",DATE(YEAR($A669),MONTH($A669),1))</f>
        <v/>
      </c>
      <c r="J669" s="31">
        <f>IF($A669="","",IF(OR($B669="",$C669="",$F669="",$G669=""),"Preencher tudo",IF(COUNTIF(EtapaLista,$B669)=0,"Etapa inválida","OK")))</f>
        <v/>
      </c>
    </row>
    <row r="670" spans="1:10">
      <c r="A670" s="17"/>
      <c r="B670" s="15"/>
      <c r="C670" s="15"/>
      <c r="D670" s="15"/>
      <c r="E670" s="15"/>
      <c r="F670" s="16"/>
      <c r="G670" s="27"/>
      <c r="H670" s="17"/>
      <c r="I670" s="30">
        <f>IF($A670="","",DATE(YEAR($A670),MONTH($A670),1))</f>
        <v/>
      </c>
      <c r="J670" s="31">
        <f>IF($A670="","",IF(OR($B670="",$C670="",$F670="",$G670=""),"Preencher tudo",IF(COUNTIF(EtapaLista,$B670)=0,"Etapa inválida","OK")))</f>
        <v/>
      </c>
    </row>
    <row r="671" spans="1:10">
      <c r="A671" s="17"/>
      <c r="B671" s="15"/>
      <c r="C671" s="15"/>
      <c r="D671" s="15"/>
      <c r="E671" s="15"/>
      <c r="F671" s="16"/>
      <c r="G671" s="27"/>
      <c r="H671" s="17"/>
      <c r="I671" s="30">
        <f>IF($A671="","",DATE(YEAR($A671),MONTH($A671),1))</f>
        <v/>
      </c>
      <c r="J671" s="31">
        <f>IF($A671="","",IF(OR($B671="",$C671="",$F671="",$G671=""),"Preencher tudo",IF(COUNTIF(EtapaLista,$B671)=0,"Etapa inválida","OK")))</f>
        <v/>
      </c>
    </row>
    <row r="672" spans="1:10">
      <c r="A672" s="17"/>
      <c r="B672" s="15"/>
      <c r="C672" s="15"/>
      <c r="D672" s="15"/>
      <c r="E672" s="15"/>
      <c r="F672" s="16"/>
      <c r="G672" s="27"/>
      <c r="H672" s="17"/>
      <c r="I672" s="30">
        <f>IF($A672="","",DATE(YEAR($A672),MONTH($A672),1))</f>
        <v/>
      </c>
      <c r="J672" s="31">
        <f>IF($A672="","",IF(OR($B672="",$C672="",$F672="",$G672=""),"Preencher tudo",IF(COUNTIF(EtapaLista,$B672)=0,"Etapa inválida","OK")))</f>
        <v/>
      </c>
    </row>
    <row r="673" spans="1:10">
      <c r="A673" s="17"/>
      <c r="B673" s="15"/>
      <c r="C673" s="15"/>
      <c r="D673" s="15"/>
      <c r="E673" s="15"/>
      <c r="F673" s="16"/>
      <c r="G673" s="27"/>
      <c r="H673" s="17"/>
      <c r="I673" s="30">
        <f>IF($A673="","",DATE(YEAR($A673),MONTH($A673),1))</f>
        <v/>
      </c>
      <c r="J673" s="31">
        <f>IF($A673="","",IF(OR($B673="",$C673="",$F673="",$G673=""),"Preencher tudo",IF(COUNTIF(EtapaLista,$B673)=0,"Etapa inválida","OK")))</f>
        <v/>
      </c>
    </row>
    <row r="674" spans="1:10">
      <c r="A674" s="17"/>
      <c r="B674" s="15"/>
      <c r="C674" s="15"/>
      <c r="D674" s="15"/>
      <c r="E674" s="15"/>
      <c r="F674" s="16"/>
      <c r="G674" s="27"/>
      <c r="H674" s="17"/>
      <c r="I674" s="30">
        <f>IF($A674="","",DATE(YEAR($A674),MONTH($A674),1))</f>
        <v/>
      </c>
      <c r="J674" s="31">
        <f>IF($A674="","",IF(OR($B674="",$C674="",$F674="",$G674=""),"Preencher tudo",IF(COUNTIF(EtapaLista,$B674)=0,"Etapa inválida","OK")))</f>
        <v/>
      </c>
    </row>
    <row r="675" spans="1:10">
      <c r="A675" s="17"/>
      <c r="B675" s="15"/>
      <c r="C675" s="15"/>
      <c r="D675" s="15"/>
      <c r="E675" s="15"/>
      <c r="F675" s="16"/>
      <c r="G675" s="27"/>
      <c r="H675" s="17"/>
      <c r="I675" s="30">
        <f>IF($A675="","",DATE(YEAR($A675),MONTH($A675),1))</f>
        <v/>
      </c>
      <c r="J675" s="31">
        <f>IF($A675="","",IF(OR($B675="",$C675="",$F675="",$G675=""),"Preencher tudo",IF(COUNTIF(EtapaLista,$B675)=0,"Etapa inválida","OK")))</f>
        <v/>
      </c>
    </row>
    <row r="676" spans="1:10">
      <c r="A676" s="17"/>
      <c r="B676" s="15"/>
      <c r="C676" s="15"/>
      <c r="D676" s="15"/>
      <c r="E676" s="15"/>
      <c r="F676" s="16"/>
      <c r="G676" s="27"/>
      <c r="H676" s="17"/>
      <c r="I676" s="30">
        <f>IF($A676="","",DATE(YEAR($A676),MONTH($A676),1))</f>
        <v/>
      </c>
      <c r="J676" s="31">
        <f>IF($A676="","",IF(OR($B676="",$C676="",$F676="",$G676=""),"Preencher tudo",IF(COUNTIF(EtapaLista,$B676)=0,"Etapa inválida","OK")))</f>
        <v/>
      </c>
    </row>
    <row r="677" spans="1:10">
      <c r="A677" s="17"/>
      <c r="B677" s="15"/>
      <c r="C677" s="15"/>
      <c r="D677" s="15"/>
      <c r="E677" s="15"/>
      <c r="F677" s="16"/>
      <c r="G677" s="27"/>
      <c r="H677" s="17"/>
      <c r="I677" s="30">
        <f>IF($A677="","",DATE(YEAR($A677),MONTH($A677),1))</f>
        <v/>
      </c>
      <c r="J677" s="31">
        <f>IF($A677="","",IF(OR($B677="",$C677="",$F677="",$G677=""),"Preencher tudo",IF(COUNTIF(EtapaLista,$B677)=0,"Etapa inválida","OK")))</f>
        <v/>
      </c>
    </row>
    <row r="678" spans="1:10">
      <c r="A678" s="17"/>
      <c r="B678" s="15"/>
      <c r="C678" s="15"/>
      <c r="D678" s="15"/>
      <c r="E678" s="15"/>
      <c r="F678" s="16"/>
      <c r="G678" s="27"/>
      <c r="H678" s="17"/>
      <c r="I678" s="30">
        <f>IF($A678="","",DATE(YEAR($A678),MONTH($A678),1))</f>
        <v/>
      </c>
      <c r="J678" s="31">
        <f>IF($A678="","",IF(OR($B678="",$C678="",$F678="",$G678=""),"Preencher tudo",IF(COUNTIF(EtapaLista,$B678)=0,"Etapa inválida","OK")))</f>
        <v/>
      </c>
    </row>
    <row r="679" spans="1:10">
      <c r="A679" s="17"/>
      <c r="B679" s="15"/>
      <c r="C679" s="15"/>
      <c r="D679" s="15"/>
      <c r="E679" s="15"/>
      <c r="F679" s="16"/>
      <c r="G679" s="27"/>
      <c r="H679" s="17"/>
      <c r="I679" s="30">
        <f>IF($A679="","",DATE(YEAR($A679),MONTH($A679),1))</f>
        <v/>
      </c>
      <c r="J679" s="31">
        <f>IF($A679="","",IF(OR($B679="",$C679="",$F679="",$G679=""),"Preencher tudo",IF(COUNTIF(EtapaLista,$B679)=0,"Etapa inválida","OK")))</f>
        <v/>
      </c>
    </row>
    <row r="680" spans="1:10">
      <c r="A680" s="17"/>
      <c r="B680" s="15"/>
      <c r="C680" s="15"/>
      <c r="D680" s="15"/>
      <c r="E680" s="15"/>
      <c r="F680" s="16"/>
      <c r="G680" s="27"/>
      <c r="H680" s="17"/>
      <c r="I680" s="30">
        <f>IF($A680="","",DATE(YEAR($A680),MONTH($A680),1))</f>
        <v/>
      </c>
      <c r="J680" s="31">
        <f>IF($A680="","",IF(OR($B680="",$C680="",$F680="",$G680=""),"Preencher tudo",IF(COUNTIF(EtapaLista,$B680)=0,"Etapa inválida","OK")))</f>
        <v/>
      </c>
    </row>
    <row r="681" spans="1:10">
      <c r="A681" s="17"/>
      <c r="B681" s="15"/>
      <c r="C681" s="15"/>
      <c r="D681" s="15"/>
      <c r="E681" s="15"/>
      <c r="F681" s="16"/>
      <c r="G681" s="27"/>
      <c r="H681" s="17"/>
      <c r="I681" s="30">
        <f>IF($A681="","",DATE(YEAR($A681),MONTH($A681),1))</f>
        <v/>
      </c>
      <c r="J681" s="31">
        <f>IF($A681="","",IF(OR($B681="",$C681="",$F681="",$G681=""),"Preencher tudo",IF(COUNTIF(EtapaLista,$B681)=0,"Etapa inválida","OK")))</f>
        <v/>
      </c>
    </row>
    <row r="682" spans="1:10">
      <c r="A682" s="17"/>
      <c r="B682" s="15"/>
      <c r="C682" s="15"/>
      <c r="D682" s="15"/>
      <c r="E682" s="15"/>
      <c r="F682" s="16"/>
      <c r="G682" s="27"/>
      <c r="H682" s="17"/>
      <c r="I682" s="30">
        <f>IF($A682="","",DATE(YEAR($A682),MONTH($A682),1))</f>
        <v/>
      </c>
      <c r="J682" s="31">
        <f>IF($A682="","",IF(OR($B682="",$C682="",$F682="",$G682=""),"Preencher tudo",IF(COUNTIF(EtapaLista,$B682)=0,"Etapa inválida","OK")))</f>
        <v/>
      </c>
    </row>
    <row r="683" spans="1:10">
      <c r="A683" s="17"/>
      <c r="B683" s="15"/>
      <c r="C683" s="15"/>
      <c r="D683" s="15"/>
      <c r="E683" s="15"/>
      <c r="F683" s="16"/>
      <c r="G683" s="27"/>
      <c r="H683" s="17"/>
      <c r="I683" s="30">
        <f>IF($A683="","",DATE(YEAR($A683),MONTH($A683),1))</f>
        <v/>
      </c>
      <c r="J683" s="31">
        <f>IF($A683="","",IF(OR($B683="",$C683="",$F683="",$G683=""),"Preencher tudo",IF(COUNTIF(EtapaLista,$B683)=0,"Etapa inválida","OK")))</f>
        <v/>
      </c>
    </row>
    <row r="684" spans="1:10">
      <c r="A684" s="17"/>
      <c r="B684" s="15"/>
      <c r="C684" s="15"/>
      <c r="D684" s="15"/>
      <c r="E684" s="15"/>
      <c r="F684" s="16"/>
      <c r="G684" s="27"/>
      <c r="H684" s="17"/>
      <c r="I684" s="30">
        <f>IF($A684="","",DATE(YEAR($A684),MONTH($A684),1))</f>
        <v/>
      </c>
      <c r="J684" s="31">
        <f>IF($A684="","",IF(OR($B684="",$C684="",$F684="",$G684=""),"Preencher tudo",IF(COUNTIF(EtapaLista,$B684)=0,"Etapa inválida","OK")))</f>
        <v/>
      </c>
    </row>
    <row r="685" spans="1:10">
      <c r="A685" s="17"/>
      <c r="B685" s="15"/>
      <c r="C685" s="15"/>
      <c r="D685" s="15"/>
      <c r="E685" s="15"/>
      <c r="F685" s="16"/>
      <c r="G685" s="27"/>
      <c r="H685" s="17"/>
      <c r="I685" s="30">
        <f>IF($A685="","",DATE(YEAR($A685),MONTH($A685),1))</f>
        <v/>
      </c>
      <c r="J685" s="31">
        <f>IF($A685="","",IF(OR($B685="",$C685="",$F685="",$G685=""),"Preencher tudo",IF(COUNTIF(EtapaLista,$B685)=0,"Etapa inválida","OK")))</f>
        <v/>
      </c>
    </row>
    <row r="686" spans="1:10">
      <c r="A686" s="17"/>
      <c r="B686" s="15"/>
      <c r="C686" s="15"/>
      <c r="D686" s="15"/>
      <c r="E686" s="15"/>
      <c r="F686" s="16"/>
      <c r="G686" s="27"/>
      <c r="H686" s="17"/>
      <c r="I686" s="30">
        <f>IF($A686="","",DATE(YEAR($A686),MONTH($A686),1))</f>
        <v/>
      </c>
      <c r="J686" s="31">
        <f>IF($A686="","",IF(OR($B686="",$C686="",$F686="",$G686=""),"Preencher tudo",IF(COUNTIF(EtapaLista,$B686)=0,"Etapa inválida","OK")))</f>
        <v/>
      </c>
    </row>
    <row r="687" spans="1:10">
      <c r="A687" s="17"/>
      <c r="B687" s="15"/>
      <c r="C687" s="15"/>
      <c r="D687" s="15"/>
      <c r="E687" s="15"/>
      <c r="F687" s="16"/>
      <c r="G687" s="27"/>
      <c r="H687" s="17"/>
      <c r="I687" s="30">
        <f>IF($A687="","",DATE(YEAR($A687),MONTH($A687),1))</f>
        <v/>
      </c>
      <c r="J687" s="31">
        <f>IF($A687="","",IF(OR($B687="",$C687="",$F687="",$G687=""),"Preencher tudo",IF(COUNTIF(EtapaLista,$B687)=0,"Etapa inválida","OK")))</f>
        <v/>
      </c>
    </row>
    <row r="688" spans="1:10">
      <c r="A688" s="17"/>
      <c r="B688" s="15"/>
      <c r="C688" s="15"/>
      <c r="D688" s="15"/>
      <c r="E688" s="15"/>
      <c r="F688" s="16"/>
      <c r="G688" s="27"/>
      <c r="H688" s="17"/>
      <c r="I688" s="30">
        <f>IF($A688="","",DATE(YEAR($A688),MONTH($A688),1))</f>
        <v/>
      </c>
      <c r="J688" s="31">
        <f>IF($A688="","",IF(OR($B688="",$C688="",$F688="",$G688=""),"Preencher tudo",IF(COUNTIF(EtapaLista,$B688)=0,"Etapa inválida","OK")))</f>
        <v/>
      </c>
    </row>
    <row r="689" spans="1:10">
      <c r="A689" s="17"/>
      <c r="B689" s="15"/>
      <c r="C689" s="15"/>
      <c r="D689" s="15"/>
      <c r="E689" s="15"/>
      <c r="F689" s="16"/>
      <c r="G689" s="27"/>
      <c r="H689" s="17"/>
      <c r="I689" s="30">
        <f>IF($A689="","",DATE(YEAR($A689),MONTH($A689),1))</f>
        <v/>
      </c>
      <c r="J689" s="31">
        <f>IF($A689="","",IF(OR($B689="",$C689="",$F689="",$G689=""),"Preencher tudo",IF(COUNTIF(EtapaLista,$B689)=0,"Etapa inválida","OK")))</f>
        <v/>
      </c>
    </row>
    <row r="690" spans="1:10">
      <c r="A690" s="17"/>
      <c r="B690" s="15"/>
      <c r="C690" s="15"/>
      <c r="D690" s="15"/>
      <c r="E690" s="15"/>
      <c r="F690" s="16"/>
      <c r="G690" s="27"/>
      <c r="H690" s="17"/>
      <c r="I690" s="30">
        <f>IF($A690="","",DATE(YEAR($A690),MONTH($A690),1))</f>
        <v/>
      </c>
      <c r="J690" s="31">
        <f>IF($A690="","",IF(OR($B690="",$C690="",$F690="",$G690=""),"Preencher tudo",IF(COUNTIF(EtapaLista,$B690)=0,"Etapa inválida","OK")))</f>
        <v/>
      </c>
    </row>
    <row r="691" spans="1:10">
      <c r="A691" s="17"/>
      <c r="B691" s="15"/>
      <c r="C691" s="15"/>
      <c r="D691" s="15"/>
      <c r="E691" s="15"/>
      <c r="F691" s="16"/>
      <c r="G691" s="27"/>
      <c r="H691" s="17"/>
      <c r="I691" s="30">
        <f>IF($A691="","",DATE(YEAR($A691),MONTH($A691),1))</f>
        <v/>
      </c>
      <c r="J691" s="31">
        <f>IF($A691="","",IF(OR($B691="",$C691="",$F691="",$G691=""),"Preencher tudo",IF(COUNTIF(EtapaLista,$B691)=0,"Etapa inválida","OK")))</f>
        <v/>
      </c>
    </row>
    <row r="692" spans="1:10">
      <c r="A692" s="17"/>
      <c r="B692" s="15"/>
      <c r="C692" s="15"/>
      <c r="D692" s="15"/>
      <c r="E692" s="15"/>
      <c r="F692" s="16"/>
      <c r="G692" s="27"/>
      <c r="H692" s="17"/>
      <c r="I692" s="30">
        <f>IF($A692="","",DATE(YEAR($A692),MONTH($A692),1))</f>
        <v/>
      </c>
      <c r="J692" s="31">
        <f>IF($A692="","",IF(OR($B692="",$C692="",$F692="",$G692=""),"Preencher tudo",IF(COUNTIF(EtapaLista,$B692)=0,"Etapa inválida","OK")))</f>
        <v/>
      </c>
    </row>
    <row r="693" spans="1:10">
      <c r="A693" s="17"/>
      <c r="B693" s="15"/>
      <c r="C693" s="15"/>
      <c r="D693" s="15"/>
      <c r="E693" s="15"/>
      <c r="F693" s="16"/>
      <c r="G693" s="27"/>
      <c r="H693" s="17"/>
      <c r="I693" s="30">
        <f>IF($A693="","",DATE(YEAR($A693),MONTH($A693),1))</f>
        <v/>
      </c>
      <c r="J693" s="31">
        <f>IF($A693="","",IF(OR($B693="",$C693="",$F693="",$G693=""),"Preencher tudo",IF(COUNTIF(EtapaLista,$B693)=0,"Etapa inválida","OK")))</f>
        <v/>
      </c>
    </row>
    <row r="694" spans="1:10">
      <c r="A694" s="17"/>
      <c r="B694" s="15"/>
      <c r="C694" s="15"/>
      <c r="D694" s="15"/>
      <c r="E694" s="15"/>
      <c r="F694" s="16"/>
      <c r="G694" s="27"/>
      <c r="H694" s="17"/>
      <c r="I694" s="30">
        <f>IF($A694="","",DATE(YEAR($A694),MONTH($A694),1))</f>
        <v/>
      </c>
      <c r="J694" s="31">
        <f>IF($A694="","",IF(OR($B694="",$C694="",$F694="",$G694=""),"Preencher tudo",IF(COUNTIF(EtapaLista,$B694)=0,"Etapa inválida","OK")))</f>
        <v/>
      </c>
    </row>
    <row r="695" spans="1:10">
      <c r="A695" s="17"/>
      <c r="B695" s="15"/>
      <c r="C695" s="15"/>
      <c r="D695" s="15"/>
      <c r="E695" s="15"/>
      <c r="F695" s="16"/>
      <c r="G695" s="27"/>
      <c r="H695" s="17"/>
      <c r="I695" s="30">
        <f>IF($A695="","",DATE(YEAR($A695),MONTH($A695),1))</f>
        <v/>
      </c>
      <c r="J695" s="31">
        <f>IF($A695="","",IF(OR($B695="",$C695="",$F695="",$G695=""),"Preencher tudo",IF(COUNTIF(EtapaLista,$B695)=0,"Etapa inválida","OK")))</f>
        <v/>
      </c>
    </row>
    <row r="696" spans="1:10">
      <c r="A696" s="17"/>
      <c r="B696" s="15"/>
      <c r="C696" s="15"/>
      <c r="D696" s="15"/>
      <c r="E696" s="15"/>
      <c r="F696" s="16"/>
      <c r="G696" s="27"/>
      <c r="H696" s="17"/>
      <c r="I696" s="30">
        <f>IF($A696="","",DATE(YEAR($A696),MONTH($A696),1))</f>
        <v/>
      </c>
      <c r="J696" s="31">
        <f>IF($A696="","",IF(OR($B696="",$C696="",$F696="",$G696=""),"Preencher tudo",IF(COUNTIF(EtapaLista,$B696)=0,"Etapa inválida","OK")))</f>
        <v/>
      </c>
    </row>
    <row r="697" spans="1:10">
      <c r="A697" s="17"/>
      <c r="B697" s="15"/>
      <c r="C697" s="15"/>
      <c r="D697" s="15"/>
      <c r="E697" s="15"/>
      <c r="F697" s="16"/>
      <c r="G697" s="27"/>
      <c r="H697" s="17"/>
      <c r="I697" s="30">
        <f>IF($A697="","",DATE(YEAR($A697),MONTH($A697),1))</f>
        <v/>
      </c>
      <c r="J697" s="31">
        <f>IF($A697="","",IF(OR($B697="",$C697="",$F697="",$G697=""),"Preencher tudo",IF(COUNTIF(EtapaLista,$B697)=0,"Etapa inválida","OK")))</f>
        <v/>
      </c>
    </row>
    <row r="698" spans="1:10">
      <c r="A698" s="17"/>
      <c r="B698" s="15"/>
      <c r="C698" s="15"/>
      <c r="D698" s="15"/>
      <c r="E698" s="15"/>
      <c r="F698" s="16"/>
      <c r="G698" s="27"/>
      <c r="H698" s="17"/>
      <c r="I698" s="30">
        <f>IF($A698="","",DATE(YEAR($A698),MONTH($A698),1))</f>
        <v/>
      </c>
      <c r="J698" s="31">
        <f>IF($A698="","",IF(OR($B698="",$C698="",$F698="",$G698=""),"Preencher tudo",IF(COUNTIF(EtapaLista,$B698)=0,"Etapa inválida","OK")))</f>
        <v/>
      </c>
    </row>
    <row r="699" spans="1:10">
      <c r="A699" s="17"/>
      <c r="B699" s="15"/>
      <c r="C699" s="15"/>
      <c r="D699" s="15"/>
      <c r="E699" s="15"/>
      <c r="F699" s="16"/>
      <c r="G699" s="27"/>
      <c r="H699" s="17"/>
      <c r="I699" s="30">
        <f>IF($A699="","",DATE(YEAR($A699),MONTH($A699),1))</f>
        <v/>
      </c>
      <c r="J699" s="31">
        <f>IF($A699="","",IF(OR($B699="",$C699="",$F699="",$G699=""),"Preencher tudo",IF(COUNTIF(EtapaLista,$B699)=0,"Etapa inválida","OK")))</f>
        <v/>
      </c>
    </row>
    <row r="700" spans="1:10">
      <c r="A700" s="17"/>
      <c r="B700" s="15"/>
      <c r="C700" s="15"/>
      <c r="D700" s="15"/>
      <c r="E700" s="15"/>
      <c r="F700" s="16"/>
      <c r="G700" s="27"/>
      <c r="H700" s="17"/>
      <c r="I700" s="30">
        <f>IF($A700="","",DATE(YEAR($A700),MONTH($A700),1))</f>
        <v/>
      </c>
      <c r="J700" s="31">
        <f>IF($A700="","",IF(OR($B700="",$C700="",$F700="",$G700=""),"Preencher tudo",IF(COUNTIF(EtapaLista,$B700)=0,"Etapa inválida","OK")))</f>
        <v/>
      </c>
    </row>
    <row r="701" spans="1:10">
      <c r="A701" s="17"/>
      <c r="B701" s="15"/>
      <c r="C701" s="15"/>
      <c r="D701" s="15"/>
      <c r="E701" s="15"/>
      <c r="F701" s="16"/>
      <c r="G701" s="27"/>
      <c r="H701" s="17"/>
      <c r="I701" s="30">
        <f>IF($A701="","",DATE(YEAR($A701),MONTH($A701),1))</f>
        <v/>
      </c>
      <c r="J701" s="31">
        <f>IF($A701="","",IF(OR($B701="",$C701="",$F701="",$G701=""),"Preencher tudo",IF(COUNTIF(EtapaLista,$B701)=0,"Etapa inválida","OK")))</f>
        <v/>
      </c>
    </row>
    <row r="702" spans="1:10">
      <c r="A702" s="17"/>
      <c r="B702" s="15"/>
      <c r="C702" s="15"/>
      <c r="D702" s="15"/>
      <c r="E702" s="15"/>
      <c r="F702" s="16"/>
      <c r="G702" s="27"/>
      <c r="H702" s="17"/>
      <c r="I702" s="30">
        <f>IF($A702="","",DATE(YEAR($A702),MONTH($A702),1))</f>
        <v/>
      </c>
      <c r="J702" s="31">
        <f>IF($A702="","",IF(OR($B702="",$C702="",$F702="",$G702=""),"Preencher tudo",IF(COUNTIF(EtapaLista,$B702)=0,"Etapa inválida","OK")))</f>
        <v/>
      </c>
    </row>
    <row r="703" spans="1:10">
      <c r="A703" s="17"/>
      <c r="B703" s="15"/>
      <c r="C703" s="15"/>
      <c r="D703" s="15"/>
      <c r="E703" s="15"/>
      <c r="F703" s="16"/>
      <c r="G703" s="27"/>
      <c r="H703" s="17"/>
      <c r="I703" s="30">
        <f>IF($A703="","",DATE(YEAR($A703),MONTH($A703),1))</f>
        <v/>
      </c>
      <c r="J703" s="31">
        <f>IF($A703="","",IF(OR($B703="",$C703="",$F703="",$G703=""),"Preencher tudo",IF(COUNTIF(EtapaLista,$B703)=0,"Etapa inválida","OK")))</f>
        <v/>
      </c>
    </row>
    <row r="704" spans="1:10">
      <c r="A704" s="17"/>
      <c r="B704" s="15"/>
      <c r="C704" s="15"/>
      <c r="D704" s="15"/>
      <c r="E704" s="15"/>
      <c r="F704" s="16"/>
      <c r="G704" s="27"/>
      <c r="H704" s="17"/>
      <c r="I704" s="30">
        <f>IF($A704="","",DATE(YEAR($A704),MONTH($A704),1))</f>
        <v/>
      </c>
      <c r="J704" s="31">
        <f>IF($A704="","",IF(OR($B704="",$C704="",$F704="",$G704=""),"Preencher tudo",IF(COUNTIF(EtapaLista,$B704)=0,"Etapa inválida","OK")))</f>
        <v/>
      </c>
    </row>
    <row r="705" spans="1:10">
      <c r="A705" s="17"/>
      <c r="B705" s="15"/>
      <c r="C705" s="15"/>
      <c r="D705" s="15"/>
      <c r="E705" s="15"/>
      <c r="F705" s="16"/>
      <c r="G705" s="27"/>
      <c r="H705" s="17"/>
      <c r="I705" s="30">
        <f>IF($A705="","",DATE(YEAR($A705),MONTH($A705),1))</f>
        <v/>
      </c>
      <c r="J705" s="31">
        <f>IF($A705="","",IF(OR($B705="",$C705="",$F705="",$G705=""),"Preencher tudo",IF(COUNTIF(EtapaLista,$B705)=0,"Etapa inválida","OK")))</f>
        <v/>
      </c>
    </row>
    <row r="706" spans="1:10">
      <c r="A706" s="17"/>
      <c r="B706" s="15"/>
      <c r="C706" s="15"/>
      <c r="D706" s="15"/>
      <c r="E706" s="15"/>
      <c r="F706" s="16"/>
      <c r="G706" s="27"/>
      <c r="H706" s="17"/>
      <c r="I706" s="30">
        <f>IF($A706="","",DATE(YEAR($A706),MONTH($A706),1))</f>
        <v/>
      </c>
      <c r="J706" s="31">
        <f>IF($A706="","",IF(OR($B706="",$C706="",$F706="",$G706=""),"Preencher tudo",IF(COUNTIF(EtapaLista,$B706)=0,"Etapa inválida","OK")))</f>
        <v/>
      </c>
    </row>
    <row r="707" spans="1:10">
      <c r="A707" s="17"/>
      <c r="B707" s="15"/>
      <c r="C707" s="15"/>
      <c r="D707" s="15"/>
      <c r="E707" s="15"/>
      <c r="F707" s="16"/>
      <c r="G707" s="27"/>
      <c r="H707" s="17"/>
      <c r="I707" s="30">
        <f>IF($A707="","",DATE(YEAR($A707),MONTH($A707),1))</f>
        <v/>
      </c>
      <c r="J707" s="31">
        <f>IF($A707="","",IF(OR($B707="",$C707="",$F707="",$G707=""),"Preencher tudo",IF(COUNTIF(EtapaLista,$B707)=0,"Etapa inválida","OK")))</f>
        <v/>
      </c>
    </row>
    <row r="708" spans="1:10">
      <c r="A708" s="17"/>
      <c r="B708" s="15"/>
      <c r="C708" s="15"/>
      <c r="D708" s="15"/>
      <c r="E708" s="15"/>
      <c r="F708" s="16"/>
      <c r="G708" s="27"/>
      <c r="H708" s="17"/>
      <c r="I708" s="30">
        <f>IF($A708="","",DATE(YEAR($A708),MONTH($A708),1))</f>
        <v/>
      </c>
      <c r="J708" s="31">
        <f>IF($A708="","",IF(OR($B708="",$C708="",$F708="",$G708=""),"Preencher tudo",IF(COUNTIF(EtapaLista,$B708)=0,"Etapa inválida","OK")))</f>
        <v/>
      </c>
    </row>
    <row r="709" spans="1:10">
      <c r="A709" s="17"/>
      <c r="B709" s="15"/>
      <c r="C709" s="15"/>
      <c r="D709" s="15"/>
      <c r="E709" s="15"/>
      <c r="F709" s="16"/>
      <c r="G709" s="27"/>
      <c r="H709" s="17"/>
      <c r="I709" s="30">
        <f>IF($A709="","",DATE(YEAR($A709),MONTH($A709),1))</f>
        <v/>
      </c>
      <c r="J709" s="31">
        <f>IF($A709="","",IF(OR($B709="",$C709="",$F709="",$G709=""),"Preencher tudo",IF(COUNTIF(EtapaLista,$B709)=0,"Etapa inválida","OK")))</f>
        <v/>
      </c>
    </row>
    <row r="710" spans="1:10">
      <c r="A710" s="17"/>
      <c r="B710" s="15"/>
      <c r="C710" s="15"/>
      <c r="D710" s="15"/>
      <c r="E710" s="15"/>
      <c r="F710" s="16"/>
      <c r="G710" s="27"/>
      <c r="H710" s="17"/>
      <c r="I710" s="30">
        <f>IF($A710="","",DATE(YEAR($A710),MONTH($A710),1))</f>
        <v/>
      </c>
      <c r="J710" s="31">
        <f>IF($A710="","",IF(OR($B710="",$C710="",$F710="",$G710=""),"Preencher tudo",IF(COUNTIF(EtapaLista,$B710)=0,"Etapa inválida","OK")))</f>
        <v/>
      </c>
    </row>
    <row r="711" spans="1:10">
      <c r="A711" s="17"/>
      <c r="B711" s="15"/>
      <c r="C711" s="15"/>
      <c r="D711" s="15"/>
      <c r="E711" s="15"/>
      <c r="F711" s="16"/>
      <c r="G711" s="27"/>
      <c r="H711" s="17"/>
      <c r="I711" s="30">
        <f>IF($A711="","",DATE(YEAR($A711),MONTH($A711),1))</f>
        <v/>
      </c>
      <c r="J711" s="31">
        <f>IF($A711="","",IF(OR($B711="",$C711="",$F711="",$G711=""),"Preencher tudo",IF(COUNTIF(EtapaLista,$B711)=0,"Etapa inválida","OK")))</f>
        <v/>
      </c>
    </row>
    <row r="712" spans="1:10">
      <c r="A712" s="17"/>
      <c r="B712" s="15"/>
      <c r="C712" s="15"/>
      <c r="D712" s="15"/>
      <c r="E712" s="15"/>
      <c r="F712" s="16"/>
      <c r="G712" s="27"/>
      <c r="H712" s="17"/>
      <c r="I712" s="30">
        <f>IF($A712="","",DATE(YEAR($A712),MONTH($A712),1))</f>
        <v/>
      </c>
      <c r="J712" s="31">
        <f>IF($A712="","",IF(OR($B712="",$C712="",$F712="",$G712=""),"Preencher tudo",IF(COUNTIF(EtapaLista,$B712)=0,"Etapa inválida","OK")))</f>
        <v/>
      </c>
    </row>
    <row r="713" spans="1:10">
      <c r="A713" s="17"/>
      <c r="B713" s="15"/>
      <c r="C713" s="15"/>
      <c r="D713" s="15"/>
      <c r="E713" s="15"/>
      <c r="F713" s="16"/>
      <c r="G713" s="27"/>
      <c r="H713" s="17"/>
      <c r="I713" s="30">
        <f>IF($A713="","",DATE(YEAR($A713),MONTH($A713),1))</f>
        <v/>
      </c>
      <c r="J713" s="31">
        <f>IF($A713="","",IF(OR($B713="",$C713="",$F713="",$G713=""),"Preencher tudo",IF(COUNTIF(EtapaLista,$B713)=0,"Etapa inválida","OK")))</f>
        <v/>
      </c>
    </row>
    <row r="714" spans="1:10">
      <c r="A714" s="17"/>
      <c r="B714" s="15"/>
      <c r="C714" s="15"/>
      <c r="D714" s="15"/>
      <c r="E714" s="15"/>
      <c r="F714" s="16"/>
      <c r="G714" s="27"/>
      <c r="H714" s="17"/>
      <c r="I714" s="30">
        <f>IF($A714="","",DATE(YEAR($A714),MONTH($A714),1))</f>
        <v/>
      </c>
      <c r="J714" s="31">
        <f>IF($A714="","",IF(OR($B714="",$C714="",$F714="",$G714=""),"Preencher tudo",IF(COUNTIF(EtapaLista,$B714)=0,"Etapa inválida","OK")))</f>
        <v/>
      </c>
    </row>
    <row r="715" spans="1:10">
      <c r="A715" s="17"/>
      <c r="B715" s="15"/>
      <c r="C715" s="15"/>
      <c r="D715" s="15"/>
      <c r="E715" s="15"/>
      <c r="F715" s="16"/>
      <c r="G715" s="27"/>
      <c r="H715" s="17"/>
      <c r="I715" s="30">
        <f>IF($A715="","",DATE(YEAR($A715),MONTH($A715),1))</f>
        <v/>
      </c>
      <c r="J715" s="31">
        <f>IF($A715="","",IF(OR($B715="",$C715="",$F715="",$G715=""),"Preencher tudo",IF(COUNTIF(EtapaLista,$B715)=0,"Etapa inválida","OK")))</f>
        <v/>
      </c>
    </row>
    <row r="716" spans="1:10">
      <c r="A716" s="17"/>
      <c r="B716" s="15"/>
      <c r="C716" s="15"/>
      <c r="D716" s="15"/>
      <c r="E716" s="15"/>
      <c r="F716" s="16"/>
      <c r="G716" s="27"/>
      <c r="H716" s="17"/>
      <c r="I716" s="30">
        <f>IF($A716="","",DATE(YEAR($A716),MONTH($A716),1))</f>
        <v/>
      </c>
      <c r="J716" s="31">
        <f>IF($A716="","",IF(OR($B716="",$C716="",$F716="",$G716=""),"Preencher tudo",IF(COUNTIF(EtapaLista,$B716)=0,"Etapa inválida","OK")))</f>
        <v/>
      </c>
    </row>
    <row r="717" spans="1:10">
      <c r="A717" s="17"/>
      <c r="B717" s="15"/>
      <c r="C717" s="15"/>
      <c r="D717" s="15"/>
      <c r="E717" s="15"/>
      <c r="F717" s="16"/>
      <c r="G717" s="27"/>
      <c r="H717" s="17"/>
      <c r="I717" s="30">
        <f>IF($A717="","",DATE(YEAR($A717),MONTH($A717),1))</f>
        <v/>
      </c>
      <c r="J717" s="31">
        <f>IF($A717="","",IF(OR($B717="",$C717="",$F717="",$G717=""),"Preencher tudo",IF(COUNTIF(EtapaLista,$B717)=0,"Etapa inválida","OK")))</f>
        <v/>
      </c>
    </row>
    <row r="718" spans="1:10">
      <c r="A718" s="17"/>
      <c r="B718" s="15"/>
      <c r="C718" s="15"/>
      <c r="D718" s="15"/>
      <c r="E718" s="15"/>
      <c r="F718" s="16"/>
      <c r="G718" s="27"/>
      <c r="H718" s="17"/>
      <c r="I718" s="30">
        <f>IF($A718="","",DATE(YEAR($A718),MONTH($A718),1))</f>
        <v/>
      </c>
      <c r="J718" s="31">
        <f>IF($A718="","",IF(OR($B718="",$C718="",$F718="",$G718=""),"Preencher tudo",IF(COUNTIF(EtapaLista,$B718)=0,"Etapa inválida","OK")))</f>
        <v/>
      </c>
    </row>
    <row r="719" spans="1:10">
      <c r="A719" s="17"/>
      <c r="B719" s="15"/>
      <c r="C719" s="15"/>
      <c r="D719" s="15"/>
      <c r="E719" s="15"/>
      <c r="F719" s="16"/>
      <c r="G719" s="27"/>
      <c r="H719" s="17"/>
      <c r="I719" s="30">
        <f>IF($A719="","",DATE(YEAR($A719),MONTH($A719),1))</f>
        <v/>
      </c>
      <c r="J719" s="31">
        <f>IF($A719="","",IF(OR($B719="",$C719="",$F719="",$G719=""),"Preencher tudo",IF(COUNTIF(EtapaLista,$B719)=0,"Etapa inválida","OK")))</f>
        <v/>
      </c>
    </row>
    <row r="720" spans="1:10">
      <c r="A720" s="17"/>
      <c r="B720" s="15"/>
      <c r="C720" s="15"/>
      <c r="D720" s="15"/>
      <c r="E720" s="15"/>
      <c r="F720" s="16"/>
      <c r="G720" s="27"/>
      <c r="H720" s="17"/>
      <c r="I720" s="30">
        <f>IF($A720="","",DATE(YEAR($A720),MONTH($A720),1))</f>
        <v/>
      </c>
      <c r="J720" s="31">
        <f>IF($A720="","",IF(OR($B720="",$C720="",$F720="",$G720=""),"Preencher tudo",IF(COUNTIF(EtapaLista,$B720)=0,"Etapa inválida","OK")))</f>
        <v/>
      </c>
    </row>
    <row r="721" spans="1:10">
      <c r="A721" s="17"/>
      <c r="B721" s="15"/>
      <c r="C721" s="15"/>
      <c r="D721" s="15"/>
      <c r="E721" s="15"/>
      <c r="F721" s="16"/>
      <c r="G721" s="27"/>
      <c r="H721" s="17"/>
      <c r="I721" s="30">
        <f>IF($A721="","",DATE(YEAR($A721),MONTH($A721),1))</f>
        <v/>
      </c>
      <c r="J721" s="31">
        <f>IF($A721="","",IF(OR($B721="",$C721="",$F721="",$G721=""),"Preencher tudo",IF(COUNTIF(EtapaLista,$B721)=0,"Etapa inválida","OK")))</f>
        <v/>
      </c>
    </row>
    <row r="722" spans="1:10">
      <c r="A722" s="17"/>
      <c r="B722" s="15"/>
      <c r="C722" s="15"/>
      <c r="D722" s="15"/>
      <c r="E722" s="15"/>
      <c r="F722" s="16"/>
      <c r="G722" s="27"/>
      <c r="H722" s="17"/>
      <c r="I722" s="30">
        <f>IF($A722="","",DATE(YEAR($A722),MONTH($A722),1))</f>
        <v/>
      </c>
      <c r="J722" s="31">
        <f>IF($A722="","",IF(OR($B722="",$C722="",$F722="",$G722=""),"Preencher tudo",IF(COUNTIF(EtapaLista,$B722)=0,"Etapa inválida","OK")))</f>
        <v/>
      </c>
    </row>
    <row r="723" spans="1:10">
      <c r="A723" s="17"/>
      <c r="B723" s="15"/>
      <c r="C723" s="15"/>
      <c r="D723" s="15"/>
      <c r="E723" s="15"/>
      <c r="F723" s="16"/>
      <c r="G723" s="27"/>
      <c r="H723" s="17"/>
      <c r="I723" s="30">
        <f>IF($A723="","",DATE(YEAR($A723),MONTH($A723),1))</f>
        <v/>
      </c>
      <c r="J723" s="31">
        <f>IF($A723="","",IF(OR($B723="",$C723="",$F723="",$G723=""),"Preencher tudo",IF(COUNTIF(EtapaLista,$B723)=0,"Etapa inválida","OK")))</f>
        <v/>
      </c>
    </row>
    <row r="724" spans="1:10">
      <c r="A724" s="17"/>
      <c r="B724" s="15"/>
      <c r="C724" s="15"/>
      <c r="D724" s="15"/>
      <c r="E724" s="15"/>
      <c r="F724" s="16"/>
      <c r="G724" s="27"/>
      <c r="H724" s="17"/>
      <c r="I724" s="30">
        <f>IF($A724="","",DATE(YEAR($A724),MONTH($A724),1))</f>
        <v/>
      </c>
      <c r="J724" s="31">
        <f>IF($A724="","",IF(OR($B724="",$C724="",$F724="",$G724=""),"Preencher tudo",IF(COUNTIF(EtapaLista,$B724)=0,"Etapa inválida","OK")))</f>
        <v/>
      </c>
    </row>
    <row r="725" spans="1:10">
      <c r="A725" s="17"/>
      <c r="B725" s="15"/>
      <c r="C725" s="15"/>
      <c r="D725" s="15"/>
      <c r="E725" s="15"/>
      <c r="F725" s="16"/>
      <c r="G725" s="27"/>
      <c r="H725" s="17"/>
      <c r="I725" s="30">
        <f>IF($A725="","",DATE(YEAR($A725),MONTH($A725),1))</f>
        <v/>
      </c>
      <c r="J725" s="31">
        <f>IF($A725="","",IF(OR($B725="",$C725="",$F725="",$G725=""),"Preencher tudo",IF(COUNTIF(EtapaLista,$B725)=0,"Etapa inválida","OK")))</f>
        <v/>
      </c>
    </row>
    <row r="726" spans="1:10">
      <c r="A726" s="17"/>
      <c r="B726" s="15"/>
      <c r="C726" s="15"/>
      <c r="D726" s="15"/>
      <c r="E726" s="15"/>
      <c r="F726" s="16"/>
      <c r="G726" s="27"/>
      <c r="H726" s="17"/>
      <c r="I726" s="30">
        <f>IF($A726="","",DATE(YEAR($A726),MONTH($A726),1))</f>
        <v/>
      </c>
      <c r="J726" s="31">
        <f>IF($A726="","",IF(OR($B726="",$C726="",$F726="",$G726=""),"Preencher tudo",IF(COUNTIF(EtapaLista,$B726)=0,"Etapa inválida","OK")))</f>
        <v/>
      </c>
    </row>
    <row r="727" spans="1:10">
      <c r="A727" s="17"/>
      <c r="B727" s="15"/>
      <c r="C727" s="15"/>
      <c r="D727" s="15"/>
      <c r="E727" s="15"/>
      <c r="F727" s="16"/>
      <c r="G727" s="27"/>
      <c r="H727" s="17"/>
      <c r="I727" s="30">
        <f>IF($A727="","",DATE(YEAR($A727),MONTH($A727),1))</f>
        <v/>
      </c>
      <c r="J727" s="31">
        <f>IF($A727="","",IF(OR($B727="",$C727="",$F727="",$G727=""),"Preencher tudo",IF(COUNTIF(EtapaLista,$B727)=0,"Etapa inválida","OK")))</f>
        <v/>
      </c>
    </row>
    <row r="728" spans="1:10">
      <c r="A728" s="17"/>
      <c r="B728" s="15"/>
      <c r="C728" s="15"/>
      <c r="D728" s="15"/>
      <c r="E728" s="15"/>
      <c r="F728" s="16"/>
      <c r="G728" s="27"/>
      <c r="H728" s="17"/>
      <c r="I728" s="30">
        <f>IF($A728="","",DATE(YEAR($A728),MONTH($A728),1))</f>
        <v/>
      </c>
      <c r="J728" s="31">
        <f>IF($A728="","",IF(OR($B728="",$C728="",$F728="",$G728=""),"Preencher tudo",IF(COUNTIF(EtapaLista,$B728)=0,"Etapa inválida","OK")))</f>
        <v/>
      </c>
    </row>
    <row r="729" spans="1:10">
      <c r="A729" s="17"/>
      <c r="B729" s="15"/>
      <c r="C729" s="15"/>
      <c r="D729" s="15"/>
      <c r="E729" s="15"/>
      <c r="F729" s="16"/>
      <c r="G729" s="27"/>
      <c r="H729" s="17"/>
      <c r="I729" s="30">
        <f>IF($A729="","",DATE(YEAR($A729),MONTH($A729),1))</f>
        <v/>
      </c>
      <c r="J729" s="31">
        <f>IF($A729="","",IF(OR($B729="",$C729="",$F729="",$G729=""),"Preencher tudo",IF(COUNTIF(EtapaLista,$B729)=0,"Etapa inválida","OK")))</f>
        <v/>
      </c>
    </row>
    <row r="730" spans="1:10">
      <c r="A730" s="17"/>
      <c r="B730" s="15"/>
      <c r="C730" s="15"/>
      <c r="D730" s="15"/>
      <c r="E730" s="15"/>
      <c r="F730" s="16"/>
      <c r="G730" s="27"/>
      <c r="H730" s="17"/>
      <c r="I730" s="30">
        <f>IF($A730="","",DATE(YEAR($A730),MONTH($A730),1))</f>
        <v/>
      </c>
      <c r="J730" s="31">
        <f>IF($A730="","",IF(OR($B730="",$C730="",$F730="",$G730=""),"Preencher tudo",IF(COUNTIF(EtapaLista,$B730)=0,"Etapa inválida","OK")))</f>
        <v/>
      </c>
    </row>
    <row r="731" spans="1:10">
      <c r="A731" s="17"/>
      <c r="B731" s="15"/>
      <c r="C731" s="15"/>
      <c r="D731" s="15"/>
      <c r="E731" s="15"/>
      <c r="F731" s="16"/>
      <c r="G731" s="27"/>
      <c r="H731" s="17"/>
      <c r="I731" s="30">
        <f>IF($A731="","",DATE(YEAR($A731),MONTH($A731),1))</f>
        <v/>
      </c>
      <c r="J731" s="31">
        <f>IF($A731="","",IF(OR($B731="",$C731="",$F731="",$G731=""),"Preencher tudo",IF(COUNTIF(EtapaLista,$B731)=0,"Etapa inválida","OK")))</f>
        <v/>
      </c>
    </row>
    <row r="732" spans="1:10">
      <c r="A732" s="17"/>
      <c r="B732" s="15"/>
      <c r="C732" s="15"/>
      <c r="D732" s="15"/>
      <c r="E732" s="15"/>
      <c r="F732" s="16"/>
      <c r="G732" s="27"/>
      <c r="H732" s="17"/>
      <c r="I732" s="30">
        <f>IF($A732="","",DATE(YEAR($A732),MONTH($A732),1))</f>
        <v/>
      </c>
      <c r="J732" s="31">
        <f>IF($A732="","",IF(OR($B732="",$C732="",$F732="",$G732=""),"Preencher tudo",IF(COUNTIF(EtapaLista,$B732)=0,"Etapa inválida","OK")))</f>
        <v/>
      </c>
    </row>
    <row r="733" spans="1:10">
      <c r="A733" s="17"/>
      <c r="B733" s="15"/>
      <c r="C733" s="15"/>
      <c r="D733" s="15"/>
      <c r="E733" s="15"/>
      <c r="F733" s="16"/>
      <c r="G733" s="27"/>
      <c r="H733" s="17"/>
      <c r="I733" s="30">
        <f>IF($A733="","",DATE(YEAR($A733),MONTH($A733),1))</f>
        <v/>
      </c>
      <c r="J733" s="31">
        <f>IF($A733="","",IF(OR($B733="",$C733="",$F733="",$G733=""),"Preencher tudo",IF(COUNTIF(EtapaLista,$B733)=0,"Etapa inválida","OK")))</f>
        <v/>
      </c>
    </row>
    <row r="734" spans="1:10">
      <c r="A734" s="17"/>
      <c r="B734" s="15"/>
      <c r="C734" s="15"/>
      <c r="D734" s="15"/>
      <c r="E734" s="15"/>
      <c r="F734" s="16"/>
      <c r="G734" s="27"/>
      <c r="H734" s="17"/>
      <c r="I734" s="30">
        <f>IF($A734="","",DATE(YEAR($A734),MONTH($A734),1))</f>
        <v/>
      </c>
      <c r="J734" s="31">
        <f>IF($A734="","",IF(OR($B734="",$C734="",$F734="",$G734=""),"Preencher tudo",IF(COUNTIF(EtapaLista,$B734)=0,"Etapa inválida","OK")))</f>
        <v/>
      </c>
    </row>
    <row r="735" spans="1:10">
      <c r="A735" s="17"/>
      <c r="B735" s="15"/>
      <c r="C735" s="15"/>
      <c r="D735" s="15"/>
      <c r="E735" s="15"/>
      <c r="F735" s="16"/>
      <c r="G735" s="27"/>
      <c r="H735" s="17"/>
      <c r="I735" s="30">
        <f>IF($A735="","",DATE(YEAR($A735),MONTH($A735),1))</f>
        <v/>
      </c>
      <c r="J735" s="31">
        <f>IF($A735="","",IF(OR($B735="",$C735="",$F735="",$G735=""),"Preencher tudo",IF(COUNTIF(EtapaLista,$B735)=0,"Etapa inválida","OK")))</f>
        <v/>
      </c>
    </row>
    <row r="736" spans="1:10">
      <c r="A736" s="17"/>
      <c r="B736" s="15"/>
      <c r="C736" s="15"/>
      <c r="D736" s="15"/>
      <c r="E736" s="15"/>
      <c r="F736" s="16"/>
      <c r="G736" s="27"/>
      <c r="H736" s="17"/>
      <c r="I736" s="30">
        <f>IF($A736="","",DATE(YEAR($A736),MONTH($A736),1))</f>
        <v/>
      </c>
      <c r="J736" s="31">
        <f>IF($A736="","",IF(OR($B736="",$C736="",$F736="",$G736=""),"Preencher tudo",IF(COUNTIF(EtapaLista,$B736)=0,"Etapa inválida","OK")))</f>
        <v/>
      </c>
    </row>
    <row r="737" spans="1:10">
      <c r="A737" s="17"/>
      <c r="B737" s="15"/>
      <c r="C737" s="15"/>
      <c r="D737" s="15"/>
      <c r="E737" s="15"/>
      <c r="F737" s="16"/>
      <c r="G737" s="27"/>
      <c r="H737" s="17"/>
      <c r="I737" s="30">
        <f>IF($A737="","",DATE(YEAR($A737),MONTH($A737),1))</f>
        <v/>
      </c>
      <c r="J737" s="31">
        <f>IF($A737="","",IF(OR($B737="",$C737="",$F737="",$G737=""),"Preencher tudo",IF(COUNTIF(EtapaLista,$B737)=0,"Etapa inválida","OK")))</f>
        <v/>
      </c>
    </row>
    <row r="738" spans="1:10">
      <c r="A738" s="17"/>
      <c r="B738" s="15"/>
      <c r="C738" s="15"/>
      <c r="D738" s="15"/>
      <c r="E738" s="15"/>
      <c r="F738" s="16"/>
      <c r="G738" s="27"/>
      <c r="H738" s="17"/>
      <c r="I738" s="30">
        <f>IF($A738="","",DATE(YEAR($A738),MONTH($A738),1))</f>
        <v/>
      </c>
      <c r="J738" s="31">
        <f>IF($A738="","",IF(OR($B738="",$C738="",$F738="",$G738=""),"Preencher tudo",IF(COUNTIF(EtapaLista,$B738)=0,"Etapa inválida","OK")))</f>
        <v/>
      </c>
    </row>
    <row r="739" spans="1:10">
      <c r="A739" s="17"/>
      <c r="B739" s="15"/>
      <c r="C739" s="15"/>
      <c r="D739" s="15"/>
      <c r="E739" s="15"/>
      <c r="F739" s="16"/>
      <c r="G739" s="27"/>
      <c r="H739" s="17"/>
      <c r="I739" s="30">
        <f>IF($A739="","",DATE(YEAR($A739),MONTH($A739),1))</f>
        <v/>
      </c>
      <c r="J739" s="31">
        <f>IF($A739="","",IF(OR($B739="",$C739="",$F739="",$G739=""),"Preencher tudo",IF(COUNTIF(EtapaLista,$B739)=0,"Etapa inválida","OK")))</f>
        <v/>
      </c>
    </row>
    <row r="740" spans="1:10">
      <c r="A740" s="17"/>
      <c r="B740" s="15"/>
      <c r="C740" s="15"/>
      <c r="D740" s="15"/>
      <c r="E740" s="15"/>
      <c r="F740" s="16"/>
      <c r="G740" s="27"/>
      <c r="H740" s="17"/>
      <c r="I740" s="30">
        <f>IF($A740="","",DATE(YEAR($A740),MONTH($A740),1))</f>
        <v/>
      </c>
      <c r="J740" s="31">
        <f>IF($A740="","",IF(OR($B740="",$C740="",$F740="",$G740=""),"Preencher tudo",IF(COUNTIF(EtapaLista,$B740)=0,"Etapa inválida","OK")))</f>
        <v/>
      </c>
    </row>
    <row r="741" spans="1:10">
      <c r="A741" s="17"/>
      <c r="B741" s="15"/>
      <c r="C741" s="15"/>
      <c r="D741" s="15"/>
      <c r="E741" s="15"/>
      <c r="F741" s="16"/>
      <c r="G741" s="27"/>
      <c r="H741" s="17"/>
      <c r="I741" s="30">
        <f>IF($A741="","",DATE(YEAR($A741),MONTH($A741),1))</f>
        <v/>
      </c>
      <c r="J741" s="31">
        <f>IF($A741="","",IF(OR($B741="",$C741="",$F741="",$G741=""),"Preencher tudo",IF(COUNTIF(EtapaLista,$B741)=0,"Etapa inválida","OK")))</f>
        <v/>
      </c>
    </row>
    <row r="742" spans="1:10">
      <c r="A742" s="17"/>
      <c r="B742" s="15"/>
      <c r="C742" s="15"/>
      <c r="D742" s="15"/>
      <c r="E742" s="15"/>
      <c r="F742" s="16"/>
      <c r="G742" s="27"/>
      <c r="H742" s="17"/>
      <c r="I742" s="30">
        <f>IF($A742="","",DATE(YEAR($A742),MONTH($A742),1))</f>
        <v/>
      </c>
      <c r="J742" s="31">
        <f>IF($A742="","",IF(OR($B742="",$C742="",$F742="",$G742=""),"Preencher tudo",IF(COUNTIF(EtapaLista,$B742)=0,"Etapa inválida","OK")))</f>
        <v/>
      </c>
    </row>
    <row r="743" spans="1:10">
      <c r="A743" s="17"/>
      <c r="B743" s="15"/>
      <c r="C743" s="15"/>
      <c r="D743" s="15"/>
      <c r="E743" s="15"/>
      <c r="F743" s="16"/>
      <c r="G743" s="27"/>
      <c r="H743" s="17"/>
      <c r="I743" s="30">
        <f>IF($A743="","",DATE(YEAR($A743),MONTH($A743),1))</f>
        <v/>
      </c>
      <c r="J743" s="31">
        <f>IF($A743="","",IF(OR($B743="",$C743="",$F743="",$G743=""),"Preencher tudo",IF(COUNTIF(EtapaLista,$B743)=0,"Etapa inválida","OK")))</f>
        <v/>
      </c>
    </row>
    <row r="744" spans="1:10">
      <c r="A744" s="17"/>
      <c r="B744" s="15"/>
      <c r="C744" s="15"/>
      <c r="D744" s="15"/>
      <c r="E744" s="15"/>
      <c r="F744" s="16"/>
      <c r="G744" s="27"/>
      <c r="H744" s="17"/>
      <c r="I744" s="30">
        <f>IF($A744="","",DATE(YEAR($A744),MONTH($A744),1))</f>
        <v/>
      </c>
      <c r="J744" s="31">
        <f>IF($A744="","",IF(OR($B744="",$C744="",$F744="",$G744=""),"Preencher tudo",IF(COUNTIF(EtapaLista,$B744)=0,"Etapa inválida","OK")))</f>
        <v/>
      </c>
    </row>
    <row r="745" spans="1:10">
      <c r="A745" s="17"/>
      <c r="B745" s="15"/>
      <c r="C745" s="15"/>
      <c r="D745" s="15"/>
      <c r="E745" s="15"/>
      <c r="F745" s="16"/>
      <c r="G745" s="27"/>
      <c r="H745" s="17"/>
      <c r="I745" s="30">
        <f>IF($A745="","",DATE(YEAR($A745),MONTH($A745),1))</f>
        <v/>
      </c>
      <c r="J745" s="31">
        <f>IF($A745="","",IF(OR($B745="",$C745="",$F745="",$G745=""),"Preencher tudo",IF(COUNTIF(EtapaLista,$B745)=0,"Etapa inválida","OK")))</f>
        <v/>
      </c>
    </row>
    <row r="746" spans="1:10">
      <c r="A746" s="17"/>
      <c r="B746" s="15"/>
      <c r="C746" s="15"/>
      <c r="D746" s="15"/>
      <c r="E746" s="15"/>
      <c r="F746" s="16"/>
      <c r="G746" s="27"/>
      <c r="H746" s="17"/>
      <c r="I746" s="30">
        <f>IF($A746="","",DATE(YEAR($A746),MONTH($A746),1))</f>
        <v/>
      </c>
      <c r="J746" s="31">
        <f>IF($A746="","",IF(OR($B746="",$C746="",$F746="",$G746=""),"Preencher tudo",IF(COUNTIF(EtapaLista,$B746)=0,"Etapa inválida","OK")))</f>
        <v/>
      </c>
    </row>
    <row r="747" spans="1:10">
      <c r="A747" s="17"/>
      <c r="B747" s="15"/>
      <c r="C747" s="15"/>
      <c r="D747" s="15"/>
      <c r="E747" s="15"/>
      <c r="F747" s="16"/>
      <c r="G747" s="27"/>
      <c r="H747" s="17"/>
      <c r="I747" s="30">
        <f>IF($A747="","",DATE(YEAR($A747),MONTH($A747),1))</f>
        <v/>
      </c>
      <c r="J747" s="31">
        <f>IF($A747="","",IF(OR($B747="",$C747="",$F747="",$G747=""),"Preencher tudo",IF(COUNTIF(EtapaLista,$B747)=0,"Etapa inválida","OK")))</f>
        <v/>
      </c>
    </row>
    <row r="748" spans="1:10">
      <c r="A748" s="17"/>
      <c r="B748" s="15"/>
      <c r="C748" s="15"/>
      <c r="D748" s="15"/>
      <c r="E748" s="15"/>
      <c r="F748" s="16"/>
      <c r="G748" s="27"/>
      <c r="H748" s="17"/>
      <c r="I748" s="30">
        <f>IF($A748="","",DATE(YEAR($A748),MONTH($A748),1))</f>
        <v/>
      </c>
      <c r="J748" s="31">
        <f>IF($A748="","",IF(OR($B748="",$C748="",$F748="",$G748=""),"Preencher tudo",IF(COUNTIF(EtapaLista,$B748)=0,"Etapa inválida","OK")))</f>
        <v/>
      </c>
    </row>
    <row r="749" spans="1:10">
      <c r="A749" s="17"/>
      <c r="B749" s="15"/>
      <c r="C749" s="15"/>
      <c r="D749" s="15"/>
      <c r="E749" s="15"/>
      <c r="F749" s="16"/>
      <c r="G749" s="27"/>
      <c r="H749" s="17"/>
      <c r="I749" s="30">
        <f>IF($A749="","",DATE(YEAR($A749),MONTH($A749),1))</f>
        <v/>
      </c>
      <c r="J749" s="31">
        <f>IF($A749="","",IF(OR($B749="",$C749="",$F749="",$G749=""),"Preencher tudo",IF(COUNTIF(EtapaLista,$B749)=0,"Etapa inválida","OK")))</f>
        <v/>
      </c>
    </row>
    <row r="750" spans="1:10">
      <c r="A750" s="17"/>
      <c r="B750" s="15"/>
      <c r="C750" s="15"/>
      <c r="D750" s="15"/>
      <c r="E750" s="15"/>
      <c r="F750" s="16"/>
      <c r="G750" s="27"/>
      <c r="H750" s="17"/>
      <c r="I750" s="30">
        <f>IF($A750="","",DATE(YEAR($A750),MONTH($A750),1))</f>
        <v/>
      </c>
      <c r="J750" s="31">
        <f>IF($A750="","",IF(OR($B750="",$C750="",$F750="",$G750=""),"Preencher tudo",IF(COUNTIF(EtapaLista,$B750)=0,"Etapa inválida","OK")))</f>
        <v/>
      </c>
    </row>
    <row r="751" spans="1:10">
      <c r="A751" s="17"/>
      <c r="B751" s="15"/>
      <c r="C751" s="15"/>
      <c r="D751" s="15"/>
      <c r="E751" s="15"/>
      <c r="F751" s="16"/>
      <c r="G751" s="27"/>
      <c r="H751" s="17"/>
      <c r="I751" s="30">
        <f>IF($A751="","",DATE(YEAR($A751),MONTH($A751),1))</f>
        <v/>
      </c>
      <c r="J751" s="31">
        <f>IF($A751="","",IF(OR($B751="",$C751="",$F751="",$G751=""),"Preencher tudo",IF(COUNTIF(EtapaLista,$B751)=0,"Etapa inválida","OK")))</f>
        <v/>
      </c>
    </row>
    <row r="752" spans="1:10">
      <c r="A752" s="17"/>
      <c r="B752" s="15"/>
      <c r="C752" s="15"/>
      <c r="D752" s="15"/>
      <c r="E752" s="15"/>
      <c r="F752" s="16"/>
      <c r="G752" s="27"/>
      <c r="H752" s="17"/>
      <c r="I752" s="30">
        <f>IF($A752="","",DATE(YEAR($A752),MONTH($A752),1))</f>
        <v/>
      </c>
      <c r="J752" s="31">
        <f>IF($A752="","",IF(OR($B752="",$C752="",$F752="",$G752=""),"Preencher tudo",IF(COUNTIF(EtapaLista,$B752)=0,"Etapa inválida","OK")))</f>
        <v/>
      </c>
    </row>
    <row r="753" spans="1:10">
      <c r="A753" s="17"/>
      <c r="B753" s="15"/>
      <c r="C753" s="15"/>
      <c r="D753" s="15"/>
      <c r="E753" s="15"/>
      <c r="F753" s="16"/>
      <c r="G753" s="27"/>
      <c r="H753" s="17"/>
      <c r="I753" s="30">
        <f>IF($A753="","",DATE(YEAR($A753),MONTH($A753),1))</f>
        <v/>
      </c>
      <c r="J753" s="31">
        <f>IF($A753="","",IF(OR($B753="",$C753="",$F753="",$G753=""),"Preencher tudo",IF(COUNTIF(EtapaLista,$B753)=0,"Etapa inválida","OK")))</f>
        <v/>
      </c>
    </row>
    <row r="754" spans="1:10">
      <c r="A754" s="17"/>
      <c r="B754" s="15"/>
      <c r="C754" s="15"/>
      <c r="D754" s="15"/>
      <c r="E754" s="15"/>
      <c r="F754" s="16"/>
      <c r="G754" s="27"/>
      <c r="H754" s="17"/>
      <c r="I754" s="30">
        <f>IF($A754="","",DATE(YEAR($A754),MONTH($A754),1))</f>
        <v/>
      </c>
      <c r="J754" s="31">
        <f>IF($A754="","",IF(OR($B754="",$C754="",$F754="",$G754=""),"Preencher tudo",IF(COUNTIF(EtapaLista,$B754)=0,"Etapa inválida","OK")))</f>
        <v/>
      </c>
    </row>
    <row r="755" spans="1:10">
      <c r="A755" s="17"/>
      <c r="B755" s="15"/>
      <c r="C755" s="15"/>
      <c r="D755" s="15"/>
      <c r="E755" s="15"/>
      <c r="F755" s="16"/>
      <c r="G755" s="27"/>
      <c r="H755" s="17"/>
      <c r="I755" s="30">
        <f>IF($A755="","",DATE(YEAR($A755),MONTH($A755),1))</f>
        <v/>
      </c>
      <c r="J755" s="31">
        <f>IF($A755="","",IF(OR($B755="",$C755="",$F755="",$G755=""),"Preencher tudo",IF(COUNTIF(EtapaLista,$B755)=0,"Etapa inválida","OK")))</f>
        <v/>
      </c>
    </row>
    <row r="756" spans="1:10">
      <c r="A756" s="17"/>
      <c r="B756" s="15"/>
      <c r="C756" s="15"/>
      <c r="D756" s="15"/>
      <c r="E756" s="15"/>
      <c r="F756" s="16"/>
      <c r="G756" s="27"/>
      <c r="H756" s="17"/>
      <c r="I756" s="30">
        <f>IF($A756="","",DATE(YEAR($A756),MONTH($A756),1))</f>
        <v/>
      </c>
      <c r="J756" s="31">
        <f>IF($A756="","",IF(OR($B756="",$C756="",$F756="",$G756=""),"Preencher tudo",IF(COUNTIF(EtapaLista,$B756)=0,"Etapa inválida","OK")))</f>
        <v/>
      </c>
    </row>
    <row r="757" spans="1:10">
      <c r="A757" s="17"/>
      <c r="B757" s="15"/>
      <c r="C757" s="15"/>
      <c r="D757" s="15"/>
      <c r="E757" s="15"/>
      <c r="F757" s="16"/>
      <c r="G757" s="27"/>
      <c r="H757" s="17"/>
      <c r="I757" s="30">
        <f>IF($A757="","",DATE(YEAR($A757),MONTH($A757),1))</f>
        <v/>
      </c>
      <c r="J757" s="31">
        <f>IF($A757="","",IF(OR($B757="",$C757="",$F757="",$G757=""),"Preencher tudo",IF(COUNTIF(EtapaLista,$B757)=0,"Etapa inválida","OK")))</f>
        <v/>
      </c>
    </row>
    <row r="758" spans="1:10">
      <c r="A758" s="17"/>
      <c r="B758" s="15"/>
      <c r="C758" s="15"/>
      <c r="D758" s="15"/>
      <c r="E758" s="15"/>
      <c r="F758" s="16"/>
      <c r="G758" s="27"/>
      <c r="H758" s="17"/>
      <c r="I758" s="30">
        <f>IF($A758="","",DATE(YEAR($A758),MONTH($A758),1))</f>
        <v/>
      </c>
      <c r="J758" s="31">
        <f>IF($A758="","",IF(OR($B758="",$C758="",$F758="",$G758=""),"Preencher tudo",IF(COUNTIF(EtapaLista,$B758)=0,"Etapa inválida","OK")))</f>
        <v/>
      </c>
    </row>
    <row r="759" spans="1:10">
      <c r="A759" s="17"/>
      <c r="B759" s="15"/>
      <c r="C759" s="15"/>
      <c r="D759" s="15"/>
      <c r="E759" s="15"/>
      <c r="F759" s="16"/>
      <c r="G759" s="27"/>
      <c r="H759" s="17"/>
      <c r="I759" s="30">
        <f>IF($A759="","",DATE(YEAR($A759),MONTH($A759),1))</f>
        <v/>
      </c>
      <c r="J759" s="31">
        <f>IF($A759="","",IF(OR($B759="",$C759="",$F759="",$G759=""),"Preencher tudo",IF(COUNTIF(EtapaLista,$B759)=0,"Etapa inválida","OK")))</f>
        <v/>
      </c>
    </row>
    <row r="760" spans="1:10">
      <c r="A760" s="17"/>
      <c r="B760" s="15"/>
      <c r="C760" s="15"/>
      <c r="D760" s="15"/>
      <c r="E760" s="15"/>
      <c r="F760" s="16"/>
      <c r="G760" s="27"/>
      <c r="H760" s="17"/>
      <c r="I760" s="30">
        <f>IF($A760="","",DATE(YEAR($A760),MONTH($A760),1))</f>
        <v/>
      </c>
      <c r="J760" s="31">
        <f>IF($A760="","",IF(OR($B760="",$C760="",$F760="",$G760=""),"Preencher tudo",IF(COUNTIF(EtapaLista,$B760)=0,"Etapa inválida","OK")))</f>
        <v/>
      </c>
    </row>
    <row r="761" spans="1:10">
      <c r="A761" s="17"/>
      <c r="B761" s="15"/>
      <c r="C761" s="15"/>
      <c r="D761" s="15"/>
      <c r="E761" s="15"/>
      <c r="F761" s="16"/>
      <c r="G761" s="27"/>
      <c r="H761" s="17"/>
      <c r="I761" s="30">
        <f>IF($A761="","",DATE(YEAR($A761),MONTH($A761),1))</f>
        <v/>
      </c>
      <c r="J761" s="31">
        <f>IF($A761="","",IF(OR($B761="",$C761="",$F761="",$G761=""),"Preencher tudo",IF(COUNTIF(EtapaLista,$B761)=0,"Etapa inválida","OK")))</f>
        <v/>
      </c>
    </row>
    <row r="762" spans="1:10">
      <c r="A762" s="17"/>
      <c r="B762" s="15"/>
      <c r="C762" s="15"/>
      <c r="D762" s="15"/>
      <c r="E762" s="15"/>
      <c r="F762" s="16"/>
      <c r="G762" s="27"/>
      <c r="H762" s="17"/>
      <c r="I762" s="30">
        <f>IF($A762="","",DATE(YEAR($A762),MONTH($A762),1))</f>
        <v/>
      </c>
      <c r="J762" s="31">
        <f>IF($A762="","",IF(OR($B762="",$C762="",$F762="",$G762=""),"Preencher tudo",IF(COUNTIF(EtapaLista,$B762)=0,"Etapa inválida","OK")))</f>
        <v/>
      </c>
    </row>
    <row r="763" spans="1:10">
      <c r="A763" s="17"/>
      <c r="B763" s="15"/>
      <c r="C763" s="15"/>
      <c r="D763" s="15"/>
      <c r="E763" s="15"/>
      <c r="F763" s="16"/>
      <c r="G763" s="27"/>
      <c r="H763" s="17"/>
      <c r="I763" s="30">
        <f>IF($A763="","",DATE(YEAR($A763),MONTH($A763),1))</f>
        <v/>
      </c>
      <c r="J763" s="31">
        <f>IF($A763="","",IF(OR($B763="",$C763="",$F763="",$G763=""),"Preencher tudo",IF(COUNTIF(EtapaLista,$B763)=0,"Etapa inválida","OK")))</f>
        <v/>
      </c>
    </row>
    <row r="764" spans="1:10">
      <c r="A764" s="17"/>
      <c r="B764" s="15"/>
      <c r="C764" s="15"/>
      <c r="D764" s="15"/>
      <c r="E764" s="15"/>
      <c r="F764" s="16"/>
      <c r="G764" s="27"/>
      <c r="H764" s="17"/>
      <c r="I764" s="30">
        <f>IF($A764="","",DATE(YEAR($A764),MONTH($A764),1))</f>
        <v/>
      </c>
      <c r="J764" s="31">
        <f>IF($A764="","",IF(OR($B764="",$C764="",$F764="",$G764=""),"Preencher tudo",IF(COUNTIF(EtapaLista,$B764)=0,"Etapa inválida","OK")))</f>
        <v/>
      </c>
    </row>
    <row r="765" spans="1:10">
      <c r="A765" s="17"/>
      <c r="B765" s="15"/>
      <c r="C765" s="15"/>
      <c r="D765" s="15"/>
      <c r="E765" s="15"/>
      <c r="F765" s="16"/>
      <c r="G765" s="27"/>
      <c r="H765" s="17"/>
      <c r="I765" s="30">
        <f>IF($A765="","",DATE(YEAR($A765),MONTH($A765),1))</f>
        <v/>
      </c>
      <c r="J765" s="31">
        <f>IF($A765="","",IF(OR($B765="",$C765="",$F765="",$G765=""),"Preencher tudo",IF(COUNTIF(EtapaLista,$B765)=0,"Etapa inválida","OK")))</f>
        <v/>
      </c>
    </row>
    <row r="766" spans="1:10">
      <c r="A766" s="17"/>
      <c r="B766" s="15"/>
      <c r="C766" s="15"/>
      <c r="D766" s="15"/>
      <c r="E766" s="15"/>
      <c r="F766" s="16"/>
      <c r="G766" s="27"/>
      <c r="H766" s="17"/>
      <c r="I766" s="30">
        <f>IF($A766="","",DATE(YEAR($A766),MONTH($A766),1))</f>
        <v/>
      </c>
      <c r="J766" s="31">
        <f>IF($A766="","",IF(OR($B766="",$C766="",$F766="",$G766=""),"Preencher tudo",IF(COUNTIF(EtapaLista,$B766)=0,"Etapa inválida","OK")))</f>
        <v/>
      </c>
    </row>
    <row r="767" spans="1:10">
      <c r="A767" s="17"/>
      <c r="B767" s="15"/>
      <c r="C767" s="15"/>
      <c r="D767" s="15"/>
      <c r="E767" s="15"/>
      <c r="F767" s="16"/>
      <c r="G767" s="27"/>
      <c r="H767" s="17"/>
      <c r="I767" s="30">
        <f>IF($A767="","",DATE(YEAR($A767),MONTH($A767),1))</f>
        <v/>
      </c>
      <c r="J767" s="31">
        <f>IF($A767="","",IF(OR($B767="",$C767="",$F767="",$G767=""),"Preencher tudo",IF(COUNTIF(EtapaLista,$B767)=0,"Etapa inválida","OK")))</f>
        <v/>
      </c>
    </row>
    <row r="768" spans="1:10">
      <c r="A768" s="17"/>
      <c r="B768" s="15"/>
      <c r="C768" s="15"/>
      <c r="D768" s="15"/>
      <c r="E768" s="15"/>
      <c r="F768" s="16"/>
      <c r="G768" s="27"/>
      <c r="H768" s="17"/>
      <c r="I768" s="30">
        <f>IF($A768="","",DATE(YEAR($A768),MONTH($A768),1))</f>
        <v/>
      </c>
      <c r="J768" s="31">
        <f>IF($A768="","",IF(OR($B768="",$C768="",$F768="",$G768=""),"Preencher tudo",IF(COUNTIF(EtapaLista,$B768)=0,"Etapa inválida","OK")))</f>
        <v/>
      </c>
    </row>
    <row r="769" spans="1:10">
      <c r="A769" s="17"/>
      <c r="B769" s="15"/>
      <c r="C769" s="15"/>
      <c r="D769" s="15"/>
      <c r="E769" s="15"/>
      <c r="F769" s="16"/>
      <c r="G769" s="27"/>
      <c r="H769" s="17"/>
      <c r="I769" s="30">
        <f>IF($A769="","",DATE(YEAR($A769),MONTH($A769),1))</f>
        <v/>
      </c>
      <c r="J769" s="31">
        <f>IF($A769="","",IF(OR($B769="",$C769="",$F769="",$G769=""),"Preencher tudo",IF(COUNTIF(EtapaLista,$B769)=0,"Etapa inválida","OK")))</f>
        <v/>
      </c>
    </row>
    <row r="770" spans="1:10">
      <c r="A770" s="17"/>
      <c r="B770" s="15"/>
      <c r="C770" s="15"/>
      <c r="D770" s="15"/>
      <c r="E770" s="15"/>
      <c r="F770" s="16"/>
      <c r="G770" s="27"/>
      <c r="H770" s="17"/>
      <c r="I770" s="30">
        <f>IF($A770="","",DATE(YEAR($A770),MONTH($A770),1))</f>
        <v/>
      </c>
      <c r="J770" s="31">
        <f>IF($A770="","",IF(OR($B770="",$C770="",$F770="",$G770=""),"Preencher tudo",IF(COUNTIF(EtapaLista,$B770)=0,"Etapa inválida","OK")))</f>
        <v/>
      </c>
    </row>
    <row r="771" spans="1:10">
      <c r="A771" s="17"/>
      <c r="B771" s="15"/>
      <c r="C771" s="15"/>
      <c r="D771" s="15"/>
      <c r="E771" s="15"/>
      <c r="F771" s="16"/>
      <c r="G771" s="27"/>
      <c r="H771" s="17"/>
      <c r="I771" s="30">
        <f>IF($A771="","",DATE(YEAR($A771),MONTH($A771),1))</f>
        <v/>
      </c>
      <c r="J771" s="31">
        <f>IF($A771="","",IF(OR($B771="",$C771="",$F771="",$G771=""),"Preencher tudo",IF(COUNTIF(EtapaLista,$B771)=0,"Etapa inválida","OK")))</f>
        <v/>
      </c>
    </row>
    <row r="772" spans="1:10">
      <c r="A772" s="17"/>
      <c r="B772" s="15"/>
      <c r="C772" s="15"/>
      <c r="D772" s="15"/>
      <c r="E772" s="15"/>
      <c r="F772" s="16"/>
      <c r="G772" s="27"/>
      <c r="H772" s="17"/>
      <c r="I772" s="30">
        <f>IF($A772="","",DATE(YEAR($A772),MONTH($A772),1))</f>
        <v/>
      </c>
      <c r="J772" s="31">
        <f>IF($A772="","",IF(OR($B772="",$C772="",$F772="",$G772=""),"Preencher tudo",IF(COUNTIF(EtapaLista,$B772)=0,"Etapa inválida","OK")))</f>
        <v/>
      </c>
    </row>
    <row r="773" spans="1:10">
      <c r="A773" s="17"/>
      <c r="B773" s="15"/>
      <c r="C773" s="15"/>
      <c r="D773" s="15"/>
      <c r="E773" s="15"/>
      <c r="F773" s="16"/>
      <c r="G773" s="27"/>
      <c r="H773" s="17"/>
      <c r="I773" s="30">
        <f>IF($A773="","",DATE(YEAR($A773),MONTH($A773),1))</f>
        <v/>
      </c>
      <c r="J773" s="31">
        <f>IF($A773="","",IF(OR($B773="",$C773="",$F773="",$G773=""),"Preencher tudo",IF(COUNTIF(EtapaLista,$B773)=0,"Etapa inválida","OK")))</f>
        <v/>
      </c>
    </row>
    <row r="774" spans="1:10">
      <c r="A774" s="17"/>
      <c r="B774" s="15"/>
      <c r="C774" s="15"/>
      <c r="D774" s="15"/>
      <c r="E774" s="15"/>
      <c r="F774" s="16"/>
      <c r="G774" s="27"/>
      <c r="H774" s="17"/>
      <c r="I774" s="30">
        <f>IF($A774="","",DATE(YEAR($A774),MONTH($A774),1))</f>
        <v/>
      </c>
      <c r="J774" s="31">
        <f>IF($A774="","",IF(OR($B774="",$C774="",$F774="",$G774=""),"Preencher tudo",IF(COUNTIF(EtapaLista,$B774)=0,"Etapa inválida","OK")))</f>
        <v/>
      </c>
    </row>
    <row r="775" spans="1:10">
      <c r="A775" s="17"/>
      <c r="B775" s="15"/>
      <c r="C775" s="15"/>
      <c r="D775" s="15"/>
      <c r="E775" s="15"/>
      <c r="F775" s="16"/>
      <c r="G775" s="27"/>
      <c r="H775" s="17"/>
      <c r="I775" s="30">
        <f>IF($A775="","",DATE(YEAR($A775),MONTH($A775),1))</f>
        <v/>
      </c>
      <c r="J775" s="31">
        <f>IF($A775="","",IF(OR($B775="",$C775="",$F775="",$G775=""),"Preencher tudo",IF(COUNTIF(EtapaLista,$B775)=0,"Etapa inválida","OK")))</f>
        <v/>
      </c>
    </row>
    <row r="776" spans="1:10">
      <c r="A776" s="17"/>
      <c r="B776" s="15"/>
      <c r="C776" s="15"/>
      <c r="D776" s="15"/>
      <c r="E776" s="15"/>
      <c r="F776" s="16"/>
      <c r="G776" s="27"/>
      <c r="H776" s="17"/>
      <c r="I776" s="30">
        <f>IF($A776="","",DATE(YEAR($A776),MONTH($A776),1))</f>
        <v/>
      </c>
      <c r="J776" s="31">
        <f>IF($A776="","",IF(OR($B776="",$C776="",$F776="",$G776=""),"Preencher tudo",IF(COUNTIF(EtapaLista,$B776)=0,"Etapa inválida","OK")))</f>
        <v/>
      </c>
    </row>
    <row r="777" spans="1:10">
      <c r="A777" s="17"/>
      <c r="B777" s="15"/>
      <c r="C777" s="15"/>
      <c r="D777" s="15"/>
      <c r="E777" s="15"/>
      <c r="F777" s="16"/>
      <c r="G777" s="27"/>
      <c r="H777" s="17"/>
      <c r="I777" s="30">
        <f>IF($A777="","",DATE(YEAR($A777),MONTH($A777),1))</f>
        <v/>
      </c>
      <c r="J777" s="31">
        <f>IF($A777="","",IF(OR($B777="",$C777="",$F777="",$G777=""),"Preencher tudo",IF(COUNTIF(EtapaLista,$B777)=0,"Etapa inválida","OK")))</f>
        <v/>
      </c>
    </row>
    <row r="778" spans="1:10">
      <c r="A778" s="17"/>
      <c r="B778" s="15"/>
      <c r="C778" s="15"/>
      <c r="D778" s="15"/>
      <c r="E778" s="15"/>
      <c r="F778" s="16"/>
      <c r="G778" s="27"/>
      <c r="H778" s="17"/>
      <c r="I778" s="30">
        <f>IF($A778="","",DATE(YEAR($A778),MONTH($A778),1))</f>
        <v/>
      </c>
      <c r="J778" s="31">
        <f>IF($A778="","",IF(OR($B778="",$C778="",$F778="",$G778=""),"Preencher tudo",IF(COUNTIF(EtapaLista,$B778)=0,"Etapa inválida","OK")))</f>
        <v/>
      </c>
    </row>
    <row r="779" spans="1:10">
      <c r="A779" s="17"/>
      <c r="B779" s="15"/>
      <c r="C779" s="15"/>
      <c r="D779" s="15"/>
      <c r="E779" s="15"/>
      <c r="F779" s="16"/>
      <c r="G779" s="27"/>
      <c r="H779" s="17"/>
      <c r="I779" s="30">
        <f>IF($A779="","",DATE(YEAR($A779),MONTH($A779),1))</f>
        <v/>
      </c>
      <c r="J779" s="31">
        <f>IF($A779="","",IF(OR($B779="",$C779="",$F779="",$G779=""),"Preencher tudo",IF(COUNTIF(EtapaLista,$B779)=0,"Etapa inválida","OK")))</f>
        <v/>
      </c>
    </row>
    <row r="780" spans="1:10">
      <c r="A780" s="17"/>
      <c r="B780" s="15"/>
      <c r="C780" s="15"/>
      <c r="D780" s="15"/>
      <c r="E780" s="15"/>
      <c r="F780" s="16"/>
      <c r="G780" s="27"/>
      <c r="H780" s="17"/>
      <c r="I780" s="30">
        <f>IF($A780="","",DATE(YEAR($A780),MONTH($A780),1))</f>
        <v/>
      </c>
      <c r="J780" s="31">
        <f>IF($A780="","",IF(OR($B780="",$C780="",$F780="",$G780=""),"Preencher tudo",IF(COUNTIF(EtapaLista,$B780)=0,"Etapa inválida","OK")))</f>
        <v/>
      </c>
    </row>
    <row r="781" spans="1:10">
      <c r="A781" s="17"/>
      <c r="B781" s="15"/>
      <c r="C781" s="15"/>
      <c r="D781" s="15"/>
      <c r="E781" s="15"/>
      <c r="F781" s="16"/>
      <c r="G781" s="27"/>
      <c r="H781" s="17"/>
      <c r="I781" s="30">
        <f>IF($A781="","",DATE(YEAR($A781),MONTH($A781),1))</f>
        <v/>
      </c>
      <c r="J781" s="31">
        <f>IF($A781="","",IF(OR($B781="",$C781="",$F781="",$G781=""),"Preencher tudo",IF(COUNTIF(EtapaLista,$B781)=0,"Etapa inválida","OK")))</f>
        <v/>
      </c>
    </row>
    <row r="782" spans="1:10">
      <c r="A782" s="17"/>
      <c r="B782" s="15"/>
      <c r="C782" s="15"/>
      <c r="D782" s="15"/>
      <c r="E782" s="15"/>
      <c r="F782" s="16"/>
      <c r="G782" s="27"/>
      <c r="H782" s="17"/>
      <c r="I782" s="30">
        <f>IF($A782="","",DATE(YEAR($A782),MONTH($A782),1))</f>
        <v/>
      </c>
      <c r="J782" s="31">
        <f>IF($A782="","",IF(OR($B782="",$C782="",$F782="",$G782=""),"Preencher tudo",IF(COUNTIF(EtapaLista,$B782)=0,"Etapa inválida","OK")))</f>
        <v/>
      </c>
    </row>
    <row r="783" spans="1:10">
      <c r="A783" s="17"/>
      <c r="B783" s="15"/>
      <c r="C783" s="15"/>
      <c r="D783" s="15"/>
      <c r="E783" s="15"/>
      <c r="F783" s="16"/>
      <c r="G783" s="27"/>
      <c r="H783" s="17"/>
      <c r="I783" s="30">
        <f>IF($A783="","",DATE(YEAR($A783),MONTH($A783),1))</f>
        <v/>
      </c>
      <c r="J783" s="31">
        <f>IF($A783="","",IF(OR($B783="",$C783="",$F783="",$G783=""),"Preencher tudo",IF(COUNTIF(EtapaLista,$B783)=0,"Etapa inválida","OK")))</f>
        <v/>
      </c>
    </row>
    <row r="784" spans="1:10">
      <c r="A784" s="17"/>
      <c r="B784" s="15"/>
      <c r="C784" s="15"/>
      <c r="D784" s="15"/>
      <c r="E784" s="15"/>
      <c r="F784" s="16"/>
      <c r="G784" s="27"/>
      <c r="H784" s="17"/>
      <c r="I784" s="30">
        <f>IF($A784="","",DATE(YEAR($A784),MONTH($A784),1))</f>
        <v/>
      </c>
      <c r="J784" s="31">
        <f>IF($A784="","",IF(OR($B784="",$C784="",$F784="",$G784=""),"Preencher tudo",IF(COUNTIF(EtapaLista,$B784)=0,"Etapa inválida","OK")))</f>
        <v/>
      </c>
    </row>
    <row r="785" spans="1:10">
      <c r="A785" s="17"/>
      <c r="B785" s="15"/>
      <c r="C785" s="15"/>
      <c r="D785" s="15"/>
      <c r="E785" s="15"/>
      <c r="F785" s="16"/>
      <c r="G785" s="27"/>
      <c r="H785" s="17"/>
      <c r="I785" s="30">
        <f>IF($A785="","",DATE(YEAR($A785),MONTH($A785),1))</f>
        <v/>
      </c>
      <c r="J785" s="31">
        <f>IF($A785="","",IF(OR($B785="",$C785="",$F785="",$G785=""),"Preencher tudo",IF(COUNTIF(EtapaLista,$B785)=0,"Etapa inválida","OK")))</f>
        <v/>
      </c>
    </row>
    <row r="786" spans="1:10">
      <c r="A786" s="17"/>
      <c r="B786" s="15"/>
      <c r="C786" s="15"/>
      <c r="D786" s="15"/>
      <c r="E786" s="15"/>
      <c r="F786" s="16"/>
      <c r="G786" s="27"/>
      <c r="H786" s="17"/>
      <c r="I786" s="30">
        <f>IF($A786="","",DATE(YEAR($A786),MONTH($A786),1))</f>
        <v/>
      </c>
      <c r="J786" s="31">
        <f>IF($A786="","",IF(OR($B786="",$C786="",$F786="",$G786=""),"Preencher tudo",IF(COUNTIF(EtapaLista,$B786)=0,"Etapa inválida","OK")))</f>
        <v/>
      </c>
    </row>
    <row r="787" spans="1:10">
      <c r="A787" s="17"/>
      <c r="B787" s="15"/>
      <c r="C787" s="15"/>
      <c r="D787" s="15"/>
      <c r="E787" s="15"/>
      <c r="F787" s="16"/>
      <c r="G787" s="27"/>
      <c r="H787" s="17"/>
      <c r="I787" s="30">
        <f>IF($A787="","",DATE(YEAR($A787),MONTH($A787),1))</f>
        <v/>
      </c>
      <c r="J787" s="31">
        <f>IF($A787="","",IF(OR($B787="",$C787="",$F787="",$G787=""),"Preencher tudo",IF(COUNTIF(EtapaLista,$B787)=0,"Etapa inválida","OK")))</f>
        <v/>
      </c>
    </row>
    <row r="788" spans="1:10">
      <c r="A788" s="17"/>
      <c r="B788" s="15"/>
      <c r="C788" s="15"/>
      <c r="D788" s="15"/>
      <c r="E788" s="15"/>
      <c r="F788" s="16"/>
      <c r="G788" s="27"/>
      <c r="H788" s="17"/>
      <c r="I788" s="30">
        <f>IF($A788="","",DATE(YEAR($A788),MONTH($A788),1))</f>
        <v/>
      </c>
      <c r="J788" s="31">
        <f>IF($A788="","",IF(OR($B788="",$C788="",$F788="",$G788=""),"Preencher tudo",IF(COUNTIF(EtapaLista,$B788)=0,"Etapa inválida","OK")))</f>
        <v/>
      </c>
    </row>
    <row r="789" spans="1:10">
      <c r="A789" s="17"/>
      <c r="B789" s="15"/>
      <c r="C789" s="15"/>
      <c r="D789" s="15"/>
      <c r="E789" s="15"/>
      <c r="F789" s="16"/>
      <c r="G789" s="27"/>
      <c r="H789" s="17"/>
      <c r="I789" s="30">
        <f>IF($A789="","",DATE(YEAR($A789),MONTH($A789),1))</f>
        <v/>
      </c>
      <c r="J789" s="31">
        <f>IF($A789="","",IF(OR($B789="",$C789="",$F789="",$G789=""),"Preencher tudo",IF(COUNTIF(EtapaLista,$B789)=0,"Etapa inválida","OK")))</f>
        <v/>
      </c>
    </row>
    <row r="790" spans="1:10">
      <c r="A790" s="17"/>
      <c r="B790" s="15"/>
      <c r="C790" s="15"/>
      <c r="D790" s="15"/>
      <c r="E790" s="15"/>
      <c r="F790" s="16"/>
      <c r="G790" s="27"/>
      <c r="H790" s="17"/>
      <c r="I790" s="30">
        <f>IF($A790="","",DATE(YEAR($A790),MONTH($A790),1))</f>
        <v/>
      </c>
      <c r="J790" s="31">
        <f>IF($A790="","",IF(OR($B790="",$C790="",$F790="",$G790=""),"Preencher tudo",IF(COUNTIF(EtapaLista,$B790)=0,"Etapa inválida","OK")))</f>
        <v/>
      </c>
    </row>
    <row r="791" spans="1:10">
      <c r="A791" s="17"/>
      <c r="B791" s="15"/>
      <c r="C791" s="15"/>
      <c r="D791" s="15"/>
      <c r="E791" s="15"/>
      <c r="F791" s="16"/>
      <c r="G791" s="27"/>
      <c r="H791" s="17"/>
      <c r="I791" s="30">
        <f>IF($A791="","",DATE(YEAR($A791),MONTH($A791),1))</f>
        <v/>
      </c>
      <c r="J791" s="31">
        <f>IF($A791="","",IF(OR($B791="",$C791="",$F791="",$G791=""),"Preencher tudo",IF(COUNTIF(EtapaLista,$B791)=0,"Etapa inválida","OK")))</f>
        <v/>
      </c>
    </row>
    <row r="792" spans="1:10">
      <c r="A792" s="17"/>
      <c r="B792" s="15"/>
      <c r="C792" s="15"/>
      <c r="D792" s="15"/>
      <c r="E792" s="15"/>
      <c r="F792" s="16"/>
      <c r="G792" s="27"/>
      <c r="H792" s="17"/>
      <c r="I792" s="30">
        <f>IF($A792="","",DATE(YEAR($A792),MONTH($A792),1))</f>
        <v/>
      </c>
      <c r="J792" s="31">
        <f>IF($A792="","",IF(OR($B792="",$C792="",$F792="",$G792=""),"Preencher tudo",IF(COUNTIF(EtapaLista,$B792)=0,"Etapa inválida","OK")))</f>
        <v/>
      </c>
    </row>
    <row r="793" spans="1:10">
      <c r="A793" s="17"/>
      <c r="B793" s="15"/>
      <c r="C793" s="15"/>
      <c r="D793" s="15"/>
      <c r="E793" s="15"/>
      <c r="F793" s="16"/>
      <c r="G793" s="27"/>
      <c r="H793" s="17"/>
      <c r="I793" s="30">
        <f>IF($A793="","",DATE(YEAR($A793),MONTH($A793),1))</f>
        <v/>
      </c>
      <c r="J793" s="31">
        <f>IF($A793="","",IF(OR($B793="",$C793="",$F793="",$G793=""),"Preencher tudo",IF(COUNTIF(EtapaLista,$B793)=0,"Etapa inválida","OK")))</f>
        <v/>
      </c>
    </row>
    <row r="794" spans="1:10">
      <c r="A794" s="17"/>
      <c r="B794" s="15"/>
      <c r="C794" s="15"/>
      <c r="D794" s="15"/>
      <c r="E794" s="15"/>
      <c r="F794" s="16"/>
      <c r="G794" s="27"/>
      <c r="H794" s="17"/>
      <c r="I794" s="30">
        <f>IF($A794="","",DATE(YEAR($A794),MONTH($A794),1))</f>
        <v/>
      </c>
      <c r="J794" s="31">
        <f>IF($A794="","",IF(OR($B794="",$C794="",$F794="",$G794=""),"Preencher tudo",IF(COUNTIF(EtapaLista,$B794)=0,"Etapa inválida","OK")))</f>
        <v/>
      </c>
    </row>
    <row r="795" spans="1:10">
      <c r="A795" s="17"/>
      <c r="B795" s="15"/>
      <c r="C795" s="15"/>
      <c r="D795" s="15"/>
      <c r="E795" s="15"/>
      <c r="F795" s="16"/>
      <c r="G795" s="27"/>
      <c r="H795" s="17"/>
      <c r="I795" s="30">
        <f>IF($A795="","",DATE(YEAR($A795),MONTH($A795),1))</f>
        <v/>
      </c>
      <c r="J795" s="31">
        <f>IF($A795="","",IF(OR($B795="",$C795="",$F795="",$G795=""),"Preencher tudo",IF(COUNTIF(EtapaLista,$B795)=0,"Etapa inválida","OK")))</f>
        <v/>
      </c>
    </row>
    <row r="796" spans="1:10">
      <c r="A796" s="17"/>
      <c r="B796" s="15"/>
      <c r="C796" s="15"/>
      <c r="D796" s="15"/>
      <c r="E796" s="15"/>
      <c r="F796" s="16"/>
      <c r="G796" s="27"/>
      <c r="H796" s="17"/>
      <c r="I796" s="30">
        <f>IF($A796="","",DATE(YEAR($A796),MONTH($A796),1))</f>
        <v/>
      </c>
      <c r="J796" s="31">
        <f>IF($A796="","",IF(OR($B796="",$C796="",$F796="",$G796=""),"Preencher tudo",IF(COUNTIF(EtapaLista,$B796)=0,"Etapa inválida","OK")))</f>
        <v/>
      </c>
    </row>
    <row r="797" spans="1:10">
      <c r="A797" s="17"/>
      <c r="B797" s="15"/>
      <c r="C797" s="15"/>
      <c r="D797" s="15"/>
      <c r="E797" s="15"/>
      <c r="F797" s="16"/>
      <c r="G797" s="27"/>
      <c r="H797" s="17"/>
      <c r="I797" s="30">
        <f>IF($A797="","",DATE(YEAR($A797),MONTH($A797),1))</f>
        <v/>
      </c>
      <c r="J797" s="31">
        <f>IF($A797="","",IF(OR($B797="",$C797="",$F797="",$G797=""),"Preencher tudo",IF(COUNTIF(EtapaLista,$B797)=0,"Etapa inválida","OK")))</f>
        <v/>
      </c>
    </row>
    <row r="798" spans="1:10">
      <c r="A798" s="17"/>
      <c r="B798" s="15"/>
      <c r="C798" s="15"/>
      <c r="D798" s="15"/>
      <c r="E798" s="15"/>
      <c r="F798" s="16"/>
      <c r="G798" s="27"/>
      <c r="H798" s="17"/>
      <c r="I798" s="30">
        <f>IF($A798="","",DATE(YEAR($A798),MONTH($A798),1))</f>
        <v/>
      </c>
      <c r="J798" s="31">
        <f>IF($A798="","",IF(OR($B798="",$C798="",$F798="",$G798=""),"Preencher tudo",IF(COUNTIF(EtapaLista,$B798)=0,"Etapa inválida","OK")))</f>
        <v/>
      </c>
    </row>
    <row r="799" spans="1:10">
      <c r="A799" s="17"/>
      <c r="B799" s="15"/>
      <c r="C799" s="15"/>
      <c r="D799" s="15"/>
      <c r="E799" s="15"/>
      <c r="F799" s="16"/>
      <c r="G799" s="27"/>
      <c r="H799" s="17"/>
      <c r="I799" s="30">
        <f>IF($A799="","",DATE(YEAR($A799),MONTH($A799),1))</f>
        <v/>
      </c>
      <c r="J799" s="31">
        <f>IF($A799="","",IF(OR($B799="",$C799="",$F799="",$G799=""),"Preencher tudo",IF(COUNTIF(EtapaLista,$B799)=0,"Etapa inválida","OK")))</f>
        <v/>
      </c>
    </row>
    <row r="800" spans="1:10">
      <c r="A800" s="17"/>
      <c r="B800" s="15"/>
      <c r="C800" s="15"/>
      <c r="D800" s="15"/>
      <c r="E800" s="15"/>
      <c r="F800" s="16"/>
      <c r="G800" s="27"/>
      <c r="H800" s="17"/>
      <c r="I800" s="30">
        <f>IF($A800="","",DATE(YEAR($A800),MONTH($A800),1))</f>
        <v/>
      </c>
      <c r="J800" s="31">
        <f>IF($A800="","",IF(OR($B800="",$C800="",$F800="",$G800=""),"Preencher tudo",IF(COUNTIF(EtapaLista,$B800)=0,"Etapa inválida","OK")))</f>
        <v/>
      </c>
    </row>
    <row r="801" spans="1:10">
      <c r="A801" s="17"/>
      <c r="B801" s="15"/>
      <c r="C801" s="15"/>
      <c r="D801" s="15"/>
      <c r="E801" s="15"/>
      <c r="F801" s="16"/>
      <c r="G801" s="27"/>
      <c r="H801" s="17"/>
      <c r="I801" s="30">
        <f>IF($A801="","",DATE(YEAR($A801),MONTH($A801),1))</f>
        <v/>
      </c>
      <c r="J801" s="31">
        <f>IF($A801="","",IF(OR($B801="",$C801="",$F801="",$G801=""),"Preencher tudo",IF(COUNTIF(EtapaLista,$B801)=0,"Etapa inválida","OK")))</f>
        <v/>
      </c>
    </row>
    <row r="802" spans="1:10">
      <c r="A802" s="17"/>
      <c r="B802" s="15"/>
      <c r="C802" s="15"/>
      <c r="D802" s="15"/>
      <c r="E802" s="15"/>
      <c r="F802" s="16"/>
      <c r="G802" s="27"/>
      <c r="H802" s="17"/>
      <c r="I802" s="30">
        <f>IF($A802="","",DATE(YEAR($A802),MONTH($A802),1))</f>
        <v/>
      </c>
      <c r="J802" s="31">
        <f>IF($A802="","",IF(OR($B802="",$C802="",$F802="",$G802=""),"Preencher tudo",IF(COUNTIF(EtapaLista,$B802)=0,"Etapa inválida","OK")))</f>
        <v/>
      </c>
    </row>
    <row r="803" spans="1:10">
      <c r="A803" s="17"/>
      <c r="B803" s="15"/>
      <c r="C803" s="15"/>
      <c r="D803" s="15"/>
      <c r="E803" s="15"/>
      <c r="F803" s="16"/>
      <c r="G803" s="27"/>
      <c r="H803" s="17"/>
      <c r="I803" s="30">
        <f>IF($A803="","",DATE(YEAR($A803),MONTH($A803),1))</f>
        <v/>
      </c>
      <c r="J803" s="31">
        <f>IF($A803="","",IF(OR($B803="",$C803="",$F803="",$G803=""),"Preencher tudo",IF(COUNTIF(EtapaLista,$B803)=0,"Etapa inválida","OK")))</f>
        <v/>
      </c>
    </row>
    <row r="804" spans="1:10">
      <c r="A804" s="17"/>
      <c r="B804" s="15"/>
      <c r="C804" s="15"/>
      <c r="D804" s="15"/>
      <c r="E804" s="15"/>
      <c r="F804" s="16"/>
      <c r="G804" s="27"/>
      <c r="H804" s="17"/>
      <c r="I804" s="30">
        <f>IF($A804="","",DATE(YEAR($A804),MONTH($A804),1))</f>
        <v/>
      </c>
      <c r="J804" s="31">
        <f>IF($A804="","",IF(OR($B804="",$C804="",$F804="",$G804=""),"Preencher tudo",IF(COUNTIF(EtapaLista,$B804)=0,"Etapa inválida","OK")))</f>
        <v/>
      </c>
    </row>
    <row r="805" spans="1:10">
      <c r="A805" s="17"/>
      <c r="B805" s="15"/>
      <c r="C805" s="15"/>
      <c r="D805" s="15"/>
      <c r="E805" s="15"/>
      <c r="F805" s="16"/>
      <c r="G805" s="27"/>
      <c r="H805" s="17"/>
      <c r="I805" s="30">
        <f>IF($A805="","",DATE(YEAR($A805),MONTH($A805),1))</f>
        <v/>
      </c>
      <c r="J805" s="31">
        <f>IF($A805="","",IF(OR($B805="",$C805="",$F805="",$G805=""),"Preencher tudo",IF(COUNTIF(EtapaLista,$B805)=0,"Etapa inválida","OK")))</f>
        <v/>
      </c>
    </row>
    <row r="806" spans="1:10">
      <c r="A806" s="17"/>
      <c r="B806" s="15"/>
      <c r="C806" s="15"/>
      <c r="D806" s="15"/>
      <c r="E806" s="15"/>
      <c r="F806" s="16"/>
      <c r="G806" s="27"/>
      <c r="H806" s="17"/>
      <c r="I806" s="30">
        <f>IF($A806="","",DATE(YEAR($A806),MONTH($A806),1))</f>
        <v/>
      </c>
      <c r="J806" s="31">
        <f>IF($A806="","",IF(OR($B806="",$C806="",$F806="",$G806=""),"Preencher tudo",IF(COUNTIF(EtapaLista,$B806)=0,"Etapa inválida","OK")))</f>
        <v/>
      </c>
    </row>
    <row r="807" spans="1:10">
      <c r="A807" s="17"/>
      <c r="B807" s="15"/>
      <c r="C807" s="15"/>
      <c r="D807" s="15"/>
      <c r="E807" s="15"/>
      <c r="F807" s="16"/>
      <c r="G807" s="27"/>
      <c r="H807" s="17"/>
      <c r="I807" s="30">
        <f>IF($A807="","",DATE(YEAR($A807),MONTH($A807),1))</f>
        <v/>
      </c>
      <c r="J807" s="31">
        <f>IF($A807="","",IF(OR($B807="",$C807="",$F807="",$G807=""),"Preencher tudo",IF(COUNTIF(EtapaLista,$B807)=0,"Etapa inválida","OK")))</f>
        <v/>
      </c>
    </row>
    <row r="808" spans="1:10">
      <c r="A808" s="17"/>
      <c r="B808" s="15"/>
      <c r="C808" s="15"/>
      <c r="D808" s="15"/>
      <c r="E808" s="15"/>
      <c r="F808" s="16"/>
      <c r="G808" s="27"/>
      <c r="H808" s="17"/>
      <c r="I808" s="30">
        <f>IF($A808="","",DATE(YEAR($A808),MONTH($A808),1))</f>
        <v/>
      </c>
      <c r="J808" s="31">
        <f>IF($A808="","",IF(OR($B808="",$C808="",$F808="",$G808=""),"Preencher tudo",IF(COUNTIF(EtapaLista,$B808)=0,"Etapa inválida","OK")))</f>
        <v/>
      </c>
    </row>
    <row r="809" spans="1:10">
      <c r="A809" s="17"/>
      <c r="B809" s="15"/>
      <c r="C809" s="15"/>
      <c r="D809" s="15"/>
      <c r="E809" s="15"/>
      <c r="F809" s="16"/>
      <c r="G809" s="27"/>
      <c r="H809" s="17"/>
      <c r="I809" s="30">
        <f>IF($A809="","",DATE(YEAR($A809),MONTH($A809),1))</f>
        <v/>
      </c>
      <c r="J809" s="31">
        <f>IF($A809="","",IF(OR($B809="",$C809="",$F809="",$G809=""),"Preencher tudo",IF(COUNTIF(EtapaLista,$B809)=0,"Etapa inválida","OK")))</f>
        <v/>
      </c>
    </row>
    <row r="810" spans="1:10">
      <c r="A810" s="17"/>
      <c r="B810" s="15"/>
      <c r="C810" s="15"/>
      <c r="D810" s="15"/>
      <c r="E810" s="15"/>
      <c r="F810" s="16"/>
      <c r="G810" s="27"/>
      <c r="H810" s="17"/>
      <c r="I810" s="30">
        <f>IF($A810="","",DATE(YEAR($A810),MONTH($A810),1))</f>
        <v/>
      </c>
      <c r="J810" s="31">
        <f>IF($A810="","",IF(OR($B810="",$C810="",$F810="",$G810=""),"Preencher tudo",IF(COUNTIF(EtapaLista,$B810)=0,"Etapa inválida","OK")))</f>
        <v/>
      </c>
    </row>
    <row r="811" spans="1:10">
      <c r="A811" s="17"/>
      <c r="B811" s="15"/>
      <c r="C811" s="15"/>
      <c r="D811" s="15"/>
      <c r="E811" s="15"/>
      <c r="F811" s="16"/>
      <c r="G811" s="27"/>
      <c r="H811" s="17"/>
      <c r="I811" s="30">
        <f>IF($A811="","",DATE(YEAR($A811),MONTH($A811),1))</f>
        <v/>
      </c>
      <c r="J811" s="31">
        <f>IF($A811="","",IF(OR($B811="",$C811="",$F811="",$G811=""),"Preencher tudo",IF(COUNTIF(EtapaLista,$B811)=0,"Etapa inválida","OK")))</f>
        <v/>
      </c>
    </row>
    <row r="812" spans="1:10">
      <c r="A812" s="17"/>
      <c r="B812" s="15"/>
      <c r="C812" s="15"/>
      <c r="D812" s="15"/>
      <c r="E812" s="15"/>
      <c r="F812" s="16"/>
      <c r="G812" s="27"/>
      <c r="H812" s="17"/>
      <c r="I812" s="30">
        <f>IF($A812="","",DATE(YEAR($A812),MONTH($A812),1))</f>
        <v/>
      </c>
      <c r="J812" s="31">
        <f>IF($A812="","",IF(OR($B812="",$C812="",$F812="",$G812=""),"Preencher tudo",IF(COUNTIF(EtapaLista,$B812)=0,"Etapa inválida","OK")))</f>
        <v/>
      </c>
    </row>
    <row r="813" spans="1:10">
      <c r="A813" s="17"/>
      <c r="B813" s="15"/>
      <c r="C813" s="15"/>
      <c r="D813" s="15"/>
      <c r="E813" s="15"/>
      <c r="F813" s="16"/>
      <c r="G813" s="27"/>
      <c r="H813" s="17"/>
      <c r="I813" s="30">
        <f>IF($A813="","",DATE(YEAR($A813),MONTH($A813),1))</f>
        <v/>
      </c>
      <c r="J813" s="31">
        <f>IF($A813="","",IF(OR($B813="",$C813="",$F813="",$G813=""),"Preencher tudo",IF(COUNTIF(EtapaLista,$B813)=0,"Etapa inválida","OK")))</f>
        <v/>
      </c>
    </row>
    <row r="814" spans="1:10">
      <c r="A814" s="17"/>
      <c r="B814" s="15"/>
      <c r="C814" s="15"/>
      <c r="D814" s="15"/>
      <c r="E814" s="15"/>
      <c r="F814" s="16"/>
      <c r="G814" s="27"/>
      <c r="H814" s="17"/>
      <c r="I814" s="30">
        <f>IF($A814="","",DATE(YEAR($A814),MONTH($A814),1))</f>
        <v/>
      </c>
      <c r="J814" s="31">
        <f>IF($A814="","",IF(OR($B814="",$C814="",$F814="",$G814=""),"Preencher tudo",IF(COUNTIF(EtapaLista,$B814)=0,"Etapa inválida","OK")))</f>
        <v/>
      </c>
    </row>
    <row r="815" spans="1:10">
      <c r="A815" s="17"/>
      <c r="B815" s="15"/>
      <c r="C815" s="15"/>
      <c r="D815" s="15"/>
      <c r="E815" s="15"/>
      <c r="F815" s="16"/>
      <c r="G815" s="27"/>
      <c r="H815" s="17"/>
      <c r="I815" s="30">
        <f>IF($A815="","",DATE(YEAR($A815),MONTH($A815),1))</f>
        <v/>
      </c>
      <c r="J815" s="31">
        <f>IF($A815="","",IF(OR($B815="",$C815="",$F815="",$G815=""),"Preencher tudo",IF(COUNTIF(EtapaLista,$B815)=0,"Etapa inválida","OK")))</f>
        <v/>
      </c>
    </row>
    <row r="816" spans="1:10">
      <c r="A816" s="17"/>
      <c r="B816" s="15"/>
      <c r="C816" s="15"/>
      <c r="D816" s="15"/>
      <c r="E816" s="15"/>
      <c r="F816" s="16"/>
      <c r="G816" s="27"/>
      <c r="H816" s="17"/>
      <c r="I816" s="30">
        <f>IF($A816="","",DATE(YEAR($A816),MONTH($A816),1))</f>
        <v/>
      </c>
      <c r="J816" s="31">
        <f>IF($A816="","",IF(OR($B816="",$C816="",$F816="",$G816=""),"Preencher tudo",IF(COUNTIF(EtapaLista,$B816)=0,"Etapa inválida","OK")))</f>
        <v/>
      </c>
    </row>
    <row r="817" spans="1:10">
      <c r="A817" s="17"/>
      <c r="B817" s="15"/>
      <c r="C817" s="15"/>
      <c r="D817" s="15"/>
      <c r="E817" s="15"/>
      <c r="F817" s="16"/>
      <c r="G817" s="27"/>
      <c r="H817" s="17"/>
      <c r="I817" s="30">
        <f>IF($A817="","",DATE(YEAR($A817),MONTH($A817),1))</f>
        <v/>
      </c>
      <c r="J817" s="31">
        <f>IF($A817="","",IF(OR($B817="",$C817="",$F817="",$G817=""),"Preencher tudo",IF(COUNTIF(EtapaLista,$B817)=0,"Etapa inválida","OK")))</f>
        <v/>
      </c>
    </row>
    <row r="818" spans="1:10">
      <c r="A818" s="17"/>
      <c r="B818" s="15"/>
      <c r="C818" s="15"/>
      <c r="D818" s="15"/>
      <c r="E818" s="15"/>
      <c r="F818" s="16"/>
      <c r="G818" s="27"/>
      <c r="H818" s="17"/>
      <c r="I818" s="30">
        <f>IF($A818="","",DATE(YEAR($A818),MONTH($A818),1))</f>
        <v/>
      </c>
      <c r="J818" s="31">
        <f>IF($A818="","",IF(OR($B818="",$C818="",$F818="",$G818=""),"Preencher tudo",IF(COUNTIF(EtapaLista,$B818)=0,"Etapa inválida","OK")))</f>
        <v/>
      </c>
    </row>
    <row r="819" spans="1:10">
      <c r="A819" s="17"/>
      <c r="B819" s="15"/>
      <c r="C819" s="15"/>
      <c r="D819" s="15"/>
      <c r="E819" s="15"/>
      <c r="F819" s="16"/>
      <c r="G819" s="27"/>
      <c r="H819" s="17"/>
      <c r="I819" s="30">
        <f>IF($A819="","",DATE(YEAR($A819),MONTH($A819),1))</f>
        <v/>
      </c>
      <c r="J819" s="31">
        <f>IF($A819="","",IF(OR($B819="",$C819="",$F819="",$G819=""),"Preencher tudo",IF(COUNTIF(EtapaLista,$B819)=0,"Etapa inválida","OK")))</f>
        <v/>
      </c>
    </row>
    <row r="820" spans="1:10">
      <c r="A820" s="17"/>
      <c r="B820" s="15"/>
      <c r="C820" s="15"/>
      <c r="D820" s="15"/>
      <c r="E820" s="15"/>
      <c r="F820" s="16"/>
      <c r="G820" s="27"/>
      <c r="H820" s="17"/>
      <c r="I820" s="30">
        <f>IF($A820="","",DATE(YEAR($A820),MONTH($A820),1))</f>
        <v/>
      </c>
      <c r="J820" s="31">
        <f>IF($A820="","",IF(OR($B820="",$C820="",$F820="",$G820=""),"Preencher tudo",IF(COUNTIF(EtapaLista,$B820)=0,"Etapa inválida","OK")))</f>
        <v/>
      </c>
    </row>
    <row r="821" spans="1:10">
      <c r="A821" s="17"/>
      <c r="B821" s="15"/>
      <c r="C821" s="15"/>
      <c r="D821" s="15"/>
      <c r="E821" s="15"/>
      <c r="F821" s="16"/>
      <c r="G821" s="27"/>
      <c r="H821" s="17"/>
      <c r="I821" s="30">
        <f>IF($A821="","",DATE(YEAR($A821),MONTH($A821),1))</f>
        <v/>
      </c>
      <c r="J821" s="31">
        <f>IF($A821="","",IF(OR($B821="",$C821="",$F821="",$G821=""),"Preencher tudo",IF(COUNTIF(EtapaLista,$B821)=0,"Etapa inválida","OK")))</f>
        <v/>
      </c>
    </row>
    <row r="822" spans="1:10">
      <c r="A822" s="17"/>
      <c r="B822" s="15"/>
      <c r="C822" s="15"/>
      <c r="D822" s="15"/>
      <c r="E822" s="15"/>
      <c r="F822" s="16"/>
      <c r="G822" s="27"/>
      <c r="H822" s="17"/>
      <c r="I822" s="30">
        <f>IF($A822="","",DATE(YEAR($A822),MONTH($A822),1))</f>
        <v/>
      </c>
      <c r="J822" s="31">
        <f>IF($A822="","",IF(OR($B822="",$C822="",$F822="",$G822=""),"Preencher tudo",IF(COUNTIF(EtapaLista,$B822)=0,"Etapa inválida","OK")))</f>
        <v/>
      </c>
    </row>
    <row r="823" spans="1:10">
      <c r="A823" s="17"/>
      <c r="B823" s="15"/>
      <c r="C823" s="15"/>
      <c r="D823" s="15"/>
      <c r="E823" s="15"/>
      <c r="F823" s="16"/>
      <c r="G823" s="27"/>
      <c r="H823" s="17"/>
      <c r="I823" s="30">
        <f>IF($A823="","",DATE(YEAR($A823),MONTH($A823),1))</f>
        <v/>
      </c>
      <c r="J823" s="31">
        <f>IF($A823="","",IF(OR($B823="",$C823="",$F823="",$G823=""),"Preencher tudo",IF(COUNTIF(EtapaLista,$B823)=0,"Etapa inválida","OK")))</f>
        <v/>
      </c>
    </row>
    <row r="824" spans="1:10">
      <c r="A824" s="17"/>
      <c r="B824" s="15"/>
      <c r="C824" s="15"/>
      <c r="D824" s="15"/>
      <c r="E824" s="15"/>
      <c r="F824" s="16"/>
      <c r="G824" s="27"/>
      <c r="H824" s="17"/>
      <c r="I824" s="30">
        <f>IF($A824="","",DATE(YEAR($A824),MONTH($A824),1))</f>
        <v/>
      </c>
      <c r="J824" s="31">
        <f>IF($A824="","",IF(OR($B824="",$C824="",$F824="",$G824=""),"Preencher tudo",IF(COUNTIF(EtapaLista,$B824)=0,"Etapa inválida","OK")))</f>
        <v/>
      </c>
    </row>
    <row r="825" spans="1:10">
      <c r="A825" s="17"/>
      <c r="B825" s="15"/>
      <c r="C825" s="15"/>
      <c r="D825" s="15"/>
      <c r="E825" s="15"/>
      <c r="F825" s="16"/>
      <c r="G825" s="27"/>
      <c r="H825" s="17"/>
      <c r="I825" s="30">
        <f>IF($A825="","",DATE(YEAR($A825),MONTH($A825),1))</f>
        <v/>
      </c>
      <c r="J825" s="31">
        <f>IF($A825="","",IF(OR($B825="",$C825="",$F825="",$G825=""),"Preencher tudo",IF(COUNTIF(EtapaLista,$B825)=0,"Etapa inválida","OK")))</f>
        <v/>
      </c>
    </row>
    <row r="826" spans="1:10">
      <c r="A826" s="17"/>
      <c r="B826" s="15"/>
      <c r="C826" s="15"/>
      <c r="D826" s="15"/>
      <c r="E826" s="15"/>
      <c r="F826" s="16"/>
      <c r="G826" s="27"/>
      <c r="H826" s="17"/>
      <c r="I826" s="30">
        <f>IF($A826="","",DATE(YEAR($A826),MONTH($A826),1))</f>
        <v/>
      </c>
      <c r="J826" s="31">
        <f>IF($A826="","",IF(OR($B826="",$C826="",$F826="",$G826=""),"Preencher tudo",IF(COUNTIF(EtapaLista,$B826)=0,"Etapa inválida","OK")))</f>
        <v/>
      </c>
    </row>
    <row r="827" spans="1:10">
      <c r="A827" s="17"/>
      <c r="B827" s="15"/>
      <c r="C827" s="15"/>
      <c r="D827" s="15"/>
      <c r="E827" s="15"/>
      <c r="F827" s="16"/>
      <c r="G827" s="27"/>
      <c r="H827" s="17"/>
      <c r="I827" s="30">
        <f>IF($A827="","",DATE(YEAR($A827),MONTH($A827),1))</f>
        <v/>
      </c>
      <c r="J827" s="31">
        <f>IF($A827="","",IF(OR($B827="",$C827="",$F827="",$G827=""),"Preencher tudo",IF(COUNTIF(EtapaLista,$B827)=0,"Etapa inválida","OK")))</f>
        <v/>
      </c>
    </row>
    <row r="828" spans="1:10">
      <c r="A828" s="17"/>
      <c r="B828" s="15"/>
      <c r="C828" s="15"/>
      <c r="D828" s="15"/>
      <c r="E828" s="15"/>
      <c r="F828" s="16"/>
      <c r="G828" s="27"/>
      <c r="H828" s="17"/>
      <c r="I828" s="30">
        <f>IF($A828="","",DATE(YEAR($A828),MONTH($A828),1))</f>
        <v/>
      </c>
      <c r="J828" s="31">
        <f>IF($A828="","",IF(OR($B828="",$C828="",$F828="",$G828=""),"Preencher tudo",IF(COUNTIF(EtapaLista,$B828)=0,"Etapa inválida","OK")))</f>
        <v/>
      </c>
    </row>
    <row r="829" spans="1:10">
      <c r="A829" s="17"/>
      <c r="B829" s="15"/>
      <c r="C829" s="15"/>
      <c r="D829" s="15"/>
      <c r="E829" s="15"/>
      <c r="F829" s="16"/>
      <c r="G829" s="27"/>
      <c r="H829" s="17"/>
      <c r="I829" s="30">
        <f>IF($A829="","",DATE(YEAR($A829),MONTH($A829),1))</f>
        <v/>
      </c>
      <c r="J829" s="31">
        <f>IF($A829="","",IF(OR($B829="",$C829="",$F829="",$G829=""),"Preencher tudo",IF(COUNTIF(EtapaLista,$B829)=0,"Etapa inválida","OK")))</f>
        <v/>
      </c>
    </row>
    <row r="830" spans="1:10">
      <c r="A830" s="17"/>
      <c r="B830" s="15"/>
      <c r="C830" s="15"/>
      <c r="D830" s="15"/>
      <c r="E830" s="15"/>
      <c r="F830" s="16"/>
      <c r="G830" s="27"/>
      <c r="H830" s="17"/>
      <c r="I830" s="30">
        <f>IF($A830="","",DATE(YEAR($A830),MONTH($A830),1))</f>
        <v/>
      </c>
      <c r="J830" s="31">
        <f>IF($A830="","",IF(OR($B830="",$C830="",$F830="",$G830=""),"Preencher tudo",IF(COUNTIF(EtapaLista,$B830)=0,"Etapa inválida","OK")))</f>
        <v/>
      </c>
    </row>
    <row r="831" spans="1:10">
      <c r="A831" s="17"/>
      <c r="B831" s="15"/>
      <c r="C831" s="15"/>
      <c r="D831" s="15"/>
      <c r="E831" s="15"/>
      <c r="F831" s="16"/>
      <c r="G831" s="27"/>
      <c r="H831" s="17"/>
      <c r="I831" s="30">
        <f>IF($A831="","",DATE(YEAR($A831),MONTH($A831),1))</f>
        <v/>
      </c>
      <c r="J831" s="31">
        <f>IF($A831="","",IF(OR($B831="",$C831="",$F831="",$G831=""),"Preencher tudo",IF(COUNTIF(EtapaLista,$B831)=0,"Etapa inválida","OK")))</f>
        <v/>
      </c>
    </row>
    <row r="832" spans="1:10">
      <c r="A832" s="17"/>
      <c r="B832" s="15"/>
      <c r="C832" s="15"/>
      <c r="D832" s="15"/>
      <c r="E832" s="15"/>
      <c r="F832" s="16"/>
      <c r="G832" s="27"/>
      <c r="H832" s="17"/>
      <c r="I832" s="30">
        <f>IF($A832="","",DATE(YEAR($A832),MONTH($A832),1))</f>
        <v/>
      </c>
      <c r="J832" s="31">
        <f>IF($A832="","",IF(OR($B832="",$C832="",$F832="",$G832=""),"Preencher tudo",IF(COUNTIF(EtapaLista,$B832)=0,"Etapa inválida","OK")))</f>
        <v/>
      </c>
    </row>
    <row r="833" spans="1:10">
      <c r="A833" s="17"/>
      <c r="B833" s="15"/>
      <c r="C833" s="15"/>
      <c r="D833" s="15"/>
      <c r="E833" s="15"/>
      <c r="F833" s="16"/>
      <c r="G833" s="27"/>
      <c r="H833" s="17"/>
      <c r="I833" s="30">
        <f>IF($A833="","",DATE(YEAR($A833),MONTH($A833),1))</f>
        <v/>
      </c>
      <c r="J833" s="31">
        <f>IF($A833="","",IF(OR($B833="",$C833="",$F833="",$G833=""),"Preencher tudo",IF(COUNTIF(EtapaLista,$B833)=0,"Etapa inválida","OK")))</f>
        <v/>
      </c>
    </row>
    <row r="834" spans="1:10">
      <c r="A834" s="17"/>
      <c r="B834" s="15"/>
      <c r="C834" s="15"/>
      <c r="D834" s="15"/>
      <c r="E834" s="15"/>
      <c r="F834" s="16"/>
      <c r="G834" s="27"/>
      <c r="H834" s="17"/>
      <c r="I834" s="30">
        <f>IF($A834="","",DATE(YEAR($A834),MONTH($A834),1))</f>
        <v/>
      </c>
      <c r="J834" s="31">
        <f>IF($A834="","",IF(OR($B834="",$C834="",$F834="",$G834=""),"Preencher tudo",IF(COUNTIF(EtapaLista,$B834)=0,"Etapa inválida","OK")))</f>
        <v/>
      </c>
    </row>
    <row r="835" spans="1:10">
      <c r="A835" s="17"/>
      <c r="B835" s="15"/>
      <c r="C835" s="15"/>
      <c r="D835" s="15"/>
      <c r="E835" s="15"/>
      <c r="F835" s="16"/>
      <c r="G835" s="27"/>
      <c r="H835" s="17"/>
      <c r="I835" s="30">
        <f>IF($A835="","",DATE(YEAR($A835),MONTH($A835),1))</f>
        <v/>
      </c>
      <c r="J835" s="31">
        <f>IF($A835="","",IF(OR($B835="",$C835="",$F835="",$G835=""),"Preencher tudo",IF(COUNTIF(EtapaLista,$B835)=0,"Etapa inválida","OK")))</f>
        <v/>
      </c>
    </row>
    <row r="836" spans="1:10">
      <c r="A836" s="17"/>
      <c r="B836" s="15"/>
      <c r="C836" s="15"/>
      <c r="D836" s="15"/>
      <c r="E836" s="15"/>
      <c r="F836" s="16"/>
      <c r="G836" s="27"/>
      <c r="H836" s="17"/>
      <c r="I836" s="30">
        <f>IF($A836="","",DATE(YEAR($A836),MONTH($A836),1))</f>
        <v/>
      </c>
      <c r="J836" s="31">
        <f>IF($A836="","",IF(OR($B836="",$C836="",$F836="",$G836=""),"Preencher tudo",IF(COUNTIF(EtapaLista,$B836)=0,"Etapa inválida","OK")))</f>
        <v/>
      </c>
    </row>
    <row r="837" spans="1:10">
      <c r="A837" s="17"/>
      <c r="B837" s="15"/>
      <c r="C837" s="15"/>
      <c r="D837" s="15"/>
      <c r="E837" s="15"/>
      <c r="F837" s="16"/>
      <c r="G837" s="27"/>
      <c r="H837" s="17"/>
      <c r="I837" s="30">
        <f>IF($A837="","",DATE(YEAR($A837),MONTH($A837),1))</f>
        <v/>
      </c>
      <c r="J837" s="31">
        <f>IF($A837="","",IF(OR($B837="",$C837="",$F837="",$G837=""),"Preencher tudo",IF(COUNTIF(EtapaLista,$B837)=0,"Etapa inválida","OK")))</f>
        <v/>
      </c>
    </row>
    <row r="838" spans="1:10">
      <c r="A838" s="17"/>
      <c r="B838" s="15"/>
      <c r="C838" s="15"/>
      <c r="D838" s="15"/>
      <c r="E838" s="15"/>
      <c r="F838" s="16"/>
      <c r="G838" s="27"/>
      <c r="H838" s="17"/>
      <c r="I838" s="30">
        <f>IF($A838="","",DATE(YEAR($A838),MONTH($A838),1))</f>
        <v/>
      </c>
      <c r="J838" s="31">
        <f>IF($A838="","",IF(OR($B838="",$C838="",$F838="",$G838=""),"Preencher tudo",IF(COUNTIF(EtapaLista,$B838)=0,"Etapa inválida","OK")))</f>
        <v/>
      </c>
    </row>
    <row r="839" spans="1:10">
      <c r="A839" s="17"/>
      <c r="B839" s="15"/>
      <c r="C839" s="15"/>
      <c r="D839" s="15"/>
      <c r="E839" s="15"/>
      <c r="F839" s="16"/>
      <c r="G839" s="27"/>
      <c r="H839" s="17"/>
      <c r="I839" s="30">
        <f>IF($A839="","",DATE(YEAR($A839),MONTH($A839),1))</f>
        <v/>
      </c>
      <c r="J839" s="31">
        <f>IF($A839="","",IF(OR($B839="",$C839="",$F839="",$G839=""),"Preencher tudo",IF(COUNTIF(EtapaLista,$B839)=0,"Etapa inválida","OK")))</f>
        <v/>
      </c>
    </row>
    <row r="840" spans="1:10">
      <c r="A840" s="17"/>
      <c r="B840" s="15"/>
      <c r="C840" s="15"/>
      <c r="D840" s="15"/>
      <c r="E840" s="15"/>
      <c r="F840" s="16"/>
      <c r="G840" s="27"/>
      <c r="H840" s="17"/>
      <c r="I840" s="30">
        <f>IF($A840="","",DATE(YEAR($A840),MONTH($A840),1))</f>
        <v/>
      </c>
      <c r="J840" s="31">
        <f>IF($A840="","",IF(OR($B840="",$C840="",$F840="",$G840=""),"Preencher tudo",IF(COUNTIF(EtapaLista,$B840)=0,"Etapa inválida","OK")))</f>
        <v/>
      </c>
    </row>
    <row r="841" spans="1:10">
      <c r="A841" s="17"/>
      <c r="B841" s="15"/>
      <c r="C841" s="15"/>
      <c r="D841" s="15"/>
      <c r="E841" s="15"/>
      <c r="F841" s="16"/>
      <c r="G841" s="27"/>
      <c r="H841" s="17"/>
      <c r="I841" s="30">
        <f>IF($A841="","",DATE(YEAR($A841),MONTH($A841),1))</f>
        <v/>
      </c>
      <c r="J841" s="31">
        <f>IF($A841="","",IF(OR($B841="",$C841="",$F841="",$G841=""),"Preencher tudo",IF(COUNTIF(EtapaLista,$B841)=0,"Etapa inválida","OK")))</f>
        <v/>
      </c>
    </row>
    <row r="842" spans="1:10">
      <c r="A842" s="17"/>
      <c r="B842" s="15"/>
      <c r="C842" s="15"/>
      <c r="D842" s="15"/>
      <c r="E842" s="15"/>
      <c r="F842" s="16"/>
      <c r="G842" s="27"/>
      <c r="H842" s="17"/>
      <c r="I842" s="30">
        <f>IF($A842="","",DATE(YEAR($A842),MONTH($A842),1))</f>
        <v/>
      </c>
      <c r="J842" s="31">
        <f>IF($A842="","",IF(OR($B842="",$C842="",$F842="",$G842=""),"Preencher tudo",IF(COUNTIF(EtapaLista,$B842)=0,"Etapa inválida","OK")))</f>
        <v/>
      </c>
    </row>
    <row r="843" spans="1:10">
      <c r="A843" s="17"/>
      <c r="B843" s="15"/>
      <c r="C843" s="15"/>
      <c r="D843" s="15"/>
      <c r="E843" s="15"/>
      <c r="F843" s="16"/>
      <c r="G843" s="27"/>
      <c r="H843" s="17"/>
      <c r="I843" s="30">
        <f>IF($A843="","",DATE(YEAR($A843),MONTH($A843),1))</f>
        <v/>
      </c>
      <c r="J843" s="31">
        <f>IF($A843="","",IF(OR($B843="",$C843="",$F843="",$G843=""),"Preencher tudo",IF(COUNTIF(EtapaLista,$B843)=0,"Etapa inválida","OK")))</f>
        <v/>
      </c>
    </row>
    <row r="844" spans="1:10">
      <c r="A844" s="17"/>
      <c r="B844" s="15"/>
      <c r="C844" s="15"/>
      <c r="D844" s="15"/>
      <c r="E844" s="15"/>
      <c r="F844" s="16"/>
      <c r="G844" s="27"/>
      <c r="H844" s="17"/>
      <c r="I844" s="30">
        <f>IF($A844="","",DATE(YEAR($A844),MONTH($A844),1))</f>
        <v/>
      </c>
      <c r="J844" s="31">
        <f>IF($A844="","",IF(OR($B844="",$C844="",$F844="",$G844=""),"Preencher tudo",IF(COUNTIF(EtapaLista,$B844)=0,"Etapa inválida","OK")))</f>
        <v/>
      </c>
    </row>
    <row r="845" spans="1:10">
      <c r="A845" s="17"/>
      <c r="B845" s="15"/>
      <c r="C845" s="15"/>
      <c r="D845" s="15"/>
      <c r="E845" s="15"/>
      <c r="F845" s="16"/>
      <c r="G845" s="27"/>
      <c r="H845" s="17"/>
      <c r="I845" s="30">
        <f>IF($A845="","",DATE(YEAR($A845),MONTH($A845),1))</f>
        <v/>
      </c>
      <c r="J845" s="31">
        <f>IF($A845="","",IF(OR($B845="",$C845="",$F845="",$G845=""),"Preencher tudo",IF(COUNTIF(EtapaLista,$B845)=0,"Etapa inválida","OK")))</f>
        <v/>
      </c>
    </row>
    <row r="846" spans="1:10">
      <c r="A846" s="17"/>
      <c r="B846" s="15"/>
      <c r="C846" s="15"/>
      <c r="D846" s="15"/>
      <c r="E846" s="15"/>
      <c r="F846" s="16"/>
      <c r="G846" s="27"/>
      <c r="H846" s="17"/>
      <c r="I846" s="30">
        <f>IF($A846="","",DATE(YEAR($A846),MONTH($A846),1))</f>
        <v/>
      </c>
      <c r="J846" s="31">
        <f>IF($A846="","",IF(OR($B846="",$C846="",$F846="",$G846=""),"Preencher tudo",IF(COUNTIF(EtapaLista,$B846)=0,"Etapa inválida","OK")))</f>
        <v/>
      </c>
    </row>
    <row r="847" spans="1:10">
      <c r="A847" s="17"/>
      <c r="B847" s="15"/>
      <c r="C847" s="15"/>
      <c r="D847" s="15"/>
      <c r="E847" s="15"/>
      <c r="F847" s="16"/>
      <c r="G847" s="27"/>
      <c r="H847" s="17"/>
      <c r="I847" s="30">
        <f>IF($A847="","",DATE(YEAR($A847),MONTH($A847),1))</f>
        <v/>
      </c>
      <c r="J847" s="31">
        <f>IF($A847="","",IF(OR($B847="",$C847="",$F847="",$G847=""),"Preencher tudo",IF(COUNTIF(EtapaLista,$B847)=0,"Etapa inválida","OK")))</f>
        <v/>
      </c>
    </row>
    <row r="848" spans="1:10">
      <c r="A848" s="17"/>
      <c r="B848" s="15"/>
      <c r="C848" s="15"/>
      <c r="D848" s="15"/>
      <c r="E848" s="15"/>
      <c r="F848" s="16"/>
      <c r="G848" s="27"/>
      <c r="H848" s="17"/>
      <c r="I848" s="30">
        <f>IF($A848="","",DATE(YEAR($A848),MONTH($A848),1))</f>
        <v/>
      </c>
      <c r="J848" s="31">
        <f>IF($A848="","",IF(OR($B848="",$C848="",$F848="",$G848=""),"Preencher tudo",IF(COUNTIF(EtapaLista,$B848)=0,"Etapa inválida","OK")))</f>
        <v/>
      </c>
    </row>
    <row r="849" spans="1:10">
      <c r="A849" s="17"/>
      <c r="B849" s="15"/>
      <c r="C849" s="15"/>
      <c r="D849" s="15"/>
      <c r="E849" s="15"/>
      <c r="F849" s="16"/>
      <c r="G849" s="27"/>
      <c r="H849" s="17"/>
      <c r="I849" s="30">
        <f>IF($A849="","",DATE(YEAR($A849),MONTH($A849),1))</f>
        <v/>
      </c>
      <c r="J849" s="31">
        <f>IF($A849="","",IF(OR($B849="",$C849="",$F849="",$G849=""),"Preencher tudo",IF(COUNTIF(EtapaLista,$B849)=0,"Etapa inválida","OK")))</f>
        <v/>
      </c>
    </row>
    <row r="850" spans="1:10">
      <c r="A850" s="17"/>
      <c r="B850" s="15"/>
      <c r="C850" s="15"/>
      <c r="D850" s="15"/>
      <c r="E850" s="15"/>
      <c r="F850" s="16"/>
      <c r="G850" s="27"/>
      <c r="H850" s="17"/>
      <c r="I850" s="30">
        <f>IF($A850="","",DATE(YEAR($A850),MONTH($A850),1))</f>
        <v/>
      </c>
      <c r="J850" s="31">
        <f>IF($A850="","",IF(OR($B850="",$C850="",$F850="",$G850=""),"Preencher tudo",IF(COUNTIF(EtapaLista,$B850)=0,"Etapa inválida","OK")))</f>
        <v/>
      </c>
    </row>
    <row r="851" spans="1:10">
      <c r="A851" s="17"/>
      <c r="B851" s="15"/>
      <c r="C851" s="15"/>
      <c r="D851" s="15"/>
      <c r="E851" s="15"/>
      <c r="F851" s="16"/>
      <c r="G851" s="27"/>
      <c r="H851" s="17"/>
      <c r="I851" s="30">
        <f>IF($A851="","",DATE(YEAR($A851),MONTH($A851),1))</f>
        <v/>
      </c>
      <c r="J851" s="31">
        <f>IF($A851="","",IF(OR($B851="",$C851="",$F851="",$G851=""),"Preencher tudo",IF(COUNTIF(EtapaLista,$B851)=0,"Etapa inválida","OK")))</f>
        <v/>
      </c>
    </row>
    <row r="852" spans="1:10">
      <c r="A852" s="17"/>
      <c r="B852" s="15"/>
      <c r="C852" s="15"/>
      <c r="D852" s="15"/>
      <c r="E852" s="15"/>
      <c r="F852" s="16"/>
      <c r="G852" s="27"/>
      <c r="H852" s="17"/>
      <c r="I852" s="30">
        <f>IF($A852="","",DATE(YEAR($A852),MONTH($A852),1))</f>
        <v/>
      </c>
      <c r="J852" s="31">
        <f>IF($A852="","",IF(OR($B852="",$C852="",$F852="",$G852=""),"Preencher tudo",IF(COUNTIF(EtapaLista,$B852)=0,"Etapa inválida","OK")))</f>
        <v/>
      </c>
    </row>
    <row r="853" spans="1:10">
      <c r="A853" s="17"/>
      <c r="B853" s="15"/>
      <c r="C853" s="15"/>
      <c r="D853" s="15"/>
      <c r="E853" s="15"/>
      <c r="F853" s="16"/>
      <c r="G853" s="27"/>
      <c r="H853" s="17"/>
      <c r="I853" s="30">
        <f>IF($A853="","",DATE(YEAR($A853),MONTH($A853),1))</f>
        <v/>
      </c>
      <c r="J853" s="31">
        <f>IF($A853="","",IF(OR($B853="",$C853="",$F853="",$G853=""),"Preencher tudo",IF(COUNTIF(EtapaLista,$B853)=0,"Etapa inválida","OK")))</f>
        <v/>
      </c>
    </row>
    <row r="854" spans="1:10">
      <c r="A854" s="17"/>
      <c r="B854" s="15"/>
      <c r="C854" s="15"/>
      <c r="D854" s="15"/>
      <c r="E854" s="15"/>
      <c r="F854" s="16"/>
      <c r="G854" s="27"/>
      <c r="H854" s="17"/>
      <c r="I854" s="30">
        <f>IF($A854="","",DATE(YEAR($A854),MONTH($A854),1))</f>
        <v/>
      </c>
      <c r="J854" s="31">
        <f>IF($A854="","",IF(OR($B854="",$C854="",$F854="",$G854=""),"Preencher tudo",IF(COUNTIF(EtapaLista,$B854)=0,"Etapa inválida","OK")))</f>
        <v/>
      </c>
    </row>
    <row r="855" spans="1:10">
      <c r="A855" s="17"/>
      <c r="B855" s="15"/>
      <c r="C855" s="15"/>
      <c r="D855" s="15"/>
      <c r="E855" s="15"/>
      <c r="F855" s="16"/>
      <c r="G855" s="27"/>
      <c r="H855" s="17"/>
      <c r="I855" s="30">
        <f>IF($A855="","",DATE(YEAR($A855),MONTH($A855),1))</f>
        <v/>
      </c>
      <c r="J855" s="31">
        <f>IF($A855="","",IF(OR($B855="",$C855="",$F855="",$G855=""),"Preencher tudo",IF(COUNTIF(EtapaLista,$B855)=0,"Etapa inválida","OK")))</f>
        <v/>
      </c>
    </row>
    <row r="856" spans="1:10">
      <c r="A856" s="17"/>
      <c r="B856" s="15"/>
      <c r="C856" s="15"/>
      <c r="D856" s="15"/>
      <c r="E856" s="15"/>
      <c r="F856" s="16"/>
      <c r="G856" s="27"/>
      <c r="H856" s="17"/>
      <c r="I856" s="30">
        <f>IF($A856="","",DATE(YEAR($A856),MONTH($A856),1))</f>
        <v/>
      </c>
      <c r="J856" s="31">
        <f>IF($A856="","",IF(OR($B856="",$C856="",$F856="",$G856=""),"Preencher tudo",IF(COUNTIF(EtapaLista,$B856)=0,"Etapa inválida","OK")))</f>
        <v/>
      </c>
    </row>
    <row r="857" spans="1:10">
      <c r="A857" s="17"/>
      <c r="B857" s="15"/>
      <c r="C857" s="15"/>
      <c r="D857" s="15"/>
      <c r="E857" s="15"/>
      <c r="F857" s="16"/>
      <c r="G857" s="27"/>
      <c r="H857" s="17"/>
      <c r="I857" s="30">
        <f>IF($A857="","",DATE(YEAR($A857),MONTH($A857),1))</f>
        <v/>
      </c>
      <c r="J857" s="31">
        <f>IF($A857="","",IF(OR($B857="",$C857="",$F857="",$G857=""),"Preencher tudo",IF(COUNTIF(EtapaLista,$B857)=0,"Etapa inválida","OK")))</f>
        <v/>
      </c>
    </row>
    <row r="858" spans="1:10">
      <c r="A858" s="17"/>
      <c r="B858" s="15"/>
      <c r="C858" s="15"/>
      <c r="D858" s="15"/>
      <c r="E858" s="15"/>
      <c r="F858" s="16"/>
      <c r="G858" s="27"/>
      <c r="H858" s="17"/>
      <c r="I858" s="30">
        <f>IF($A858="","",DATE(YEAR($A858),MONTH($A858),1))</f>
        <v/>
      </c>
      <c r="J858" s="31">
        <f>IF($A858="","",IF(OR($B858="",$C858="",$F858="",$G858=""),"Preencher tudo",IF(COUNTIF(EtapaLista,$B858)=0,"Etapa inválida","OK")))</f>
        <v/>
      </c>
    </row>
    <row r="859" spans="1:10">
      <c r="A859" s="17"/>
      <c r="B859" s="15"/>
      <c r="C859" s="15"/>
      <c r="D859" s="15"/>
      <c r="E859" s="15"/>
      <c r="F859" s="16"/>
      <c r="G859" s="27"/>
      <c r="H859" s="17"/>
      <c r="I859" s="30">
        <f>IF($A859="","",DATE(YEAR($A859),MONTH($A859),1))</f>
        <v/>
      </c>
      <c r="J859" s="31">
        <f>IF($A859="","",IF(OR($B859="",$C859="",$F859="",$G859=""),"Preencher tudo",IF(COUNTIF(EtapaLista,$B859)=0,"Etapa inválida","OK")))</f>
        <v/>
      </c>
    </row>
    <row r="860" spans="1:10">
      <c r="A860" s="17"/>
      <c r="B860" s="15"/>
      <c r="C860" s="15"/>
      <c r="D860" s="15"/>
      <c r="E860" s="15"/>
      <c r="F860" s="16"/>
      <c r="G860" s="27"/>
      <c r="H860" s="17"/>
      <c r="I860" s="30">
        <f>IF($A860="","",DATE(YEAR($A860),MONTH($A860),1))</f>
        <v/>
      </c>
      <c r="J860" s="31">
        <f>IF($A860="","",IF(OR($B860="",$C860="",$F860="",$G860=""),"Preencher tudo",IF(COUNTIF(EtapaLista,$B860)=0,"Etapa inválida","OK")))</f>
        <v/>
      </c>
    </row>
    <row r="861" spans="1:10">
      <c r="A861" s="17"/>
      <c r="B861" s="15"/>
      <c r="C861" s="15"/>
      <c r="D861" s="15"/>
      <c r="E861" s="15"/>
      <c r="F861" s="16"/>
      <c r="G861" s="27"/>
      <c r="H861" s="17"/>
      <c r="I861" s="30">
        <f>IF($A861="","",DATE(YEAR($A861),MONTH($A861),1))</f>
        <v/>
      </c>
      <c r="J861" s="31">
        <f>IF($A861="","",IF(OR($B861="",$C861="",$F861="",$G861=""),"Preencher tudo",IF(COUNTIF(EtapaLista,$B861)=0,"Etapa inválida","OK")))</f>
        <v/>
      </c>
    </row>
    <row r="862" spans="1:10">
      <c r="A862" s="17"/>
      <c r="B862" s="15"/>
      <c r="C862" s="15"/>
      <c r="D862" s="15"/>
      <c r="E862" s="15"/>
      <c r="F862" s="16"/>
      <c r="G862" s="27"/>
      <c r="H862" s="17"/>
      <c r="I862" s="30">
        <f>IF($A862="","",DATE(YEAR($A862),MONTH($A862),1))</f>
        <v/>
      </c>
      <c r="J862" s="31">
        <f>IF($A862="","",IF(OR($B862="",$C862="",$F862="",$G862=""),"Preencher tudo",IF(COUNTIF(EtapaLista,$B862)=0,"Etapa inválida","OK")))</f>
        <v/>
      </c>
    </row>
    <row r="863" spans="1:10">
      <c r="A863" s="17"/>
      <c r="B863" s="15"/>
      <c r="C863" s="15"/>
      <c r="D863" s="15"/>
      <c r="E863" s="15"/>
      <c r="F863" s="16"/>
      <c r="G863" s="27"/>
      <c r="H863" s="17"/>
      <c r="I863" s="30">
        <f>IF($A863="","",DATE(YEAR($A863),MONTH($A863),1))</f>
        <v/>
      </c>
      <c r="J863" s="31">
        <f>IF($A863="","",IF(OR($B863="",$C863="",$F863="",$G863=""),"Preencher tudo",IF(COUNTIF(EtapaLista,$B863)=0,"Etapa inválida","OK")))</f>
        <v/>
      </c>
    </row>
    <row r="864" spans="1:10">
      <c r="A864" s="17"/>
      <c r="B864" s="15"/>
      <c r="C864" s="15"/>
      <c r="D864" s="15"/>
      <c r="E864" s="15"/>
      <c r="F864" s="16"/>
      <c r="G864" s="27"/>
      <c r="H864" s="17"/>
      <c r="I864" s="30">
        <f>IF($A864="","",DATE(YEAR($A864),MONTH($A864),1))</f>
        <v/>
      </c>
      <c r="J864" s="31">
        <f>IF($A864="","",IF(OR($B864="",$C864="",$F864="",$G864=""),"Preencher tudo",IF(COUNTIF(EtapaLista,$B864)=0,"Etapa inválida","OK")))</f>
        <v/>
      </c>
    </row>
    <row r="865" spans="1:10">
      <c r="A865" s="17"/>
      <c r="B865" s="15"/>
      <c r="C865" s="15"/>
      <c r="D865" s="15"/>
      <c r="E865" s="15"/>
      <c r="F865" s="16"/>
      <c r="G865" s="27"/>
      <c r="H865" s="17"/>
      <c r="I865" s="30">
        <f>IF($A865="","",DATE(YEAR($A865),MONTH($A865),1))</f>
        <v/>
      </c>
      <c r="J865" s="31">
        <f>IF($A865="","",IF(OR($B865="",$C865="",$F865="",$G865=""),"Preencher tudo",IF(COUNTIF(EtapaLista,$B865)=0,"Etapa inválida","OK")))</f>
        <v/>
      </c>
    </row>
    <row r="866" spans="1:10">
      <c r="A866" s="17"/>
      <c r="B866" s="15"/>
      <c r="C866" s="15"/>
      <c r="D866" s="15"/>
      <c r="E866" s="15"/>
      <c r="F866" s="16"/>
      <c r="G866" s="27"/>
      <c r="H866" s="17"/>
      <c r="I866" s="30">
        <f>IF($A866="","",DATE(YEAR($A866),MONTH($A866),1))</f>
        <v/>
      </c>
      <c r="J866" s="31">
        <f>IF($A866="","",IF(OR($B866="",$C866="",$F866="",$G866=""),"Preencher tudo",IF(COUNTIF(EtapaLista,$B866)=0,"Etapa inválida","OK")))</f>
        <v/>
      </c>
    </row>
    <row r="867" spans="1:10">
      <c r="A867" s="17"/>
      <c r="B867" s="15"/>
      <c r="C867" s="15"/>
      <c r="D867" s="15"/>
      <c r="E867" s="15"/>
      <c r="F867" s="16"/>
      <c r="G867" s="27"/>
      <c r="H867" s="17"/>
      <c r="I867" s="30">
        <f>IF($A867="","",DATE(YEAR($A867),MONTH($A867),1))</f>
        <v/>
      </c>
      <c r="J867" s="31">
        <f>IF($A867="","",IF(OR($B867="",$C867="",$F867="",$G867=""),"Preencher tudo",IF(COUNTIF(EtapaLista,$B867)=0,"Etapa inválida","OK")))</f>
        <v/>
      </c>
    </row>
    <row r="868" spans="1:10">
      <c r="A868" s="17"/>
      <c r="B868" s="15"/>
      <c r="C868" s="15"/>
      <c r="D868" s="15"/>
      <c r="E868" s="15"/>
      <c r="F868" s="16"/>
      <c r="G868" s="27"/>
      <c r="H868" s="17"/>
      <c r="I868" s="30">
        <f>IF($A868="","",DATE(YEAR($A868),MONTH($A868),1))</f>
        <v/>
      </c>
      <c r="J868" s="31">
        <f>IF($A868="","",IF(OR($B868="",$C868="",$F868="",$G868=""),"Preencher tudo",IF(COUNTIF(EtapaLista,$B868)=0,"Etapa inválida","OK")))</f>
        <v/>
      </c>
    </row>
    <row r="869" spans="1:10">
      <c r="A869" s="17"/>
      <c r="B869" s="15"/>
      <c r="C869" s="15"/>
      <c r="D869" s="15"/>
      <c r="E869" s="15"/>
      <c r="F869" s="16"/>
      <c r="G869" s="27"/>
      <c r="H869" s="17"/>
      <c r="I869" s="30">
        <f>IF($A869="","",DATE(YEAR($A869),MONTH($A869),1))</f>
        <v/>
      </c>
      <c r="J869" s="31">
        <f>IF($A869="","",IF(OR($B869="",$C869="",$F869="",$G869=""),"Preencher tudo",IF(COUNTIF(EtapaLista,$B869)=0,"Etapa inválida","OK")))</f>
        <v/>
      </c>
    </row>
    <row r="870" spans="1:10">
      <c r="A870" s="17"/>
      <c r="B870" s="15"/>
      <c r="C870" s="15"/>
      <c r="D870" s="15"/>
      <c r="E870" s="15"/>
      <c r="F870" s="16"/>
      <c r="G870" s="27"/>
      <c r="H870" s="17"/>
      <c r="I870" s="30">
        <f>IF($A870="","",DATE(YEAR($A870),MONTH($A870),1))</f>
        <v/>
      </c>
      <c r="J870" s="31">
        <f>IF($A870="","",IF(OR($B870="",$C870="",$F870="",$G870=""),"Preencher tudo",IF(COUNTIF(EtapaLista,$B870)=0,"Etapa inválida","OK")))</f>
        <v/>
      </c>
    </row>
    <row r="871" spans="1:10">
      <c r="A871" s="17"/>
      <c r="B871" s="15"/>
      <c r="C871" s="15"/>
      <c r="D871" s="15"/>
      <c r="E871" s="15"/>
      <c r="F871" s="16"/>
      <c r="G871" s="27"/>
      <c r="H871" s="17"/>
      <c r="I871" s="30">
        <f>IF($A871="","",DATE(YEAR($A871),MONTH($A871),1))</f>
        <v/>
      </c>
      <c r="J871" s="31">
        <f>IF($A871="","",IF(OR($B871="",$C871="",$F871="",$G871=""),"Preencher tudo",IF(COUNTIF(EtapaLista,$B871)=0,"Etapa inválida","OK")))</f>
        <v/>
      </c>
    </row>
    <row r="872" spans="1:10">
      <c r="A872" s="17"/>
      <c r="B872" s="15"/>
      <c r="C872" s="15"/>
      <c r="D872" s="15"/>
      <c r="E872" s="15"/>
      <c r="F872" s="16"/>
      <c r="G872" s="27"/>
      <c r="H872" s="17"/>
      <c r="I872" s="30">
        <f>IF($A872="","",DATE(YEAR($A872),MONTH($A872),1))</f>
        <v/>
      </c>
      <c r="J872" s="31">
        <f>IF($A872="","",IF(OR($B872="",$C872="",$F872="",$G872=""),"Preencher tudo",IF(COUNTIF(EtapaLista,$B872)=0,"Etapa inválida","OK")))</f>
        <v/>
      </c>
    </row>
    <row r="873" spans="1:10">
      <c r="A873" s="17"/>
      <c r="B873" s="15"/>
      <c r="C873" s="15"/>
      <c r="D873" s="15"/>
      <c r="E873" s="15"/>
      <c r="F873" s="16"/>
      <c r="G873" s="27"/>
      <c r="H873" s="17"/>
      <c r="I873" s="30">
        <f>IF($A873="","",DATE(YEAR($A873),MONTH($A873),1))</f>
        <v/>
      </c>
      <c r="J873" s="31">
        <f>IF($A873="","",IF(OR($B873="",$C873="",$F873="",$G873=""),"Preencher tudo",IF(COUNTIF(EtapaLista,$B873)=0,"Etapa inválida","OK")))</f>
        <v/>
      </c>
    </row>
    <row r="874" spans="1:10">
      <c r="A874" s="17"/>
      <c r="B874" s="15"/>
      <c r="C874" s="15"/>
      <c r="D874" s="15"/>
      <c r="E874" s="15"/>
      <c r="F874" s="16"/>
      <c r="G874" s="27"/>
      <c r="H874" s="17"/>
      <c r="I874" s="30">
        <f>IF($A874="","",DATE(YEAR($A874),MONTH($A874),1))</f>
        <v/>
      </c>
      <c r="J874" s="31">
        <f>IF($A874="","",IF(OR($B874="",$C874="",$F874="",$G874=""),"Preencher tudo",IF(COUNTIF(EtapaLista,$B874)=0,"Etapa inválida","OK")))</f>
        <v/>
      </c>
    </row>
    <row r="875" spans="1:10">
      <c r="A875" s="17"/>
      <c r="B875" s="15"/>
      <c r="C875" s="15"/>
      <c r="D875" s="15"/>
      <c r="E875" s="15"/>
      <c r="F875" s="16"/>
      <c r="G875" s="27"/>
      <c r="H875" s="17"/>
      <c r="I875" s="30">
        <f>IF($A875="","",DATE(YEAR($A875),MONTH($A875),1))</f>
        <v/>
      </c>
      <c r="J875" s="31">
        <f>IF($A875="","",IF(OR($B875="",$C875="",$F875="",$G875=""),"Preencher tudo",IF(COUNTIF(EtapaLista,$B875)=0,"Etapa inválida","OK")))</f>
        <v/>
      </c>
    </row>
    <row r="876" spans="1:10">
      <c r="A876" s="17"/>
      <c r="B876" s="15"/>
      <c r="C876" s="15"/>
      <c r="D876" s="15"/>
      <c r="E876" s="15"/>
      <c r="F876" s="16"/>
      <c r="G876" s="27"/>
      <c r="H876" s="17"/>
      <c r="I876" s="30">
        <f>IF($A876="","",DATE(YEAR($A876),MONTH($A876),1))</f>
        <v/>
      </c>
      <c r="J876" s="31">
        <f>IF($A876="","",IF(OR($B876="",$C876="",$F876="",$G876=""),"Preencher tudo",IF(COUNTIF(EtapaLista,$B876)=0,"Etapa inválida","OK")))</f>
        <v/>
      </c>
    </row>
    <row r="877" spans="1:10">
      <c r="A877" s="17"/>
      <c r="B877" s="15"/>
      <c r="C877" s="15"/>
      <c r="D877" s="15"/>
      <c r="E877" s="15"/>
      <c r="F877" s="16"/>
      <c r="G877" s="27"/>
      <c r="H877" s="17"/>
      <c r="I877" s="30">
        <f>IF($A877="","",DATE(YEAR($A877),MONTH($A877),1))</f>
        <v/>
      </c>
      <c r="J877" s="31">
        <f>IF($A877="","",IF(OR($B877="",$C877="",$F877="",$G877=""),"Preencher tudo",IF(COUNTIF(EtapaLista,$B877)=0,"Etapa inválida","OK")))</f>
        <v/>
      </c>
    </row>
    <row r="878" spans="1:10">
      <c r="A878" s="17"/>
      <c r="B878" s="15"/>
      <c r="C878" s="15"/>
      <c r="D878" s="15"/>
      <c r="E878" s="15"/>
      <c r="F878" s="16"/>
      <c r="G878" s="27"/>
      <c r="H878" s="17"/>
      <c r="I878" s="30">
        <f>IF($A878="","",DATE(YEAR($A878),MONTH($A878),1))</f>
        <v/>
      </c>
      <c r="J878" s="31">
        <f>IF($A878="","",IF(OR($B878="",$C878="",$F878="",$G878=""),"Preencher tudo",IF(COUNTIF(EtapaLista,$B878)=0,"Etapa inválida","OK")))</f>
        <v/>
      </c>
    </row>
    <row r="879" spans="1:10">
      <c r="A879" s="17"/>
      <c r="B879" s="15"/>
      <c r="C879" s="15"/>
      <c r="D879" s="15"/>
      <c r="E879" s="15"/>
      <c r="F879" s="16"/>
      <c r="G879" s="27"/>
      <c r="H879" s="17"/>
      <c r="I879" s="30">
        <f>IF($A879="","",DATE(YEAR($A879),MONTH($A879),1))</f>
        <v/>
      </c>
      <c r="J879" s="31">
        <f>IF($A879="","",IF(OR($B879="",$C879="",$F879="",$G879=""),"Preencher tudo",IF(COUNTIF(EtapaLista,$B879)=0,"Etapa inválida","OK")))</f>
        <v/>
      </c>
    </row>
    <row r="880" spans="1:10">
      <c r="A880" s="17"/>
      <c r="B880" s="15"/>
      <c r="C880" s="15"/>
      <c r="D880" s="15"/>
      <c r="E880" s="15"/>
      <c r="F880" s="16"/>
      <c r="G880" s="27"/>
      <c r="H880" s="17"/>
      <c r="I880" s="30">
        <f>IF($A880="","",DATE(YEAR($A880),MONTH($A880),1))</f>
        <v/>
      </c>
      <c r="J880" s="31">
        <f>IF($A880="","",IF(OR($B880="",$C880="",$F880="",$G880=""),"Preencher tudo",IF(COUNTIF(EtapaLista,$B880)=0,"Etapa inválida","OK")))</f>
        <v/>
      </c>
    </row>
    <row r="881" spans="1:10">
      <c r="A881" s="17"/>
      <c r="B881" s="15"/>
      <c r="C881" s="15"/>
      <c r="D881" s="15"/>
      <c r="E881" s="15"/>
      <c r="F881" s="16"/>
      <c r="G881" s="27"/>
      <c r="H881" s="17"/>
      <c r="I881" s="30">
        <f>IF($A881="","",DATE(YEAR($A881),MONTH($A881),1))</f>
        <v/>
      </c>
      <c r="J881" s="31">
        <f>IF($A881="","",IF(OR($B881="",$C881="",$F881="",$G881=""),"Preencher tudo",IF(COUNTIF(EtapaLista,$B881)=0,"Etapa inválida","OK")))</f>
        <v/>
      </c>
    </row>
    <row r="882" spans="1:10">
      <c r="A882" s="17"/>
      <c r="B882" s="15"/>
      <c r="C882" s="15"/>
      <c r="D882" s="15"/>
      <c r="E882" s="15"/>
      <c r="F882" s="16"/>
      <c r="G882" s="27"/>
      <c r="H882" s="17"/>
      <c r="I882" s="30">
        <f>IF($A882="","",DATE(YEAR($A882),MONTH($A882),1))</f>
        <v/>
      </c>
      <c r="J882" s="31">
        <f>IF($A882="","",IF(OR($B882="",$C882="",$F882="",$G882=""),"Preencher tudo",IF(COUNTIF(EtapaLista,$B882)=0,"Etapa inválida","OK")))</f>
        <v/>
      </c>
    </row>
    <row r="883" spans="1:10">
      <c r="A883" s="17"/>
      <c r="B883" s="15"/>
      <c r="C883" s="15"/>
      <c r="D883" s="15"/>
      <c r="E883" s="15"/>
      <c r="F883" s="16"/>
      <c r="G883" s="27"/>
      <c r="H883" s="17"/>
      <c r="I883" s="30">
        <f>IF($A883="","",DATE(YEAR($A883),MONTH($A883),1))</f>
        <v/>
      </c>
      <c r="J883" s="31">
        <f>IF($A883="","",IF(OR($B883="",$C883="",$F883="",$G883=""),"Preencher tudo",IF(COUNTIF(EtapaLista,$B883)=0,"Etapa inválida","OK")))</f>
        <v/>
      </c>
    </row>
    <row r="884" spans="1:10">
      <c r="A884" s="17"/>
      <c r="B884" s="15"/>
      <c r="C884" s="15"/>
      <c r="D884" s="15"/>
      <c r="E884" s="15"/>
      <c r="F884" s="16"/>
      <c r="G884" s="27"/>
      <c r="H884" s="17"/>
      <c r="I884" s="30">
        <f>IF($A884="","",DATE(YEAR($A884),MONTH($A884),1))</f>
        <v/>
      </c>
      <c r="J884" s="31">
        <f>IF($A884="","",IF(OR($B884="",$C884="",$F884="",$G884=""),"Preencher tudo",IF(COUNTIF(EtapaLista,$B884)=0,"Etapa inválida","OK")))</f>
        <v/>
      </c>
    </row>
    <row r="885" spans="1:10">
      <c r="A885" s="17"/>
      <c r="B885" s="15"/>
      <c r="C885" s="15"/>
      <c r="D885" s="15"/>
      <c r="E885" s="15"/>
      <c r="F885" s="16"/>
      <c r="G885" s="27"/>
      <c r="H885" s="17"/>
      <c r="I885" s="30">
        <f>IF($A885="","",DATE(YEAR($A885),MONTH($A885),1))</f>
        <v/>
      </c>
      <c r="J885" s="31">
        <f>IF($A885="","",IF(OR($B885="",$C885="",$F885="",$G885=""),"Preencher tudo",IF(COUNTIF(EtapaLista,$B885)=0,"Etapa inválida","OK")))</f>
        <v/>
      </c>
    </row>
    <row r="886" spans="1:10">
      <c r="A886" s="17"/>
      <c r="B886" s="15"/>
      <c r="C886" s="15"/>
      <c r="D886" s="15"/>
      <c r="E886" s="15"/>
      <c r="F886" s="16"/>
      <c r="G886" s="27"/>
      <c r="H886" s="17"/>
      <c r="I886" s="30">
        <f>IF($A886="","",DATE(YEAR($A886),MONTH($A886),1))</f>
        <v/>
      </c>
      <c r="J886" s="31">
        <f>IF($A886="","",IF(OR($B886="",$C886="",$F886="",$G886=""),"Preencher tudo",IF(COUNTIF(EtapaLista,$B886)=0,"Etapa inválida","OK")))</f>
        <v/>
      </c>
    </row>
    <row r="887" spans="1:10">
      <c r="A887" s="17"/>
      <c r="B887" s="15"/>
      <c r="C887" s="15"/>
      <c r="D887" s="15"/>
      <c r="E887" s="15"/>
      <c r="F887" s="16"/>
      <c r="G887" s="27"/>
      <c r="H887" s="17"/>
      <c r="I887" s="30">
        <f>IF($A887="","",DATE(YEAR($A887),MONTH($A887),1))</f>
        <v/>
      </c>
      <c r="J887" s="31">
        <f>IF($A887="","",IF(OR($B887="",$C887="",$F887="",$G887=""),"Preencher tudo",IF(COUNTIF(EtapaLista,$B887)=0,"Etapa inválida","OK")))</f>
        <v/>
      </c>
    </row>
    <row r="888" spans="1:10">
      <c r="A888" s="17"/>
      <c r="B888" s="15"/>
      <c r="C888" s="15"/>
      <c r="D888" s="15"/>
      <c r="E888" s="15"/>
      <c r="F888" s="16"/>
      <c r="G888" s="27"/>
      <c r="H888" s="17"/>
      <c r="I888" s="30">
        <f>IF($A888="","",DATE(YEAR($A888),MONTH($A888),1))</f>
        <v/>
      </c>
      <c r="J888" s="31">
        <f>IF($A888="","",IF(OR($B888="",$C888="",$F888="",$G888=""),"Preencher tudo",IF(COUNTIF(EtapaLista,$B888)=0,"Etapa inválida","OK")))</f>
        <v/>
      </c>
    </row>
    <row r="889" spans="1:10">
      <c r="A889" s="17"/>
      <c r="B889" s="15"/>
      <c r="C889" s="15"/>
      <c r="D889" s="15"/>
      <c r="E889" s="15"/>
      <c r="F889" s="16"/>
      <c r="G889" s="27"/>
      <c r="H889" s="17"/>
      <c r="I889" s="30">
        <f>IF($A889="","",DATE(YEAR($A889),MONTH($A889),1))</f>
        <v/>
      </c>
      <c r="J889" s="31">
        <f>IF($A889="","",IF(OR($B889="",$C889="",$F889="",$G889=""),"Preencher tudo",IF(COUNTIF(EtapaLista,$B889)=0,"Etapa inválida","OK")))</f>
        <v/>
      </c>
    </row>
    <row r="890" spans="1:10">
      <c r="A890" s="17"/>
      <c r="B890" s="15"/>
      <c r="C890" s="15"/>
      <c r="D890" s="15"/>
      <c r="E890" s="15"/>
      <c r="F890" s="16"/>
      <c r="G890" s="27"/>
      <c r="H890" s="17"/>
      <c r="I890" s="30">
        <f>IF($A890="","",DATE(YEAR($A890),MONTH($A890),1))</f>
        <v/>
      </c>
      <c r="J890" s="31">
        <f>IF($A890="","",IF(OR($B890="",$C890="",$F890="",$G890=""),"Preencher tudo",IF(COUNTIF(EtapaLista,$B890)=0,"Etapa inválida","OK")))</f>
        <v/>
      </c>
    </row>
    <row r="891" spans="1:10">
      <c r="A891" s="17"/>
      <c r="B891" s="15"/>
      <c r="C891" s="15"/>
      <c r="D891" s="15"/>
      <c r="E891" s="15"/>
      <c r="F891" s="16"/>
      <c r="G891" s="27"/>
      <c r="H891" s="17"/>
      <c r="I891" s="30">
        <f>IF($A891="","",DATE(YEAR($A891),MONTH($A891),1))</f>
        <v/>
      </c>
      <c r="J891" s="31">
        <f>IF($A891="","",IF(OR($B891="",$C891="",$F891="",$G891=""),"Preencher tudo",IF(COUNTIF(EtapaLista,$B891)=0,"Etapa inválida","OK")))</f>
        <v/>
      </c>
    </row>
    <row r="892" spans="1:10">
      <c r="A892" s="17"/>
      <c r="B892" s="15"/>
      <c r="C892" s="15"/>
      <c r="D892" s="15"/>
      <c r="E892" s="15"/>
      <c r="F892" s="16"/>
      <c r="G892" s="27"/>
      <c r="H892" s="17"/>
      <c r="I892" s="30">
        <f>IF($A892="","",DATE(YEAR($A892),MONTH($A892),1))</f>
        <v/>
      </c>
      <c r="J892" s="31">
        <f>IF($A892="","",IF(OR($B892="",$C892="",$F892="",$G892=""),"Preencher tudo",IF(COUNTIF(EtapaLista,$B892)=0,"Etapa inválida","OK")))</f>
        <v/>
      </c>
    </row>
    <row r="893" spans="1:10">
      <c r="A893" s="17"/>
      <c r="B893" s="15"/>
      <c r="C893" s="15"/>
      <c r="D893" s="15"/>
      <c r="E893" s="15"/>
      <c r="F893" s="16"/>
      <c r="G893" s="27"/>
      <c r="H893" s="17"/>
      <c r="I893" s="30">
        <f>IF($A893="","",DATE(YEAR($A893),MONTH($A893),1))</f>
        <v/>
      </c>
      <c r="J893" s="31">
        <f>IF($A893="","",IF(OR($B893="",$C893="",$F893="",$G893=""),"Preencher tudo",IF(COUNTIF(EtapaLista,$B893)=0,"Etapa inválida","OK")))</f>
        <v/>
      </c>
    </row>
    <row r="894" spans="1:10">
      <c r="A894" s="17"/>
      <c r="B894" s="15"/>
      <c r="C894" s="15"/>
      <c r="D894" s="15"/>
      <c r="E894" s="15"/>
      <c r="F894" s="16"/>
      <c r="G894" s="27"/>
      <c r="H894" s="17"/>
      <c r="I894" s="30">
        <f>IF($A894="","",DATE(YEAR($A894),MONTH($A894),1))</f>
        <v/>
      </c>
      <c r="J894" s="31">
        <f>IF($A894="","",IF(OR($B894="",$C894="",$F894="",$G894=""),"Preencher tudo",IF(COUNTIF(EtapaLista,$B894)=0,"Etapa inválida","OK")))</f>
        <v/>
      </c>
    </row>
    <row r="895" spans="1:10">
      <c r="A895" s="17"/>
      <c r="B895" s="15"/>
      <c r="C895" s="15"/>
      <c r="D895" s="15"/>
      <c r="E895" s="15"/>
      <c r="F895" s="16"/>
      <c r="G895" s="27"/>
      <c r="H895" s="17"/>
      <c r="I895" s="30">
        <f>IF($A895="","",DATE(YEAR($A895),MONTH($A895),1))</f>
        <v/>
      </c>
      <c r="J895" s="31">
        <f>IF($A895="","",IF(OR($B895="",$C895="",$F895="",$G895=""),"Preencher tudo",IF(COUNTIF(EtapaLista,$B895)=0,"Etapa inválida","OK")))</f>
        <v/>
      </c>
    </row>
    <row r="896" spans="1:10">
      <c r="A896" s="17"/>
      <c r="B896" s="15"/>
      <c r="C896" s="15"/>
      <c r="D896" s="15"/>
      <c r="E896" s="15"/>
      <c r="F896" s="16"/>
      <c r="G896" s="27"/>
      <c r="H896" s="17"/>
      <c r="I896" s="30">
        <f>IF($A896="","",DATE(YEAR($A896),MONTH($A896),1))</f>
        <v/>
      </c>
      <c r="J896" s="31">
        <f>IF($A896="","",IF(OR($B896="",$C896="",$F896="",$G896=""),"Preencher tudo",IF(COUNTIF(EtapaLista,$B896)=0,"Etapa inválida","OK")))</f>
        <v/>
      </c>
    </row>
    <row r="897" spans="1:10">
      <c r="A897" s="17"/>
      <c r="B897" s="15"/>
      <c r="C897" s="15"/>
      <c r="D897" s="15"/>
      <c r="E897" s="15"/>
      <c r="F897" s="16"/>
      <c r="G897" s="27"/>
      <c r="H897" s="17"/>
      <c r="I897" s="30">
        <f>IF($A897="","",DATE(YEAR($A897),MONTH($A897),1))</f>
        <v/>
      </c>
      <c r="J897" s="31">
        <f>IF($A897="","",IF(OR($B897="",$C897="",$F897="",$G897=""),"Preencher tudo",IF(COUNTIF(EtapaLista,$B897)=0,"Etapa inválida","OK")))</f>
        <v/>
      </c>
    </row>
    <row r="898" spans="1:10">
      <c r="A898" s="17"/>
      <c r="B898" s="15"/>
      <c r="C898" s="15"/>
      <c r="D898" s="15"/>
      <c r="E898" s="15"/>
      <c r="F898" s="16"/>
      <c r="G898" s="27"/>
      <c r="H898" s="17"/>
      <c r="I898" s="30">
        <f>IF($A898="","",DATE(YEAR($A898),MONTH($A898),1))</f>
        <v/>
      </c>
      <c r="J898" s="31">
        <f>IF($A898="","",IF(OR($B898="",$C898="",$F898="",$G898=""),"Preencher tudo",IF(COUNTIF(EtapaLista,$B898)=0,"Etapa inválida","OK")))</f>
        <v/>
      </c>
    </row>
    <row r="899" spans="1:10">
      <c r="A899" s="17"/>
      <c r="B899" s="15"/>
      <c r="C899" s="15"/>
      <c r="D899" s="15"/>
      <c r="E899" s="15"/>
      <c r="F899" s="16"/>
      <c r="G899" s="27"/>
      <c r="H899" s="17"/>
      <c r="I899" s="30">
        <f>IF($A899="","",DATE(YEAR($A899),MONTH($A899),1))</f>
        <v/>
      </c>
      <c r="J899" s="31">
        <f>IF($A899="","",IF(OR($B899="",$C899="",$F899="",$G899=""),"Preencher tudo",IF(COUNTIF(EtapaLista,$B899)=0,"Etapa inválida","OK")))</f>
        <v/>
      </c>
    </row>
    <row r="900" spans="1:10">
      <c r="A900" s="17"/>
      <c r="B900" s="15"/>
      <c r="C900" s="15"/>
      <c r="D900" s="15"/>
      <c r="E900" s="15"/>
      <c r="F900" s="16"/>
      <c r="G900" s="27"/>
      <c r="H900" s="17"/>
      <c r="I900" s="30">
        <f>IF($A900="","",DATE(YEAR($A900),MONTH($A900),1))</f>
        <v/>
      </c>
      <c r="J900" s="31">
        <f>IF($A900="","",IF(OR($B900="",$C900="",$F900="",$G900=""),"Preencher tudo",IF(COUNTIF(EtapaLista,$B900)=0,"Etapa inválida","OK")))</f>
        <v/>
      </c>
    </row>
    <row r="901" spans="1:10">
      <c r="A901" s="17"/>
      <c r="B901" s="15"/>
      <c r="C901" s="15"/>
      <c r="D901" s="15"/>
      <c r="E901" s="15"/>
      <c r="F901" s="16"/>
      <c r="G901" s="27"/>
      <c r="H901" s="17"/>
      <c r="I901" s="30">
        <f>IF($A901="","",DATE(YEAR($A901),MONTH($A901),1))</f>
        <v/>
      </c>
      <c r="J901" s="31">
        <f>IF($A901="","",IF(OR($B901="",$C901="",$F901="",$G901=""),"Preencher tudo",IF(COUNTIF(EtapaLista,$B901)=0,"Etapa inválida","OK")))</f>
        <v/>
      </c>
    </row>
    <row r="902" spans="1:10">
      <c r="A902" s="17"/>
      <c r="B902" s="15"/>
      <c r="C902" s="15"/>
      <c r="D902" s="15"/>
      <c r="E902" s="15"/>
      <c r="F902" s="16"/>
      <c r="G902" s="27"/>
      <c r="H902" s="17"/>
      <c r="I902" s="30">
        <f>IF($A902="","",DATE(YEAR($A902),MONTH($A902),1))</f>
        <v/>
      </c>
      <c r="J902" s="31">
        <f>IF($A902="","",IF(OR($B902="",$C902="",$F902="",$G902=""),"Preencher tudo",IF(COUNTIF(EtapaLista,$B902)=0,"Etapa inválida","OK")))</f>
        <v/>
      </c>
    </row>
    <row r="903" spans="1:10">
      <c r="A903" s="17"/>
      <c r="B903" s="15"/>
      <c r="C903" s="15"/>
      <c r="D903" s="15"/>
      <c r="E903" s="15"/>
      <c r="F903" s="16"/>
      <c r="G903" s="27"/>
      <c r="H903" s="17"/>
      <c r="I903" s="30">
        <f>IF($A903="","",DATE(YEAR($A903),MONTH($A903),1))</f>
        <v/>
      </c>
      <c r="J903" s="31">
        <f>IF($A903="","",IF(OR($B903="",$C903="",$F903="",$G903=""),"Preencher tudo",IF(COUNTIF(EtapaLista,$B903)=0,"Etapa inválida","OK")))</f>
        <v/>
      </c>
    </row>
    <row r="904" spans="1:10">
      <c r="A904" s="17"/>
      <c r="B904" s="15"/>
      <c r="C904" s="15"/>
      <c r="D904" s="15"/>
      <c r="E904" s="15"/>
      <c r="F904" s="16"/>
      <c r="G904" s="27"/>
      <c r="H904" s="17"/>
      <c r="I904" s="30">
        <f>IF($A904="","",DATE(YEAR($A904),MONTH($A904),1))</f>
        <v/>
      </c>
      <c r="J904" s="31">
        <f>IF($A904="","",IF(OR($B904="",$C904="",$F904="",$G904=""),"Preencher tudo",IF(COUNTIF(EtapaLista,$B904)=0,"Etapa inválida","OK")))</f>
        <v/>
      </c>
    </row>
    <row r="905" spans="1:10">
      <c r="A905" s="17"/>
      <c r="B905" s="15"/>
      <c r="C905" s="15"/>
      <c r="D905" s="15"/>
      <c r="E905" s="15"/>
      <c r="F905" s="16"/>
      <c r="G905" s="27"/>
      <c r="H905" s="17"/>
      <c r="I905" s="30">
        <f>IF($A905="","",DATE(YEAR($A905),MONTH($A905),1))</f>
        <v/>
      </c>
      <c r="J905" s="31">
        <f>IF($A905="","",IF(OR($B905="",$C905="",$F905="",$G905=""),"Preencher tudo",IF(COUNTIF(EtapaLista,$B905)=0,"Etapa inválida","OK")))</f>
        <v/>
      </c>
    </row>
    <row r="906" spans="1:10">
      <c r="A906" s="17"/>
      <c r="B906" s="15"/>
      <c r="C906" s="15"/>
      <c r="D906" s="15"/>
      <c r="E906" s="15"/>
      <c r="F906" s="16"/>
      <c r="G906" s="27"/>
      <c r="H906" s="17"/>
      <c r="I906" s="30">
        <f>IF($A906="","",DATE(YEAR($A906),MONTH($A906),1))</f>
        <v/>
      </c>
      <c r="J906" s="31">
        <f>IF($A906="","",IF(OR($B906="",$C906="",$F906="",$G906=""),"Preencher tudo",IF(COUNTIF(EtapaLista,$B906)=0,"Etapa inválida","OK")))</f>
        <v/>
      </c>
    </row>
    <row r="907" spans="1:10">
      <c r="A907" s="17"/>
      <c r="B907" s="15"/>
      <c r="C907" s="15"/>
      <c r="D907" s="15"/>
      <c r="E907" s="15"/>
      <c r="F907" s="16"/>
      <c r="G907" s="27"/>
      <c r="H907" s="17"/>
      <c r="I907" s="30">
        <f>IF($A907="","",DATE(YEAR($A907),MONTH($A907),1))</f>
        <v/>
      </c>
      <c r="J907" s="31">
        <f>IF($A907="","",IF(OR($B907="",$C907="",$F907="",$G907=""),"Preencher tudo",IF(COUNTIF(EtapaLista,$B907)=0,"Etapa inválida","OK")))</f>
        <v/>
      </c>
    </row>
    <row r="908" spans="1:10">
      <c r="A908" s="17"/>
      <c r="B908" s="15"/>
      <c r="C908" s="15"/>
      <c r="D908" s="15"/>
      <c r="E908" s="15"/>
      <c r="F908" s="16"/>
      <c r="G908" s="27"/>
      <c r="H908" s="17"/>
      <c r="I908" s="30">
        <f>IF($A908="","",DATE(YEAR($A908),MONTH($A908),1))</f>
        <v/>
      </c>
      <c r="J908" s="31">
        <f>IF($A908="","",IF(OR($B908="",$C908="",$F908="",$G908=""),"Preencher tudo",IF(COUNTIF(EtapaLista,$B908)=0,"Etapa inválida","OK")))</f>
        <v/>
      </c>
    </row>
    <row r="909" spans="1:10">
      <c r="A909" s="17"/>
      <c r="B909" s="15"/>
      <c r="C909" s="15"/>
      <c r="D909" s="15"/>
      <c r="E909" s="15"/>
      <c r="F909" s="16"/>
      <c r="G909" s="27"/>
      <c r="H909" s="17"/>
      <c r="I909" s="30">
        <f>IF($A909="","",DATE(YEAR($A909),MONTH($A909),1))</f>
        <v/>
      </c>
      <c r="J909" s="31">
        <f>IF($A909="","",IF(OR($B909="",$C909="",$F909="",$G909=""),"Preencher tudo",IF(COUNTIF(EtapaLista,$B909)=0,"Etapa inválida","OK")))</f>
        <v/>
      </c>
    </row>
    <row r="910" spans="1:10">
      <c r="A910" s="17"/>
      <c r="B910" s="15"/>
      <c r="C910" s="15"/>
      <c r="D910" s="15"/>
      <c r="E910" s="15"/>
      <c r="F910" s="16"/>
      <c r="G910" s="27"/>
      <c r="H910" s="17"/>
      <c r="I910" s="30">
        <f>IF($A910="","",DATE(YEAR($A910),MONTH($A910),1))</f>
        <v/>
      </c>
      <c r="J910" s="31">
        <f>IF($A910="","",IF(OR($B910="",$C910="",$F910="",$G910=""),"Preencher tudo",IF(COUNTIF(EtapaLista,$B910)=0,"Etapa inválida","OK")))</f>
        <v/>
      </c>
    </row>
    <row r="911" spans="1:10">
      <c r="A911" s="17"/>
      <c r="B911" s="15"/>
      <c r="C911" s="15"/>
      <c r="D911" s="15"/>
      <c r="E911" s="15"/>
      <c r="F911" s="16"/>
      <c r="G911" s="27"/>
      <c r="H911" s="17"/>
      <c r="I911" s="30">
        <f>IF($A911="","",DATE(YEAR($A911),MONTH($A911),1))</f>
        <v/>
      </c>
      <c r="J911" s="31">
        <f>IF($A911="","",IF(OR($B911="",$C911="",$F911="",$G911=""),"Preencher tudo",IF(COUNTIF(EtapaLista,$B911)=0,"Etapa inválida","OK")))</f>
        <v/>
      </c>
    </row>
    <row r="912" spans="1:10">
      <c r="A912" s="17"/>
      <c r="B912" s="15"/>
      <c r="C912" s="15"/>
      <c r="D912" s="15"/>
      <c r="E912" s="15"/>
      <c r="F912" s="16"/>
      <c r="G912" s="27"/>
      <c r="H912" s="17"/>
      <c r="I912" s="30">
        <f>IF($A912="","",DATE(YEAR($A912),MONTH($A912),1))</f>
        <v/>
      </c>
      <c r="J912" s="31">
        <f>IF($A912="","",IF(OR($B912="",$C912="",$F912="",$G912=""),"Preencher tudo",IF(COUNTIF(EtapaLista,$B912)=0,"Etapa inválida","OK")))</f>
        <v/>
      </c>
    </row>
    <row r="913" spans="1:10">
      <c r="A913" s="17"/>
      <c r="B913" s="15"/>
      <c r="C913" s="15"/>
      <c r="D913" s="15"/>
      <c r="E913" s="15"/>
      <c r="F913" s="16"/>
      <c r="G913" s="27"/>
      <c r="H913" s="17"/>
      <c r="I913" s="30">
        <f>IF($A913="","",DATE(YEAR($A913),MONTH($A913),1))</f>
        <v/>
      </c>
      <c r="J913" s="31">
        <f>IF($A913="","",IF(OR($B913="",$C913="",$F913="",$G913=""),"Preencher tudo",IF(COUNTIF(EtapaLista,$B913)=0,"Etapa inválida","OK")))</f>
        <v/>
      </c>
    </row>
    <row r="914" spans="1:10">
      <c r="A914" s="17"/>
      <c r="B914" s="15"/>
      <c r="C914" s="15"/>
      <c r="D914" s="15"/>
      <c r="E914" s="15"/>
      <c r="F914" s="16"/>
      <c r="G914" s="27"/>
      <c r="H914" s="17"/>
      <c r="I914" s="30">
        <f>IF($A914="","",DATE(YEAR($A914),MONTH($A914),1))</f>
        <v/>
      </c>
      <c r="J914" s="31">
        <f>IF($A914="","",IF(OR($B914="",$C914="",$F914="",$G914=""),"Preencher tudo",IF(COUNTIF(EtapaLista,$B914)=0,"Etapa inválida","OK")))</f>
        <v/>
      </c>
    </row>
    <row r="915" spans="1:10">
      <c r="A915" s="17"/>
      <c r="B915" s="15"/>
      <c r="C915" s="15"/>
      <c r="D915" s="15"/>
      <c r="E915" s="15"/>
      <c r="F915" s="16"/>
      <c r="G915" s="27"/>
      <c r="H915" s="17"/>
      <c r="I915" s="30">
        <f>IF($A915="","",DATE(YEAR($A915),MONTH($A915),1))</f>
        <v/>
      </c>
      <c r="J915" s="31">
        <f>IF($A915="","",IF(OR($B915="",$C915="",$F915="",$G915=""),"Preencher tudo",IF(COUNTIF(EtapaLista,$B915)=0,"Etapa inválida","OK")))</f>
        <v/>
      </c>
    </row>
    <row r="916" spans="1:10">
      <c r="A916" s="17"/>
      <c r="B916" s="15"/>
      <c r="C916" s="15"/>
      <c r="D916" s="15"/>
      <c r="E916" s="15"/>
      <c r="F916" s="16"/>
      <c r="G916" s="27"/>
      <c r="H916" s="17"/>
      <c r="I916" s="30">
        <f>IF($A916="","",DATE(YEAR($A916),MONTH($A916),1))</f>
        <v/>
      </c>
      <c r="J916" s="31">
        <f>IF($A916="","",IF(OR($B916="",$C916="",$F916="",$G916=""),"Preencher tudo",IF(COUNTIF(EtapaLista,$B916)=0,"Etapa inválida","OK")))</f>
        <v/>
      </c>
    </row>
    <row r="917" spans="1:10">
      <c r="A917" s="17"/>
      <c r="B917" s="15"/>
      <c r="C917" s="15"/>
      <c r="D917" s="15"/>
      <c r="E917" s="15"/>
      <c r="F917" s="16"/>
      <c r="G917" s="27"/>
      <c r="H917" s="17"/>
      <c r="I917" s="30">
        <f>IF($A917="","",DATE(YEAR($A917),MONTH($A917),1))</f>
        <v/>
      </c>
      <c r="J917" s="31">
        <f>IF($A917="","",IF(OR($B917="",$C917="",$F917="",$G917=""),"Preencher tudo",IF(COUNTIF(EtapaLista,$B917)=0,"Etapa inválida","OK")))</f>
        <v/>
      </c>
    </row>
    <row r="918" spans="1:10">
      <c r="A918" s="17"/>
      <c r="B918" s="15"/>
      <c r="C918" s="15"/>
      <c r="D918" s="15"/>
      <c r="E918" s="15"/>
      <c r="F918" s="16"/>
      <c r="G918" s="27"/>
      <c r="H918" s="17"/>
      <c r="I918" s="30">
        <f>IF($A918="","",DATE(YEAR($A918),MONTH($A918),1))</f>
        <v/>
      </c>
      <c r="J918" s="31">
        <f>IF($A918="","",IF(OR($B918="",$C918="",$F918="",$G918=""),"Preencher tudo",IF(COUNTIF(EtapaLista,$B918)=0,"Etapa inválida","OK")))</f>
        <v/>
      </c>
    </row>
    <row r="919" spans="1:10">
      <c r="A919" s="17"/>
      <c r="B919" s="15"/>
      <c r="C919" s="15"/>
      <c r="D919" s="15"/>
      <c r="E919" s="15"/>
      <c r="F919" s="16"/>
      <c r="G919" s="27"/>
      <c r="H919" s="17"/>
      <c r="I919" s="30">
        <f>IF($A919="","",DATE(YEAR($A919),MONTH($A919),1))</f>
        <v/>
      </c>
      <c r="J919" s="31">
        <f>IF($A919="","",IF(OR($B919="",$C919="",$F919="",$G919=""),"Preencher tudo",IF(COUNTIF(EtapaLista,$B919)=0,"Etapa inválida","OK")))</f>
        <v/>
      </c>
    </row>
    <row r="920" spans="1:10">
      <c r="A920" s="17"/>
      <c r="B920" s="15"/>
      <c r="C920" s="15"/>
      <c r="D920" s="15"/>
      <c r="E920" s="15"/>
      <c r="F920" s="16"/>
      <c r="G920" s="27"/>
      <c r="H920" s="17"/>
      <c r="I920" s="30">
        <f>IF($A920="","",DATE(YEAR($A920),MONTH($A920),1))</f>
        <v/>
      </c>
      <c r="J920" s="31">
        <f>IF($A920="","",IF(OR($B920="",$C920="",$F920="",$G920=""),"Preencher tudo",IF(COUNTIF(EtapaLista,$B920)=0,"Etapa inválida","OK")))</f>
        <v/>
      </c>
    </row>
    <row r="921" spans="1:10">
      <c r="A921" s="17"/>
      <c r="B921" s="15"/>
      <c r="C921" s="15"/>
      <c r="D921" s="15"/>
      <c r="E921" s="15"/>
      <c r="F921" s="16"/>
      <c r="G921" s="27"/>
      <c r="H921" s="17"/>
      <c r="I921" s="30">
        <f>IF($A921="","",DATE(YEAR($A921),MONTH($A921),1))</f>
        <v/>
      </c>
      <c r="J921" s="31">
        <f>IF($A921="","",IF(OR($B921="",$C921="",$F921="",$G921=""),"Preencher tudo",IF(COUNTIF(EtapaLista,$B921)=0,"Etapa inválida","OK")))</f>
        <v/>
      </c>
    </row>
    <row r="922" spans="1:10">
      <c r="A922" s="17"/>
      <c r="B922" s="15"/>
      <c r="C922" s="15"/>
      <c r="D922" s="15"/>
      <c r="E922" s="15"/>
      <c r="F922" s="16"/>
      <c r="G922" s="27"/>
      <c r="H922" s="17"/>
      <c r="I922" s="30">
        <f>IF($A922="","",DATE(YEAR($A922),MONTH($A922),1))</f>
        <v/>
      </c>
      <c r="J922" s="31">
        <f>IF($A922="","",IF(OR($B922="",$C922="",$F922="",$G922=""),"Preencher tudo",IF(COUNTIF(EtapaLista,$B922)=0,"Etapa inválida","OK")))</f>
        <v/>
      </c>
    </row>
    <row r="923" spans="1:10">
      <c r="A923" s="17"/>
      <c r="B923" s="15"/>
      <c r="C923" s="15"/>
      <c r="D923" s="15"/>
      <c r="E923" s="15"/>
      <c r="F923" s="16"/>
      <c r="G923" s="27"/>
      <c r="H923" s="17"/>
      <c r="I923" s="30">
        <f>IF($A923="","",DATE(YEAR($A923),MONTH($A923),1))</f>
        <v/>
      </c>
      <c r="J923" s="31">
        <f>IF($A923="","",IF(OR($B923="",$C923="",$F923="",$G923=""),"Preencher tudo",IF(COUNTIF(EtapaLista,$B923)=0,"Etapa inválida","OK")))</f>
        <v/>
      </c>
    </row>
    <row r="924" spans="1:10">
      <c r="A924" s="17"/>
      <c r="B924" s="15"/>
      <c r="C924" s="15"/>
      <c r="D924" s="15"/>
      <c r="E924" s="15"/>
      <c r="F924" s="16"/>
      <c r="G924" s="27"/>
      <c r="H924" s="17"/>
      <c r="I924" s="30">
        <f>IF($A924="","",DATE(YEAR($A924),MONTH($A924),1))</f>
        <v/>
      </c>
      <c r="J924" s="31">
        <f>IF($A924="","",IF(OR($B924="",$C924="",$F924="",$G924=""),"Preencher tudo",IF(COUNTIF(EtapaLista,$B924)=0,"Etapa inválida","OK")))</f>
        <v/>
      </c>
    </row>
    <row r="925" spans="1:10">
      <c r="A925" s="17"/>
      <c r="B925" s="15"/>
      <c r="C925" s="15"/>
      <c r="D925" s="15"/>
      <c r="E925" s="15"/>
      <c r="F925" s="16"/>
      <c r="G925" s="27"/>
      <c r="H925" s="17"/>
      <c r="I925" s="30">
        <f>IF($A925="","",DATE(YEAR($A925),MONTH($A925),1))</f>
        <v/>
      </c>
      <c r="J925" s="31">
        <f>IF($A925="","",IF(OR($B925="",$C925="",$F925="",$G925=""),"Preencher tudo",IF(COUNTIF(EtapaLista,$B925)=0,"Etapa inválida","OK")))</f>
        <v/>
      </c>
    </row>
    <row r="926" spans="1:10">
      <c r="A926" s="17"/>
      <c r="B926" s="15"/>
      <c r="C926" s="15"/>
      <c r="D926" s="15"/>
      <c r="E926" s="15"/>
      <c r="F926" s="16"/>
      <c r="G926" s="27"/>
      <c r="H926" s="17"/>
      <c r="I926" s="30">
        <f>IF($A926="","",DATE(YEAR($A926),MONTH($A926),1))</f>
        <v/>
      </c>
      <c r="J926" s="31">
        <f>IF($A926="","",IF(OR($B926="",$C926="",$F926="",$G926=""),"Preencher tudo",IF(COUNTIF(EtapaLista,$B926)=0,"Etapa inválida","OK")))</f>
        <v/>
      </c>
    </row>
    <row r="927" spans="1:10">
      <c r="A927" s="17"/>
      <c r="B927" s="15"/>
      <c r="C927" s="15"/>
      <c r="D927" s="15"/>
      <c r="E927" s="15"/>
      <c r="F927" s="16"/>
      <c r="G927" s="27"/>
      <c r="H927" s="17"/>
      <c r="I927" s="30">
        <f>IF($A927="","",DATE(YEAR($A927),MONTH($A927),1))</f>
        <v/>
      </c>
      <c r="J927" s="31">
        <f>IF($A927="","",IF(OR($B927="",$C927="",$F927="",$G927=""),"Preencher tudo",IF(COUNTIF(EtapaLista,$B927)=0,"Etapa inválida","OK")))</f>
        <v/>
      </c>
    </row>
    <row r="928" spans="1:10">
      <c r="A928" s="17"/>
      <c r="B928" s="15"/>
      <c r="C928" s="15"/>
      <c r="D928" s="15"/>
      <c r="E928" s="15"/>
      <c r="F928" s="16"/>
      <c r="G928" s="27"/>
      <c r="H928" s="17"/>
      <c r="I928" s="30">
        <f>IF($A928="","",DATE(YEAR($A928),MONTH($A928),1))</f>
        <v/>
      </c>
      <c r="J928" s="31">
        <f>IF($A928="","",IF(OR($B928="",$C928="",$F928="",$G928=""),"Preencher tudo",IF(COUNTIF(EtapaLista,$B928)=0,"Etapa inválida","OK")))</f>
        <v/>
      </c>
    </row>
    <row r="929" spans="1:10">
      <c r="A929" s="17"/>
      <c r="B929" s="15"/>
      <c r="C929" s="15"/>
      <c r="D929" s="15"/>
      <c r="E929" s="15"/>
      <c r="F929" s="16"/>
      <c r="G929" s="27"/>
      <c r="H929" s="17"/>
      <c r="I929" s="30">
        <f>IF($A929="","",DATE(YEAR($A929),MONTH($A929),1))</f>
        <v/>
      </c>
      <c r="J929" s="31">
        <f>IF($A929="","",IF(OR($B929="",$C929="",$F929="",$G929=""),"Preencher tudo",IF(COUNTIF(EtapaLista,$B929)=0,"Etapa inválida","OK")))</f>
        <v/>
      </c>
    </row>
    <row r="930" spans="1:10">
      <c r="A930" s="17"/>
      <c r="B930" s="15"/>
      <c r="C930" s="15"/>
      <c r="D930" s="15"/>
      <c r="E930" s="15"/>
      <c r="F930" s="16"/>
      <c r="G930" s="27"/>
      <c r="H930" s="17"/>
      <c r="I930" s="30">
        <f>IF($A930="","",DATE(YEAR($A930),MONTH($A930),1))</f>
        <v/>
      </c>
      <c r="J930" s="31">
        <f>IF($A930="","",IF(OR($B930="",$C930="",$F930="",$G930=""),"Preencher tudo",IF(COUNTIF(EtapaLista,$B930)=0,"Etapa inválida","OK")))</f>
        <v/>
      </c>
    </row>
    <row r="931" spans="1:10">
      <c r="A931" s="17"/>
      <c r="B931" s="15"/>
      <c r="C931" s="15"/>
      <c r="D931" s="15"/>
      <c r="E931" s="15"/>
      <c r="F931" s="16"/>
      <c r="G931" s="27"/>
      <c r="H931" s="17"/>
      <c r="I931" s="30">
        <f>IF($A931="","",DATE(YEAR($A931),MONTH($A931),1))</f>
        <v/>
      </c>
      <c r="J931" s="31">
        <f>IF($A931="","",IF(OR($B931="",$C931="",$F931="",$G931=""),"Preencher tudo",IF(COUNTIF(EtapaLista,$B931)=0,"Etapa inválida","OK")))</f>
        <v/>
      </c>
    </row>
    <row r="932" spans="1:10">
      <c r="A932" s="17"/>
      <c r="B932" s="15"/>
      <c r="C932" s="15"/>
      <c r="D932" s="15"/>
      <c r="E932" s="15"/>
      <c r="F932" s="16"/>
      <c r="G932" s="27"/>
      <c r="H932" s="17"/>
      <c r="I932" s="30">
        <f>IF($A932="","",DATE(YEAR($A932),MONTH($A932),1))</f>
        <v/>
      </c>
      <c r="J932" s="31">
        <f>IF($A932="","",IF(OR($B932="",$C932="",$F932="",$G932=""),"Preencher tudo",IF(COUNTIF(EtapaLista,$B932)=0,"Etapa inválida","OK")))</f>
        <v/>
      </c>
    </row>
    <row r="933" spans="1:10">
      <c r="A933" s="17"/>
      <c r="B933" s="15"/>
      <c r="C933" s="15"/>
      <c r="D933" s="15"/>
      <c r="E933" s="15"/>
      <c r="F933" s="16"/>
      <c r="G933" s="27"/>
      <c r="H933" s="17"/>
      <c r="I933" s="30">
        <f>IF($A933="","",DATE(YEAR($A933),MONTH($A933),1))</f>
        <v/>
      </c>
      <c r="J933" s="31">
        <f>IF($A933="","",IF(OR($B933="",$C933="",$F933="",$G933=""),"Preencher tudo",IF(COUNTIF(EtapaLista,$B933)=0,"Etapa inválida","OK")))</f>
        <v/>
      </c>
    </row>
    <row r="934" spans="1:10">
      <c r="A934" s="17"/>
      <c r="B934" s="15"/>
      <c r="C934" s="15"/>
      <c r="D934" s="15"/>
      <c r="E934" s="15"/>
      <c r="F934" s="16"/>
      <c r="G934" s="27"/>
      <c r="H934" s="17"/>
      <c r="I934" s="30">
        <f>IF($A934="","",DATE(YEAR($A934),MONTH($A934),1))</f>
        <v/>
      </c>
      <c r="J934" s="31">
        <f>IF($A934="","",IF(OR($B934="",$C934="",$F934="",$G934=""),"Preencher tudo",IF(COUNTIF(EtapaLista,$B934)=0,"Etapa inválida","OK")))</f>
        <v/>
      </c>
    </row>
    <row r="935" spans="1:10">
      <c r="A935" s="17"/>
      <c r="B935" s="15"/>
      <c r="C935" s="15"/>
      <c r="D935" s="15"/>
      <c r="E935" s="15"/>
      <c r="F935" s="16"/>
      <c r="G935" s="27"/>
      <c r="H935" s="17"/>
      <c r="I935" s="30">
        <f>IF($A935="","",DATE(YEAR($A935),MONTH($A935),1))</f>
        <v/>
      </c>
      <c r="J935" s="31">
        <f>IF($A935="","",IF(OR($B935="",$C935="",$F935="",$G935=""),"Preencher tudo",IF(COUNTIF(EtapaLista,$B935)=0,"Etapa inválida","OK")))</f>
        <v/>
      </c>
    </row>
    <row r="936" spans="1:10">
      <c r="A936" s="17"/>
      <c r="B936" s="15"/>
      <c r="C936" s="15"/>
      <c r="D936" s="15"/>
      <c r="E936" s="15"/>
      <c r="F936" s="16"/>
      <c r="G936" s="27"/>
      <c r="H936" s="17"/>
      <c r="I936" s="30">
        <f>IF($A936="","",DATE(YEAR($A936),MONTH($A936),1))</f>
        <v/>
      </c>
      <c r="J936" s="31">
        <f>IF($A936="","",IF(OR($B936="",$C936="",$F936="",$G936=""),"Preencher tudo",IF(COUNTIF(EtapaLista,$B936)=0,"Etapa inválida","OK")))</f>
        <v/>
      </c>
    </row>
    <row r="937" spans="1:10">
      <c r="A937" s="17"/>
      <c r="B937" s="15"/>
      <c r="C937" s="15"/>
      <c r="D937" s="15"/>
      <c r="E937" s="15"/>
      <c r="F937" s="16"/>
      <c r="G937" s="27"/>
      <c r="H937" s="17"/>
      <c r="I937" s="30">
        <f>IF($A937="","",DATE(YEAR($A937),MONTH($A937),1))</f>
        <v/>
      </c>
      <c r="J937" s="31">
        <f>IF($A937="","",IF(OR($B937="",$C937="",$F937="",$G937=""),"Preencher tudo",IF(COUNTIF(EtapaLista,$B937)=0,"Etapa inválida","OK")))</f>
        <v/>
      </c>
    </row>
    <row r="938" spans="1:10">
      <c r="A938" s="17"/>
      <c r="B938" s="15"/>
      <c r="C938" s="15"/>
      <c r="D938" s="15"/>
      <c r="E938" s="15"/>
      <c r="F938" s="16"/>
      <c r="G938" s="27"/>
      <c r="H938" s="17"/>
      <c r="I938" s="30">
        <f>IF($A938="","",DATE(YEAR($A938),MONTH($A938),1))</f>
        <v/>
      </c>
      <c r="J938" s="31">
        <f>IF($A938="","",IF(OR($B938="",$C938="",$F938="",$G938=""),"Preencher tudo",IF(COUNTIF(EtapaLista,$B938)=0,"Etapa inválida","OK")))</f>
        <v/>
      </c>
    </row>
    <row r="939" spans="1:10">
      <c r="A939" s="17"/>
      <c r="B939" s="15"/>
      <c r="C939" s="15"/>
      <c r="D939" s="15"/>
      <c r="E939" s="15"/>
      <c r="F939" s="16"/>
      <c r="G939" s="27"/>
      <c r="H939" s="17"/>
      <c r="I939" s="30">
        <f>IF($A939="","",DATE(YEAR($A939),MONTH($A939),1))</f>
        <v/>
      </c>
      <c r="J939" s="31">
        <f>IF($A939="","",IF(OR($B939="",$C939="",$F939="",$G939=""),"Preencher tudo",IF(COUNTIF(EtapaLista,$B939)=0,"Etapa inválida","OK")))</f>
        <v/>
      </c>
    </row>
    <row r="940" spans="1:10">
      <c r="A940" s="17"/>
      <c r="B940" s="15"/>
      <c r="C940" s="15"/>
      <c r="D940" s="15"/>
      <c r="E940" s="15"/>
      <c r="F940" s="16"/>
      <c r="G940" s="27"/>
      <c r="H940" s="17"/>
      <c r="I940" s="30">
        <f>IF($A940="","",DATE(YEAR($A940),MONTH($A940),1))</f>
        <v/>
      </c>
      <c r="J940" s="31">
        <f>IF($A940="","",IF(OR($B940="",$C940="",$F940="",$G940=""),"Preencher tudo",IF(COUNTIF(EtapaLista,$B940)=0,"Etapa inválida","OK")))</f>
        <v/>
      </c>
    </row>
    <row r="941" spans="1:10">
      <c r="A941" s="17"/>
      <c r="B941" s="15"/>
      <c r="C941" s="15"/>
      <c r="D941" s="15"/>
      <c r="E941" s="15"/>
      <c r="F941" s="16"/>
      <c r="G941" s="27"/>
      <c r="H941" s="17"/>
      <c r="I941" s="30">
        <f>IF($A941="","",DATE(YEAR($A941),MONTH($A941),1))</f>
        <v/>
      </c>
      <c r="J941" s="31">
        <f>IF($A941="","",IF(OR($B941="",$C941="",$F941="",$G941=""),"Preencher tudo",IF(COUNTIF(EtapaLista,$B941)=0,"Etapa inválida","OK")))</f>
        <v/>
      </c>
    </row>
    <row r="942" spans="1:10">
      <c r="A942" s="17"/>
      <c r="B942" s="15"/>
      <c r="C942" s="15"/>
      <c r="D942" s="15"/>
      <c r="E942" s="15"/>
      <c r="F942" s="16"/>
      <c r="G942" s="27"/>
      <c r="H942" s="17"/>
      <c r="I942" s="30">
        <f>IF($A942="","",DATE(YEAR($A942),MONTH($A942),1))</f>
        <v/>
      </c>
      <c r="J942" s="31">
        <f>IF($A942="","",IF(OR($B942="",$C942="",$F942="",$G942=""),"Preencher tudo",IF(COUNTIF(EtapaLista,$B942)=0,"Etapa inválida","OK")))</f>
        <v/>
      </c>
    </row>
    <row r="943" spans="1:10">
      <c r="A943" s="17"/>
      <c r="B943" s="15"/>
      <c r="C943" s="15"/>
      <c r="D943" s="15"/>
      <c r="E943" s="15"/>
      <c r="F943" s="16"/>
      <c r="G943" s="27"/>
      <c r="H943" s="17"/>
      <c r="I943" s="30">
        <f>IF($A943="","",DATE(YEAR($A943),MONTH($A943),1))</f>
        <v/>
      </c>
      <c r="J943" s="31">
        <f>IF($A943="","",IF(OR($B943="",$C943="",$F943="",$G943=""),"Preencher tudo",IF(COUNTIF(EtapaLista,$B943)=0,"Etapa inválida","OK")))</f>
        <v/>
      </c>
    </row>
    <row r="944" spans="1:10">
      <c r="A944" s="17"/>
      <c r="B944" s="15"/>
      <c r="C944" s="15"/>
      <c r="D944" s="15"/>
      <c r="E944" s="15"/>
      <c r="F944" s="16"/>
      <c r="G944" s="27"/>
      <c r="H944" s="17"/>
      <c r="I944" s="30">
        <f>IF($A944="","",DATE(YEAR($A944),MONTH($A944),1))</f>
        <v/>
      </c>
      <c r="J944" s="31">
        <f>IF($A944="","",IF(OR($B944="",$C944="",$F944="",$G944=""),"Preencher tudo",IF(COUNTIF(EtapaLista,$B944)=0,"Etapa inválida","OK")))</f>
        <v/>
      </c>
    </row>
    <row r="945" spans="1:10">
      <c r="A945" s="17"/>
      <c r="B945" s="15"/>
      <c r="C945" s="15"/>
      <c r="D945" s="15"/>
      <c r="E945" s="15"/>
      <c r="F945" s="16"/>
      <c r="G945" s="27"/>
      <c r="H945" s="17"/>
      <c r="I945" s="30">
        <f>IF($A945="","",DATE(YEAR($A945),MONTH($A945),1))</f>
        <v/>
      </c>
      <c r="J945" s="31">
        <f>IF($A945="","",IF(OR($B945="",$C945="",$F945="",$G945=""),"Preencher tudo",IF(COUNTIF(EtapaLista,$B945)=0,"Etapa inválida","OK")))</f>
        <v/>
      </c>
    </row>
    <row r="946" spans="1:10">
      <c r="A946" s="17"/>
      <c r="B946" s="15"/>
      <c r="C946" s="15"/>
      <c r="D946" s="15"/>
      <c r="E946" s="15"/>
      <c r="F946" s="16"/>
      <c r="G946" s="27"/>
      <c r="H946" s="17"/>
      <c r="I946" s="30">
        <f>IF($A946="","",DATE(YEAR($A946),MONTH($A946),1))</f>
        <v/>
      </c>
      <c r="J946" s="31">
        <f>IF($A946="","",IF(OR($B946="",$C946="",$F946="",$G946=""),"Preencher tudo",IF(COUNTIF(EtapaLista,$B946)=0,"Etapa inválida","OK")))</f>
        <v/>
      </c>
    </row>
    <row r="947" spans="1:10">
      <c r="A947" s="17"/>
      <c r="B947" s="15"/>
      <c r="C947" s="15"/>
      <c r="D947" s="15"/>
      <c r="E947" s="15"/>
      <c r="F947" s="16"/>
      <c r="G947" s="27"/>
      <c r="H947" s="17"/>
      <c r="I947" s="30">
        <f>IF($A947="","",DATE(YEAR($A947),MONTH($A947),1))</f>
        <v/>
      </c>
      <c r="J947" s="31">
        <f>IF($A947="","",IF(OR($B947="",$C947="",$F947="",$G947=""),"Preencher tudo",IF(COUNTIF(EtapaLista,$B947)=0,"Etapa inválida","OK")))</f>
        <v/>
      </c>
    </row>
    <row r="948" spans="1:10">
      <c r="A948" s="17"/>
      <c r="B948" s="15"/>
      <c r="C948" s="15"/>
      <c r="D948" s="15"/>
      <c r="E948" s="15"/>
      <c r="F948" s="16"/>
      <c r="G948" s="27"/>
      <c r="H948" s="17"/>
      <c r="I948" s="30">
        <f>IF($A948="","",DATE(YEAR($A948),MONTH($A948),1))</f>
        <v/>
      </c>
      <c r="J948" s="31">
        <f>IF($A948="","",IF(OR($B948="",$C948="",$F948="",$G948=""),"Preencher tudo",IF(COUNTIF(EtapaLista,$B948)=0,"Etapa inválida","OK")))</f>
        <v/>
      </c>
    </row>
    <row r="949" spans="1:10">
      <c r="A949" s="17"/>
      <c r="B949" s="15"/>
      <c r="C949" s="15"/>
      <c r="D949" s="15"/>
      <c r="E949" s="15"/>
      <c r="F949" s="16"/>
      <c r="G949" s="27"/>
      <c r="H949" s="17"/>
      <c r="I949" s="30">
        <f>IF($A949="","",DATE(YEAR($A949),MONTH($A949),1))</f>
        <v/>
      </c>
      <c r="J949" s="31">
        <f>IF($A949="","",IF(OR($B949="",$C949="",$F949="",$G949=""),"Preencher tudo",IF(COUNTIF(EtapaLista,$B949)=0,"Etapa inválida","OK")))</f>
        <v/>
      </c>
    </row>
    <row r="950" spans="1:10">
      <c r="A950" s="17"/>
      <c r="B950" s="15"/>
      <c r="C950" s="15"/>
      <c r="D950" s="15"/>
      <c r="E950" s="15"/>
      <c r="F950" s="16"/>
      <c r="G950" s="27"/>
      <c r="H950" s="17"/>
      <c r="I950" s="30">
        <f>IF($A950="","",DATE(YEAR($A950),MONTH($A950),1))</f>
        <v/>
      </c>
      <c r="J950" s="31">
        <f>IF($A950="","",IF(OR($B950="",$C950="",$F950="",$G950=""),"Preencher tudo",IF(COUNTIF(EtapaLista,$B950)=0,"Etapa inválida","OK")))</f>
        <v/>
      </c>
    </row>
    <row r="951" spans="1:10">
      <c r="A951" s="17"/>
      <c r="B951" s="15"/>
      <c r="C951" s="15"/>
      <c r="D951" s="15"/>
      <c r="E951" s="15"/>
      <c r="F951" s="16"/>
      <c r="G951" s="27"/>
      <c r="H951" s="17"/>
      <c r="I951" s="30">
        <f>IF($A951="","",DATE(YEAR($A951),MONTH($A951),1))</f>
        <v/>
      </c>
      <c r="J951" s="31">
        <f>IF($A951="","",IF(OR($B951="",$C951="",$F951="",$G951=""),"Preencher tudo",IF(COUNTIF(EtapaLista,$B951)=0,"Etapa inválida","OK")))</f>
        <v/>
      </c>
    </row>
    <row r="952" spans="1:10">
      <c r="A952" s="17"/>
      <c r="B952" s="15"/>
      <c r="C952" s="15"/>
      <c r="D952" s="15"/>
      <c r="E952" s="15"/>
      <c r="F952" s="16"/>
      <c r="G952" s="27"/>
      <c r="H952" s="17"/>
      <c r="I952" s="30">
        <f>IF($A952="","",DATE(YEAR($A952),MONTH($A952),1))</f>
        <v/>
      </c>
      <c r="J952" s="31">
        <f>IF($A952="","",IF(OR($B952="",$C952="",$F952="",$G952=""),"Preencher tudo",IF(COUNTIF(EtapaLista,$B952)=0,"Etapa inválida","OK")))</f>
        <v/>
      </c>
    </row>
    <row r="953" spans="1:10">
      <c r="A953" s="17"/>
      <c r="B953" s="15"/>
      <c r="C953" s="15"/>
      <c r="D953" s="15"/>
      <c r="E953" s="15"/>
      <c r="F953" s="16"/>
      <c r="G953" s="27"/>
      <c r="H953" s="17"/>
      <c r="I953" s="30">
        <f>IF($A953="","",DATE(YEAR($A953),MONTH($A953),1))</f>
        <v/>
      </c>
      <c r="J953" s="31">
        <f>IF($A953="","",IF(OR($B953="",$C953="",$F953="",$G953=""),"Preencher tudo",IF(COUNTIF(EtapaLista,$B953)=0,"Etapa inválida","OK")))</f>
        <v/>
      </c>
    </row>
    <row r="954" spans="1:10">
      <c r="A954" s="17"/>
      <c r="B954" s="15"/>
      <c r="C954" s="15"/>
      <c r="D954" s="15"/>
      <c r="E954" s="15"/>
      <c r="F954" s="16"/>
      <c r="G954" s="27"/>
      <c r="H954" s="17"/>
      <c r="I954" s="30">
        <f>IF($A954="","",DATE(YEAR($A954),MONTH($A954),1))</f>
        <v/>
      </c>
      <c r="J954" s="31">
        <f>IF($A954="","",IF(OR($B954="",$C954="",$F954="",$G954=""),"Preencher tudo",IF(COUNTIF(EtapaLista,$B954)=0,"Etapa inválida","OK")))</f>
        <v/>
      </c>
    </row>
    <row r="955" spans="1:10">
      <c r="A955" s="17"/>
      <c r="B955" s="15"/>
      <c r="C955" s="15"/>
      <c r="D955" s="15"/>
      <c r="E955" s="15"/>
      <c r="F955" s="16"/>
      <c r="G955" s="27"/>
      <c r="H955" s="17"/>
      <c r="I955" s="30">
        <f>IF($A955="","",DATE(YEAR($A955),MONTH($A955),1))</f>
        <v/>
      </c>
      <c r="J955" s="31">
        <f>IF($A955="","",IF(OR($B955="",$C955="",$F955="",$G955=""),"Preencher tudo",IF(COUNTIF(EtapaLista,$B955)=0,"Etapa inválida","OK")))</f>
        <v/>
      </c>
    </row>
    <row r="956" spans="1:10">
      <c r="A956" s="17"/>
      <c r="B956" s="15"/>
      <c r="C956" s="15"/>
      <c r="D956" s="15"/>
      <c r="E956" s="15"/>
      <c r="F956" s="16"/>
      <c r="G956" s="27"/>
      <c r="H956" s="17"/>
      <c r="I956" s="30">
        <f>IF($A956="","",DATE(YEAR($A956),MONTH($A956),1))</f>
        <v/>
      </c>
      <c r="J956" s="31">
        <f>IF($A956="","",IF(OR($B956="",$C956="",$F956="",$G956=""),"Preencher tudo",IF(COUNTIF(EtapaLista,$B956)=0,"Etapa inválida","OK")))</f>
        <v/>
      </c>
    </row>
    <row r="957" spans="1:10">
      <c r="A957" s="17"/>
      <c r="B957" s="15"/>
      <c r="C957" s="15"/>
      <c r="D957" s="15"/>
      <c r="E957" s="15"/>
      <c r="F957" s="16"/>
      <c r="G957" s="27"/>
      <c r="H957" s="17"/>
      <c r="I957" s="30">
        <f>IF($A957="","",DATE(YEAR($A957),MONTH($A957),1))</f>
        <v/>
      </c>
      <c r="J957" s="31">
        <f>IF($A957="","",IF(OR($B957="",$C957="",$F957="",$G957=""),"Preencher tudo",IF(COUNTIF(EtapaLista,$B957)=0,"Etapa inválida","OK")))</f>
        <v/>
      </c>
    </row>
    <row r="958" spans="1:10">
      <c r="A958" s="17"/>
      <c r="B958" s="15"/>
      <c r="C958" s="15"/>
      <c r="D958" s="15"/>
      <c r="E958" s="15"/>
      <c r="F958" s="16"/>
      <c r="G958" s="27"/>
      <c r="H958" s="17"/>
      <c r="I958" s="30">
        <f>IF($A958="","",DATE(YEAR($A958),MONTH($A958),1))</f>
        <v/>
      </c>
      <c r="J958" s="31">
        <f>IF($A958="","",IF(OR($B958="",$C958="",$F958="",$G958=""),"Preencher tudo",IF(COUNTIF(EtapaLista,$B958)=0,"Etapa inválida","OK")))</f>
        <v/>
      </c>
    </row>
    <row r="959" spans="1:10">
      <c r="A959" s="17"/>
      <c r="B959" s="15"/>
      <c r="C959" s="15"/>
      <c r="D959" s="15"/>
      <c r="E959" s="15"/>
      <c r="F959" s="16"/>
      <c r="G959" s="27"/>
      <c r="H959" s="17"/>
      <c r="I959" s="30">
        <f>IF($A959="","",DATE(YEAR($A959),MONTH($A959),1))</f>
        <v/>
      </c>
      <c r="J959" s="31">
        <f>IF($A959="","",IF(OR($B959="",$C959="",$F959="",$G959=""),"Preencher tudo",IF(COUNTIF(EtapaLista,$B959)=0,"Etapa inválida","OK")))</f>
        <v/>
      </c>
    </row>
    <row r="960" spans="1:10">
      <c r="A960" s="17"/>
      <c r="B960" s="15"/>
      <c r="C960" s="15"/>
      <c r="D960" s="15"/>
      <c r="E960" s="15"/>
      <c r="F960" s="16"/>
      <c r="G960" s="27"/>
      <c r="H960" s="17"/>
      <c r="I960" s="30">
        <f>IF($A960="","",DATE(YEAR($A960),MONTH($A960),1))</f>
        <v/>
      </c>
      <c r="J960" s="31">
        <f>IF($A960="","",IF(OR($B960="",$C960="",$F960="",$G960=""),"Preencher tudo",IF(COUNTIF(EtapaLista,$B960)=0,"Etapa inválida","OK")))</f>
        <v/>
      </c>
    </row>
    <row r="961" spans="1:10">
      <c r="A961" s="17"/>
      <c r="B961" s="15"/>
      <c r="C961" s="15"/>
      <c r="D961" s="15"/>
      <c r="E961" s="15"/>
      <c r="F961" s="16"/>
      <c r="G961" s="27"/>
      <c r="H961" s="17"/>
      <c r="I961" s="30">
        <f>IF($A961="","",DATE(YEAR($A961),MONTH($A961),1))</f>
        <v/>
      </c>
      <c r="J961" s="31">
        <f>IF($A961="","",IF(OR($B961="",$C961="",$F961="",$G961=""),"Preencher tudo",IF(COUNTIF(EtapaLista,$B961)=0,"Etapa inválida","OK")))</f>
        <v/>
      </c>
    </row>
    <row r="962" spans="1:10">
      <c r="A962" s="17"/>
      <c r="B962" s="15"/>
      <c r="C962" s="15"/>
      <c r="D962" s="15"/>
      <c r="E962" s="15"/>
      <c r="F962" s="16"/>
      <c r="G962" s="27"/>
      <c r="H962" s="17"/>
      <c r="I962" s="30">
        <f>IF($A962="","",DATE(YEAR($A962),MONTH($A962),1))</f>
        <v/>
      </c>
      <c r="J962" s="31">
        <f>IF($A962="","",IF(OR($B962="",$C962="",$F962="",$G962=""),"Preencher tudo",IF(COUNTIF(EtapaLista,$B962)=0,"Etapa inválida","OK")))</f>
        <v/>
      </c>
    </row>
    <row r="963" spans="1:10">
      <c r="A963" s="17"/>
      <c r="B963" s="15"/>
      <c r="C963" s="15"/>
      <c r="D963" s="15"/>
      <c r="E963" s="15"/>
      <c r="F963" s="16"/>
      <c r="G963" s="27"/>
      <c r="H963" s="17"/>
      <c r="I963" s="30">
        <f>IF($A963="","",DATE(YEAR($A963),MONTH($A963),1))</f>
        <v/>
      </c>
      <c r="J963" s="31">
        <f>IF($A963="","",IF(OR($B963="",$C963="",$F963="",$G963=""),"Preencher tudo",IF(COUNTIF(EtapaLista,$B963)=0,"Etapa inválida","OK")))</f>
        <v/>
      </c>
    </row>
    <row r="964" spans="1:10">
      <c r="A964" s="17"/>
      <c r="B964" s="15"/>
      <c r="C964" s="15"/>
      <c r="D964" s="15"/>
      <c r="E964" s="15"/>
      <c r="F964" s="16"/>
      <c r="G964" s="27"/>
      <c r="H964" s="17"/>
      <c r="I964" s="30">
        <f>IF($A964="","",DATE(YEAR($A964),MONTH($A964),1))</f>
        <v/>
      </c>
      <c r="J964" s="31">
        <f>IF($A964="","",IF(OR($B964="",$C964="",$F964="",$G964=""),"Preencher tudo",IF(COUNTIF(EtapaLista,$B964)=0,"Etapa inválida","OK")))</f>
        <v/>
      </c>
    </row>
    <row r="965" spans="1:10">
      <c r="A965" s="17"/>
      <c r="B965" s="15"/>
      <c r="C965" s="15"/>
      <c r="D965" s="15"/>
      <c r="E965" s="15"/>
      <c r="F965" s="16"/>
      <c r="G965" s="27"/>
      <c r="H965" s="17"/>
      <c r="I965" s="30">
        <f>IF($A965="","",DATE(YEAR($A965),MONTH($A965),1))</f>
        <v/>
      </c>
      <c r="J965" s="31">
        <f>IF($A965="","",IF(OR($B965="",$C965="",$F965="",$G965=""),"Preencher tudo",IF(COUNTIF(EtapaLista,$B965)=0,"Etapa inválida","OK")))</f>
        <v/>
      </c>
    </row>
    <row r="966" spans="1:10">
      <c r="A966" s="17"/>
      <c r="B966" s="15"/>
      <c r="C966" s="15"/>
      <c r="D966" s="15"/>
      <c r="E966" s="15"/>
      <c r="F966" s="16"/>
      <c r="G966" s="27"/>
      <c r="H966" s="17"/>
      <c r="I966" s="30">
        <f>IF($A966="","",DATE(YEAR($A966),MONTH($A966),1))</f>
        <v/>
      </c>
      <c r="J966" s="31">
        <f>IF($A966="","",IF(OR($B966="",$C966="",$F966="",$G966=""),"Preencher tudo",IF(COUNTIF(EtapaLista,$B966)=0,"Etapa inválida","OK")))</f>
        <v/>
      </c>
    </row>
    <row r="967" spans="1:10">
      <c r="A967" s="17"/>
      <c r="B967" s="15"/>
      <c r="C967" s="15"/>
      <c r="D967" s="15"/>
      <c r="E967" s="15"/>
      <c r="F967" s="16"/>
      <c r="G967" s="27"/>
      <c r="H967" s="17"/>
      <c r="I967" s="30">
        <f>IF($A967="","",DATE(YEAR($A967),MONTH($A967),1))</f>
        <v/>
      </c>
      <c r="J967" s="31">
        <f>IF($A967="","",IF(OR($B967="",$C967="",$F967="",$G967=""),"Preencher tudo",IF(COUNTIF(EtapaLista,$B967)=0,"Etapa inválida","OK")))</f>
        <v/>
      </c>
    </row>
    <row r="968" spans="1:10">
      <c r="A968" s="17"/>
      <c r="B968" s="15"/>
      <c r="C968" s="15"/>
      <c r="D968" s="15"/>
      <c r="E968" s="15"/>
      <c r="F968" s="16"/>
      <c r="G968" s="27"/>
      <c r="H968" s="17"/>
      <c r="I968" s="30">
        <f>IF($A968="","",DATE(YEAR($A968),MONTH($A968),1))</f>
        <v/>
      </c>
      <c r="J968" s="31">
        <f>IF($A968="","",IF(OR($B968="",$C968="",$F968="",$G968=""),"Preencher tudo",IF(COUNTIF(EtapaLista,$B968)=0,"Etapa inválida","OK")))</f>
        <v/>
      </c>
    </row>
    <row r="969" spans="1:10">
      <c r="A969" s="17"/>
      <c r="B969" s="15"/>
      <c r="C969" s="15"/>
      <c r="D969" s="15"/>
      <c r="E969" s="15"/>
      <c r="F969" s="16"/>
      <c r="G969" s="27"/>
      <c r="H969" s="17"/>
      <c r="I969" s="30">
        <f>IF($A969="","",DATE(YEAR($A969),MONTH($A969),1))</f>
        <v/>
      </c>
      <c r="J969" s="31">
        <f>IF($A969="","",IF(OR($B969="",$C969="",$F969="",$G969=""),"Preencher tudo",IF(COUNTIF(EtapaLista,$B969)=0,"Etapa inválida","OK")))</f>
        <v/>
      </c>
    </row>
    <row r="970" spans="1:10">
      <c r="A970" s="17"/>
      <c r="B970" s="15"/>
      <c r="C970" s="15"/>
      <c r="D970" s="15"/>
      <c r="E970" s="15"/>
      <c r="F970" s="16"/>
      <c r="G970" s="27"/>
      <c r="H970" s="17"/>
      <c r="I970" s="30">
        <f>IF($A970="","",DATE(YEAR($A970),MONTH($A970),1))</f>
        <v/>
      </c>
      <c r="J970" s="31">
        <f>IF($A970="","",IF(OR($B970="",$C970="",$F970="",$G970=""),"Preencher tudo",IF(COUNTIF(EtapaLista,$B970)=0,"Etapa inválida","OK")))</f>
        <v/>
      </c>
    </row>
    <row r="971" spans="1:10">
      <c r="A971" s="17"/>
      <c r="B971" s="15"/>
      <c r="C971" s="15"/>
      <c r="D971" s="15"/>
      <c r="E971" s="15"/>
      <c r="F971" s="16"/>
      <c r="G971" s="27"/>
      <c r="H971" s="17"/>
      <c r="I971" s="30">
        <f>IF($A971="","",DATE(YEAR($A971),MONTH($A971),1))</f>
        <v/>
      </c>
      <c r="J971" s="31">
        <f>IF($A971="","",IF(OR($B971="",$C971="",$F971="",$G971=""),"Preencher tudo",IF(COUNTIF(EtapaLista,$B971)=0,"Etapa inválida","OK")))</f>
        <v/>
      </c>
    </row>
    <row r="972" spans="1:10">
      <c r="A972" s="17"/>
      <c r="B972" s="15"/>
      <c r="C972" s="15"/>
      <c r="D972" s="15"/>
      <c r="E972" s="15"/>
      <c r="F972" s="16"/>
      <c r="G972" s="27"/>
      <c r="H972" s="17"/>
      <c r="I972" s="30">
        <f>IF($A972="","",DATE(YEAR($A972),MONTH($A972),1))</f>
        <v/>
      </c>
      <c r="J972" s="31">
        <f>IF($A972="","",IF(OR($B972="",$C972="",$F972="",$G972=""),"Preencher tudo",IF(COUNTIF(EtapaLista,$B972)=0,"Etapa inválida","OK")))</f>
        <v/>
      </c>
    </row>
    <row r="973" spans="1:10">
      <c r="A973" s="17"/>
      <c r="B973" s="15"/>
      <c r="C973" s="15"/>
      <c r="D973" s="15"/>
      <c r="E973" s="15"/>
      <c r="F973" s="16"/>
      <c r="G973" s="27"/>
      <c r="H973" s="17"/>
      <c r="I973" s="30">
        <f>IF($A973="","",DATE(YEAR($A973),MONTH($A973),1))</f>
        <v/>
      </c>
      <c r="J973" s="31">
        <f>IF($A973="","",IF(OR($B973="",$C973="",$F973="",$G973=""),"Preencher tudo",IF(COUNTIF(EtapaLista,$B973)=0,"Etapa inválida","OK")))</f>
        <v/>
      </c>
    </row>
    <row r="974" spans="1:10">
      <c r="A974" s="17"/>
      <c r="B974" s="15"/>
      <c r="C974" s="15"/>
      <c r="D974" s="15"/>
      <c r="E974" s="15"/>
      <c r="F974" s="16"/>
      <c r="G974" s="27"/>
      <c r="H974" s="17"/>
      <c r="I974" s="30">
        <f>IF($A974="","",DATE(YEAR($A974),MONTH($A974),1))</f>
        <v/>
      </c>
      <c r="J974" s="31">
        <f>IF($A974="","",IF(OR($B974="",$C974="",$F974="",$G974=""),"Preencher tudo",IF(COUNTIF(EtapaLista,$B974)=0,"Etapa inválida","OK")))</f>
        <v/>
      </c>
    </row>
    <row r="975" spans="1:10">
      <c r="A975" s="17"/>
      <c r="B975" s="15"/>
      <c r="C975" s="15"/>
      <c r="D975" s="15"/>
      <c r="E975" s="15"/>
      <c r="F975" s="16"/>
      <c r="G975" s="27"/>
      <c r="H975" s="17"/>
      <c r="I975" s="30">
        <f>IF($A975="","",DATE(YEAR($A975),MONTH($A975),1))</f>
        <v/>
      </c>
      <c r="J975" s="31">
        <f>IF($A975="","",IF(OR($B975="",$C975="",$F975="",$G975=""),"Preencher tudo",IF(COUNTIF(EtapaLista,$B975)=0,"Etapa inválida","OK")))</f>
        <v/>
      </c>
    </row>
    <row r="976" spans="1:10">
      <c r="A976" s="17"/>
      <c r="B976" s="15"/>
      <c r="C976" s="15"/>
      <c r="D976" s="15"/>
      <c r="E976" s="15"/>
      <c r="F976" s="16"/>
      <c r="G976" s="27"/>
      <c r="H976" s="17"/>
      <c r="I976" s="30">
        <f>IF($A976="","",DATE(YEAR($A976),MONTH($A976),1))</f>
        <v/>
      </c>
      <c r="J976" s="31">
        <f>IF($A976="","",IF(OR($B976="",$C976="",$F976="",$G976=""),"Preencher tudo",IF(COUNTIF(EtapaLista,$B976)=0,"Etapa inválida","OK")))</f>
        <v/>
      </c>
    </row>
    <row r="977" spans="1:10">
      <c r="A977" s="17"/>
      <c r="B977" s="15"/>
      <c r="C977" s="15"/>
      <c r="D977" s="15"/>
      <c r="E977" s="15"/>
      <c r="F977" s="16"/>
      <c r="G977" s="27"/>
      <c r="H977" s="17"/>
      <c r="I977" s="30">
        <f>IF($A977="","",DATE(YEAR($A977),MONTH($A977),1))</f>
        <v/>
      </c>
      <c r="J977" s="31">
        <f>IF($A977="","",IF(OR($B977="",$C977="",$F977="",$G977=""),"Preencher tudo",IF(COUNTIF(EtapaLista,$B977)=0,"Etapa inválida","OK")))</f>
        <v/>
      </c>
    </row>
    <row r="978" spans="1:10">
      <c r="A978" s="17"/>
      <c r="B978" s="15"/>
      <c r="C978" s="15"/>
      <c r="D978" s="15"/>
      <c r="E978" s="15"/>
      <c r="F978" s="16"/>
      <c r="G978" s="27"/>
      <c r="H978" s="17"/>
      <c r="I978" s="30">
        <f>IF($A978="","",DATE(YEAR($A978),MONTH($A978),1))</f>
        <v/>
      </c>
      <c r="J978" s="31">
        <f>IF($A978="","",IF(OR($B978="",$C978="",$F978="",$G978=""),"Preencher tudo",IF(COUNTIF(EtapaLista,$B978)=0,"Etapa inválida","OK")))</f>
        <v/>
      </c>
    </row>
    <row r="979" spans="1:10">
      <c r="A979" s="17"/>
      <c r="B979" s="15"/>
      <c r="C979" s="15"/>
      <c r="D979" s="15"/>
      <c r="E979" s="15"/>
      <c r="F979" s="16"/>
      <c r="G979" s="27"/>
      <c r="H979" s="17"/>
      <c r="I979" s="30">
        <f>IF($A979="","",DATE(YEAR($A979),MONTH($A979),1))</f>
        <v/>
      </c>
      <c r="J979" s="31">
        <f>IF($A979="","",IF(OR($B979="",$C979="",$F979="",$G979=""),"Preencher tudo",IF(COUNTIF(EtapaLista,$B979)=0,"Etapa inválida","OK")))</f>
        <v/>
      </c>
    </row>
    <row r="980" spans="1:10">
      <c r="A980" s="17"/>
      <c r="B980" s="15"/>
      <c r="C980" s="15"/>
      <c r="D980" s="15"/>
      <c r="E980" s="15"/>
      <c r="F980" s="16"/>
      <c r="G980" s="27"/>
      <c r="H980" s="17"/>
      <c r="I980" s="30">
        <f>IF($A980="","",DATE(YEAR($A980),MONTH($A980),1))</f>
        <v/>
      </c>
      <c r="J980" s="31">
        <f>IF($A980="","",IF(OR($B980="",$C980="",$F980="",$G980=""),"Preencher tudo",IF(COUNTIF(EtapaLista,$B980)=0,"Etapa inválida","OK")))</f>
        <v/>
      </c>
    </row>
    <row r="981" spans="1:10">
      <c r="A981" s="17"/>
      <c r="B981" s="15"/>
      <c r="C981" s="15"/>
      <c r="D981" s="15"/>
      <c r="E981" s="15"/>
      <c r="F981" s="16"/>
      <c r="G981" s="27"/>
      <c r="H981" s="17"/>
      <c r="I981" s="30">
        <f>IF($A981="","",DATE(YEAR($A981),MONTH($A981),1))</f>
        <v/>
      </c>
      <c r="J981" s="31">
        <f>IF($A981="","",IF(OR($B981="",$C981="",$F981="",$G981=""),"Preencher tudo",IF(COUNTIF(EtapaLista,$B981)=0,"Etapa inválida","OK")))</f>
        <v/>
      </c>
    </row>
    <row r="982" spans="1:10">
      <c r="A982" s="17"/>
      <c r="B982" s="15"/>
      <c r="C982" s="15"/>
      <c r="D982" s="15"/>
      <c r="E982" s="15"/>
      <c r="F982" s="16"/>
      <c r="G982" s="27"/>
      <c r="H982" s="17"/>
      <c r="I982" s="30">
        <f>IF($A982="","",DATE(YEAR($A982),MONTH($A982),1))</f>
        <v/>
      </c>
      <c r="J982" s="31">
        <f>IF($A982="","",IF(OR($B982="",$C982="",$F982="",$G982=""),"Preencher tudo",IF(COUNTIF(EtapaLista,$B982)=0,"Etapa inválida","OK")))</f>
        <v/>
      </c>
    </row>
    <row r="983" spans="1:10">
      <c r="A983" s="17"/>
      <c r="B983" s="15"/>
      <c r="C983" s="15"/>
      <c r="D983" s="15"/>
      <c r="E983" s="15"/>
      <c r="F983" s="16"/>
      <c r="G983" s="27"/>
      <c r="H983" s="17"/>
      <c r="I983" s="30">
        <f>IF($A983="","",DATE(YEAR($A983),MONTH($A983),1))</f>
        <v/>
      </c>
      <c r="J983" s="31">
        <f>IF($A983="","",IF(OR($B983="",$C983="",$F983="",$G983=""),"Preencher tudo",IF(COUNTIF(EtapaLista,$B983)=0,"Etapa inválida","OK")))</f>
        <v/>
      </c>
    </row>
    <row r="984" spans="1:10">
      <c r="A984" s="17"/>
      <c r="B984" s="15"/>
      <c r="C984" s="15"/>
      <c r="D984" s="15"/>
      <c r="E984" s="15"/>
      <c r="F984" s="16"/>
      <c r="G984" s="27"/>
      <c r="H984" s="17"/>
      <c r="I984" s="30">
        <f>IF($A984="","",DATE(YEAR($A984),MONTH($A984),1))</f>
        <v/>
      </c>
      <c r="J984" s="31">
        <f>IF($A984="","",IF(OR($B984="",$C984="",$F984="",$G984=""),"Preencher tudo",IF(COUNTIF(EtapaLista,$B984)=0,"Etapa inválida","OK")))</f>
        <v/>
      </c>
    </row>
    <row r="985" spans="1:10">
      <c r="A985" s="17"/>
      <c r="B985" s="15"/>
      <c r="C985" s="15"/>
      <c r="D985" s="15"/>
      <c r="E985" s="15"/>
      <c r="F985" s="16"/>
      <c r="G985" s="27"/>
      <c r="H985" s="17"/>
      <c r="I985" s="30">
        <f>IF($A985="","",DATE(YEAR($A985),MONTH($A985),1))</f>
        <v/>
      </c>
      <c r="J985" s="31">
        <f>IF($A985="","",IF(OR($B985="",$C985="",$F985="",$G985=""),"Preencher tudo",IF(COUNTIF(EtapaLista,$B985)=0,"Etapa inválida","OK")))</f>
        <v/>
      </c>
    </row>
    <row r="986" spans="1:10">
      <c r="A986" s="17"/>
      <c r="B986" s="15"/>
      <c r="C986" s="15"/>
      <c r="D986" s="15"/>
      <c r="E986" s="15"/>
      <c r="F986" s="16"/>
      <c r="G986" s="27"/>
      <c r="H986" s="17"/>
      <c r="I986" s="30">
        <f>IF($A986="","",DATE(YEAR($A986),MONTH($A986),1))</f>
        <v/>
      </c>
      <c r="J986" s="31">
        <f>IF($A986="","",IF(OR($B986="",$C986="",$F986="",$G986=""),"Preencher tudo",IF(COUNTIF(EtapaLista,$B986)=0,"Etapa inválida","OK")))</f>
        <v/>
      </c>
    </row>
    <row r="987" spans="1:10">
      <c r="A987" s="17"/>
      <c r="B987" s="15"/>
      <c r="C987" s="15"/>
      <c r="D987" s="15"/>
      <c r="E987" s="15"/>
      <c r="F987" s="16"/>
      <c r="G987" s="27"/>
      <c r="H987" s="17"/>
      <c r="I987" s="30">
        <f>IF($A987="","",DATE(YEAR($A987),MONTH($A987),1))</f>
        <v/>
      </c>
      <c r="J987" s="31">
        <f>IF($A987="","",IF(OR($B987="",$C987="",$F987="",$G987=""),"Preencher tudo",IF(COUNTIF(EtapaLista,$B987)=0,"Etapa inválida","OK")))</f>
        <v/>
      </c>
    </row>
    <row r="988" spans="1:10">
      <c r="A988" s="17"/>
      <c r="B988" s="15"/>
      <c r="C988" s="15"/>
      <c r="D988" s="15"/>
      <c r="E988" s="15"/>
      <c r="F988" s="16"/>
      <c r="G988" s="27"/>
      <c r="H988" s="17"/>
      <c r="I988" s="30">
        <f>IF($A988="","",DATE(YEAR($A988),MONTH($A988),1))</f>
        <v/>
      </c>
      <c r="J988" s="31">
        <f>IF($A988="","",IF(OR($B988="",$C988="",$F988="",$G988=""),"Preencher tudo",IF(COUNTIF(EtapaLista,$B988)=0,"Etapa inválida","OK")))</f>
        <v/>
      </c>
    </row>
    <row r="989" spans="1:10">
      <c r="A989" s="17"/>
      <c r="B989" s="15"/>
      <c r="C989" s="15"/>
      <c r="D989" s="15"/>
      <c r="E989" s="15"/>
      <c r="F989" s="16"/>
      <c r="G989" s="27"/>
      <c r="H989" s="17"/>
      <c r="I989" s="30">
        <f>IF($A989="","",DATE(YEAR($A989),MONTH($A989),1))</f>
        <v/>
      </c>
      <c r="J989" s="31">
        <f>IF($A989="","",IF(OR($B989="",$C989="",$F989="",$G989=""),"Preencher tudo",IF(COUNTIF(EtapaLista,$B989)=0,"Etapa inválida","OK")))</f>
        <v/>
      </c>
    </row>
    <row r="990" spans="1:10">
      <c r="A990" s="17"/>
      <c r="B990" s="15"/>
      <c r="C990" s="15"/>
      <c r="D990" s="15"/>
      <c r="E990" s="15"/>
      <c r="F990" s="16"/>
      <c r="G990" s="27"/>
      <c r="H990" s="17"/>
      <c r="I990" s="30">
        <f>IF($A990="","",DATE(YEAR($A990),MONTH($A990),1))</f>
        <v/>
      </c>
      <c r="J990" s="31">
        <f>IF($A990="","",IF(OR($B990="",$C990="",$F990="",$G990=""),"Preencher tudo",IF(COUNTIF(EtapaLista,$B990)=0,"Etapa inválida","OK")))</f>
        <v/>
      </c>
    </row>
    <row r="991" spans="1:10">
      <c r="A991" s="17"/>
      <c r="B991" s="15"/>
      <c r="C991" s="15"/>
      <c r="D991" s="15"/>
      <c r="E991" s="15"/>
      <c r="F991" s="16"/>
      <c r="G991" s="27"/>
      <c r="H991" s="17"/>
      <c r="I991" s="30">
        <f>IF($A991="","",DATE(YEAR($A991),MONTH($A991),1))</f>
        <v/>
      </c>
      <c r="J991" s="31">
        <f>IF($A991="","",IF(OR($B991="",$C991="",$F991="",$G991=""),"Preencher tudo",IF(COUNTIF(EtapaLista,$B991)=0,"Etapa inválida","OK")))</f>
        <v/>
      </c>
    </row>
    <row r="992" spans="1:10">
      <c r="A992" s="17"/>
      <c r="B992" s="15"/>
      <c r="C992" s="15"/>
      <c r="D992" s="15"/>
      <c r="E992" s="15"/>
      <c r="F992" s="16"/>
      <c r="G992" s="27"/>
      <c r="H992" s="17"/>
      <c r="I992" s="30">
        <f>IF($A992="","",DATE(YEAR($A992),MONTH($A992),1))</f>
        <v/>
      </c>
      <c r="J992" s="31">
        <f>IF($A992="","",IF(OR($B992="",$C992="",$F992="",$G992=""),"Preencher tudo",IF(COUNTIF(EtapaLista,$B992)=0,"Etapa inválida","OK")))</f>
        <v/>
      </c>
    </row>
    <row r="993" spans="1:10">
      <c r="A993" s="17"/>
      <c r="B993" s="15"/>
      <c r="C993" s="15"/>
      <c r="D993" s="15"/>
      <c r="E993" s="15"/>
      <c r="F993" s="16"/>
      <c r="G993" s="27"/>
      <c r="H993" s="17"/>
      <c r="I993" s="30">
        <f>IF($A993="","",DATE(YEAR($A993),MONTH($A993),1))</f>
        <v/>
      </c>
      <c r="J993" s="31">
        <f>IF($A993="","",IF(OR($B993="",$C993="",$F993="",$G993=""),"Preencher tudo",IF(COUNTIF(EtapaLista,$B993)=0,"Etapa inválida","OK")))</f>
        <v/>
      </c>
    </row>
    <row r="994" spans="1:10">
      <c r="A994" s="17"/>
      <c r="B994" s="15"/>
      <c r="C994" s="15"/>
      <c r="D994" s="15"/>
      <c r="E994" s="15"/>
      <c r="F994" s="16"/>
      <c r="G994" s="27"/>
      <c r="H994" s="17"/>
      <c r="I994" s="30">
        <f>IF($A994="","",DATE(YEAR($A994),MONTH($A994),1))</f>
        <v/>
      </c>
      <c r="J994" s="31">
        <f>IF($A994="","",IF(OR($B994="",$C994="",$F994="",$G994=""),"Preencher tudo",IF(COUNTIF(EtapaLista,$B994)=0,"Etapa inválida","OK")))</f>
        <v/>
      </c>
    </row>
    <row r="995" spans="1:10">
      <c r="A995" s="17"/>
      <c r="B995" s="15"/>
      <c r="C995" s="15"/>
      <c r="D995" s="15"/>
      <c r="E995" s="15"/>
      <c r="F995" s="16"/>
      <c r="G995" s="27"/>
      <c r="H995" s="17"/>
      <c r="I995" s="30">
        <f>IF($A995="","",DATE(YEAR($A995),MONTH($A995),1))</f>
        <v/>
      </c>
      <c r="J995" s="31">
        <f>IF($A995="","",IF(OR($B995="",$C995="",$F995="",$G995=""),"Preencher tudo",IF(COUNTIF(EtapaLista,$B995)=0,"Etapa inválida","OK")))</f>
        <v/>
      </c>
    </row>
    <row r="996" spans="1:10">
      <c r="A996" s="17"/>
      <c r="B996" s="15"/>
      <c r="C996" s="15"/>
      <c r="D996" s="15"/>
      <c r="E996" s="15"/>
      <c r="F996" s="16"/>
      <c r="G996" s="27"/>
      <c r="H996" s="17"/>
      <c r="I996" s="30">
        <f>IF($A996="","",DATE(YEAR($A996),MONTH($A996),1))</f>
        <v/>
      </c>
      <c r="J996" s="31">
        <f>IF($A996="","",IF(OR($B996="",$C996="",$F996="",$G996=""),"Preencher tudo",IF(COUNTIF(EtapaLista,$B996)=0,"Etapa inválida","OK")))</f>
        <v/>
      </c>
    </row>
    <row r="997" spans="1:10">
      <c r="A997" s="17"/>
      <c r="B997" s="15"/>
      <c r="C997" s="15"/>
      <c r="D997" s="15"/>
      <c r="E997" s="15"/>
      <c r="F997" s="16"/>
      <c r="G997" s="27"/>
      <c r="H997" s="17"/>
      <c r="I997" s="30">
        <f>IF($A997="","",DATE(YEAR($A997),MONTH($A997),1))</f>
        <v/>
      </c>
      <c r="J997" s="31">
        <f>IF($A997="","",IF(OR($B997="",$C997="",$F997="",$G997=""),"Preencher tudo",IF(COUNTIF(EtapaLista,$B997)=0,"Etapa inválida","OK")))</f>
        <v/>
      </c>
    </row>
    <row r="998" spans="1:10">
      <c r="A998" s="17"/>
      <c r="B998" s="15"/>
      <c r="C998" s="15"/>
      <c r="D998" s="15"/>
      <c r="E998" s="15"/>
      <c r="F998" s="16"/>
      <c r="G998" s="27"/>
      <c r="H998" s="17"/>
      <c r="I998" s="30">
        <f>IF($A998="","",DATE(YEAR($A998),MONTH($A998),1))</f>
        <v/>
      </c>
      <c r="J998" s="31">
        <f>IF($A998="","",IF(OR($B998="",$C998="",$F998="",$G998=""),"Preencher tudo",IF(COUNTIF(EtapaLista,$B998)=0,"Etapa inválida","OK")))</f>
        <v/>
      </c>
    </row>
    <row r="999" spans="1:10">
      <c r="A999" s="17"/>
      <c r="B999" s="15"/>
      <c r="C999" s="15"/>
      <c r="D999" s="15"/>
      <c r="E999" s="15"/>
      <c r="F999" s="16"/>
      <c r="G999" s="27"/>
      <c r="H999" s="17"/>
      <c r="I999" s="30">
        <f>IF($A999="","",DATE(YEAR($A999),MONTH($A999),1))</f>
        <v/>
      </c>
      <c r="J999" s="31">
        <f>IF($A999="","",IF(OR($B999="",$C999="",$F999="",$G999=""),"Preencher tudo",IF(COUNTIF(EtapaLista,$B999)=0,"Etapa inválida","OK")))</f>
        <v/>
      </c>
    </row>
    <row r="1000" spans="1:10">
      <c r="A1000" s="17"/>
      <c r="B1000" s="15"/>
      <c r="C1000" s="15"/>
      <c r="D1000" s="15"/>
      <c r="E1000" s="15"/>
      <c r="F1000" s="16"/>
      <c r="G1000" s="27"/>
      <c r="H1000" s="17"/>
      <c r="I1000" s="30">
        <f>IF($A1000="","",DATE(YEAR($A1000),MONTH($A1000),1))</f>
        <v/>
      </c>
      <c r="J1000" s="31">
        <f>IF($A1000="","",IF(OR($B1000="",$C1000="",$F1000="",$G1000=""),"Preencher tudo",IF(COUNTIF(EtapaLista,$B1000)=0,"Etapa inválida","OK")))</f>
        <v/>
      </c>
    </row>
    <row r="1001" spans="1:10">
      <c r="A1001" s="17"/>
      <c r="B1001" s="15"/>
      <c r="C1001" s="15"/>
      <c r="D1001" s="15"/>
      <c r="E1001" s="15"/>
      <c r="F1001" s="16"/>
      <c r="G1001" s="27"/>
      <c r="H1001" s="17"/>
      <c r="I1001" s="30">
        <f>IF($A1001="","",DATE(YEAR($A1001),MONTH($A1001),1))</f>
        <v/>
      </c>
      <c r="J1001" s="31">
        <f>IF($A1001="","",IF(OR($B1001="",$C1001="",$F1001="",$G1001=""),"Preencher tudo",IF(COUNTIF(EtapaLista,$B1001)=0,"Etapa inválida","OK")))</f>
        <v/>
      </c>
    </row>
    <row r="1002" spans="1:10">
      <c r="A1002" s="17"/>
      <c r="B1002" s="15"/>
      <c r="C1002" s="15"/>
      <c r="D1002" s="15"/>
      <c r="E1002" s="15"/>
      <c r="F1002" s="16"/>
      <c r="G1002" s="27"/>
      <c r="H1002" s="17"/>
      <c r="I1002" s="30">
        <f>IF($A1002="","",DATE(YEAR($A1002),MONTH($A1002),1))</f>
        <v/>
      </c>
      <c r="J1002" s="31">
        <f>IF($A1002="","",IF(OR($B1002="",$C1002="",$F1002="",$G1002=""),"Preencher tudo",IF(COUNTIF(EtapaLista,$B1002)=0,"Etapa inválida","OK")))</f>
        <v/>
      </c>
    </row>
    <row r="1003" spans="1:10">
      <c r="A1003" s="17"/>
      <c r="B1003" s="15"/>
      <c r="C1003" s="15"/>
      <c r="D1003" s="15"/>
      <c r="E1003" s="15"/>
      <c r="F1003" s="16"/>
      <c r="G1003" s="27"/>
      <c r="H1003" s="17"/>
      <c r="I1003" s="30">
        <f>IF($A1003="","",DATE(YEAR($A1003),MONTH($A1003),1))</f>
        <v/>
      </c>
      <c r="J1003" s="31">
        <f>IF($A1003="","",IF(OR($B1003="",$C1003="",$F1003="",$G1003=""),"Preencher tudo",IF(COUNTIF(EtapaLista,$B1003)=0,"Etapa inválida","OK")))</f>
        <v/>
      </c>
    </row>
    <row r="1004" spans="1:10">
      <c r="A1004" s="17"/>
      <c r="B1004" s="15"/>
      <c r="C1004" s="15"/>
      <c r="D1004" s="15"/>
      <c r="E1004" s="15"/>
      <c r="F1004" s="16"/>
      <c r="G1004" s="27"/>
      <c r="H1004" s="17"/>
      <c r="I1004" s="30">
        <f>IF($A1004="","",DATE(YEAR($A1004),MONTH($A1004),1))</f>
        <v/>
      </c>
      <c r="J1004" s="31">
        <f>IF($A1004="","",IF(OR($B1004="",$C1004="",$F1004="",$G1004=""),"Preencher tudo",IF(COUNTIF(EtapaLista,$B1004)=0,"Etapa inválida","OK")))</f>
        <v/>
      </c>
    </row>
    <row r="1005" spans="1:10">
      <c r="A1005" s="17"/>
      <c r="B1005" s="15"/>
      <c r="C1005" s="15"/>
      <c r="D1005" s="15"/>
      <c r="E1005" s="15"/>
      <c r="F1005" s="16"/>
      <c r="G1005" s="27"/>
      <c r="H1005" s="17"/>
      <c r="I1005" s="30">
        <f>IF($A1005="","",DATE(YEAR($A1005),MONTH($A1005),1))</f>
        <v/>
      </c>
      <c r="J1005" s="31">
        <f>IF($A1005="","",IF(OR($B1005="",$C1005="",$F1005="",$G1005=""),"Preencher tudo",IF(COUNTIF(EtapaLista,$B1005)=0,"Etapa inválida","OK")))</f>
        <v/>
      </c>
    </row>
    <row r="1006" spans="1:10">
      <c r="A1006" s="17"/>
      <c r="B1006" s="15"/>
      <c r="C1006" s="15"/>
      <c r="D1006" s="15"/>
      <c r="E1006" s="15"/>
      <c r="F1006" s="16"/>
      <c r="G1006" s="27"/>
      <c r="H1006" s="17"/>
      <c r="I1006" s="30">
        <f>IF($A1006="","",DATE(YEAR($A1006),MONTH($A1006),1))</f>
        <v/>
      </c>
      <c r="J1006" s="31">
        <f>IF($A1006="","",IF(OR($B1006="",$C1006="",$F1006="",$G1006=""),"Preencher tudo",IF(COUNTIF(EtapaLista,$B1006)=0,"Etapa inválida","OK")))</f>
        <v/>
      </c>
    </row>
    <row r="1007" spans="1:10">
      <c r="A1007" s="17"/>
      <c r="B1007" s="15"/>
      <c r="C1007" s="15"/>
      <c r="D1007" s="15"/>
      <c r="E1007" s="15"/>
      <c r="F1007" s="16"/>
      <c r="G1007" s="27"/>
      <c r="H1007" s="17"/>
      <c r="I1007" s="30">
        <f>IF($A1007="","",DATE(YEAR($A1007),MONTH($A1007),1))</f>
        <v/>
      </c>
      <c r="J1007" s="31">
        <f>IF($A1007="","",IF(OR($B1007="",$C1007="",$F1007="",$G1007=""),"Preencher tudo",IF(COUNTIF(EtapaLista,$B1007)=0,"Etapa inválida","OK")))</f>
        <v/>
      </c>
    </row>
    <row r="1008" spans="1:10">
      <c r="A1008" s="17"/>
      <c r="B1008" s="15"/>
      <c r="C1008" s="15"/>
      <c r="D1008" s="15"/>
      <c r="E1008" s="15"/>
      <c r="F1008" s="16"/>
      <c r="G1008" s="27"/>
      <c r="H1008" s="17"/>
      <c r="I1008" s="30">
        <f>IF($A1008="","",DATE(YEAR($A1008),MONTH($A1008),1))</f>
        <v/>
      </c>
      <c r="J1008" s="31">
        <f>IF($A1008="","",IF(OR($B1008="",$C1008="",$F1008="",$G1008=""),"Preencher tudo",IF(COUNTIF(EtapaLista,$B1008)=0,"Etapa inválida","OK")))</f>
        <v/>
      </c>
    </row>
    <row r="1009" spans="1:10">
      <c r="A1009" s="17"/>
      <c r="B1009" s="15"/>
      <c r="C1009" s="15"/>
      <c r="D1009" s="15"/>
      <c r="E1009" s="15"/>
      <c r="F1009" s="16"/>
      <c r="G1009" s="27"/>
      <c r="H1009" s="17"/>
      <c r="I1009" s="30">
        <f>IF($A1009="","",DATE(YEAR($A1009),MONTH($A1009),1))</f>
        <v/>
      </c>
      <c r="J1009" s="31">
        <f>IF($A1009="","",IF(OR($B1009="",$C1009="",$F1009="",$G1009=""),"Preencher tudo",IF(COUNTIF(EtapaLista,$B1009)=0,"Etapa inválida","OK")))</f>
        <v/>
      </c>
    </row>
    <row r="1010" spans="1:10">
      <c r="A1010" s="17"/>
      <c r="B1010" s="15"/>
      <c r="C1010" s="15"/>
      <c r="D1010" s="15"/>
      <c r="E1010" s="15"/>
      <c r="F1010" s="16"/>
      <c r="G1010" s="27"/>
      <c r="H1010" s="17"/>
      <c r="I1010" s="30">
        <f>IF($A1010="","",DATE(YEAR($A1010),MONTH($A1010),1))</f>
        <v/>
      </c>
      <c r="J1010" s="31">
        <f>IF($A1010="","",IF(OR($B1010="",$C1010="",$F1010="",$G1010=""),"Preencher tudo",IF(COUNTIF(EtapaLista,$B1010)=0,"Etapa inválida","OK")))</f>
        <v/>
      </c>
    </row>
    <row r="1011" spans="1:10">
      <c r="A1011" s="17"/>
      <c r="B1011" s="15"/>
      <c r="C1011" s="15"/>
      <c r="D1011" s="15"/>
      <c r="E1011" s="15"/>
      <c r="F1011" s="16"/>
      <c r="G1011" s="27"/>
      <c r="H1011" s="17"/>
      <c r="I1011" s="30">
        <f>IF($A1011="","",DATE(YEAR($A1011),MONTH($A1011),1))</f>
        <v/>
      </c>
      <c r="J1011" s="31">
        <f>IF($A1011="","",IF(OR($B1011="",$C1011="",$F1011="",$G1011=""),"Preencher tudo",IF(COUNTIF(EtapaLista,$B1011)=0,"Etapa inválida","OK")))</f>
        <v/>
      </c>
    </row>
    <row r="1012" spans="1:10">
      <c r="A1012" s="17"/>
      <c r="B1012" s="15"/>
      <c r="C1012" s="15"/>
      <c r="D1012" s="15"/>
      <c r="E1012" s="15"/>
      <c r="F1012" s="16"/>
      <c r="G1012" s="27"/>
      <c r="H1012" s="17"/>
      <c r="I1012" s="30">
        <f>IF($A1012="","",DATE(YEAR($A1012),MONTH($A1012),1))</f>
        <v/>
      </c>
      <c r="J1012" s="31">
        <f>IF($A1012="","",IF(OR($B1012="",$C1012="",$F1012="",$G1012=""),"Preencher tudo",IF(COUNTIF(EtapaLista,$B1012)=0,"Etapa inválida","OK")))</f>
        <v/>
      </c>
    </row>
    <row r="1013" spans="1:10">
      <c r="A1013" s="17"/>
      <c r="B1013" s="15"/>
      <c r="C1013" s="15"/>
      <c r="D1013" s="15"/>
      <c r="E1013" s="15"/>
      <c r="F1013" s="16"/>
      <c r="G1013" s="27"/>
      <c r="H1013" s="17"/>
      <c r="I1013" s="30">
        <f>IF($A1013="","",DATE(YEAR($A1013),MONTH($A1013),1))</f>
        <v/>
      </c>
      <c r="J1013" s="31">
        <f>IF($A1013="","",IF(OR($B1013="",$C1013="",$F1013="",$G1013=""),"Preencher tudo",IF(COUNTIF(EtapaLista,$B1013)=0,"Etapa inválida","OK")))</f>
        <v/>
      </c>
    </row>
    <row r="1014" spans="1:10">
      <c r="A1014" s="17"/>
      <c r="B1014" s="15"/>
      <c r="C1014" s="15"/>
      <c r="D1014" s="15"/>
      <c r="E1014" s="15"/>
      <c r="F1014" s="16"/>
      <c r="G1014" s="27"/>
      <c r="H1014" s="17"/>
      <c r="I1014" s="30">
        <f>IF($A1014="","",DATE(YEAR($A1014),MONTH($A1014),1))</f>
        <v/>
      </c>
      <c r="J1014" s="31">
        <f>IF($A1014="","",IF(OR($B1014="",$C1014="",$F1014="",$G1014=""),"Preencher tudo",IF(COUNTIF(EtapaLista,$B1014)=0,"Etapa inválida","OK")))</f>
        <v/>
      </c>
    </row>
    <row r="1015" spans="1:10">
      <c r="A1015" s="17"/>
      <c r="B1015" s="15"/>
      <c r="C1015" s="15"/>
      <c r="D1015" s="15"/>
      <c r="E1015" s="15"/>
      <c r="F1015" s="16"/>
      <c r="G1015" s="27"/>
      <c r="H1015" s="17"/>
      <c r="I1015" s="30">
        <f>IF($A1015="","",DATE(YEAR($A1015),MONTH($A1015),1))</f>
        <v/>
      </c>
      <c r="J1015" s="31">
        <f>IF($A1015="","",IF(OR($B1015="",$C1015="",$F1015="",$G1015=""),"Preencher tudo",IF(COUNTIF(EtapaLista,$B1015)=0,"Etapa inválida","OK")))</f>
        <v/>
      </c>
    </row>
    <row r="1016" spans="1:10">
      <c r="A1016" s="17"/>
      <c r="B1016" s="15"/>
      <c r="C1016" s="15"/>
      <c r="D1016" s="15"/>
      <c r="E1016" s="15"/>
      <c r="F1016" s="16"/>
      <c r="G1016" s="27"/>
      <c r="H1016" s="17"/>
      <c r="I1016" s="30">
        <f>IF($A1016="","",DATE(YEAR($A1016),MONTH($A1016),1))</f>
        <v/>
      </c>
      <c r="J1016" s="31">
        <f>IF($A1016="","",IF(OR($B1016="",$C1016="",$F1016="",$G1016=""),"Preencher tudo",IF(COUNTIF(EtapaLista,$B1016)=0,"Etapa inválida","OK")))</f>
        <v/>
      </c>
    </row>
    <row r="1017" spans="1:10">
      <c r="A1017" s="17"/>
      <c r="B1017" s="15"/>
      <c r="C1017" s="15"/>
      <c r="D1017" s="15"/>
      <c r="E1017" s="15"/>
      <c r="F1017" s="16"/>
      <c r="G1017" s="27"/>
      <c r="H1017" s="17"/>
      <c r="I1017" s="30">
        <f>IF($A1017="","",DATE(YEAR($A1017),MONTH($A1017),1))</f>
        <v/>
      </c>
      <c r="J1017" s="31">
        <f>IF($A1017="","",IF(OR($B1017="",$C1017="",$F1017="",$G1017=""),"Preencher tudo",IF(COUNTIF(EtapaLista,$B1017)=0,"Etapa inválida","OK")))</f>
        <v/>
      </c>
    </row>
    <row r="1018" spans="1:10">
      <c r="A1018" s="17"/>
      <c r="B1018" s="15"/>
      <c r="C1018" s="15"/>
      <c r="D1018" s="15"/>
      <c r="E1018" s="15"/>
      <c r="F1018" s="16"/>
      <c r="G1018" s="27"/>
      <c r="H1018" s="17"/>
      <c r="I1018" s="30">
        <f>IF($A1018="","",DATE(YEAR($A1018),MONTH($A1018),1))</f>
        <v/>
      </c>
      <c r="J1018" s="31">
        <f>IF($A1018="","",IF(OR($B1018="",$C1018="",$F1018="",$G1018=""),"Preencher tudo",IF(COUNTIF(EtapaLista,$B1018)=0,"Etapa inválida","OK")))</f>
        <v/>
      </c>
    </row>
    <row r="1019" spans="1:10">
      <c r="A1019" s="17"/>
      <c r="B1019" s="15"/>
      <c r="C1019" s="15"/>
      <c r="D1019" s="15"/>
      <c r="E1019" s="15"/>
      <c r="F1019" s="16"/>
      <c r="G1019" s="27"/>
      <c r="H1019" s="17"/>
      <c r="I1019" s="30">
        <f>IF($A1019="","",DATE(YEAR($A1019),MONTH($A1019),1))</f>
        <v/>
      </c>
      <c r="J1019" s="31">
        <f>IF($A1019="","",IF(OR($B1019="",$C1019="",$F1019="",$G1019=""),"Preencher tudo",IF(COUNTIF(EtapaLista,$B1019)=0,"Etapa inválida","OK")))</f>
        <v/>
      </c>
    </row>
    <row r="1020" spans="1:10">
      <c r="A1020" s="17"/>
      <c r="B1020" s="15"/>
      <c r="C1020" s="15"/>
      <c r="D1020" s="15"/>
      <c r="E1020" s="15"/>
      <c r="F1020" s="16"/>
      <c r="G1020" s="27"/>
      <c r="H1020" s="17"/>
      <c r="I1020" s="30">
        <f>IF($A1020="","",DATE(YEAR($A1020),MONTH($A1020),1))</f>
        <v/>
      </c>
      <c r="J1020" s="31">
        <f>IF($A1020="","",IF(OR($B1020="",$C1020="",$F1020="",$G1020=""),"Preencher tudo",IF(COUNTIF(EtapaLista,$B1020)=0,"Etapa inválida","OK")))</f>
        <v/>
      </c>
    </row>
    <row r="1021" spans="1:10">
      <c r="A1021" s="17"/>
      <c r="B1021" s="15"/>
      <c r="C1021" s="15"/>
      <c r="D1021" s="15"/>
      <c r="E1021" s="15"/>
      <c r="F1021" s="16"/>
      <c r="G1021" s="27"/>
      <c r="H1021" s="17"/>
      <c r="I1021" s="30">
        <f>IF($A1021="","",DATE(YEAR($A1021),MONTH($A1021),1))</f>
        <v/>
      </c>
      <c r="J1021" s="31">
        <f>IF($A1021="","",IF(OR($B1021="",$C1021="",$F1021="",$G1021=""),"Preencher tudo",IF(COUNTIF(EtapaLista,$B1021)=0,"Etapa inválida","OK")))</f>
        <v/>
      </c>
    </row>
    <row r="1022" spans="1:10">
      <c r="A1022" s="17"/>
      <c r="B1022" s="15"/>
      <c r="C1022" s="15"/>
      <c r="D1022" s="15"/>
      <c r="E1022" s="15"/>
      <c r="F1022" s="16"/>
      <c r="G1022" s="27"/>
      <c r="H1022" s="17"/>
      <c r="I1022" s="30">
        <f>IF($A1022="","",DATE(YEAR($A1022),MONTH($A1022),1))</f>
        <v/>
      </c>
      <c r="J1022" s="31">
        <f>IF($A1022="","",IF(OR($B1022="",$C1022="",$F1022="",$G1022=""),"Preencher tudo",IF(COUNTIF(EtapaLista,$B1022)=0,"Etapa inválida","OK")))</f>
        <v/>
      </c>
    </row>
    <row r="1023" spans="1:10">
      <c r="A1023" s="17"/>
      <c r="B1023" s="15"/>
      <c r="C1023" s="15"/>
      <c r="D1023" s="15"/>
      <c r="E1023" s="15"/>
      <c r="F1023" s="16"/>
      <c r="G1023" s="27"/>
      <c r="H1023" s="17"/>
      <c r="I1023" s="30">
        <f>IF($A1023="","",DATE(YEAR($A1023),MONTH($A1023),1))</f>
        <v/>
      </c>
      <c r="J1023" s="31">
        <f>IF($A1023="","",IF(OR($B1023="",$C1023="",$F1023="",$G1023=""),"Preencher tudo",IF(COUNTIF(EtapaLista,$B1023)=0,"Etapa inválida","OK")))</f>
        <v/>
      </c>
    </row>
    <row r="1024" spans="1:10">
      <c r="A1024" s="17"/>
      <c r="B1024" s="15"/>
      <c r="C1024" s="15"/>
      <c r="D1024" s="15"/>
      <c r="E1024" s="15"/>
      <c r="F1024" s="16"/>
      <c r="G1024" s="27"/>
      <c r="H1024" s="17"/>
      <c r="I1024" s="30">
        <f>IF($A1024="","",DATE(YEAR($A1024),MONTH($A1024),1))</f>
        <v/>
      </c>
      <c r="J1024" s="31">
        <f>IF($A1024="","",IF(OR($B1024="",$C1024="",$F1024="",$G1024=""),"Preencher tudo",IF(COUNTIF(EtapaLista,$B1024)=0,"Etapa inválida","OK")))</f>
        <v/>
      </c>
    </row>
    <row r="1025" spans="1:10">
      <c r="A1025" s="17"/>
      <c r="B1025" s="15"/>
      <c r="C1025" s="15"/>
      <c r="D1025" s="15"/>
      <c r="E1025" s="15"/>
      <c r="F1025" s="16"/>
      <c r="G1025" s="27"/>
      <c r="H1025" s="17"/>
      <c r="I1025" s="30">
        <f>IF($A1025="","",DATE(YEAR($A1025),MONTH($A1025),1))</f>
        <v/>
      </c>
      <c r="J1025" s="31">
        <f>IF($A1025="","",IF(OR($B1025="",$C1025="",$F1025="",$G1025=""),"Preencher tudo",IF(COUNTIF(EtapaLista,$B1025)=0,"Etapa inválida","OK")))</f>
        <v/>
      </c>
    </row>
    <row r="1026" spans="1:10">
      <c r="A1026" s="17"/>
      <c r="B1026" s="15"/>
      <c r="C1026" s="15"/>
      <c r="D1026" s="15"/>
      <c r="E1026" s="15"/>
      <c r="F1026" s="16"/>
      <c r="G1026" s="27"/>
      <c r="H1026" s="17"/>
      <c r="I1026" s="30">
        <f>IF($A1026="","",DATE(YEAR($A1026),MONTH($A1026),1))</f>
        <v/>
      </c>
      <c r="J1026" s="31">
        <f>IF($A1026="","",IF(OR($B1026="",$C1026="",$F1026="",$G1026=""),"Preencher tudo",IF(COUNTIF(EtapaLista,$B1026)=0,"Etapa inválida","OK")))</f>
        <v/>
      </c>
    </row>
    <row r="1027" spans="1:10">
      <c r="A1027" s="17"/>
      <c r="B1027" s="15"/>
      <c r="C1027" s="15"/>
      <c r="D1027" s="15"/>
      <c r="E1027" s="15"/>
      <c r="F1027" s="16"/>
      <c r="G1027" s="27"/>
      <c r="H1027" s="17"/>
      <c r="I1027" s="30">
        <f>IF($A1027="","",DATE(YEAR($A1027),MONTH($A1027),1))</f>
        <v/>
      </c>
      <c r="J1027" s="31">
        <f>IF($A1027="","",IF(OR($B1027="",$C1027="",$F1027="",$G1027=""),"Preencher tudo",IF(COUNTIF(EtapaLista,$B1027)=0,"Etapa inválida","OK")))</f>
        <v/>
      </c>
    </row>
    <row r="1028" spans="1:10">
      <c r="A1028" s="17"/>
      <c r="B1028" s="15"/>
      <c r="C1028" s="15"/>
      <c r="D1028" s="15"/>
      <c r="E1028" s="15"/>
      <c r="F1028" s="16"/>
      <c r="G1028" s="27"/>
      <c r="H1028" s="17"/>
      <c r="I1028" s="30">
        <f>IF($A1028="","",DATE(YEAR($A1028),MONTH($A1028),1))</f>
        <v/>
      </c>
      <c r="J1028" s="31">
        <f>IF($A1028="","",IF(OR($B1028="",$C1028="",$F1028="",$G1028=""),"Preencher tudo",IF(COUNTIF(EtapaLista,$B1028)=0,"Etapa inválida","OK")))</f>
        <v/>
      </c>
    </row>
    <row r="1029" spans="1:10">
      <c r="A1029" s="17"/>
      <c r="B1029" s="15"/>
      <c r="C1029" s="15"/>
      <c r="D1029" s="15"/>
      <c r="E1029" s="15"/>
      <c r="F1029" s="16"/>
      <c r="G1029" s="27"/>
      <c r="H1029" s="17"/>
      <c r="I1029" s="30">
        <f>IF($A1029="","",DATE(YEAR($A1029),MONTH($A1029),1))</f>
        <v/>
      </c>
      <c r="J1029" s="31">
        <f>IF($A1029="","",IF(OR($B1029="",$C1029="",$F1029="",$G1029=""),"Preencher tudo",IF(COUNTIF(EtapaLista,$B1029)=0,"Etapa inválida","OK")))</f>
        <v/>
      </c>
    </row>
    <row r="1030" spans="1:10">
      <c r="A1030" s="17"/>
      <c r="B1030" s="15"/>
      <c r="C1030" s="15"/>
      <c r="D1030" s="15"/>
      <c r="E1030" s="15"/>
      <c r="F1030" s="16"/>
      <c r="G1030" s="27"/>
      <c r="H1030" s="17"/>
      <c r="I1030" s="30">
        <f>IF($A1030="","",DATE(YEAR($A1030),MONTH($A1030),1))</f>
        <v/>
      </c>
      <c r="J1030" s="31">
        <f>IF($A1030="","",IF(OR($B1030="",$C1030="",$F1030="",$G1030=""),"Preencher tudo",IF(COUNTIF(EtapaLista,$B1030)=0,"Etapa inválida","OK")))</f>
        <v/>
      </c>
    </row>
    <row r="1031" spans="1:10">
      <c r="A1031" s="17"/>
      <c r="B1031" s="15"/>
      <c r="C1031" s="15"/>
      <c r="D1031" s="15"/>
      <c r="E1031" s="15"/>
      <c r="F1031" s="16"/>
      <c r="G1031" s="27"/>
      <c r="H1031" s="17"/>
      <c r="I1031" s="30">
        <f>IF($A1031="","",DATE(YEAR($A1031),MONTH($A1031),1))</f>
        <v/>
      </c>
      <c r="J1031" s="31">
        <f>IF($A1031="","",IF(OR($B1031="",$C1031="",$F1031="",$G1031=""),"Preencher tudo",IF(COUNTIF(EtapaLista,$B1031)=0,"Etapa inválida","OK")))</f>
        <v/>
      </c>
    </row>
    <row r="1032" spans="1:10">
      <c r="A1032" s="17"/>
      <c r="B1032" s="15"/>
      <c r="C1032" s="15"/>
      <c r="D1032" s="15"/>
      <c r="E1032" s="15"/>
      <c r="F1032" s="16"/>
      <c r="G1032" s="27"/>
      <c r="H1032" s="17"/>
      <c r="I1032" s="30">
        <f>IF($A1032="","",DATE(YEAR($A1032),MONTH($A1032),1))</f>
        <v/>
      </c>
      <c r="J1032" s="31">
        <f>IF($A1032="","",IF(OR($B1032="",$C1032="",$F1032="",$G1032=""),"Preencher tudo",IF(COUNTIF(EtapaLista,$B1032)=0,"Etapa inválida","OK")))</f>
        <v/>
      </c>
    </row>
    <row r="1033" spans="1:10">
      <c r="A1033" s="17"/>
      <c r="B1033" s="15"/>
      <c r="C1033" s="15"/>
      <c r="D1033" s="15"/>
      <c r="E1033" s="15"/>
      <c r="F1033" s="16"/>
      <c r="G1033" s="27"/>
      <c r="H1033" s="17"/>
      <c r="I1033" s="30">
        <f>IF($A1033="","",DATE(YEAR($A1033),MONTH($A1033),1))</f>
        <v/>
      </c>
      <c r="J1033" s="31">
        <f>IF($A1033="","",IF(OR($B1033="",$C1033="",$F1033="",$G1033=""),"Preencher tudo",IF(COUNTIF(EtapaLista,$B1033)=0,"Etapa inválida","OK")))</f>
        <v/>
      </c>
    </row>
    <row r="1034" spans="1:10">
      <c r="A1034" s="17"/>
      <c r="B1034" s="15"/>
      <c r="C1034" s="15"/>
      <c r="D1034" s="15"/>
      <c r="E1034" s="15"/>
      <c r="F1034" s="16"/>
      <c r="G1034" s="27"/>
      <c r="H1034" s="17"/>
      <c r="I1034" s="30">
        <f>IF($A1034="","",DATE(YEAR($A1034),MONTH($A1034),1))</f>
        <v/>
      </c>
      <c r="J1034" s="31">
        <f>IF($A1034="","",IF(OR($B1034="",$C1034="",$F1034="",$G1034=""),"Preencher tudo",IF(COUNTIF(EtapaLista,$B1034)=0,"Etapa inválida","OK")))</f>
        <v/>
      </c>
    </row>
    <row r="1035" spans="1:10">
      <c r="A1035" s="17"/>
      <c r="B1035" s="15"/>
      <c r="C1035" s="15"/>
      <c r="D1035" s="15"/>
      <c r="E1035" s="15"/>
      <c r="F1035" s="16"/>
      <c r="G1035" s="27"/>
      <c r="H1035" s="17"/>
      <c r="I1035" s="30">
        <f>IF($A1035="","",DATE(YEAR($A1035),MONTH($A1035),1))</f>
        <v/>
      </c>
      <c r="J1035" s="31">
        <f>IF($A1035="","",IF(OR($B1035="",$C1035="",$F1035="",$G1035=""),"Preencher tudo",IF(COUNTIF(EtapaLista,$B1035)=0,"Etapa inválida","OK")))</f>
        <v/>
      </c>
    </row>
    <row r="1036" spans="1:10">
      <c r="A1036" s="17"/>
      <c r="B1036" s="15"/>
      <c r="C1036" s="15"/>
      <c r="D1036" s="15"/>
      <c r="E1036" s="15"/>
      <c r="F1036" s="16"/>
      <c r="G1036" s="27"/>
      <c r="H1036" s="17"/>
      <c r="I1036" s="30">
        <f>IF($A1036="","",DATE(YEAR($A1036),MONTH($A1036),1))</f>
        <v/>
      </c>
      <c r="J1036" s="31">
        <f>IF($A1036="","",IF(OR($B1036="",$C1036="",$F1036="",$G1036=""),"Preencher tudo",IF(COUNTIF(EtapaLista,$B1036)=0,"Etapa inválida","OK")))</f>
        <v/>
      </c>
    </row>
    <row r="1037" spans="1:10">
      <c r="A1037" s="17"/>
      <c r="B1037" s="15"/>
      <c r="C1037" s="15"/>
      <c r="D1037" s="15"/>
      <c r="E1037" s="15"/>
      <c r="F1037" s="16"/>
      <c r="G1037" s="27"/>
      <c r="H1037" s="17"/>
      <c r="I1037" s="30">
        <f>IF($A1037="","",DATE(YEAR($A1037),MONTH($A1037),1))</f>
        <v/>
      </c>
      <c r="J1037" s="31">
        <f>IF($A1037="","",IF(OR($B1037="",$C1037="",$F1037="",$G1037=""),"Preencher tudo",IF(COUNTIF(EtapaLista,$B1037)=0,"Etapa inválida","OK")))</f>
        <v/>
      </c>
    </row>
    <row r="1038" spans="1:10">
      <c r="A1038" s="17"/>
      <c r="B1038" s="15"/>
      <c r="C1038" s="15"/>
      <c r="D1038" s="15"/>
      <c r="E1038" s="15"/>
      <c r="F1038" s="16"/>
      <c r="G1038" s="27"/>
      <c r="H1038" s="17"/>
      <c r="I1038" s="30">
        <f>IF($A1038="","",DATE(YEAR($A1038),MONTH($A1038),1))</f>
        <v/>
      </c>
      <c r="J1038" s="31">
        <f>IF($A1038="","",IF(OR($B1038="",$C1038="",$F1038="",$G1038=""),"Preencher tudo",IF(COUNTIF(EtapaLista,$B1038)=0,"Etapa inválida","OK")))</f>
        <v/>
      </c>
    </row>
    <row r="1039" spans="1:10">
      <c r="A1039" s="17"/>
      <c r="B1039" s="15"/>
      <c r="C1039" s="15"/>
      <c r="D1039" s="15"/>
      <c r="E1039" s="15"/>
      <c r="F1039" s="16"/>
      <c r="G1039" s="27"/>
      <c r="H1039" s="17"/>
      <c r="I1039" s="30">
        <f>IF($A1039="","",DATE(YEAR($A1039),MONTH($A1039),1))</f>
        <v/>
      </c>
      <c r="J1039" s="31">
        <f>IF($A1039="","",IF(OR($B1039="",$C1039="",$F1039="",$G1039=""),"Preencher tudo",IF(COUNTIF(EtapaLista,$B1039)=0,"Etapa inválida","OK")))</f>
        <v/>
      </c>
    </row>
    <row r="1040" spans="1:10">
      <c r="A1040" s="17"/>
      <c r="B1040" s="15"/>
      <c r="C1040" s="15"/>
      <c r="D1040" s="15"/>
      <c r="E1040" s="15"/>
      <c r="F1040" s="16"/>
      <c r="G1040" s="27"/>
      <c r="H1040" s="17"/>
      <c r="I1040" s="30">
        <f>IF($A1040="","",DATE(YEAR($A1040),MONTH($A1040),1))</f>
        <v/>
      </c>
      <c r="J1040" s="31">
        <f>IF($A1040="","",IF(OR($B1040="",$C1040="",$F1040="",$G1040=""),"Preencher tudo",IF(COUNTIF(EtapaLista,$B1040)=0,"Etapa inválida","OK")))</f>
        <v/>
      </c>
    </row>
    <row r="1041" spans="1:10">
      <c r="A1041" s="17"/>
      <c r="B1041" s="15"/>
      <c r="C1041" s="15"/>
      <c r="D1041" s="15"/>
      <c r="E1041" s="15"/>
      <c r="F1041" s="16"/>
      <c r="G1041" s="27"/>
      <c r="H1041" s="17"/>
      <c r="I1041" s="30">
        <f>IF($A1041="","",DATE(YEAR($A1041),MONTH($A1041),1))</f>
        <v/>
      </c>
      <c r="J1041" s="31">
        <f>IF($A1041="","",IF(OR($B1041="",$C1041="",$F1041="",$G1041=""),"Preencher tudo",IF(COUNTIF(EtapaLista,$B1041)=0,"Etapa inválida","OK")))</f>
        <v/>
      </c>
    </row>
    <row r="1042" spans="1:10">
      <c r="A1042" s="17"/>
      <c r="B1042" s="15"/>
      <c r="C1042" s="15"/>
      <c r="D1042" s="15"/>
      <c r="E1042" s="15"/>
      <c r="F1042" s="16"/>
      <c r="G1042" s="27"/>
      <c r="H1042" s="17"/>
      <c r="I1042" s="30">
        <f>IF($A1042="","",DATE(YEAR($A1042),MONTH($A1042),1))</f>
        <v/>
      </c>
      <c r="J1042" s="31">
        <f>IF($A1042="","",IF(OR($B1042="",$C1042="",$F1042="",$G1042=""),"Preencher tudo",IF(COUNTIF(EtapaLista,$B1042)=0,"Etapa inválida","OK")))</f>
        <v/>
      </c>
    </row>
    <row r="1043" spans="1:10">
      <c r="A1043" s="17"/>
      <c r="B1043" s="15"/>
      <c r="C1043" s="15"/>
      <c r="D1043" s="15"/>
      <c r="E1043" s="15"/>
      <c r="F1043" s="16"/>
      <c r="G1043" s="27"/>
      <c r="H1043" s="17"/>
      <c r="I1043" s="30">
        <f>IF($A1043="","",DATE(YEAR($A1043),MONTH($A1043),1))</f>
        <v/>
      </c>
      <c r="J1043" s="31">
        <f>IF($A1043="","",IF(OR($B1043="",$C1043="",$F1043="",$G1043=""),"Preencher tudo",IF(COUNTIF(EtapaLista,$B1043)=0,"Etapa inválida","OK")))</f>
        <v/>
      </c>
    </row>
    <row r="1044" spans="1:10">
      <c r="A1044" s="17"/>
      <c r="B1044" s="15"/>
      <c r="C1044" s="15"/>
      <c r="D1044" s="15"/>
      <c r="E1044" s="15"/>
      <c r="F1044" s="16"/>
      <c r="G1044" s="27"/>
      <c r="H1044" s="17"/>
      <c r="I1044" s="30">
        <f>IF($A1044="","",DATE(YEAR($A1044),MONTH($A1044),1))</f>
        <v/>
      </c>
      <c r="J1044" s="31">
        <f>IF($A1044="","",IF(OR($B1044="",$C1044="",$F1044="",$G1044=""),"Preencher tudo",IF(COUNTIF(EtapaLista,$B1044)=0,"Etapa inválida","OK")))</f>
        <v/>
      </c>
    </row>
    <row r="1045" spans="1:10">
      <c r="A1045" s="17"/>
      <c r="B1045" s="15"/>
      <c r="C1045" s="15"/>
      <c r="D1045" s="15"/>
      <c r="E1045" s="15"/>
      <c r="F1045" s="16"/>
      <c r="G1045" s="27"/>
      <c r="H1045" s="17"/>
      <c r="I1045" s="30">
        <f>IF($A1045="","",DATE(YEAR($A1045),MONTH($A1045),1))</f>
        <v/>
      </c>
      <c r="J1045" s="31">
        <f>IF($A1045="","",IF(OR($B1045="",$C1045="",$F1045="",$G1045=""),"Preencher tudo",IF(COUNTIF(EtapaLista,$B1045)=0,"Etapa inválida","OK")))</f>
        <v/>
      </c>
    </row>
    <row r="1046" spans="1:10">
      <c r="A1046" s="17"/>
      <c r="B1046" s="15"/>
      <c r="C1046" s="15"/>
      <c r="D1046" s="15"/>
      <c r="E1046" s="15"/>
      <c r="F1046" s="16"/>
      <c r="G1046" s="27"/>
      <c r="H1046" s="17"/>
      <c r="I1046" s="30">
        <f>IF($A1046="","",DATE(YEAR($A1046),MONTH($A1046),1))</f>
        <v/>
      </c>
      <c r="J1046" s="31">
        <f>IF($A1046="","",IF(OR($B1046="",$C1046="",$F1046="",$G1046=""),"Preencher tudo",IF(COUNTIF(EtapaLista,$B1046)=0,"Etapa inválida","OK")))</f>
        <v/>
      </c>
    </row>
    <row r="1047" spans="1:10">
      <c r="A1047" s="17"/>
      <c r="B1047" s="15"/>
      <c r="C1047" s="15"/>
      <c r="D1047" s="15"/>
      <c r="E1047" s="15"/>
      <c r="F1047" s="16"/>
      <c r="G1047" s="27"/>
      <c r="H1047" s="17"/>
      <c r="I1047" s="30">
        <f>IF($A1047="","",DATE(YEAR($A1047),MONTH($A1047),1))</f>
        <v/>
      </c>
      <c r="J1047" s="31">
        <f>IF($A1047="","",IF(OR($B1047="",$C1047="",$F1047="",$G1047=""),"Preencher tudo",IF(COUNTIF(EtapaLista,$B1047)=0,"Etapa inválida","OK")))</f>
        <v/>
      </c>
    </row>
    <row r="1048" spans="1:10">
      <c r="A1048" s="17"/>
      <c r="B1048" s="15"/>
      <c r="C1048" s="15"/>
      <c r="D1048" s="15"/>
      <c r="E1048" s="15"/>
      <c r="F1048" s="16"/>
      <c r="G1048" s="27"/>
      <c r="H1048" s="17"/>
      <c r="I1048" s="30">
        <f>IF($A1048="","",DATE(YEAR($A1048),MONTH($A1048),1))</f>
        <v/>
      </c>
      <c r="J1048" s="31">
        <f>IF($A1048="","",IF(OR($B1048="",$C1048="",$F1048="",$G1048=""),"Preencher tudo",IF(COUNTIF(EtapaLista,$B1048)=0,"Etapa inválida","OK")))</f>
        <v/>
      </c>
    </row>
    <row r="1049" spans="1:10">
      <c r="A1049" s="17"/>
      <c r="B1049" s="15"/>
      <c r="C1049" s="15"/>
      <c r="D1049" s="15"/>
      <c r="E1049" s="15"/>
      <c r="F1049" s="16"/>
      <c r="G1049" s="27"/>
      <c r="H1049" s="17"/>
      <c r="I1049" s="30">
        <f>IF($A1049="","",DATE(YEAR($A1049),MONTH($A1049),1))</f>
        <v/>
      </c>
      <c r="J1049" s="31">
        <f>IF($A1049="","",IF(OR($B1049="",$C1049="",$F1049="",$G1049=""),"Preencher tudo",IF(COUNTIF(EtapaLista,$B1049)=0,"Etapa inválida","OK")))</f>
        <v/>
      </c>
    </row>
    <row r="1050" spans="1:10">
      <c r="A1050" s="17"/>
      <c r="B1050" s="15"/>
      <c r="C1050" s="15"/>
      <c r="D1050" s="15"/>
      <c r="E1050" s="15"/>
      <c r="F1050" s="16"/>
      <c r="G1050" s="27"/>
      <c r="H1050" s="17"/>
      <c r="I1050" s="30">
        <f>IF($A1050="","",DATE(YEAR($A1050),MONTH($A1050),1))</f>
        <v/>
      </c>
      <c r="J1050" s="31">
        <f>IF($A1050="","",IF(OR($B1050="",$C1050="",$F1050="",$G1050=""),"Preencher tudo",IF(COUNTIF(EtapaLista,$B1050)=0,"Etapa inválida","OK")))</f>
        <v/>
      </c>
    </row>
    <row r="1051" spans="1:10">
      <c r="A1051" s="17"/>
      <c r="B1051" s="15"/>
      <c r="C1051" s="15"/>
      <c r="D1051" s="15"/>
      <c r="E1051" s="15"/>
      <c r="F1051" s="16"/>
      <c r="G1051" s="27"/>
      <c r="H1051" s="17"/>
      <c r="I1051" s="30">
        <f>IF($A1051="","",DATE(YEAR($A1051),MONTH($A1051),1))</f>
        <v/>
      </c>
      <c r="J1051" s="31">
        <f>IF($A1051="","",IF(OR($B1051="",$C1051="",$F1051="",$G1051=""),"Preencher tudo",IF(COUNTIF(EtapaLista,$B1051)=0,"Etapa inválida","OK")))</f>
        <v/>
      </c>
    </row>
    <row r="1052" spans="1:10">
      <c r="A1052" s="17"/>
      <c r="B1052" s="15"/>
      <c r="C1052" s="15"/>
      <c r="D1052" s="15"/>
      <c r="E1052" s="15"/>
      <c r="F1052" s="16"/>
      <c r="G1052" s="27"/>
      <c r="H1052" s="17"/>
      <c r="I1052" s="30">
        <f>IF($A1052="","",DATE(YEAR($A1052),MONTH($A1052),1))</f>
        <v/>
      </c>
      <c r="J1052" s="31">
        <f>IF($A1052="","",IF(OR($B1052="",$C1052="",$F1052="",$G1052=""),"Preencher tudo",IF(COUNTIF(EtapaLista,$B1052)=0,"Etapa inválida","OK")))</f>
        <v/>
      </c>
    </row>
    <row r="1053" spans="1:10">
      <c r="A1053" s="17"/>
      <c r="B1053" s="15"/>
      <c r="C1053" s="15"/>
      <c r="D1053" s="15"/>
      <c r="E1053" s="15"/>
      <c r="F1053" s="16"/>
      <c r="G1053" s="27"/>
      <c r="H1053" s="17"/>
      <c r="I1053" s="30">
        <f>IF($A1053="","",DATE(YEAR($A1053),MONTH($A1053),1))</f>
        <v/>
      </c>
      <c r="J1053" s="31">
        <f>IF($A1053="","",IF(OR($B1053="",$C1053="",$F1053="",$G1053=""),"Preencher tudo",IF(COUNTIF(EtapaLista,$B1053)=0,"Etapa inválida","OK")))</f>
        <v/>
      </c>
    </row>
    <row r="1054" spans="1:10">
      <c r="A1054" s="17"/>
      <c r="B1054" s="15"/>
      <c r="C1054" s="15"/>
      <c r="D1054" s="15"/>
      <c r="E1054" s="15"/>
      <c r="F1054" s="16"/>
      <c r="G1054" s="27"/>
      <c r="H1054" s="17"/>
      <c r="I1054" s="30">
        <f>IF($A1054="","",DATE(YEAR($A1054),MONTH($A1054),1))</f>
        <v/>
      </c>
      <c r="J1054" s="31">
        <f>IF($A1054="","",IF(OR($B1054="",$C1054="",$F1054="",$G1054=""),"Preencher tudo",IF(COUNTIF(EtapaLista,$B1054)=0,"Etapa inválida","OK")))</f>
        <v/>
      </c>
    </row>
    <row r="1055" spans="1:10">
      <c r="A1055" s="17"/>
      <c r="B1055" s="15"/>
      <c r="C1055" s="15"/>
      <c r="D1055" s="15"/>
      <c r="E1055" s="15"/>
      <c r="F1055" s="16"/>
      <c r="G1055" s="27"/>
      <c r="H1055" s="17"/>
      <c r="I1055" s="30">
        <f>IF($A1055="","",DATE(YEAR($A1055),MONTH($A1055),1))</f>
        <v/>
      </c>
      <c r="J1055" s="31">
        <f>IF($A1055="","",IF(OR($B1055="",$C1055="",$F1055="",$G1055=""),"Preencher tudo",IF(COUNTIF(EtapaLista,$B1055)=0,"Etapa inválida","OK")))</f>
        <v/>
      </c>
    </row>
    <row r="1056" spans="1:10">
      <c r="A1056" s="17"/>
      <c r="B1056" s="15"/>
      <c r="C1056" s="15"/>
      <c r="D1056" s="15"/>
      <c r="E1056" s="15"/>
      <c r="F1056" s="16"/>
      <c r="G1056" s="27"/>
      <c r="H1056" s="17"/>
      <c r="I1056" s="30">
        <f>IF($A1056="","",DATE(YEAR($A1056),MONTH($A1056),1))</f>
        <v/>
      </c>
      <c r="J1056" s="31">
        <f>IF($A1056="","",IF(OR($B1056="",$C1056="",$F1056="",$G1056=""),"Preencher tudo",IF(COUNTIF(EtapaLista,$B1056)=0,"Etapa inválida","OK")))</f>
        <v/>
      </c>
    </row>
    <row r="1057" spans="1:10">
      <c r="A1057" s="17"/>
      <c r="B1057" s="15"/>
      <c r="C1057" s="15"/>
      <c r="D1057" s="15"/>
      <c r="E1057" s="15"/>
      <c r="F1057" s="16"/>
      <c r="G1057" s="27"/>
      <c r="H1057" s="17"/>
      <c r="I1057" s="30">
        <f>IF($A1057="","",DATE(YEAR($A1057),MONTH($A1057),1))</f>
        <v/>
      </c>
      <c r="J1057" s="31">
        <f>IF($A1057="","",IF(OR($B1057="",$C1057="",$F1057="",$G1057=""),"Preencher tudo",IF(COUNTIF(EtapaLista,$B1057)=0,"Etapa inválida","OK")))</f>
        <v/>
      </c>
    </row>
    <row r="1058" spans="1:10">
      <c r="A1058" s="17"/>
      <c r="B1058" s="15"/>
      <c r="C1058" s="15"/>
      <c r="D1058" s="15"/>
      <c r="E1058" s="15"/>
      <c r="F1058" s="16"/>
      <c r="G1058" s="27"/>
      <c r="H1058" s="17"/>
      <c r="I1058" s="30">
        <f>IF($A1058="","",DATE(YEAR($A1058),MONTH($A1058),1))</f>
        <v/>
      </c>
      <c r="J1058" s="31">
        <f>IF($A1058="","",IF(OR($B1058="",$C1058="",$F1058="",$G1058=""),"Preencher tudo",IF(COUNTIF(EtapaLista,$B1058)=0,"Etapa inválida","OK")))</f>
        <v/>
      </c>
    </row>
    <row r="1059" spans="1:10">
      <c r="A1059" s="17"/>
      <c r="B1059" s="15"/>
      <c r="C1059" s="15"/>
      <c r="D1059" s="15"/>
      <c r="E1059" s="15"/>
      <c r="F1059" s="16"/>
      <c r="G1059" s="27"/>
      <c r="H1059" s="17"/>
      <c r="I1059" s="30">
        <f>IF($A1059="","",DATE(YEAR($A1059),MONTH($A1059),1))</f>
        <v/>
      </c>
      <c r="J1059" s="31">
        <f>IF($A1059="","",IF(OR($B1059="",$C1059="",$F1059="",$G1059=""),"Preencher tudo",IF(COUNTIF(EtapaLista,$B1059)=0,"Etapa inválida","OK")))</f>
        <v/>
      </c>
    </row>
    <row r="1060" spans="1:10">
      <c r="A1060" s="17"/>
      <c r="B1060" s="15"/>
      <c r="C1060" s="15"/>
      <c r="D1060" s="15"/>
      <c r="E1060" s="15"/>
      <c r="F1060" s="16"/>
      <c r="G1060" s="27"/>
      <c r="H1060" s="17"/>
      <c r="I1060" s="30">
        <f>IF($A1060="","",DATE(YEAR($A1060),MONTH($A1060),1))</f>
        <v/>
      </c>
      <c r="J1060" s="31">
        <f>IF($A1060="","",IF(OR($B1060="",$C1060="",$F1060="",$G1060=""),"Preencher tudo",IF(COUNTIF(EtapaLista,$B1060)=0,"Etapa inválida","OK")))</f>
        <v/>
      </c>
    </row>
    <row r="1061" spans="1:10">
      <c r="A1061" s="17"/>
      <c r="B1061" s="15"/>
      <c r="C1061" s="15"/>
      <c r="D1061" s="15"/>
      <c r="E1061" s="15"/>
      <c r="F1061" s="16"/>
      <c r="G1061" s="27"/>
      <c r="H1061" s="17"/>
      <c r="I1061" s="30">
        <f>IF($A1061="","",DATE(YEAR($A1061),MONTH($A1061),1))</f>
        <v/>
      </c>
      <c r="J1061" s="31">
        <f>IF($A1061="","",IF(OR($B1061="",$C1061="",$F1061="",$G1061=""),"Preencher tudo",IF(COUNTIF(EtapaLista,$B1061)=0,"Etapa inválida","OK")))</f>
        <v/>
      </c>
    </row>
    <row r="1062" spans="1:10">
      <c r="A1062" s="17"/>
      <c r="B1062" s="15"/>
      <c r="C1062" s="15"/>
      <c r="D1062" s="15"/>
      <c r="E1062" s="15"/>
      <c r="F1062" s="16"/>
      <c r="G1062" s="27"/>
      <c r="H1062" s="17"/>
      <c r="I1062" s="30">
        <f>IF($A1062="","",DATE(YEAR($A1062),MONTH($A1062),1))</f>
        <v/>
      </c>
      <c r="J1062" s="31">
        <f>IF($A1062="","",IF(OR($B1062="",$C1062="",$F1062="",$G1062=""),"Preencher tudo",IF(COUNTIF(EtapaLista,$B1062)=0,"Etapa inválida","OK")))</f>
        <v/>
      </c>
    </row>
    <row r="1063" spans="1:10">
      <c r="A1063" s="17"/>
      <c r="B1063" s="15"/>
      <c r="C1063" s="15"/>
      <c r="D1063" s="15"/>
      <c r="E1063" s="15"/>
      <c r="F1063" s="16"/>
      <c r="G1063" s="27"/>
      <c r="H1063" s="17"/>
      <c r="I1063" s="30">
        <f>IF($A1063="","",DATE(YEAR($A1063),MONTH($A1063),1))</f>
        <v/>
      </c>
      <c r="J1063" s="31">
        <f>IF($A1063="","",IF(OR($B1063="",$C1063="",$F1063="",$G1063=""),"Preencher tudo",IF(COUNTIF(EtapaLista,$B1063)=0,"Etapa inválida","OK")))</f>
        <v/>
      </c>
    </row>
    <row r="1064" spans="1:10">
      <c r="A1064" s="17"/>
      <c r="B1064" s="15"/>
      <c r="C1064" s="15"/>
      <c r="D1064" s="15"/>
      <c r="E1064" s="15"/>
      <c r="F1064" s="16"/>
      <c r="G1064" s="27"/>
      <c r="H1064" s="17"/>
      <c r="I1064" s="30">
        <f>IF($A1064="","",DATE(YEAR($A1064),MONTH($A1064),1))</f>
        <v/>
      </c>
      <c r="J1064" s="31">
        <f>IF($A1064="","",IF(OR($B1064="",$C1064="",$F1064="",$G1064=""),"Preencher tudo",IF(COUNTIF(EtapaLista,$B1064)=0,"Etapa inválida","OK")))</f>
        <v/>
      </c>
    </row>
    <row r="1065" spans="1:10">
      <c r="A1065" s="17"/>
      <c r="B1065" s="15"/>
      <c r="C1065" s="15"/>
      <c r="D1065" s="15"/>
      <c r="E1065" s="15"/>
      <c r="F1065" s="16"/>
      <c r="G1065" s="27"/>
      <c r="H1065" s="17"/>
      <c r="I1065" s="30">
        <f>IF($A1065="","",DATE(YEAR($A1065),MONTH($A1065),1))</f>
        <v/>
      </c>
      <c r="J1065" s="31">
        <f>IF($A1065="","",IF(OR($B1065="",$C1065="",$F1065="",$G1065=""),"Preencher tudo",IF(COUNTIF(EtapaLista,$B1065)=0,"Etapa inválida","OK")))</f>
        <v/>
      </c>
    </row>
    <row r="1066" spans="1:10">
      <c r="A1066" s="17"/>
      <c r="B1066" s="15"/>
      <c r="C1066" s="15"/>
      <c r="D1066" s="15"/>
      <c r="E1066" s="15"/>
      <c r="F1066" s="16"/>
      <c r="G1066" s="27"/>
      <c r="H1066" s="17"/>
      <c r="I1066" s="30">
        <f>IF($A1066="","",DATE(YEAR($A1066),MONTH($A1066),1))</f>
        <v/>
      </c>
      <c r="J1066" s="31">
        <f>IF($A1066="","",IF(OR($B1066="",$C1066="",$F1066="",$G1066=""),"Preencher tudo",IF(COUNTIF(EtapaLista,$B1066)=0,"Etapa inválida","OK")))</f>
        <v/>
      </c>
    </row>
    <row r="1067" spans="1:10">
      <c r="A1067" s="17"/>
      <c r="B1067" s="15"/>
      <c r="C1067" s="15"/>
      <c r="D1067" s="15"/>
      <c r="E1067" s="15"/>
      <c r="F1067" s="16"/>
      <c r="G1067" s="27"/>
      <c r="H1067" s="17"/>
      <c r="I1067" s="30">
        <f>IF($A1067="","",DATE(YEAR($A1067),MONTH($A1067),1))</f>
        <v/>
      </c>
      <c r="J1067" s="31">
        <f>IF($A1067="","",IF(OR($B1067="",$C1067="",$F1067="",$G1067=""),"Preencher tudo",IF(COUNTIF(EtapaLista,$B1067)=0,"Etapa inválida","OK")))</f>
        <v/>
      </c>
    </row>
    <row r="1068" spans="1:10">
      <c r="A1068" s="17"/>
      <c r="B1068" s="15"/>
      <c r="C1068" s="15"/>
      <c r="D1068" s="15"/>
      <c r="E1068" s="15"/>
      <c r="F1068" s="16"/>
      <c r="G1068" s="27"/>
      <c r="H1068" s="17"/>
      <c r="I1068" s="30">
        <f>IF($A1068="","",DATE(YEAR($A1068),MONTH($A1068),1))</f>
        <v/>
      </c>
      <c r="J1068" s="31">
        <f>IF($A1068="","",IF(OR($B1068="",$C1068="",$F1068="",$G1068=""),"Preencher tudo",IF(COUNTIF(EtapaLista,$B1068)=0,"Etapa inválida","OK")))</f>
        <v/>
      </c>
    </row>
    <row r="1069" spans="1:10">
      <c r="A1069" s="17"/>
      <c r="B1069" s="15"/>
      <c r="C1069" s="15"/>
      <c r="D1069" s="15"/>
      <c r="E1069" s="15"/>
      <c r="F1069" s="16"/>
      <c r="G1069" s="27"/>
      <c r="H1069" s="17"/>
      <c r="I1069" s="30">
        <f>IF($A1069="","",DATE(YEAR($A1069),MONTH($A1069),1))</f>
        <v/>
      </c>
      <c r="J1069" s="31">
        <f>IF($A1069="","",IF(OR($B1069="",$C1069="",$F1069="",$G1069=""),"Preencher tudo",IF(COUNTIF(EtapaLista,$B1069)=0,"Etapa inválida","OK")))</f>
        <v/>
      </c>
    </row>
    <row r="1070" spans="1:10">
      <c r="A1070" s="17"/>
      <c r="B1070" s="15"/>
      <c r="C1070" s="15"/>
      <c r="D1070" s="15"/>
      <c r="E1070" s="15"/>
      <c r="F1070" s="16"/>
      <c r="G1070" s="27"/>
      <c r="H1070" s="17"/>
      <c r="I1070" s="30">
        <f>IF($A1070="","",DATE(YEAR($A1070),MONTH($A1070),1))</f>
        <v/>
      </c>
      <c r="J1070" s="31">
        <f>IF($A1070="","",IF(OR($B1070="",$C1070="",$F1070="",$G1070=""),"Preencher tudo",IF(COUNTIF(EtapaLista,$B1070)=0,"Etapa inválida","OK")))</f>
        <v/>
      </c>
    </row>
    <row r="1071" spans="1:10">
      <c r="A1071" s="17"/>
      <c r="B1071" s="15"/>
      <c r="C1071" s="15"/>
      <c r="D1071" s="15"/>
      <c r="E1071" s="15"/>
      <c r="F1071" s="16"/>
      <c r="G1071" s="27"/>
      <c r="H1071" s="17"/>
      <c r="I1071" s="30">
        <f>IF($A1071="","",DATE(YEAR($A1071),MONTH($A1071),1))</f>
        <v/>
      </c>
      <c r="J1071" s="31">
        <f>IF($A1071="","",IF(OR($B1071="",$C1071="",$F1071="",$G1071=""),"Preencher tudo",IF(COUNTIF(EtapaLista,$B1071)=0,"Etapa inválida","OK")))</f>
        <v/>
      </c>
    </row>
    <row r="1072" spans="1:10">
      <c r="A1072" s="17"/>
      <c r="B1072" s="15"/>
      <c r="C1072" s="15"/>
      <c r="D1072" s="15"/>
      <c r="E1072" s="15"/>
      <c r="F1072" s="16"/>
      <c r="G1072" s="27"/>
      <c r="H1072" s="17"/>
      <c r="I1072" s="30">
        <f>IF($A1072="","",DATE(YEAR($A1072),MONTH($A1072),1))</f>
        <v/>
      </c>
      <c r="J1072" s="31">
        <f>IF($A1072="","",IF(OR($B1072="",$C1072="",$F1072="",$G1072=""),"Preencher tudo",IF(COUNTIF(EtapaLista,$B1072)=0,"Etapa inválida","OK")))</f>
        <v/>
      </c>
    </row>
    <row r="1073" spans="1:10">
      <c r="A1073" s="17"/>
      <c r="B1073" s="15"/>
      <c r="C1073" s="15"/>
      <c r="D1073" s="15"/>
      <c r="E1073" s="15"/>
      <c r="F1073" s="16"/>
      <c r="G1073" s="27"/>
      <c r="H1073" s="17"/>
      <c r="I1073" s="30">
        <f>IF($A1073="","",DATE(YEAR($A1073),MONTH($A1073),1))</f>
        <v/>
      </c>
      <c r="J1073" s="31">
        <f>IF($A1073="","",IF(OR($B1073="",$C1073="",$F1073="",$G1073=""),"Preencher tudo",IF(COUNTIF(EtapaLista,$B1073)=0,"Etapa inválida","OK")))</f>
        <v/>
      </c>
    </row>
    <row r="1074" spans="1:10">
      <c r="A1074" s="17"/>
      <c r="B1074" s="15"/>
      <c r="C1074" s="15"/>
      <c r="D1074" s="15"/>
      <c r="E1074" s="15"/>
      <c r="F1074" s="16"/>
      <c r="G1074" s="27"/>
      <c r="H1074" s="17"/>
      <c r="I1074" s="30">
        <f>IF($A1074="","",DATE(YEAR($A1074),MONTH($A1074),1))</f>
        <v/>
      </c>
      <c r="J1074" s="31">
        <f>IF($A1074="","",IF(OR($B1074="",$C1074="",$F1074="",$G1074=""),"Preencher tudo",IF(COUNTIF(EtapaLista,$B1074)=0,"Etapa inválida","OK")))</f>
        <v/>
      </c>
    </row>
    <row r="1075" spans="1:10">
      <c r="A1075" s="17"/>
      <c r="B1075" s="15"/>
      <c r="C1075" s="15"/>
      <c r="D1075" s="15"/>
      <c r="E1075" s="15"/>
      <c r="F1075" s="16"/>
      <c r="G1075" s="27"/>
      <c r="H1075" s="17"/>
      <c r="I1075" s="30">
        <f>IF($A1075="","",DATE(YEAR($A1075),MONTH($A1075),1))</f>
        <v/>
      </c>
      <c r="J1075" s="31">
        <f>IF($A1075="","",IF(OR($B1075="",$C1075="",$F1075="",$G1075=""),"Preencher tudo",IF(COUNTIF(EtapaLista,$B1075)=0,"Etapa inválida","OK")))</f>
        <v/>
      </c>
    </row>
    <row r="1076" spans="1:10">
      <c r="A1076" s="17"/>
      <c r="B1076" s="15"/>
      <c r="C1076" s="15"/>
      <c r="D1076" s="15"/>
      <c r="E1076" s="15"/>
      <c r="F1076" s="16"/>
      <c r="G1076" s="27"/>
      <c r="H1076" s="17"/>
      <c r="I1076" s="30">
        <f>IF($A1076="","",DATE(YEAR($A1076),MONTH($A1076),1))</f>
        <v/>
      </c>
      <c r="J1076" s="31">
        <f>IF($A1076="","",IF(OR($B1076="",$C1076="",$F1076="",$G1076=""),"Preencher tudo",IF(COUNTIF(EtapaLista,$B1076)=0,"Etapa inválida","OK")))</f>
        <v/>
      </c>
    </row>
    <row r="1077" spans="1:10">
      <c r="A1077" s="17"/>
      <c r="B1077" s="15"/>
      <c r="C1077" s="15"/>
      <c r="D1077" s="15"/>
      <c r="E1077" s="15"/>
      <c r="F1077" s="16"/>
      <c r="G1077" s="27"/>
      <c r="H1077" s="17"/>
      <c r="I1077" s="30">
        <f>IF($A1077="","",DATE(YEAR($A1077),MONTH($A1077),1))</f>
        <v/>
      </c>
      <c r="J1077" s="31">
        <f>IF($A1077="","",IF(OR($B1077="",$C1077="",$F1077="",$G1077=""),"Preencher tudo",IF(COUNTIF(EtapaLista,$B1077)=0,"Etapa inválida","OK")))</f>
        <v/>
      </c>
    </row>
    <row r="1078" spans="1:10">
      <c r="A1078" s="17"/>
      <c r="B1078" s="15"/>
      <c r="C1078" s="15"/>
      <c r="D1078" s="15"/>
      <c r="E1078" s="15"/>
      <c r="F1078" s="16"/>
      <c r="G1078" s="27"/>
      <c r="H1078" s="17"/>
      <c r="I1078" s="30">
        <f>IF($A1078="","",DATE(YEAR($A1078),MONTH($A1078),1))</f>
        <v/>
      </c>
      <c r="J1078" s="31">
        <f>IF($A1078="","",IF(OR($B1078="",$C1078="",$F1078="",$G1078=""),"Preencher tudo",IF(COUNTIF(EtapaLista,$B1078)=0,"Etapa inválida","OK")))</f>
        <v/>
      </c>
    </row>
    <row r="1079" spans="1:10">
      <c r="A1079" s="17"/>
      <c r="B1079" s="15"/>
      <c r="C1079" s="15"/>
      <c r="D1079" s="15"/>
      <c r="E1079" s="15"/>
      <c r="F1079" s="16"/>
      <c r="G1079" s="27"/>
      <c r="H1079" s="17"/>
      <c r="I1079" s="30">
        <f>IF($A1079="","",DATE(YEAR($A1079),MONTH($A1079),1))</f>
        <v/>
      </c>
      <c r="J1079" s="31">
        <f>IF($A1079="","",IF(OR($B1079="",$C1079="",$F1079="",$G1079=""),"Preencher tudo",IF(COUNTIF(EtapaLista,$B1079)=0,"Etapa inválida","OK")))</f>
        <v/>
      </c>
    </row>
    <row r="1080" spans="1:10">
      <c r="A1080" s="17"/>
      <c r="B1080" s="15"/>
      <c r="C1080" s="15"/>
      <c r="D1080" s="15"/>
      <c r="E1080" s="15"/>
      <c r="F1080" s="16"/>
      <c r="G1080" s="27"/>
      <c r="H1080" s="17"/>
      <c r="I1080" s="30">
        <f>IF($A1080="","",DATE(YEAR($A1080),MONTH($A1080),1))</f>
        <v/>
      </c>
      <c r="J1080" s="31">
        <f>IF($A1080="","",IF(OR($B1080="",$C1080="",$F1080="",$G1080=""),"Preencher tudo",IF(COUNTIF(EtapaLista,$B1080)=0,"Etapa inválida","OK")))</f>
        <v/>
      </c>
    </row>
    <row r="1081" spans="1:10">
      <c r="A1081" s="17"/>
      <c r="B1081" s="15"/>
      <c r="C1081" s="15"/>
      <c r="D1081" s="15"/>
      <c r="E1081" s="15"/>
      <c r="F1081" s="16"/>
      <c r="G1081" s="27"/>
      <c r="H1081" s="17"/>
      <c r="I1081" s="30">
        <f>IF($A1081="","",DATE(YEAR($A1081),MONTH($A1081),1))</f>
        <v/>
      </c>
      <c r="J1081" s="31">
        <f>IF($A1081="","",IF(OR($B1081="",$C1081="",$F1081="",$G1081=""),"Preencher tudo",IF(COUNTIF(EtapaLista,$B1081)=0,"Etapa inválida","OK")))</f>
        <v/>
      </c>
    </row>
    <row r="1082" spans="1:10">
      <c r="A1082" s="17"/>
      <c r="B1082" s="15"/>
      <c r="C1082" s="15"/>
      <c r="D1082" s="15"/>
      <c r="E1082" s="15"/>
      <c r="F1082" s="16"/>
      <c r="G1082" s="27"/>
      <c r="H1082" s="17"/>
      <c r="I1082" s="30">
        <f>IF($A1082="","",DATE(YEAR($A1082),MONTH($A1082),1))</f>
        <v/>
      </c>
      <c r="J1082" s="31">
        <f>IF($A1082="","",IF(OR($B1082="",$C1082="",$F1082="",$G1082=""),"Preencher tudo",IF(COUNTIF(EtapaLista,$B1082)=0,"Etapa inválida","OK")))</f>
        <v/>
      </c>
    </row>
    <row r="1083" spans="1:10">
      <c r="A1083" s="17"/>
      <c r="B1083" s="15"/>
      <c r="C1083" s="15"/>
      <c r="D1083" s="15"/>
      <c r="E1083" s="15"/>
      <c r="F1083" s="16"/>
      <c r="G1083" s="27"/>
      <c r="H1083" s="17"/>
      <c r="I1083" s="30">
        <f>IF($A1083="","",DATE(YEAR($A1083),MONTH($A1083),1))</f>
        <v/>
      </c>
      <c r="J1083" s="31">
        <f>IF($A1083="","",IF(OR($B1083="",$C1083="",$F1083="",$G1083=""),"Preencher tudo",IF(COUNTIF(EtapaLista,$B1083)=0,"Etapa inválida","OK")))</f>
        <v/>
      </c>
    </row>
    <row r="1084" spans="1:10">
      <c r="A1084" s="17"/>
      <c r="B1084" s="15"/>
      <c r="C1084" s="15"/>
      <c r="D1084" s="15"/>
      <c r="E1084" s="15"/>
      <c r="F1084" s="16"/>
      <c r="G1084" s="27"/>
      <c r="H1084" s="17"/>
      <c r="I1084" s="30">
        <f>IF($A1084="","",DATE(YEAR($A1084),MONTH($A1084),1))</f>
        <v/>
      </c>
      <c r="J1084" s="31">
        <f>IF($A1084="","",IF(OR($B1084="",$C1084="",$F1084="",$G1084=""),"Preencher tudo",IF(COUNTIF(EtapaLista,$B1084)=0,"Etapa inválida","OK")))</f>
        <v/>
      </c>
    </row>
    <row r="1085" spans="1:10">
      <c r="A1085" s="17"/>
      <c r="B1085" s="15"/>
      <c r="C1085" s="15"/>
      <c r="D1085" s="15"/>
      <c r="E1085" s="15"/>
      <c r="F1085" s="16"/>
      <c r="G1085" s="27"/>
      <c r="H1085" s="17"/>
      <c r="I1085" s="30">
        <f>IF($A1085="","",DATE(YEAR($A1085),MONTH($A1085),1))</f>
        <v/>
      </c>
      <c r="J1085" s="31">
        <f>IF($A1085="","",IF(OR($B1085="",$C1085="",$F1085="",$G1085=""),"Preencher tudo",IF(COUNTIF(EtapaLista,$B1085)=0,"Etapa inválida","OK")))</f>
        <v/>
      </c>
    </row>
    <row r="1086" spans="1:10">
      <c r="A1086" s="17"/>
      <c r="B1086" s="15"/>
      <c r="C1086" s="15"/>
      <c r="D1086" s="15"/>
      <c r="E1086" s="15"/>
      <c r="F1086" s="16"/>
      <c r="G1086" s="27"/>
      <c r="H1086" s="17"/>
      <c r="I1086" s="30">
        <f>IF($A1086="","",DATE(YEAR($A1086),MONTH($A1086),1))</f>
        <v/>
      </c>
      <c r="J1086" s="31">
        <f>IF($A1086="","",IF(OR($B1086="",$C1086="",$F1086="",$G1086=""),"Preencher tudo",IF(COUNTIF(EtapaLista,$B1086)=0,"Etapa inválida","OK")))</f>
        <v/>
      </c>
    </row>
    <row r="1087" spans="1:10">
      <c r="A1087" s="17"/>
      <c r="B1087" s="15"/>
      <c r="C1087" s="15"/>
      <c r="D1087" s="15"/>
      <c r="E1087" s="15"/>
      <c r="F1087" s="16"/>
      <c r="G1087" s="27"/>
      <c r="H1087" s="17"/>
      <c r="I1087" s="30">
        <f>IF($A1087="","",DATE(YEAR($A1087),MONTH($A1087),1))</f>
        <v/>
      </c>
      <c r="J1087" s="31">
        <f>IF($A1087="","",IF(OR($B1087="",$C1087="",$F1087="",$G1087=""),"Preencher tudo",IF(COUNTIF(EtapaLista,$B1087)=0,"Etapa inválida","OK")))</f>
        <v/>
      </c>
    </row>
    <row r="1088" spans="1:10">
      <c r="A1088" s="17"/>
      <c r="B1088" s="15"/>
      <c r="C1088" s="15"/>
      <c r="D1088" s="15"/>
      <c r="E1088" s="15"/>
      <c r="F1088" s="16"/>
      <c r="G1088" s="27"/>
      <c r="H1088" s="17"/>
      <c r="I1088" s="30">
        <f>IF($A1088="","",DATE(YEAR($A1088),MONTH($A1088),1))</f>
        <v/>
      </c>
      <c r="J1088" s="31">
        <f>IF($A1088="","",IF(OR($B1088="",$C1088="",$F1088="",$G1088=""),"Preencher tudo",IF(COUNTIF(EtapaLista,$B1088)=0,"Etapa inválida","OK")))</f>
        <v/>
      </c>
    </row>
    <row r="1089" spans="1:10">
      <c r="A1089" s="17"/>
      <c r="B1089" s="15"/>
      <c r="C1089" s="15"/>
      <c r="D1089" s="15"/>
      <c r="E1089" s="15"/>
      <c r="F1089" s="16"/>
      <c r="G1089" s="27"/>
      <c r="H1089" s="17"/>
      <c r="I1089" s="30">
        <f>IF($A1089="","",DATE(YEAR($A1089),MONTH($A1089),1))</f>
        <v/>
      </c>
      <c r="J1089" s="31">
        <f>IF($A1089="","",IF(OR($B1089="",$C1089="",$F1089="",$G1089=""),"Preencher tudo",IF(COUNTIF(EtapaLista,$B1089)=0,"Etapa inválida","OK")))</f>
        <v/>
      </c>
    </row>
    <row r="1090" spans="1:10">
      <c r="A1090" s="17"/>
      <c r="B1090" s="15"/>
      <c r="C1090" s="15"/>
      <c r="D1090" s="15"/>
      <c r="E1090" s="15"/>
      <c r="F1090" s="16"/>
      <c r="G1090" s="27"/>
      <c r="H1090" s="17"/>
      <c r="I1090" s="30">
        <f>IF($A1090="","",DATE(YEAR($A1090),MONTH($A1090),1))</f>
        <v/>
      </c>
      <c r="J1090" s="31">
        <f>IF($A1090="","",IF(OR($B1090="",$C1090="",$F1090="",$G1090=""),"Preencher tudo",IF(COUNTIF(EtapaLista,$B1090)=0,"Etapa inválida","OK")))</f>
        <v/>
      </c>
    </row>
    <row r="1091" spans="1:10">
      <c r="A1091" s="17"/>
      <c r="B1091" s="15"/>
      <c r="C1091" s="15"/>
      <c r="D1091" s="15"/>
      <c r="E1091" s="15"/>
      <c r="F1091" s="16"/>
      <c r="G1091" s="27"/>
      <c r="H1091" s="17"/>
      <c r="I1091" s="30">
        <f>IF($A1091="","",DATE(YEAR($A1091),MONTH($A1091),1))</f>
        <v/>
      </c>
      <c r="J1091" s="31">
        <f>IF($A1091="","",IF(OR($B1091="",$C1091="",$F1091="",$G1091=""),"Preencher tudo",IF(COUNTIF(EtapaLista,$B1091)=0,"Etapa inválida","OK")))</f>
        <v/>
      </c>
    </row>
    <row r="1092" spans="1:10">
      <c r="A1092" s="17"/>
      <c r="B1092" s="15"/>
      <c r="C1092" s="15"/>
      <c r="D1092" s="15"/>
      <c r="E1092" s="15"/>
      <c r="F1092" s="16"/>
      <c r="G1092" s="27"/>
      <c r="H1092" s="17"/>
      <c r="I1092" s="30">
        <f>IF($A1092="","",DATE(YEAR($A1092),MONTH($A1092),1))</f>
        <v/>
      </c>
      <c r="J1092" s="31">
        <f>IF($A1092="","",IF(OR($B1092="",$C1092="",$F1092="",$G1092=""),"Preencher tudo",IF(COUNTIF(EtapaLista,$B1092)=0,"Etapa inválida","OK")))</f>
        <v/>
      </c>
    </row>
    <row r="1093" spans="1:10">
      <c r="A1093" s="17"/>
      <c r="B1093" s="15"/>
      <c r="C1093" s="15"/>
      <c r="D1093" s="15"/>
      <c r="E1093" s="15"/>
      <c r="F1093" s="16"/>
      <c r="G1093" s="27"/>
      <c r="H1093" s="17"/>
      <c r="I1093" s="30">
        <f>IF($A1093="","",DATE(YEAR($A1093),MONTH($A1093),1))</f>
        <v/>
      </c>
      <c r="J1093" s="31">
        <f>IF($A1093="","",IF(OR($B1093="",$C1093="",$F1093="",$G1093=""),"Preencher tudo",IF(COUNTIF(EtapaLista,$B1093)=0,"Etapa inválida","OK")))</f>
        <v/>
      </c>
    </row>
    <row r="1094" spans="1:10">
      <c r="A1094" s="17"/>
      <c r="B1094" s="15"/>
      <c r="C1094" s="15"/>
      <c r="D1094" s="15"/>
      <c r="E1094" s="15"/>
      <c r="F1094" s="16"/>
      <c r="G1094" s="27"/>
      <c r="H1094" s="17"/>
      <c r="I1094" s="30">
        <f>IF($A1094="","",DATE(YEAR($A1094),MONTH($A1094),1))</f>
        <v/>
      </c>
      <c r="J1094" s="31">
        <f>IF($A1094="","",IF(OR($B1094="",$C1094="",$F1094="",$G1094=""),"Preencher tudo",IF(COUNTIF(EtapaLista,$B1094)=0,"Etapa inválida","OK")))</f>
        <v/>
      </c>
    </row>
    <row r="1095" spans="1:10">
      <c r="A1095" s="17"/>
      <c r="B1095" s="15"/>
      <c r="C1095" s="15"/>
      <c r="D1095" s="15"/>
      <c r="E1095" s="15"/>
      <c r="F1095" s="16"/>
      <c r="G1095" s="27"/>
      <c r="H1095" s="17"/>
      <c r="I1095" s="30">
        <f>IF($A1095="","",DATE(YEAR($A1095),MONTH($A1095),1))</f>
        <v/>
      </c>
      <c r="J1095" s="31">
        <f>IF($A1095="","",IF(OR($B1095="",$C1095="",$F1095="",$G1095=""),"Preencher tudo",IF(COUNTIF(EtapaLista,$B1095)=0,"Etapa inválida","OK")))</f>
        <v/>
      </c>
    </row>
    <row r="1096" spans="1:10">
      <c r="A1096" s="17"/>
      <c r="B1096" s="15"/>
      <c r="C1096" s="15"/>
      <c r="D1096" s="15"/>
      <c r="E1096" s="15"/>
      <c r="F1096" s="16"/>
      <c r="G1096" s="27"/>
      <c r="H1096" s="17"/>
      <c r="I1096" s="30">
        <f>IF($A1096="","",DATE(YEAR($A1096),MONTH($A1096),1))</f>
        <v/>
      </c>
      <c r="J1096" s="31">
        <f>IF($A1096="","",IF(OR($B1096="",$C1096="",$F1096="",$G1096=""),"Preencher tudo",IF(COUNTIF(EtapaLista,$B1096)=0,"Etapa inválida","OK")))</f>
        <v/>
      </c>
    </row>
    <row r="1097" spans="1:10">
      <c r="A1097" s="17"/>
      <c r="B1097" s="15"/>
      <c r="C1097" s="15"/>
      <c r="D1097" s="15"/>
      <c r="E1097" s="15"/>
      <c r="F1097" s="16"/>
      <c r="G1097" s="27"/>
      <c r="H1097" s="17"/>
      <c r="I1097" s="30">
        <f>IF($A1097="","",DATE(YEAR($A1097),MONTH($A1097),1))</f>
        <v/>
      </c>
      <c r="J1097" s="31">
        <f>IF($A1097="","",IF(OR($B1097="",$C1097="",$F1097="",$G1097=""),"Preencher tudo",IF(COUNTIF(EtapaLista,$B1097)=0,"Etapa inválida","OK")))</f>
        <v/>
      </c>
    </row>
    <row r="1098" spans="1:10">
      <c r="A1098" s="17"/>
      <c r="B1098" s="15"/>
      <c r="C1098" s="15"/>
      <c r="D1098" s="15"/>
      <c r="E1098" s="15"/>
      <c r="F1098" s="16"/>
      <c r="G1098" s="27"/>
      <c r="H1098" s="17"/>
      <c r="I1098" s="30">
        <f>IF($A1098="","",DATE(YEAR($A1098),MONTH($A1098),1))</f>
        <v/>
      </c>
      <c r="J1098" s="31">
        <f>IF($A1098="","",IF(OR($B1098="",$C1098="",$F1098="",$G1098=""),"Preencher tudo",IF(COUNTIF(EtapaLista,$B1098)=0,"Etapa inválida","OK")))</f>
        <v/>
      </c>
    </row>
    <row r="1099" spans="1:10">
      <c r="A1099" s="17"/>
      <c r="B1099" s="15"/>
      <c r="C1099" s="15"/>
      <c r="D1099" s="15"/>
      <c r="E1099" s="15"/>
      <c r="F1099" s="16"/>
      <c r="G1099" s="27"/>
      <c r="H1099" s="17"/>
      <c r="I1099" s="30">
        <f>IF($A1099="","",DATE(YEAR($A1099),MONTH($A1099),1))</f>
        <v/>
      </c>
      <c r="J1099" s="31">
        <f>IF($A1099="","",IF(OR($B1099="",$C1099="",$F1099="",$G1099=""),"Preencher tudo",IF(COUNTIF(EtapaLista,$B1099)=0,"Etapa inválida","OK")))</f>
        <v/>
      </c>
    </row>
    <row r="1100" spans="1:10">
      <c r="A1100" s="17"/>
      <c r="B1100" s="15"/>
      <c r="C1100" s="15"/>
      <c r="D1100" s="15"/>
      <c r="E1100" s="15"/>
      <c r="F1100" s="16"/>
      <c r="G1100" s="27"/>
      <c r="H1100" s="17"/>
      <c r="I1100" s="30">
        <f>IF($A1100="","",DATE(YEAR($A1100),MONTH($A1100),1))</f>
        <v/>
      </c>
      <c r="J1100" s="31">
        <f>IF($A1100="","",IF(OR($B1100="",$C1100="",$F1100="",$G1100=""),"Preencher tudo",IF(COUNTIF(EtapaLista,$B1100)=0,"Etapa inválida","OK")))</f>
        <v/>
      </c>
    </row>
    <row r="1101" spans="1:10">
      <c r="A1101" s="17"/>
      <c r="B1101" s="15"/>
      <c r="C1101" s="15"/>
      <c r="D1101" s="15"/>
      <c r="E1101" s="15"/>
      <c r="F1101" s="16"/>
      <c r="G1101" s="27"/>
      <c r="H1101" s="17"/>
      <c r="I1101" s="30">
        <f>IF($A1101="","",DATE(YEAR($A1101),MONTH($A1101),1))</f>
        <v/>
      </c>
      <c r="J1101" s="31">
        <f>IF($A1101="","",IF(OR($B1101="",$C1101="",$F1101="",$G1101=""),"Preencher tudo",IF(COUNTIF(EtapaLista,$B1101)=0,"Etapa inválida","OK")))</f>
        <v/>
      </c>
    </row>
    <row r="1102" spans="1:10">
      <c r="A1102" s="17"/>
      <c r="B1102" s="15"/>
      <c r="C1102" s="15"/>
      <c r="D1102" s="15"/>
      <c r="E1102" s="15"/>
      <c r="F1102" s="16"/>
      <c r="G1102" s="27"/>
      <c r="H1102" s="17"/>
      <c r="I1102" s="30">
        <f>IF($A1102="","",DATE(YEAR($A1102),MONTH($A1102),1))</f>
        <v/>
      </c>
      <c r="J1102" s="31">
        <f>IF($A1102="","",IF(OR($B1102="",$C1102="",$F1102="",$G1102=""),"Preencher tudo",IF(COUNTIF(EtapaLista,$B1102)=0,"Etapa inválida","OK")))</f>
        <v/>
      </c>
    </row>
    <row r="1103" spans="1:10">
      <c r="A1103" s="17"/>
      <c r="B1103" s="15"/>
      <c r="C1103" s="15"/>
      <c r="D1103" s="15"/>
      <c r="E1103" s="15"/>
      <c r="F1103" s="16"/>
      <c r="G1103" s="27"/>
      <c r="H1103" s="17"/>
      <c r="I1103" s="30">
        <f>IF($A1103="","",DATE(YEAR($A1103),MONTH($A1103),1))</f>
        <v/>
      </c>
      <c r="J1103" s="31">
        <f>IF($A1103="","",IF(OR($B1103="",$C1103="",$F1103="",$G1103=""),"Preencher tudo",IF(COUNTIF(EtapaLista,$B1103)=0,"Etapa inválida","OK")))</f>
        <v/>
      </c>
    </row>
    <row r="1104" spans="1:10">
      <c r="A1104" s="17"/>
      <c r="B1104" s="15"/>
      <c r="C1104" s="15"/>
      <c r="D1104" s="15"/>
      <c r="E1104" s="15"/>
      <c r="F1104" s="16"/>
      <c r="G1104" s="27"/>
      <c r="H1104" s="17"/>
      <c r="I1104" s="30">
        <f>IF($A1104="","",DATE(YEAR($A1104),MONTH($A1104),1))</f>
        <v/>
      </c>
      <c r="J1104" s="31">
        <f>IF($A1104="","",IF(OR($B1104="",$C1104="",$F1104="",$G1104=""),"Preencher tudo",IF(COUNTIF(EtapaLista,$B1104)=0,"Etapa inválida","OK")))</f>
        <v/>
      </c>
    </row>
    <row r="1105" spans="1:10">
      <c r="A1105" s="17"/>
      <c r="B1105" s="15"/>
      <c r="C1105" s="15"/>
      <c r="D1105" s="15"/>
      <c r="E1105" s="15"/>
      <c r="F1105" s="16"/>
      <c r="G1105" s="27"/>
      <c r="H1105" s="17"/>
      <c r="I1105" s="30">
        <f>IF($A1105="","",DATE(YEAR($A1105),MONTH($A1105),1))</f>
        <v/>
      </c>
      <c r="J1105" s="31">
        <f>IF($A1105="","",IF(OR($B1105="",$C1105="",$F1105="",$G1105=""),"Preencher tudo",IF(COUNTIF(EtapaLista,$B1105)=0,"Etapa inválida","OK")))</f>
        <v/>
      </c>
    </row>
    <row r="1106" spans="1:10">
      <c r="A1106" s="17"/>
      <c r="B1106" s="15"/>
      <c r="C1106" s="15"/>
      <c r="D1106" s="15"/>
      <c r="E1106" s="15"/>
      <c r="F1106" s="16"/>
      <c r="G1106" s="27"/>
      <c r="H1106" s="17"/>
      <c r="I1106" s="30">
        <f>IF($A1106="","",DATE(YEAR($A1106),MONTH($A1106),1))</f>
        <v/>
      </c>
      <c r="J1106" s="31">
        <f>IF($A1106="","",IF(OR($B1106="",$C1106="",$F1106="",$G1106=""),"Preencher tudo",IF(COUNTIF(EtapaLista,$B1106)=0,"Etapa inválida","OK")))</f>
        <v/>
      </c>
    </row>
    <row r="1107" spans="1:10">
      <c r="A1107" s="17"/>
      <c r="B1107" s="15"/>
      <c r="C1107" s="15"/>
      <c r="D1107" s="15"/>
      <c r="E1107" s="15"/>
      <c r="F1107" s="16"/>
      <c r="G1107" s="27"/>
      <c r="H1107" s="17"/>
      <c r="I1107" s="30">
        <f>IF($A1107="","",DATE(YEAR($A1107),MONTH($A1107),1))</f>
        <v/>
      </c>
      <c r="J1107" s="31">
        <f>IF($A1107="","",IF(OR($B1107="",$C1107="",$F1107="",$G1107=""),"Preencher tudo",IF(COUNTIF(EtapaLista,$B1107)=0,"Etapa inválida","OK")))</f>
        <v/>
      </c>
    </row>
    <row r="1108" spans="1:10">
      <c r="A1108" s="17"/>
      <c r="B1108" s="15"/>
      <c r="C1108" s="15"/>
      <c r="D1108" s="15"/>
      <c r="E1108" s="15"/>
      <c r="F1108" s="16"/>
      <c r="G1108" s="27"/>
      <c r="H1108" s="17"/>
      <c r="I1108" s="30">
        <f>IF($A1108="","",DATE(YEAR($A1108),MONTH($A1108),1))</f>
        <v/>
      </c>
      <c r="J1108" s="31">
        <f>IF($A1108="","",IF(OR($B1108="",$C1108="",$F1108="",$G1108=""),"Preencher tudo",IF(COUNTIF(EtapaLista,$B1108)=0,"Etapa inválida","OK")))</f>
        <v/>
      </c>
    </row>
    <row r="1109" spans="1:10">
      <c r="A1109" s="17"/>
      <c r="B1109" s="15"/>
      <c r="C1109" s="15"/>
      <c r="D1109" s="15"/>
      <c r="E1109" s="15"/>
      <c r="F1109" s="16"/>
      <c r="G1109" s="27"/>
      <c r="H1109" s="17"/>
      <c r="I1109" s="30">
        <f>IF($A1109="","",DATE(YEAR($A1109),MONTH($A1109),1))</f>
        <v/>
      </c>
      <c r="J1109" s="31">
        <f>IF($A1109="","",IF(OR($B1109="",$C1109="",$F1109="",$G1109=""),"Preencher tudo",IF(COUNTIF(EtapaLista,$B1109)=0,"Etapa inválida","OK")))</f>
        <v/>
      </c>
    </row>
    <row r="1110" spans="1:10">
      <c r="A1110" s="17"/>
      <c r="B1110" s="15"/>
      <c r="C1110" s="15"/>
      <c r="D1110" s="15"/>
      <c r="E1110" s="15"/>
      <c r="F1110" s="16"/>
      <c r="G1110" s="27"/>
      <c r="H1110" s="17"/>
      <c r="I1110" s="30">
        <f>IF($A1110="","",DATE(YEAR($A1110),MONTH($A1110),1))</f>
        <v/>
      </c>
      <c r="J1110" s="31">
        <f>IF($A1110="","",IF(OR($B1110="",$C1110="",$F1110="",$G1110=""),"Preencher tudo",IF(COUNTIF(EtapaLista,$B1110)=0,"Etapa inválida","OK")))</f>
        <v/>
      </c>
    </row>
    <row r="1111" spans="1:10">
      <c r="A1111" s="17"/>
      <c r="B1111" s="15"/>
      <c r="C1111" s="15"/>
      <c r="D1111" s="15"/>
      <c r="E1111" s="15"/>
      <c r="F1111" s="16"/>
      <c r="G1111" s="27"/>
      <c r="H1111" s="17"/>
      <c r="I1111" s="30">
        <f>IF($A1111="","",DATE(YEAR($A1111),MONTH($A1111),1))</f>
        <v/>
      </c>
      <c r="J1111" s="31">
        <f>IF($A1111="","",IF(OR($B1111="",$C1111="",$F1111="",$G1111=""),"Preencher tudo",IF(COUNTIF(EtapaLista,$B1111)=0,"Etapa inválida","OK")))</f>
        <v/>
      </c>
    </row>
    <row r="1112" spans="1:10">
      <c r="A1112" s="17"/>
      <c r="B1112" s="15"/>
      <c r="C1112" s="15"/>
      <c r="D1112" s="15"/>
      <c r="E1112" s="15"/>
      <c r="F1112" s="16"/>
      <c r="G1112" s="27"/>
      <c r="H1112" s="17"/>
      <c r="I1112" s="30">
        <f>IF($A1112="","",DATE(YEAR($A1112),MONTH($A1112),1))</f>
        <v/>
      </c>
      <c r="J1112" s="31">
        <f>IF($A1112="","",IF(OR($B1112="",$C1112="",$F1112="",$G1112=""),"Preencher tudo",IF(COUNTIF(EtapaLista,$B1112)=0,"Etapa inválida","OK")))</f>
        <v/>
      </c>
    </row>
    <row r="1113" spans="1:10">
      <c r="A1113" s="17"/>
      <c r="B1113" s="15"/>
      <c r="C1113" s="15"/>
      <c r="D1113" s="15"/>
      <c r="E1113" s="15"/>
      <c r="F1113" s="16"/>
      <c r="G1113" s="27"/>
      <c r="H1113" s="17"/>
      <c r="I1113" s="30">
        <f>IF($A1113="","",DATE(YEAR($A1113),MONTH($A1113),1))</f>
        <v/>
      </c>
      <c r="J1113" s="31">
        <f>IF($A1113="","",IF(OR($B1113="",$C1113="",$F1113="",$G1113=""),"Preencher tudo",IF(COUNTIF(EtapaLista,$B1113)=0,"Etapa inválida","OK")))</f>
        <v/>
      </c>
    </row>
    <row r="1114" spans="1:10">
      <c r="A1114" s="17"/>
      <c r="B1114" s="15"/>
      <c r="C1114" s="15"/>
      <c r="D1114" s="15"/>
      <c r="E1114" s="15"/>
      <c r="F1114" s="16"/>
      <c r="G1114" s="27"/>
      <c r="H1114" s="17"/>
      <c r="I1114" s="30">
        <f>IF($A1114="","",DATE(YEAR($A1114),MONTH($A1114),1))</f>
        <v/>
      </c>
      <c r="J1114" s="31">
        <f>IF($A1114="","",IF(OR($B1114="",$C1114="",$F1114="",$G1114=""),"Preencher tudo",IF(COUNTIF(EtapaLista,$B1114)=0,"Etapa inválida","OK")))</f>
        <v/>
      </c>
    </row>
    <row r="1115" spans="1:10">
      <c r="A1115" s="17"/>
      <c r="B1115" s="15"/>
      <c r="C1115" s="15"/>
      <c r="D1115" s="15"/>
      <c r="E1115" s="15"/>
      <c r="F1115" s="16"/>
      <c r="G1115" s="27"/>
      <c r="H1115" s="17"/>
      <c r="I1115" s="30">
        <f>IF($A1115="","",DATE(YEAR($A1115),MONTH($A1115),1))</f>
        <v/>
      </c>
      <c r="J1115" s="31">
        <f>IF($A1115="","",IF(OR($B1115="",$C1115="",$F1115="",$G1115=""),"Preencher tudo",IF(COUNTIF(EtapaLista,$B1115)=0,"Etapa inválida","OK")))</f>
        <v/>
      </c>
    </row>
    <row r="1116" spans="1:10">
      <c r="A1116" s="17"/>
      <c r="B1116" s="15"/>
      <c r="C1116" s="15"/>
      <c r="D1116" s="15"/>
      <c r="E1116" s="15"/>
      <c r="F1116" s="16"/>
      <c r="G1116" s="27"/>
      <c r="H1116" s="17"/>
      <c r="I1116" s="30">
        <f>IF($A1116="","",DATE(YEAR($A1116),MONTH($A1116),1))</f>
        <v/>
      </c>
      <c r="J1116" s="31">
        <f>IF($A1116="","",IF(OR($B1116="",$C1116="",$F1116="",$G1116=""),"Preencher tudo",IF(COUNTIF(EtapaLista,$B1116)=0,"Etapa inválida","OK")))</f>
        <v/>
      </c>
    </row>
    <row r="1117" spans="1:10">
      <c r="A1117" s="17"/>
      <c r="B1117" s="15"/>
      <c r="C1117" s="15"/>
      <c r="D1117" s="15"/>
      <c r="E1117" s="15"/>
      <c r="F1117" s="16"/>
      <c r="G1117" s="27"/>
      <c r="H1117" s="17"/>
      <c r="I1117" s="30">
        <f>IF($A1117="","",DATE(YEAR($A1117),MONTH($A1117),1))</f>
        <v/>
      </c>
      <c r="J1117" s="31">
        <f>IF($A1117="","",IF(OR($B1117="",$C1117="",$F1117="",$G1117=""),"Preencher tudo",IF(COUNTIF(EtapaLista,$B1117)=0,"Etapa inválida","OK")))</f>
        <v/>
      </c>
    </row>
    <row r="1118" spans="1:10">
      <c r="A1118" s="17"/>
      <c r="B1118" s="15"/>
      <c r="C1118" s="15"/>
      <c r="D1118" s="15"/>
      <c r="E1118" s="15"/>
      <c r="F1118" s="16"/>
      <c r="G1118" s="27"/>
      <c r="H1118" s="17"/>
      <c r="I1118" s="30">
        <f>IF($A1118="","",DATE(YEAR($A1118),MONTH($A1118),1))</f>
        <v/>
      </c>
      <c r="J1118" s="31">
        <f>IF($A1118="","",IF(OR($B1118="",$C1118="",$F1118="",$G1118=""),"Preencher tudo",IF(COUNTIF(EtapaLista,$B1118)=0,"Etapa inválida","OK")))</f>
        <v/>
      </c>
    </row>
    <row r="1119" spans="1:10">
      <c r="A1119" s="17"/>
      <c r="B1119" s="15"/>
      <c r="C1119" s="15"/>
      <c r="D1119" s="15"/>
      <c r="E1119" s="15"/>
      <c r="F1119" s="16"/>
      <c r="G1119" s="27"/>
      <c r="H1119" s="17"/>
      <c r="I1119" s="30">
        <f>IF($A1119="","",DATE(YEAR($A1119),MONTH($A1119),1))</f>
        <v/>
      </c>
      <c r="J1119" s="31">
        <f>IF($A1119="","",IF(OR($B1119="",$C1119="",$F1119="",$G1119=""),"Preencher tudo",IF(COUNTIF(EtapaLista,$B1119)=0,"Etapa inválida","OK")))</f>
        <v/>
      </c>
    </row>
    <row r="1120" spans="1:10">
      <c r="A1120" s="17"/>
      <c r="B1120" s="15"/>
      <c r="C1120" s="15"/>
      <c r="D1120" s="15"/>
      <c r="E1120" s="15"/>
      <c r="F1120" s="16"/>
      <c r="G1120" s="27"/>
      <c r="H1120" s="17"/>
      <c r="I1120" s="30">
        <f>IF($A1120="","",DATE(YEAR($A1120),MONTH($A1120),1))</f>
        <v/>
      </c>
      <c r="J1120" s="31">
        <f>IF($A1120="","",IF(OR($B1120="",$C1120="",$F1120="",$G1120=""),"Preencher tudo",IF(COUNTIF(EtapaLista,$B1120)=0,"Etapa inválida","OK")))</f>
        <v/>
      </c>
    </row>
    <row r="1121" spans="1:10">
      <c r="A1121" s="17"/>
      <c r="B1121" s="15"/>
      <c r="C1121" s="15"/>
      <c r="D1121" s="15"/>
      <c r="E1121" s="15"/>
      <c r="F1121" s="16"/>
      <c r="G1121" s="27"/>
      <c r="H1121" s="17"/>
      <c r="I1121" s="30">
        <f>IF($A1121="","",DATE(YEAR($A1121),MONTH($A1121),1))</f>
        <v/>
      </c>
      <c r="J1121" s="31">
        <f>IF($A1121="","",IF(OR($B1121="",$C1121="",$F1121="",$G1121=""),"Preencher tudo",IF(COUNTIF(EtapaLista,$B1121)=0,"Etapa inválida","OK")))</f>
        <v/>
      </c>
    </row>
    <row r="1122" spans="1:10">
      <c r="A1122" s="17"/>
      <c r="B1122" s="15"/>
      <c r="C1122" s="15"/>
      <c r="D1122" s="15"/>
      <c r="E1122" s="15"/>
      <c r="F1122" s="16"/>
      <c r="G1122" s="27"/>
      <c r="H1122" s="17"/>
      <c r="I1122" s="30">
        <f>IF($A1122="","",DATE(YEAR($A1122),MONTH($A1122),1))</f>
        <v/>
      </c>
      <c r="J1122" s="31">
        <f>IF($A1122="","",IF(OR($B1122="",$C1122="",$F1122="",$G1122=""),"Preencher tudo",IF(COUNTIF(EtapaLista,$B1122)=0,"Etapa inválida","OK")))</f>
        <v/>
      </c>
    </row>
    <row r="1123" spans="1:10">
      <c r="A1123" s="17"/>
      <c r="B1123" s="15"/>
      <c r="C1123" s="15"/>
      <c r="D1123" s="15"/>
      <c r="E1123" s="15"/>
      <c r="F1123" s="16"/>
      <c r="G1123" s="27"/>
      <c r="H1123" s="17"/>
      <c r="I1123" s="30">
        <f>IF($A1123="","",DATE(YEAR($A1123),MONTH($A1123),1))</f>
        <v/>
      </c>
      <c r="J1123" s="31">
        <f>IF($A1123="","",IF(OR($B1123="",$C1123="",$F1123="",$G1123=""),"Preencher tudo",IF(COUNTIF(EtapaLista,$B1123)=0,"Etapa inválida","OK")))</f>
        <v/>
      </c>
    </row>
    <row r="1124" spans="1:10">
      <c r="A1124" s="17"/>
      <c r="B1124" s="15"/>
      <c r="C1124" s="15"/>
      <c r="D1124" s="15"/>
      <c r="E1124" s="15"/>
      <c r="F1124" s="16"/>
      <c r="G1124" s="27"/>
      <c r="H1124" s="17"/>
      <c r="I1124" s="30">
        <f>IF($A1124="","",DATE(YEAR($A1124),MONTH($A1124),1))</f>
        <v/>
      </c>
      <c r="J1124" s="31">
        <f>IF($A1124="","",IF(OR($B1124="",$C1124="",$F1124="",$G1124=""),"Preencher tudo",IF(COUNTIF(EtapaLista,$B1124)=0,"Etapa inválida","OK")))</f>
        <v/>
      </c>
    </row>
    <row r="1125" spans="1:10">
      <c r="A1125" s="17"/>
      <c r="B1125" s="15"/>
      <c r="C1125" s="15"/>
      <c r="D1125" s="15"/>
      <c r="E1125" s="15"/>
      <c r="F1125" s="16"/>
      <c r="G1125" s="27"/>
      <c r="H1125" s="17"/>
      <c r="I1125" s="30">
        <f>IF($A1125="","",DATE(YEAR($A1125),MONTH($A1125),1))</f>
        <v/>
      </c>
      <c r="J1125" s="31">
        <f>IF($A1125="","",IF(OR($B1125="",$C1125="",$F1125="",$G1125=""),"Preencher tudo",IF(COUNTIF(EtapaLista,$B1125)=0,"Etapa inválida","OK")))</f>
        <v/>
      </c>
    </row>
    <row r="1126" spans="1:10">
      <c r="A1126" s="17"/>
      <c r="B1126" s="15"/>
      <c r="C1126" s="15"/>
      <c r="D1126" s="15"/>
      <c r="E1126" s="15"/>
      <c r="F1126" s="16"/>
      <c r="G1126" s="27"/>
      <c r="H1126" s="17"/>
      <c r="I1126" s="30">
        <f>IF($A1126="","",DATE(YEAR($A1126),MONTH($A1126),1))</f>
        <v/>
      </c>
      <c r="J1126" s="31">
        <f>IF($A1126="","",IF(OR($B1126="",$C1126="",$F1126="",$G1126=""),"Preencher tudo",IF(COUNTIF(EtapaLista,$B1126)=0,"Etapa inválida","OK")))</f>
        <v/>
      </c>
    </row>
    <row r="1127" spans="1:10">
      <c r="A1127" s="17"/>
      <c r="B1127" s="15"/>
      <c r="C1127" s="15"/>
      <c r="D1127" s="15"/>
      <c r="E1127" s="15"/>
      <c r="F1127" s="16"/>
      <c r="G1127" s="27"/>
      <c r="H1127" s="17"/>
      <c r="I1127" s="30">
        <f>IF($A1127="","",DATE(YEAR($A1127),MONTH($A1127),1))</f>
        <v/>
      </c>
      <c r="J1127" s="31">
        <f>IF($A1127="","",IF(OR($B1127="",$C1127="",$F1127="",$G1127=""),"Preencher tudo",IF(COUNTIF(EtapaLista,$B1127)=0,"Etapa inválida","OK")))</f>
        <v/>
      </c>
    </row>
    <row r="1128" spans="1:10">
      <c r="A1128" s="17"/>
      <c r="B1128" s="15"/>
      <c r="C1128" s="15"/>
      <c r="D1128" s="15"/>
      <c r="E1128" s="15"/>
      <c r="F1128" s="16"/>
      <c r="G1128" s="27"/>
      <c r="H1128" s="17"/>
      <c r="I1128" s="30">
        <f>IF($A1128="","",DATE(YEAR($A1128),MONTH($A1128),1))</f>
        <v/>
      </c>
      <c r="J1128" s="31">
        <f>IF($A1128="","",IF(OR($B1128="",$C1128="",$F1128="",$G1128=""),"Preencher tudo",IF(COUNTIF(EtapaLista,$B1128)=0,"Etapa inválida","OK")))</f>
        <v/>
      </c>
    </row>
    <row r="1129" spans="1:10">
      <c r="A1129" s="17"/>
      <c r="B1129" s="15"/>
      <c r="C1129" s="15"/>
      <c r="D1129" s="15"/>
      <c r="E1129" s="15"/>
      <c r="F1129" s="16"/>
      <c r="G1129" s="27"/>
      <c r="H1129" s="17"/>
      <c r="I1129" s="30">
        <f>IF($A1129="","",DATE(YEAR($A1129),MONTH($A1129),1))</f>
        <v/>
      </c>
      <c r="J1129" s="31">
        <f>IF($A1129="","",IF(OR($B1129="",$C1129="",$F1129="",$G1129=""),"Preencher tudo",IF(COUNTIF(EtapaLista,$B1129)=0,"Etapa inválida","OK")))</f>
        <v/>
      </c>
    </row>
    <row r="1130" spans="1:10">
      <c r="A1130" s="17"/>
      <c r="B1130" s="15"/>
      <c r="C1130" s="15"/>
      <c r="D1130" s="15"/>
      <c r="E1130" s="15"/>
      <c r="F1130" s="16"/>
      <c r="G1130" s="27"/>
      <c r="H1130" s="17"/>
      <c r="I1130" s="30">
        <f>IF($A1130="","",DATE(YEAR($A1130),MONTH($A1130),1))</f>
        <v/>
      </c>
      <c r="J1130" s="31">
        <f>IF($A1130="","",IF(OR($B1130="",$C1130="",$F1130="",$G1130=""),"Preencher tudo",IF(COUNTIF(EtapaLista,$B1130)=0,"Etapa inválida","OK")))</f>
        <v/>
      </c>
    </row>
    <row r="1131" spans="1:10">
      <c r="A1131" s="17"/>
      <c r="B1131" s="15"/>
      <c r="C1131" s="15"/>
      <c r="D1131" s="15"/>
      <c r="E1131" s="15"/>
      <c r="F1131" s="16"/>
      <c r="G1131" s="27"/>
      <c r="H1131" s="17"/>
      <c r="I1131" s="30">
        <f>IF($A1131="","",DATE(YEAR($A1131),MONTH($A1131),1))</f>
        <v/>
      </c>
      <c r="J1131" s="31">
        <f>IF($A1131="","",IF(OR($B1131="",$C1131="",$F1131="",$G1131=""),"Preencher tudo",IF(COUNTIF(EtapaLista,$B1131)=0,"Etapa inválida","OK")))</f>
        <v/>
      </c>
    </row>
    <row r="1132" spans="1:10">
      <c r="A1132" s="17"/>
      <c r="B1132" s="15"/>
      <c r="C1132" s="15"/>
      <c r="D1132" s="15"/>
      <c r="E1132" s="15"/>
      <c r="F1132" s="16"/>
      <c r="G1132" s="27"/>
      <c r="H1132" s="17"/>
      <c r="I1132" s="30">
        <f>IF($A1132="","",DATE(YEAR($A1132),MONTH($A1132),1))</f>
        <v/>
      </c>
      <c r="J1132" s="31">
        <f>IF($A1132="","",IF(OR($B1132="",$C1132="",$F1132="",$G1132=""),"Preencher tudo",IF(COUNTIF(EtapaLista,$B1132)=0,"Etapa inválida","OK")))</f>
        <v/>
      </c>
    </row>
    <row r="1133" spans="1:10">
      <c r="A1133" s="17"/>
      <c r="B1133" s="15"/>
      <c r="C1133" s="15"/>
      <c r="D1133" s="15"/>
      <c r="E1133" s="15"/>
      <c r="F1133" s="16"/>
      <c r="G1133" s="27"/>
      <c r="H1133" s="17"/>
      <c r="I1133" s="30">
        <f>IF($A1133="","",DATE(YEAR($A1133),MONTH($A1133),1))</f>
        <v/>
      </c>
      <c r="J1133" s="31">
        <f>IF($A1133="","",IF(OR($B1133="",$C1133="",$F1133="",$G1133=""),"Preencher tudo",IF(COUNTIF(EtapaLista,$B1133)=0,"Etapa inválida","OK")))</f>
        <v/>
      </c>
    </row>
    <row r="1134" spans="1:10">
      <c r="A1134" s="17"/>
      <c r="B1134" s="15"/>
      <c r="C1134" s="15"/>
      <c r="D1134" s="15"/>
      <c r="E1134" s="15"/>
      <c r="F1134" s="16"/>
      <c r="G1134" s="27"/>
      <c r="H1134" s="17"/>
      <c r="I1134" s="30">
        <f>IF($A1134="","",DATE(YEAR($A1134),MONTH($A1134),1))</f>
        <v/>
      </c>
      <c r="J1134" s="31">
        <f>IF($A1134="","",IF(OR($B1134="",$C1134="",$F1134="",$G1134=""),"Preencher tudo",IF(COUNTIF(EtapaLista,$B1134)=0,"Etapa inválida","OK")))</f>
        <v/>
      </c>
    </row>
    <row r="1135" spans="1:10">
      <c r="A1135" s="17"/>
      <c r="B1135" s="15"/>
      <c r="C1135" s="15"/>
      <c r="D1135" s="15"/>
      <c r="E1135" s="15"/>
      <c r="F1135" s="16"/>
      <c r="G1135" s="27"/>
      <c r="H1135" s="17"/>
      <c r="I1135" s="30">
        <f>IF($A1135="","",DATE(YEAR($A1135),MONTH($A1135),1))</f>
        <v/>
      </c>
      <c r="J1135" s="31">
        <f>IF($A1135="","",IF(OR($B1135="",$C1135="",$F1135="",$G1135=""),"Preencher tudo",IF(COUNTIF(EtapaLista,$B1135)=0,"Etapa inválida","OK")))</f>
        <v/>
      </c>
    </row>
    <row r="1136" spans="1:10">
      <c r="A1136" s="17"/>
      <c r="B1136" s="15"/>
      <c r="C1136" s="15"/>
      <c r="D1136" s="15"/>
      <c r="E1136" s="15"/>
      <c r="F1136" s="16"/>
      <c r="G1136" s="27"/>
      <c r="H1136" s="17"/>
      <c r="I1136" s="30">
        <f>IF($A1136="","",DATE(YEAR($A1136),MONTH($A1136),1))</f>
        <v/>
      </c>
      <c r="J1136" s="31">
        <f>IF($A1136="","",IF(OR($B1136="",$C1136="",$F1136="",$G1136=""),"Preencher tudo",IF(COUNTIF(EtapaLista,$B1136)=0,"Etapa inválida","OK")))</f>
        <v/>
      </c>
    </row>
    <row r="1137" spans="1:10">
      <c r="A1137" s="17"/>
      <c r="B1137" s="15"/>
      <c r="C1137" s="15"/>
      <c r="D1137" s="15"/>
      <c r="E1137" s="15"/>
      <c r="F1137" s="16"/>
      <c r="G1137" s="27"/>
      <c r="H1137" s="17"/>
      <c r="I1137" s="30">
        <f>IF($A1137="","",DATE(YEAR($A1137),MONTH($A1137),1))</f>
        <v/>
      </c>
      <c r="J1137" s="31">
        <f>IF($A1137="","",IF(OR($B1137="",$C1137="",$F1137="",$G1137=""),"Preencher tudo",IF(COUNTIF(EtapaLista,$B1137)=0,"Etapa inválida","OK")))</f>
        <v/>
      </c>
    </row>
    <row r="1138" spans="1:10">
      <c r="A1138" s="17"/>
      <c r="B1138" s="15"/>
      <c r="C1138" s="15"/>
      <c r="D1138" s="15"/>
      <c r="E1138" s="15"/>
      <c r="F1138" s="16"/>
      <c r="G1138" s="27"/>
      <c r="H1138" s="17"/>
      <c r="I1138" s="30">
        <f>IF($A1138="","",DATE(YEAR($A1138),MONTH($A1138),1))</f>
        <v/>
      </c>
      <c r="J1138" s="31">
        <f>IF($A1138="","",IF(OR($B1138="",$C1138="",$F1138="",$G1138=""),"Preencher tudo",IF(COUNTIF(EtapaLista,$B1138)=0,"Etapa inválida","OK")))</f>
        <v/>
      </c>
    </row>
    <row r="1139" spans="1:10">
      <c r="A1139" s="17"/>
      <c r="B1139" s="15"/>
      <c r="C1139" s="15"/>
      <c r="D1139" s="15"/>
      <c r="E1139" s="15"/>
      <c r="F1139" s="16"/>
      <c r="G1139" s="27"/>
      <c r="H1139" s="17"/>
      <c r="I1139" s="30">
        <f>IF($A1139="","",DATE(YEAR($A1139),MONTH($A1139),1))</f>
        <v/>
      </c>
      <c r="J1139" s="31">
        <f>IF($A1139="","",IF(OR($B1139="",$C1139="",$F1139="",$G1139=""),"Preencher tudo",IF(COUNTIF(EtapaLista,$B1139)=0,"Etapa inválida","OK")))</f>
        <v/>
      </c>
    </row>
    <row r="1140" spans="1:10">
      <c r="A1140" s="17"/>
      <c r="B1140" s="15"/>
      <c r="C1140" s="15"/>
      <c r="D1140" s="15"/>
      <c r="E1140" s="15"/>
      <c r="F1140" s="16"/>
      <c r="G1140" s="27"/>
      <c r="H1140" s="17"/>
      <c r="I1140" s="30">
        <f>IF($A1140="","",DATE(YEAR($A1140),MONTH($A1140),1))</f>
        <v/>
      </c>
      <c r="J1140" s="31">
        <f>IF($A1140="","",IF(OR($B1140="",$C1140="",$F1140="",$G1140=""),"Preencher tudo",IF(COUNTIF(EtapaLista,$B1140)=0,"Etapa inválida","OK")))</f>
        <v/>
      </c>
    </row>
    <row r="1141" spans="1:10">
      <c r="A1141" s="17"/>
      <c r="B1141" s="15"/>
      <c r="C1141" s="15"/>
      <c r="D1141" s="15"/>
      <c r="E1141" s="15"/>
      <c r="F1141" s="16"/>
      <c r="G1141" s="27"/>
      <c r="H1141" s="17"/>
      <c r="I1141" s="30">
        <f>IF($A1141="","",DATE(YEAR($A1141),MONTH($A1141),1))</f>
        <v/>
      </c>
      <c r="J1141" s="31">
        <f>IF($A1141="","",IF(OR($B1141="",$C1141="",$F1141="",$G1141=""),"Preencher tudo",IF(COUNTIF(EtapaLista,$B1141)=0,"Etapa inválida","OK")))</f>
        <v/>
      </c>
    </row>
    <row r="1142" spans="1:10">
      <c r="A1142" s="17"/>
      <c r="B1142" s="15"/>
      <c r="C1142" s="15"/>
      <c r="D1142" s="15"/>
      <c r="E1142" s="15"/>
      <c r="F1142" s="16"/>
      <c r="G1142" s="27"/>
      <c r="H1142" s="17"/>
      <c r="I1142" s="30">
        <f>IF($A1142="","",DATE(YEAR($A1142),MONTH($A1142),1))</f>
        <v/>
      </c>
      <c r="J1142" s="31">
        <f>IF($A1142="","",IF(OR($B1142="",$C1142="",$F1142="",$G1142=""),"Preencher tudo",IF(COUNTIF(EtapaLista,$B1142)=0,"Etapa inválida","OK")))</f>
        <v/>
      </c>
    </row>
    <row r="1143" spans="1:10">
      <c r="A1143" s="17"/>
      <c r="B1143" s="15"/>
      <c r="C1143" s="15"/>
      <c r="D1143" s="15"/>
      <c r="E1143" s="15"/>
      <c r="F1143" s="16"/>
      <c r="G1143" s="27"/>
      <c r="H1143" s="17"/>
      <c r="I1143" s="30">
        <f>IF($A1143="","",DATE(YEAR($A1143),MONTH($A1143),1))</f>
        <v/>
      </c>
      <c r="J1143" s="31">
        <f>IF($A1143="","",IF(OR($B1143="",$C1143="",$F1143="",$G1143=""),"Preencher tudo",IF(COUNTIF(EtapaLista,$B1143)=0,"Etapa inválida","OK")))</f>
        <v/>
      </c>
    </row>
    <row r="1144" spans="1:10">
      <c r="A1144" s="17"/>
      <c r="B1144" s="15"/>
      <c r="C1144" s="15"/>
      <c r="D1144" s="15"/>
      <c r="E1144" s="15"/>
      <c r="F1144" s="16"/>
      <c r="G1144" s="27"/>
      <c r="H1144" s="17"/>
      <c r="I1144" s="30">
        <f>IF($A1144="","",DATE(YEAR($A1144),MONTH($A1144),1))</f>
        <v/>
      </c>
      <c r="J1144" s="31">
        <f>IF($A1144="","",IF(OR($B1144="",$C1144="",$F1144="",$G1144=""),"Preencher tudo",IF(COUNTIF(EtapaLista,$B1144)=0,"Etapa inválida","OK")))</f>
        <v/>
      </c>
    </row>
    <row r="1145" spans="1:10">
      <c r="A1145" s="17"/>
      <c r="B1145" s="15"/>
      <c r="C1145" s="15"/>
      <c r="D1145" s="15"/>
      <c r="E1145" s="15"/>
      <c r="F1145" s="16"/>
      <c r="G1145" s="27"/>
      <c r="H1145" s="17"/>
      <c r="I1145" s="30">
        <f>IF($A1145="","",DATE(YEAR($A1145),MONTH($A1145),1))</f>
        <v/>
      </c>
      <c r="J1145" s="31">
        <f>IF($A1145="","",IF(OR($B1145="",$C1145="",$F1145="",$G1145=""),"Preencher tudo",IF(COUNTIF(EtapaLista,$B1145)=0,"Etapa inválida","OK")))</f>
        <v/>
      </c>
    </row>
    <row r="1146" spans="1:10">
      <c r="A1146" s="17"/>
      <c r="B1146" s="15"/>
      <c r="C1146" s="15"/>
      <c r="D1146" s="15"/>
      <c r="E1146" s="15"/>
      <c r="F1146" s="16"/>
      <c r="G1146" s="27"/>
      <c r="H1146" s="17"/>
      <c r="I1146" s="30">
        <f>IF($A1146="","",DATE(YEAR($A1146),MONTH($A1146),1))</f>
        <v/>
      </c>
      <c r="J1146" s="31">
        <f>IF($A1146="","",IF(OR($B1146="",$C1146="",$F1146="",$G1146=""),"Preencher tudo",IF(COUNTIF(EtapaLista,$B1146)=0,"Etapa inválida","OK")))</f>
        <v/>
      </c>
    </row>
    <row r="1147" spans="1:10">
      <c r="A1147" s="17"/>
      <c r="B1147" s="15"/>
      <c r="C1147" s="15"/>
      <c r="D1147" s="15"/>
      <c r="E1147" s="15"/>
      <c r="F1147" s="16"/>
      <c r="G1147" s="27"/>
      <c r="H1147" s="17"/>
      <c r="I1147" s="30">
        <f>IF($A1147="","",DATE(YEAR($A1147),MONTH($A1147),1))</f>
        <v/>
      </c>
      <c r="J1147" s="31">
        <f>IF($A1147="","",IF(OR($B1147="",$C1147="",$F1147="",$G1147=""),"Preencher tudo",IF(COUNTIF(EtapaLista,$B1147)=0,"Etapa inválida","OK")))</f>
        <v/>
      </c>
    </row>
    <row r="1148" spans="1:10">
      <c r="A1148" s="17"/>
      <c r="B1148" s="15"/>
      <c r="C1148" s="15"/>
      <c r="D1148" s="15"/>
      <c r="E1148" s="15"/>
      <c r="F1148" s="16"/>
      <c r="G1148" s="27"/>
      <c r="H1148" s="17"/>
      <c r="I1148" s="30">
        <f>IF($A1148="","",DATE(YEAR($A1148),MONTH($A1148),1))</f>
        <v/>
      </c>
      <c r="J1148" s="31">
        <f>IF($A1148="","",IF(OR($B1148="",$C1148="",$F1148="",$G1148=""),"Preencher tudo",IF(COUNTIF(EtapaLista,$B1148)=0,"Etapa inválida","OK")))</f>
        <v/>
      </c>
    </row>
    <row r="1149" spans="1:10">
      <c r="A1149" s="17"/>
      <c r="B1149" s="15"/>
      <c r="C1149" s="15"/>
      <c r="D1149" s="15"/>
      <c r="E1149" s="15"/>
      <c r="F1149" s="16"/>
      <c r="G1149" s="27"/>
      <c r="H1149" s="17"/>
      <c r="I1149" s="30">
        <f>IF($A1149="","",DATE(YEAR($A1149),MONTH($A1149),1))</f>
        <v/>
      </c>
      <c r="J1149" s="31">
        <f>IF($A1149="","",IF(OR($B1149="",$C1149="",$F1149="",$G1149=""),"Preencher tudo",IF(COUNTIF(EtapaLista,$B1149)=0,"Etapa inválida","OK")))</f>
        <v/>
      </c>
    </row>
    <row r="1150" spans="1:10">
      <c r="A1150" s="17"/>
      <c r="B1150" s="15"/>
      <c r="C1150" s="15"/>
      <c r="D1150" s="15"/>
      <c r="E1150" s="15"/>
      <c r="F1150" s="16"/>
      <c r="G1150" s="27"/>
      <c r="H1150" s="17"/>
      <c r="I1150" s="30">
        <f>IF($A1150="","",DATE(YEAR($A1150),MONTH($A1150),1))</f>
        <v/>
      </c>
      <c r="J1150" s="31">
        <f>IF($A1150="","",IF(OR($B1150="",$C1150="",$F1150="",$G1150=""),"Preencher tudo",IF(COUNTIF(EtapaLista,$B1150)=0,"Etapa inválida","OK")))</f>
        <v/>
      </c>
    </row>
    <row r="1151" spans="1:10">
      <c r="A1151" s="17"/>
      <c r="B1151" s="15"/>
      <c r="C1151" s="15"/>
      <c r="D1151" s="15"/>
      <c r="E1151" s="15"/>
      <c r="F1151" s="16"/>
      <c r="G1151" s="27"/>
      <c r="H1151" s="17"/>
      <c r="I1151" s="30">
        <f>IF($A1151="","",DATE(YEAR($A1151),MONTH($A1151),1))</f>
        <v/>
      </c>
      <c r="J1151" s="31">
        <f>IF($A1151="","",IF(OR($B1151="",$C1151="",$F1151="",$G1151=""),"Preencher tudo",IF(COUNTIF(EtapaLista,$B1151)=0,"Etapa inválida","OK")))</f>
        <v/>
      </c>
    </row>
    <row r="1152" spans="1:10">
      <c r="A1152" s="17"/>
      <c r="B1152" s="15"/>
      <c r="C1152" s="15"/>
      <c r="D1152" s="15"/>
      <c r="E1152" s="15"/>
      <c r="F1152" s="16"/>
      <c r="G1152" s="27"/>
      <c r="H1152" s="17"/>
      <c r="I1152" s="30">
        <f>IF($A1152="","",DATE(YEAR($A1152),MONTH($A1152),1))</f>
        <v/>
      </c>
      <c r="J1152" s="31">
        <f>IF($A1152="","",IF(OR($B1152="",$C1152="",$F1152="",$G1152=""),"Preencher tudo",IF(COUNTIF(EtapaLista,$B1152)=0,"Etapa inválida","OK")))</f>
        <v/>
      </c>
    </row>
    <row r="1153" spans="1:10">
      <c r="A1153" s="17"/>
      <c r="B1153" s="15"/>
      <c r="C1153" s="15"/>
      <c r="D1153" s="15"/>
      <c r="E1153" s="15"/>
      <c r="F1153" s="16"/>
      <c r="G1153" s="27"/>
      <c r="H1153" s="17"/>
      <c r="I1153" s="30">
        <f>IF($A1153="","",DATE(YEAR($A1153),MONTH($A1153),1))</f>
        <v/>
      </c>
      <c r="J1153" s="31">
        <f>IF($A1153="","",IF(OR($B1153="",$C1153="",$F1153="",$G1153=""),"Preencher tudo",IF(COUNTIF(EtapaLista,$B1153)=0,"Etapa inválida","OK")))</f>
        <v/>
      </c>
    </row>
    <row r="1154" spans="1:10">
      <c r="A1154" s="17"/>
      <c r="B1154" s="15"/>
      <c r="C1154" s="15"/>
      <c r="D1154" s="15"/>
      <c r="E1154" s="15"/>
      <c r="F1154" s="16"/>
      <c r="G1154" s="27"/>
      <c r="H1154" s="17"/>
      <c r="I1154" s="30">
        <f>IF($A1154="","",DATE(YEAR($A1154),MONTH($A1154),1))</f>
        <v/>
      </c>
      <c r="J1154" s="31">
        <f>IF($A1154="","",IF(OR($B1154="",$C1154="",$F1154="",$G1154=""),"Preencher tudo",IF(COUNTIF(EtapaLista,$B1154)=0,"Etapa inválida","OK")))</f>
        <v/>
      </c>
    </row>
    <row r="1155" spans="1:10">
      <c r="A1155" s="17"/>
      <c r="B1155" s="15"/>
      <c r="C1155" s="15"/>
      <c r="D1155" s="15"/>
      <c r="E1155" s="15"/>
      <c r="F1155" s="16"/>
      <c r="G1155" s="27"/>
      <c r="H1155" s="17"/>
      <c r="I1155" s="30">
        <f>IF($A1155="","",DATE(YEAR($A1155),MONTH($A1155),1))</f>
        <v/>
      </c>
      <c r="J1155" s="31">
        <f>IF($A1155="","",IF(OR($B1155="",$C1155="",$F1155="",$G1155=""),"Preencher tudo",IF(COUNTIF(EtapaLista,$B1155)=0,"Etapa inválida","OK")))</f>
        <v/>
      </c>
    </row>
    <row r="1156" spans="1:10">
      <c r="A1156" s="17"/>
      <c r="B1156" s="15"/>
      <c r="C1156" s="15"/>
      <c r="D1156" s="15"/>
      <c r="E1156" s="15"/>
      <c r="F1156" s="16"/>
      <c r="G1156" s="27"/>
      <c r="H1156" s="17"/>
      <c r="I1156" s="30">
        <f>IF($A1156="","",DATE(YEAR($A1156),MONTH($A1156),1))</f>
        <v/>
      </c>
      <c r="J1156" s="31">
        <f>IF($A1156="","",IF(OR($B1156="",$C1156="",$F1156="",$G1156=""),"Preencher tudo",IF(COUNTIF(EtapaLista,$B1156)=0,"Etapa inválida","OK")))</f>
        <v/>
      </c>
    </row>
    <row r="1157" spans="1:10">
      <c r="A1157" s="17"/>
      <c r="B1157" s="15"/>
      <c r="C1157" s="15"/>
      <c r="D1157" s="15"/>
      <c r="E1157" s="15"/>
      <c r="F1157" s="16"/>
      <c r="G1157" s="27"/>
      <c r="H1157" s="17"/>
      <c r="I1157" s="30">
        <f>IF($A1157="","",DATE(YEAR($A1157),MONTH($A1157),1))</f>
        <v/>
      </c>
      <c r="J1157" s="31">
        <f>IF($A1157="","",IF(OR($B1157="",$C1157="",$F1157="",$G1157=""),"Preencher tudo",IF(COUNTIF(EtapaLista,$B1157)=0,"Etapa inválida","OK")))</f>
        <v/>
      </c>
    </row>
    <row r="1158" spans="1:10">
      <c r="A1158" s="17"/>
      <c r="B1158" s="15"/>
      <c r="C1158" s="15"/>
      <c r="D1158" s="15"/>
      <c r="E1158" s="15"/>
      <c r="F1158" s="16"/>
      <c r="G1158" s="27"/>
      <c r="H1158" s="17"/>
      <c r="I1158" s="30">
        <f>IF($A1158="","",DATE(YEAR($A1158),MONTH($A1158),1))</f>
        <v/>
      </c>
      <c r="J1158" s="31">
        <f>IF($A1158="","",IF(OR($B1158="",$C1158="",$F1158="",$G1158=""),"Preencher tudo",IF(COUNTIF(EtapaLista,$B1158)=0,"Etapa inválida","OK")))</f>
        <v/>
      </c>
    </row>
    <row r="1159" spans="1:10">
      <c r="A1159" s="17"/>
      <c r="B1159" s="15"/>
      <c r="C1159" s="15"/>
      <c r="D1159" s="15"/>
      <c r="E1159" s="15"/>
      <c r="F1159" s="16"/>
      <c r="G1159" s="27"/>
      <c r="H1159" s="17"/>
      <c r="I1159" s="30">
        <f>IF($A1159="","",DATE(YEAR($A1159),MONTH($A1159),1))</f>
        <v/>
      </c>
      <c r="J1159" s="31">
        <f>IF($A1159="","",IF(OR($B1159="",$C1159="",$F1159="",$G1159=""),"Preencher tudo",IF(COUNTIF(EtapaLista,$B1159)=0,"Etapa inválida","OK")))</f>
        <v/>
      </c>
    </row>
    <row r="1160" spans="1:10">
      <c r="A1160" s="17"/>
      <c r="B1160" s="15"/>
      <c r="C1160" s="15"/>
      <c r="D1160" s="15"/>
      <c r="E1160" s="15"/>
      <c r="F1160" s="16"/>
      <c r="G1160" s="27"/>
      <c r="H1160" s="17"/>
      <c r="I1160" s="30">
        <f>IF($A1160="","",DATE(YEAR($A1160),MONTH($A1160),1))</f>
        <v/>
      </c>
      <c r="J1160" s="31">
        <f>IF($A1160="","",IF(OR($B1160="",$C1160="",$F1160="",$G1160=""),"Preencher tudo",IF(COUNTIF(EtapaLista,$B1160)=0,"Etapa inválida","OK")))</f>
        <v/>
      </c>
    </row>
    <row r="1161" spans="1:10">
      <c r="A1161" s="17"/>
      <c r="B1161" s="15"/>
      <c r="C1161" s="15"/>
      <c r="D1161" s="15"/>
      <c r="E1161" s="15"/>
      <c r="F1161" s="16"/>
      <c r="G1161" s="27"/>
      <c r="H1161" s="17"/>
      <c r="I1161" s="30">
        <f>IF($A1161="","",DATE(YEAR($A1161),MONTH($A1161),1))</f>
        <v/>
      </c>
      <c r="J1161" s="31">
        <f>IF($A1161="","",IF(OR($B1161="",$C1161="",$F1161="",$G1161=""),"Preencher tudo",IF(COUNTIF(EtapaLista,$B1161)=0,"Etapa inválida","OK")))</f>
        <v/>
      </c>
    </row>
    <row r="1162" spans="1:10">
      <c r="A1162" s="17"/>
      <c r="B1162" s="15"/>
      <c r="C1162" s="15"/>
      <c r="D1162" s="15"/>
      <c r="E1162" s="15"/>
      <c r="F1162" s="16"/>
      <c r="G1162" s="27"/>
      <c r="H1162" s="17"/>
      <c r="I1162" s="30">
        <f>IF($A1162="","",DATE(YEAR($A1162),MONTH($A1162),1))</f>
        <v/>
      </c>
      <c r="J1162" s="31">
        <f>IF($A1162="","",IF(OR($B1162="",$C1162="",$F1162="",$G1162=""),"Preencher tudo",IF(COUNTIF(EtapaLista,$B1162)=0,"Etapa inválida","OK")))</f>
        <v/>
      </c>
    </row>
    <row r="1163" spans="1:10">
      <c r="A1163" s="17"/>
      <c r="B1163" s="15"/>
      <c r="C1163" s="15"/>
      <c r="D1163" s="15"/>
      <c r="E1163" s="15"/>
      <c r="F1163" s="16"/>
      <c r="G1163" s="27"/>
      <c r="H1163" s="17"/>
      <c r="I1163" s="30">
        <f>IF($A1163="","",DATE(YEAR($A1163),MONTH($A1163),1))</f>
        <v/>
      </c>
      <c r="J1163" s="31">
        <f>IF($A1163="","",IF(OR($B1163="",$C1163="",$F1163="",$G1163=""),"Preencher tudo",IF(COUNTIF(EtapaLista,$B1163)=0,"Etapa inválida","OK")))</f>
        <v/>
      </c>
    </row>
    <row r="1164" spans="1:10">
      <c r="A1164" s="17"/>
      <c r="B1164" s="15"/>
      <c r="C1164" s="15"/>
      <c r="D1164" s="15"/>
      <c r="E1164" s="15"/>
      <c r="F1164" s="16"/>
      <c r="G1164" s="27"/>
      <c r="H1164" s="17"/>
      <c r="I1164" s="30">
        <f>IF($A1164="","",DATE(YEAR($A1164),MONTH($A1164),1))</f>
        <v/>
      </c>
      <c r="J1164" s="31">
        <f>IF($A1164="","",IF(OR($B1164="",$C1164="",$F1164="",$G1164=""),"Preencher tudo",IF(COUNTIF(EtapaLista,$B1164)=0,"Etapa inválida","OK")))</f>
        <v/>
      </c>
    </row>
    <row r="1165" spans="1:10">
      <c r="A1165" s="17"/>
      <c r="B1165" s="15"/>
      <c r="C1165" s="15"/>
      <c r="D1165" s="15"/>
      <c r="E1165" s="15"/>
      <c r="F1165" s="16"/>
      <c r="G1165" s="27"/>
      <c r="H1165" s="17"/>
      <c r="I1165" s="30">
        <f>IF($A1165="","",DATE(YEAR($A1165),MONTH($A1165),1))</f>
        <v/>
      </c>
      <c r="J1165" s="31">
        <f>IF($A1165="","",IF(OR($B1165="",$C1165="",$F1165="",$G1165=""),"Preencher tudo",IF(COUNTIF(EtapaLista,$B1165)=0,"Etapa inválida","OK")))</f>
        <v/>
      </c>
    </row>
    <row r="1166" spans="1:10">
      <c r="A1166" s="17"/>
      <c r="B1166" s="15"/>
      <c r="C1166" s="15"/>
      <c r="D1166" s="15"/>
      <c r="E1166" s="15"/>
      <c r="F1166" s="16"/>
      <c r="G1166" s="27"/>
      <c r="H1166" s="17"/>
      <c r="I1166" s="30">
        <f>IF($A1166="","",DATE(YEAR($A1166),MONTH($A1166),1))</f>
        <v/>
      </c>
      <c r="J1166" s="31">
        <f>IF($A1166="","",IF(OR($B1166="",$C1166="",$F1166="",$G1166=""),"Preencher tudo",IF(COUNTIF(EtapaLista,$B1166)=0,"Etapa inválida","OK")))</f>
        <v/>
      </c>
    </row>
    <row r="1167" spans="1:10">
      <c r="A1167" s="17"/>
      <c r="B1167" s="15"/>
      <c r="C1167" s="15"/>
      <c r="D1167" s="15"/>
      <c r="E1167" s="15"/>
      <c r="F1167" s="16"/>
      <c r="G1167" s="27"/>
      <c r="H1167" s="17"/>
      <c r="I1167" s="30">
        <f>IF($A1167="","",DATE(YEAR($A1167),MONTH($A1167),1))</f>
        <v/>
      </c>
      <c r="J1167" s="31">
        <f>IF($A1167="","",IF(OR($B1167="",$C1167="",$F1167="",$G1167=""),"Preencher tudo",IF(COUNTIF(EtapaLista,$B1167)=0,"Etapa inválida","OK")))</f>
        <v/>
      </c>
    </row>
    <row r="1168" spans="1:10">
      <c r="A1168" s="17"/>
      <c r="B1168" s="15"/>
      <c r="C1168" s="15"/>
      <c r="D1168" s="15"/>
      <c r="E1168" s="15"/>
      <c r="F1168" s="16"/>
      <c r="G1168" s="27"/>
      <c r="H1168" s="17"/>
      <c r="I1168" s="30">
        <f>IF($A1168="","",DATE(YEAR($A1168),MONTH($A1168),1))</f>
        <v/>
      </c>
      <c r="J1168" s="31">
        <f>IF($A1168="","",IF(OR($B1168="",$C1168="",$F1168="",$G1168=""),"Preencher tudo",IF(COUNTIF(EtapaLista,$B1168)=0,"Etapa inválida","OK")))</f>
        <v/>
      </c>
    </row>
    <row r="1169" spans="1:10">
      <c r="A1169" s="17"/>
      <c r="B1169" s="15"/>
      <c r="C1169" s="15"/>
      <c r="D1169" s="15"/>
      <c r="E1169" s="15"/>
      <c r="F1169" s="16"/>
      <c r="G1169" s="27"/>
      <c r="H1169" s="17"/>
      <c r="I1169" s="30">
        <f>IF($A1169="","",DATE(YEAR($A1169),MONTH($A1169),1))</f>
        <v/>
      </c>
      <c r="J1169" s="31">
        <f>IF($A1169="","",IF(OR($B1169="",$C1169="",$F1169="",$G1169=""),"Preencher tudo",IF(COUNTIF(EtapaLista,$B1169)=0,"Etapa inválida","OK")))</f>
        <v/>
      </c>
    </row>
    <row r="1170" spans="1:10">
      <c r="A1170" s="17"/>
      <c r="B1170" s="15"/>
      <c r="C1170" s="15"/>
      <c r="D1170" s="15"/>
      <c r="E1170" s="15"/>
      <c r="F1170" s="16"/>
      <c r="G1170" s="27"/>
      <c r="H1170" s="17"/>
      <c r="I1170" s="30">
        <f>IF($A1170="","",DATE(YEAR($A1170),MONTH($A1170),1))</f>
        <v/>
      </c>
      <c r="J1170" s="31">
        <f>IF($A1170="","",IF(OR($B1170="",$C1170="",$F1170="",$G1170=""),"Preencher tudo",IF(COUNTIF(EtapaLista,$B1170)=0,"Etapa inválida","OK")))</f>
        <v/>
      </c>
    </row>
    <row r="1171" spans="1:10">
      <c r="A1171" s="17"/>
      <c r="B1171" s="15"/>
      <c r="C1171" s="15"/>
      <c r="D1171" s="15"/>
      <c r="E1171" s="15"/>
      <c r="F1171" s="16"/>
      <c r="G1171" s="27"/>
      <c r="H1171" s="17"/>
      <c r="I1171" s="30">
        <f>IF($A1171="","",DATE(YEAR($A1171),MONTH($A1171),1))</f>
        <v/>
      </c>
      <c r="J1171" s="31">
        <f>IF($A1171="","",IF(OR($B1171="",$C1171="",$F1171="",$G1171=""),"Preencher tudo",IF(COUNTIF(EtapaLista,$B1171)=0,"Etapa inválida","OK")))</f>
        <v/>
      </c>
    </row>
    <row r="1172" spans="1:10">
      <c r="A1172" s="17"/>
      <c r="B1172" s="15"/>
      <c r="C1172" s="15"/>
      <c r="D1172" s="15"/>
      <c r="E1172" s="15"/>
      <c r="F1172" s="16"/>
      <c r="G1172" s="27"/>
      <c r="H1172" s="17"/>
      <c r="I1172" s="30">
        <f>IF($A1172="","",DATE(YEAR($A1172),MONTH($A1172),1))</f>
        <v/>
      </c>
      <c r="J1172" s="31">
        <f>IF($A1172="","",IF(OR($B1172="",$C1172="",$F1172="",$G1172=""),"Preencher tudo",IF(COUNTIF(EtapaLista,$B1172)=0,"Etapa inválida","OK")))</f>
        <v/>
      </c>
    </row>
    <row r="1173" spans="1:10">
      <c r="A1173" s="17"/>
      <c r="B1173" s="15"/>
      <c r="C1173" s="15"/>
      <c r="D1173" s="15"/>
      <c r="E1173" s="15"/>
      <c r="F1173" s="16"/>
      <c r="G1173" s="27"/>
      <c r="H1173" s="17"/>
      <c r="I1173" s="30">
        <f>IF($A1173="","",DATE(YEAR($A1173),MONTH($A1173),1))</f>
        <v/>
      </c>
      <c r="J1173" s="31">
        <f>IF($A1173="","",IF(OR($B1173="",$C1173="",$F1173="",$G1173=""),"Preencher tudo",IF(COUNTIF(EtapaLista,$B1173)=0,"Etapa inválida","OK")))</f>
        <v/>
      </c>
    </row>
    <row r="1174" spans="1:10">
      <c r="A1174" s="17"/>
      <c r="B1174" s="15"/>
      <c r="C1174" s="15"/>
      <c r="D1174" s="15"/>
      <c r="E1174" s="15"/>
      <c r="F1174" s="16"/>
      <c r="G1174" s="27"/>
      <c r="H1174" s="17"/>
      <c r="I1174" s="30">
        <f>IF($A1174="","",DATE(YEAR($A1174),MONTH($A1174),1))</f>
        <v/>
      </c>
      <c r="J1174" s="31">
        <f>IF($A1174="","",IF(OR($B1174="",$C1174="",$F1174="",$G1174=""),"Preencher tudo",IF(COUNTIF(EtapaLista,$B1174)=0,"Etapa inválida","OK")))</f>
        <v/>
      </c>
    </row>
    <row r="1175" spans="1:10">
      <c r="A1175" s="17"/>
      <c r="B1175" s="15"/>
      <c r="C1175" s="15"/>
      <c r="D1175" s="15"/>
      <c r="E1175" s="15"/>
      <c r="F1175" s="16"/>
      <c r="G1175" s="27"/>
      <c r="H1175" s="17"/>
      <c r="I1175" s="30">
        <f>IF($A1175="","",DATE(YEAR($A1175),MONTH($A1175),1))</f>
        <v/>
      </c>
      <c r="J1175" s="31">
        <f>IF($A1175="","",IF(OR($B1175="",$C1175="",$F1175="",$G1175=""),"Preencher tudo",IF(COUNTIF(EtapaLista,$B1175)=0,"Etapa inválida","OK")))</f>
        <v/>
      </c>
    </row>
    <row r="1176" spans="1:10">
      <c r="A1176" s="17"/>
      <c r="B1176" s="15"/>
      <c r="C1176" s="15"/>
      <c r="D1176" s="15"/>
      <c r="E1176" s="15"/>
      <c r="F1176" s="16"/>
      <c r="G1176" s="27"/>
      <c r="H1176" s="17"/>
      <c r="I1176" s="30">
        <f>IF($A1176="","",DATE(YEAR($A1176),MONTH($A1176),1))</f>
        <v/>
      </c>
      <c r="J1176" s="31">
        <f>IF($A1176="","",IF(OR($B1176="",$C1176="",$F1176="",$G1176=""),"Preencher tudo",IF(COUNTIF(EtapaLista,$B1176)=0,"Etapa inválida","OK")))</f>
        <v/>
      </c>
    </row>
    <row r="1177" spans="1:10">
      <c r="A1177" s="17"/>
      <c r="B1177" s="15"/>
      <c r="C1177" s="15"/>
      <c r="D1177" s="15"/>
      <c r="E1177" s="15"/>
      <c r="F1177" s="16"/>
      <c r="G1177" s="27"/>
      <c r="H1177" s="17"/>
      <c r="I1177" s="30">
        <f>IF($A1177="","",DATE(YEAR($A1177),MONTH($A1177),1))</f>
        <v/>
      </c>
      <c r="J1177" s="31">
        <f>IF($A1177="","",IF(OR($B1177="",$C1177="",$F1177="",$G1177=""),"Preencher tudo",IF(COUNTIF(EtapaLista,$B1177)=0,"Etapa inválida","OK")))</f>
        <v/>
      </c>
    </row>
    <row r="1178" spans="1:10">
      <c r="A1178" s="17"/>
      <c r="B1178" s="15"/>
      <c r="C1178" s="15"/>
      <c r="D1178" s="15"/>
      <c r="E1178" s="15"/>
      <c r="F1178" s="16"/>
      <c r="G1178" s="27"/>
      <c r="H1178" s="17"/>
      <c r="I1178" s="30">
        <f>IF($A1178="","",DATE(YEAR($A1178),MONTH($A1178),1))</f>
        <v/>
      </c>
      <c r="J1178" s="31">
        <f>IF($A1178="","",IF(OR($B1178="",$C1178="",$F1178="",$G1178=""),"Preencher tudo",IF(COUNTIF(EtapaLista,$B1178)=0,"Etapa inválida","OK")))</f>
        <v/>
      </c>
    </row>
    <row r="1179" spans="1:10">
      <c r="A1179" s="17"/>
      <c r="B1179" s="15"/>
      <c r="C1179" s="15"/>
      <c r="D1179" s="15"/>
      <c r="E1179" s="15"/>
      <c r="F1179" s="16"/>
      <c r="G1179" s="27"/>
      <c r="H1179" s="17"/>
      <c r="I1179" s="30">
        <f>IF($A1179="","",DATE(YEAR($A1179),MONTH($A1179),1))</f>
        <v/>
      </c>
      <c r="J1179" s="31">
        <f>IF($A1179="","",IF(OR($B1179="",$C1179="",$F1179="",$G1179=""),"Preencher tudo",IF(COUNTIF(EtapaLista,$B1179)=0,"Etapa inválida","OK")))</f>
        <v/>
      </c>
    </row>
    <row r="1180" spans="1:10">
      <c r="A1180" s="17"/>
      <c r="B1180" s="15"/>
      <c r="C1180" s="15"/>
      <c r="D1180" s="15"/>
      <c r="E1180" s="15"/>
      <c r="F1180" s="16"/>
      <c r="G1180" s="27"/>
      <c r="H1180" s="17"/>
      <c r="I1180" s="30">
        <f>IF($A1180="","",DATE(YEAR($A1180),MONTH($A1180),1))</f>
        <v/>
      </c>
      <c r="J1180" s="31">
        <f>IF($A1180="","",IF(OR($B1180="",$C1180="",$F1180="",$G1180=""),"Preencher tudo",IF(COUNTIF(EtapaLista,$B1180)=0,"Etapa inválida","OK")))</f>
        <v/>
      </c>
    </row>
    <row r="1181" spans="1:10">
      <c r="A1181" s="17"/>
      <c r="B1181" s="15"/>
      <c r="C1181" s="15"/>
      <c r="D1181" s="15"/>
      <c r="E1181" s="15"/>
      <c r="F1181" s="16"/>
      <c r="G1181" s="27"/>
      <c r="H1181" s="17"/>
      <c r="I1181" s="30">
        <f>IF($A1181="","",DATE(YEAR($A1181),MONTH($A1181),1))</f>
        <v/>
      </c>
      <c r="J1181" s="31">
        <f>IF($A1181="","",IF(OR($B1181="",$C1181="",$F1181="",$G1181=""),"Preencher tudo",IF(COUNTIF(EtapaLista,$B1181)=0,"Etapa inválida","OK")))</f>
        <v/>
      </c>
    </row>
    <row r="1182" spans="1:10">
      <c r="A1182" s="17"/>
      <c r="B1182" s="15"/>
      <c r="C1182" s="15"/>
      <c r="D1182" s="15"/>
      <c r="E1182" s="15"/>
      <c r="F1182" s="16"/>
      <c r="G1182" s="27"/>
      <c r="H1182" s="17"/>
      <c r="I1182" s="30">
        <f>IF($A1182="","",DATE(YEAR($A1182),MONTH($A1182),1))</f>
        <v/>
      </c>
      <c r="J1182" s="31">
        <f>IF($A1182="","",IF(OR($B1182="",$C1182="",$F1182="",$G1182=""),"Preencher tudo",IF(COUNTIF(EtapaLista,$B1182)=0,"Etapa inválida","OK")))</f>
        <v/>
      </c>
    </row>
    <row r="1183" spans="1:10">
      <c r="A1183" s="17"/>
      <c r="B1183" s="15"/>
      <c r="C1183" s="15"/>
      <c r="D1183" s="15"/>
      <c r="E1183" s="15"/>
      <c r="F1183" s="16"/>
      <c r="G1183" s="27"/>
      <c r="H1183" s="17"/>
      <c r="I1183" s="30">
        <f>IF($A1183="","",DATE(YEAR($A1183),MONTH($A1183),1))</f>
        <v/>
      </c>
      <c r="J1183" s="31">
        <f>IF($A1183="","",IF(OR($B1183="",$C1183="",$F1183="",$G1183=""),"Preencher tudo",IF(COUNTIF(EtapaLista,$B1183)=0,"Etapa inválida","OK")))</f>
        <v/>
      </c>
    </row>
    <row r="1184" spans="1:10">
      <c r="A1184" s="17"/>
      <c r="B1184" s="15"/>
      <c r="C1184" s="15"/>
      <c r="D1184" s="15"/>
      <c r="E1184" s="15"/>
      <c r="F1184" s="16"/>
      <c r="G1184" s="27"/>
      <c r="H1184" s="17"/>
      <c r="I1184" s="30">
        <f>IF($A1184="","",DATE(YEAR($A1184),MONTH($A1184),1))</f>
        <v/>
      </c>
      <c r="J1184" s="31">
        <f>IF($A1184="","",IF(OR($B1184="",$C1184="",$F1184="",$G1184=""),"Preencher tudo",IF(COUNTIF(EtapaLista,$B1184)=0,"Etapa inválida","OK")))</f>
        <v/>
      </c>
    </row>
    <row r="1185" spans="1:10">
      <c r="A1185" s="17"/>
      <c r="B1185" s="15"/>
      <c r="C1185" s="15"/>
      <c r="D1185" s="15"/>
      <c r="E1185" s="15"/>
      <c r="F1185" s="16"/>
      <c r="G1185" s="27"/>
      <c r="H1185" s="17"/>
      <c r="I1185" s="30">
        <f>IF($A1185="","",DATE(YEAR($A1185),MONTH($A1185),1))</f>
        <v/>
      </c>
      <c r="J1185" s="31">
        <f>IF($A1185="","",IF(OR($B1185="",$C1185="",$F1185="",$G1185=""),"Preencher tudo",IF(COUNTIF(EtapaLista,$B1185)=0,"Etapa inválida","OK")))</f>
        <v/>
      </c>
    </row>
    <row r="1186" spans="1:10">
      <c r="A1186" s="17"/>
      <c r="B1186" s="15"/>
      <c r="C1186" s="15"/>
      <c r="D1186" s="15"/>
      <c r="E1186" s="15"/>
      <c r="F1186" s="16"/>
      <c r="G1186" s="27"/>
      <c r="H1186" s="17"/>
      <c r="I1186" s="30">
        <f>IF($A1186="","",DATE(YEAR($A1186),MONTH($A1186),1))</f>
        <v/>
      </c>
      <c r="J1186" s="31">
        <f>IF($A1186="","",IF(OR($B1186="",$C1186="",$F1186="",$G1186=""),"Preencher tudo",IF(COUNTIF(EtapaLista,$B1186)=0,"Etapa inválida","OK")))</f>
        <v/>
      </c>
    </row>
    <row r="1187" spans="1:10">
      <c r="A1187" s="17"/>
      <c r="B1187" s="15"/>
      <c r="C1187" s="15"/>
      <c r="D1187" s="15"/>
      <c r="E1187" s="15"/>
      <c r="F1187" s="16"/>
      <c r="G1187" s="27"/>
      <c r="H1187" s="17"/>
      <c r="I1187" s="30">
        <f>IF($A1187="","",DATE(YEAR($A1187),MONTH($A1187),1))</f>
        <v/>
      </c>
      <c r="J1187" s="31">
        <f>IF($A1187="","",IF(OR($B1187="",$C1187="",$F1187="",$G1187=""),"Preencher tudo",IF(COUNTIF(EtapaLista,$B1187)=0,"Etapa inválida","OK")))</f>
        <v/>
      </c>
    </row>
    <row r="1188" spans="1:10">
      <c r="A1188" s="17"/>
      <c r="B1188" s="15"/>
      <c r="C1188" s="15"/>
      <c r="D1188" s="15"/>
      <c r="E1188" s="15"/>
      <c r="F1188" s="16"/>
      <c r="G1188" s="27"/>
      <c r="H1188" s="17"/>
      <c r="I1188" s="30">
        <f>IF($A1188="","",DATE(YEAR($A1188),MONTH($A1188),1))</f>
        <v/>
      </c>
      <c r="J1188" s="31">
        <f>IF($A1188="","",IF(OR($B1188="",$C1188="",$F1188="",$G1188=""),"Preencher tudo",IF(COUNTIF(EtapaLista,$B1188)=0,"Etapa inválida","OK")))</f>
        <v/>
      </c>
    </row>
    <row r="1189" spans="1:10">
      <c r="A1189" s="17"/>
      <c r="B1189" s="15"/>
      <c r="C1189" s="15"/>
      <c r="D1189" s="15"/>
      <c r="E1189" s="15"/>
      <c r="F1189" s="16"/>
      <c r="G1189" s="27"/>
      <c r="H1189" s="17"/>
      <c r="I1189" s="30">
        <f>IF($A1189="","",DATE(YEAR($A1189),MONTH($A1189),1))</f>
        <v/>
      </c>
      <c r="J1189" s="31">
        <f>IF($A1189="","",IF(OR($B1189="",$C1189="",$F1189="",$G1189=""),"Preencher tudo",IF(COUNTIF(EtapaLista,$B1189)=0,"Etapa inválida","OK")))</f>
        <v/>
      </c>
    </row>
    <row r="1190" spans="1:10">
      <c r="A1190" s="17"/>
      <c r="B1190" s="15"/>
      <c r="C1190" s="15"/>
      <c r="D1190" s="15"/>
      <c r="E1190" s="15"/>
      <c r="F1190" s="16"/>
      <c r="G1190" s="27"/>
      <c r="H1190" s="17"/>
      <c r="I1190" s="30">
        <f>IF($A1190="","",DATE(YEAR($A1190),MONTH($A1190),1))</f>
        <v/>
      </c>
      <c r="J1190" s="31">
        <f>IF($A1190="","",IF(OR($B1190="",$C1190="",$F1190="",$G1190=""),"Preencher tudo",IF(COUNTIF(EtapaLista,$B1190)=0,"Etapa inválida","OK")))</f>
        <v/>
      </c>
    </row>
    <row r="1191" spans="1:10">
      <c r="A1191" s="17"/>
      <c r="B1191" s="15"/>
      <c r="C1191" s="15"/>
      <c r="D1191" s="15"/>
      <c r="E1191" s="15"/>
      <c r="F1191" s="16"/>
      <c r="G1191" s="27"/>
      <c r="H1191" s="17"/>
      <c r="I1191" s="30">
        <f>IF($A1191="","",DATE(YEAR($A1191),MONTH($A1191),1))</f>
        <v/>
      </c>
      <c r="J1191" s="31">
        <f>IF($A1191="","",IF(OR($B1191="",$C1191="",$F1191="",$G1191=""),"Preencher tudo",IF(COUNTIF(EtapaLista,$B1191)=0,"Etapa inválida","OK")))</f>
        <v/>
      </c>
    </row>
    <row r="1192" spans="1:10">
      <c r="A1192" s="17"/>
      <c r="B1192" s="15"/>
      <c r="C1192" s="15"/>
      <c r="D1192" s="15"/>
      <c r="E1192" s="15"/>
      <c r="F1192" s="16"/>
      <c r="G1192" s="27"/>
      <c r="H1192" s="17"/>
      <c r="I1192" s="30">
        <f>IF($A1192="","",DATE(YEAR($A1192),MONTH($A1192),1))</f>
        <v/>
      </c>
      <c r="J1192" s="31">
        <f>IF($A1192="","",IF(OR($B1192="",$C1192="",$F1192="",$G1192=""),"Preencher tudo",IF(COUNTIF(EtapaLista,$B1192)=0,"Etapa inválida","OK")))</f>
        <v/>
      </c>
    </row>
    <row r="1193" spans="1:10">
      <c r="A1193" s="17"/>
      <c r="B1193" s="15"/>
      <c r="C1193" s="15"/>
      <c r="D1193" s="15"/>
      <c r="E1193" s="15"/>
      <c r="F1193" s="16"/>
      <c r="G1193" s="27"/>
      <c r="H1193" s="17"/>
      <c r="I1193" s="30">
        <f>IF($A1193="","",DATE(YEAR($A1193),MONTH($A1193),1))</f>
        <v/>
      </c>
      <c r="J1193" s="31">
        <f>IF($A1193="","",IF(OR($B1193="",$C1193="",$F1193="",$G1193=""),"Preencher tudo",IF(COUNTIF(EtapaLista,$B1193)=0,"Etapa inválida","OK")))</f>
        <v/>
      </c>
    </row>
    <row r="1194" spans="1:10">
      <c r="A1194" s="17"/>
      <c r="B1194" s="15"/>
      <c r="C1194" s="15"/>
      <c r="D1194" s="15"/>
      <c r="E1194" s="15"/>
      <c r="F1194" s="16"/>
      <c r="G1194" s="27"/>
      <c r="H1194" s="17"/>
      <c r="I1194" s="30">
        <f>IF($A1194="","",DATE(YEAR($A1194),MONTH($A1194),1))</f>
        <v/>
      </c>
      <c r="J1194" s="31">
        <f>IF($A1194="","",IF(OR($B1194="",$C1194="",$F1194="",$G1194=""),"Preencher tudo",IF(COUNTIF(EtapaLista,$B1194)=0,"Etapa inválida","OK")))</f>
        <v/>
      </c>
    </row>
    <row r="1195" spans="1:10">
      <c r="A1195" s="17"/>
      <c r="B1195" s="15"/>
      <c r="C1195" s="15"/>
      <c r="D1195" s="15"/>
      <c r="E1195" s="15"/>
      <c r="F1195" s="16"/>
      <c r="G1195" s="27"/>
      <c r="H1195" s="17"/>
      <c r="I1195" s="30">
        <f>IF($A1195="","",DATE(YEAR($A1195),MONTH($A1195),1))</f>
        <v/>
      </c>
      <c r="J1195" s="31">
        <f>IF($A1195="","",IF(OR($B1195="",$C1195="",$F1195="",$G1195=""),"Preencher tudo",IF(COUNTIF(EtapaLista,$B1195)=0,"Etapa inválida","OK")))</f>
        <v/>
      </c>
    </row>
    <row r="1196" spans="1:10">
      <c r="A1196" s="17"/>
      <c r="B1196" s="15"/>
      <c r="C1196" s="15"/>
      <c r="D1196" s="15"/>
      <c r="E1196" s="15"/>
      <c r="F1196" s="16"/>
      <c r="G1196" s="27"/>
      <c r="H1196" s="17"/>
      <c r="I1196" s="30">
        <f>IF($A1196="","",DATE(YEAR($A1196),MONTH($A1196),1))</f>
        <v/>
      </c>
      <c r="J1196" s="31">
        <f>IF($A1196="","",IF(OR($B1196="",$C1196="",$F1196="",$G1196=""),"Preencher tudo",IF(COUNTIF(EtapaLista,$B1196)=0,"Etapa inválida","OK")))</f>
        <v/>
      </c>
    </row>
    <row r="1197" spans="1:10">
      <c r="A1197" s="17"/>
      <c r="B1197" s="15"/>
      <c r="C1197" s="15"/>
      <c r="D1197" s="15"/>
      <c r="E1197" s="15"/>
      <c r="F1197" s="16"/>
      <c r="G1197" s="27"/>
      <c r="H1197" s="17"/>
      <c r="I1197" s="30">
        <f>IF($A1197="","",DATE(YEAR($A1197),MONTH($A1197),1))</f>
        <v/>
      </c>
      <c r="J1197" s="31">
        <f>IF($A1197="","",IF(OR($B1197="",$C1197="",$F1197="",$G1197=""),"Preencher tudo",IF(COUNTIF(EtapaLista,$B1197)=0,"Etapa inválida","OK")))</f>
        <v/>
      </c>
    </row>
    <row r="1198" spans="1:10">
      <c r="A1198" s="17"/>
      <c r="B1198" s="15"/>
      <c r="C1198" s="15"/>
      <c r="D1198" s="15"/>
      <c r="E1198" s="15"/>
      <c r="F1198" s="16"/>
      <c r="G1198" s="27"/>
      <c r="H1198" s="17"/>
      <c r="I1198" s="30">
        <f>IF($A1198="","",DATE(YEAR($A1198),MONTH($A1198),1))</f>
        <v/>
      </c>
      <c r="J1198" s="31">
        <f>IF($A1198="","",IF(OR($B1198="",$C1198="",$F1198="",$G1198=""),"Preencher tudo",IF(COUNTIF(EtapaLista,$B1198)=0,"Etapa inválida","OK")))</f>
        <v/>
      </c>
    </row>
    <row r="1199" spans="1:10">
      <c r="A1199" s="17"/>
      <c r="B1199" s="15"/>
      <c r="C1199" s="15"/>
      <c r="D1199" s="15"/>
      <c r="E1199" s="15"/>
      <c r="F1199" s="16"/>
      <c r="G1199" s="27"/>
      <c r="H1199" s="17"/>
      <c r="I1199" s="30">
        <f>IF($A1199="","",DATE(YEAR($A1199),MONTH($A1199),1))</f>
        <v/>
      </c>
      <c r="J1199" s="31">
        <f>IF($A1199="","",IF(OR($B1199="",$C1199="",$F1199="",$G1199=""),"Preencher tudo",IF(COUNTIF(EtapaLista,$B1199)=0,"Etapa inválida","OK")))</f>
        <v/>
      </c>
    </row>
    <row r="1200" spans="1:10">
      <c r="A1200" s="17"/>
      <c r="B1200" s="15"/>
      <c r="C1200" s="15"/>
      <c r="D1200" s="15"/>
      <c r="E1200" s="15"/>
      <c r="F1200" s="16"/>
      <c r="G1200" s="27"/>
      <c r="H1200" s="17"/>
      <c r="I1200" s="30">
        <f>IF($A1200="","",DATE(YEAR($A1200),MONTH($A1200),1))</f>
        <v/>
      </c>
      <c r="J1200" s="31">
        <f>IF($A1200="","",IF(OR($B1200="",$C1200="",$F1200="",$G1200=""),"Preencher tudo",IF(COUNTIF(EtapaLista,$B1200)=0,"Etapa inválida","OK")))</f>
        <v/>
      </c>
    </row>
    <row r="1201" spans="1:10">
      <c r="A1201" s="17"/>
      <c r="B1201" s="15"/>
      <c r="C1201" s="15"/>
      <c r="D1201" s="15"/>
      <c r="E1201" s="15"/>
      <c r="F1201" s="16"/>
      <c r="G1201" s="27"/>
      <c r="H1201" s="17"/>
      <c r="I1201" s="30">
        <f>IF($A1201="","",DATE(YEAR($A1201),MONTH($A1201),1))</f>
        <v/>
      </c>
      <c r="J1201" s="31">
        <f>IF($A1201="","",IF(OR($B1201="",$C1201="",$F1201="",$G1201=""),"Preencher tudo",IF(COUNTIF(EtapaLista,$B1201)=0,"Etapa inválida","OK")))</f>
        <v/>
      </c>
    </row>
    <row r="1202" spans="1:10">
      <c r="A1202" s="17"/>
      <c r="B1202" s="15"/>
      <c r="C1202" s="15"/>
      <c r="D1202" s="15"/>
      <c r="E1202" s="15"/>
      <c r="F1202" s="16"/>
      <c r="G1202" s="27"/>
      <c r="H1202" s="17"/>
      <c r="I1202" s="30">
        <f>IF($A1202="","",DATE(YEAR($A1202),MONTH($A1202),1))</f>
        <v/>
      </c>
      <c r="J1202" s="31">
        <f>IF($A1202="","",IF(OR($B1202="",$C1202="",$F1202="",$G1202=""),"Preencher tudo",IF(COUNTIF(EtapaLista,$B1202)=0,"Etapa inválida","OK")))</f>
        <v/>
      </c>
    </row>
    <row r="1203" spans="1:10">
      <c r="A1203" s="17"/>
      <c r="B1203" s="15"/>
      <c r="C1203" s="15"/>
      <c r="D1203" s="15"/>
      <c r="E1203" s="15"/>
      <c r="F1203" s="16"/>
      <c r="G1203" s="27"/>
      <c r="H1203" s="17"/>
      <c r="I1203" s="30">
        <f>IF($A1203="","",DATE(YEAR($A1203),MONTH($A1203),1))</f>
        <v/>
      </c>
      <c r="J1203" s="31">
        <f>IF($A1203="","",IF(OR($B1203="",$C1203="",$F1203="",$G1203=""),"Preencher tudo",IF(COUNTIF(EtapaLista,$B1203)=0,"Etapa inválida","OK")))</f>
        <v/>
      </c>
    </row>
    <row r="1204" spans="1:10">
      <c r="A1204" s="17"/>
      <c r="B1204" s="15"/>
      <c r="C1204" s="15"/>
      <c r="D1204" s="15"/>
      <c r="E1204" s="15"/>
      <c r="F1204" s="16"/>
      <c r="G1204" s="27"/>
      <c r="H1204" s="17"/>
      <c r="I1204" s="30">
        <f>IF($A1204="","",DATE(YEAR($A1204),MONTH($A1204),1))</f>
        <v/>
      </c>
      <c r="J1204" s="31">
        <f>IF($A1204="","",IF(OR($B1204="",$C1204="",$F1204="",$G1204=""),"Preencher tudo",IF(COUNTIF(EtapaLista,$B1204)=0,"Etapa inválida","OK")))</f>
        <v/>
      </c>
    </row>
    <row r="1205" spans="1:10">
      <c r="A1205" s="17"/>
      <c r="B1205" s="15"/>
      <c r="C1205" s="15"/>
      <c r="D1205" s="15"/>
      <c r="E1205" s="15"/>
      <c r="F1205" s="16"/>
      <c r="G1205" s="27"/>
      <c r="H1205" s="17"/>
      <c r="I1205" s="30">
        <f>IF($A1205="","",DATE(YEAR($A1205),MONTH($A1205),1))</f>
        <v/>
      </c>
      <c r="J1205" s="31">
        <f>IF($A1205="","",IF(OR($B1205="",$C1205="",$F1205="",$G1205=""),"Preencher tudo",IF(COUNTIF(EtapaLista,$B1205)=0,"Etapa inválida","OK")))</f>
        <v/>
      </c>
    </row>
    <row r="1206" spans="1:10">
      <c r="A1206" s="17"/>
      <c r="B1206" s="15"/>
      <c r="C1206" s="15"/>
      <c r="D1206" s="15"/>
      <c r="E1206" s="15"/>
      <c r="F1206" s="16"/>
      <c r="G1206" s="27"/>
      <c r="H1206" s="17"/>
      <c r="I1206" s="30">
        <f>IF($A1206="","",DATE(YEAR($A1206),MONTH($A1206),1))</f>
        <v/>
      </c>
      <c r="J1206" s="31">
        <f>IF($A1206="","",IF(OR($B1206="",$C1206="",$F1206="",$G1206=""),"Preencher tudo",IF(COUNTIF(EtapaLista,$B1206)=0,"Etapa inválida","OK")))</f>
        <v/>
      </c>
    </row>
    <row r="1207" spans="1:10">
      <c r="A1207" s="17"/>
      <c r="B1207" s="15"/>
      <c r="C1207" s="15"/>
      <c r="D1207" s="15"/>
      <c r="E1207" s="15"/>
      <c r="F1207" s="16"/>
      <c r="G1207" s="27"/>
      <c r="H1207" s="17"/>
      <c r="I1207" s="30">
        <f>IF($A1207="","",DATE(YEAR($A1207),MONTH($A1207),1))</f>
        <v/>
      </c>
      <c r="J1207" s="31">
        <f>IF($A1207="","",IF(OR($B1207="",$C1207="",$F1207="",$G1207=""),"Preencher tudo",IF(COUNTIF(EtapaLista,$B1207)=0,"Etapa inválida","OK")))</f>
        <v/>
      </c>
    </row>
    <row r="1208" spans="1:10">
      <c r="A1208" s="17"/>
      <c r="B1208" s="15"/>
      <c r="C1208" s="15"/>
      <c r="D1208" s="15"/>
      <c r="E1208" s="15"/>
      <c r="F1208" s="16"/>
      <c r="G1208" s="27"/>
      <c r="H1208" s="17"/>
      <c r="I1208" s="30">
        <f>IF($A1208="","",DATE(YEAR($A1208),MONTH($A1208),1))</f>
        <v/>
      </c>
      <c r="J1208" s="31">
        <f>IF($A1208="","",IF(OR($B1208="",$C1208="",$F1208="",$G1208=""),"Preencher tudo",IF(COUNTIF(EtapaLista,$B1208)=0,"Etapa inválida","OK")))</f>
        <v/>
      </c>
    </row>
    <row r="1209" spans="1:10">
      <c r="A1209" s="17"/>
      <c r="B1209" s="15"/>
      <c r="C1209" s="15"/>
      <c r="D1209" s="15"/>
      <c r="E1209" s="15"/>
      <c r="F1209" s="16"/>
      <c r="G1209" s="27"/>
      <c r="H1209" s="17"/>
      <c r="I1209" s="30">
        <f>IF($A1209="","",DATE(YEAR($A1209),MONTH($A1209),1))</f>
        <v/>
      </c>
      <c r="J1209" s="31">
        <f>IF($A1209="","",IF(OR($B1209="",$C1209="",$F1209="",$G1209=""),"Preencher tudo",IF(COUNTIF(EtapaLista,$B1209)=0,"Etapa inválida","OK")))</f>
        <v/>
      </c>
    </row>
    <row r="1210" spans="1:10">
      <c r="A1210" s="17"/>
      <c r="B1210" s="15"/>
      <c r="C1210" s="15"/>
      <c r="D1210" s="15"/>
      <c r="E1210" s="15"/>
      <c r="F1210" s="16"/>
      <c r="G1210" s="27"/>
      <c r="H1210" s="17"/>
      <c r="I1210" s="30">
        <f>IF($A1210="","",DATE(YEAR($A1210),MONTH($A1210),1))</f>
        <v/>
      </c>
      <c r="J1210" s="31">
        <f>IF($A1210="","",IF(OR($B1210="",$C1210="",$F1210="",$G1210=""),"Preencher tudo",IF(COUNTIF(EtapaLista,$B1210)=0,"Etapa inválida","OK")))</f>
        <v/>
      </c>
    </row>
    <row r="1211" spans="1:10">
      <c r="A1211" s="17"/>
      <c r="B1211" s="15"/>
      <c r="C1211" s="15"/>
      <c r="D1211" s="15"/>
      <c r="E1211" s="15"/>
      <c r="F1211" s="16"/>
      <c r="G1211" s="27"/>
      <c r="H1211" s="17"/>
      <c r="I1211" s="30">
        <f>IF($A1211="","",DATE(YEAR($A1211),MONTH($A1211),1))</f>
        <v/>
      </c>
      <c r="J1211" s="31">
        <f>IF($A1211="","",IF(OR($B1211="",$C1211="",$F1211="",$G1211=""),"Preencher tudo",IF(COUNTIF(EtapaLista,$B1211)=0,"Etapa inválida","OK")))</f>
        <v/>
      </c>
    </row>
    <row r="1212" spans="1:10">
      <c r="A1212" s="17"/>
      <c r="B1212" s="15"/>
      <c r="C1212" s="15"/>
      <c r="D1212" s="15"/>
      <c r="E1212" s="15"/>
      <c r="F1212" s="16"/>
      <c r="G1212" s="27"/>
      <c r="H1212" s="17"/>
      <c r="I1212" s="30">
        <f>IF($A1212="","",DATE(YEAR($A1212),MONTH($A1212),1))</f>
        <v/>
      </c>
      <c r="J1212" s="31">
        <f>IF($A1212="","",IF(OR($B1212="",$C1212="",$F1212="",$G1212=""),"Preencher tudo",IF(COUNTIF(EtapaLista,$B1212)=0,"Etapa inválida","OK")))</f>
        <v/>
      </c>
    </row>
    <row r="1213" spans="1:10">
      <c r="A1213" s="17"/>
      <c r="B1213" s="15"/>
      <c r="C1213" s="15"/>
      <c r="D1213" s="15"/>
      <c r="E1213" s="15"/>
      <c r="F1213" s="16"/>
      <c r="G1213" s="27"/>
      <c r="H1213" s="17"/>
      <c r="I1213" s="30">
        <f>IF($A1213="","",DATE(YEAR($A1213),MONTH($A1213),1))</f>
        <v/>
      </c>
      <c r="J1213" s="31">
        <f>IF($A1213="","",IF(OR($B1213="",$C1213="",$F1213="",$G1213=""),"Preencher tudo",IF(COUNTIF(EtapaLista,$B1213)=0,"Etapa inválida","OK")))</f>
        <v/>
      </c>
    </row>
    <row r="1214" spans="1:10">
      <c r="A1214" s="17"/>
      <c r="B1214" s="15"/>
      <c r="C1214" s="15"/>
      <c r="D1214" s="15"/>
      <c r="E1214" s="15"/>
      <c r="F1214" s="16"/>
      <c r="G1214" s="27"/>
      <c r="H1214" s="17"/>
      <c r="I1214" s="30">
        <f>IF($A1214="","",DATE(YEAR($A1214),MONTH($A1214),1))</f>
        <v/>
      </c>
      <c r="J1214" s="31">
        <f>IF($A1214="","",IF(OR($B1214="",$C1214="",$F1214="",$G1214=""),"Preencher tudo",IF(COUNTIF(EtapaLista,$B1214)=0,"Etapa inválida","OK")))</f>
        <v/>
      </c>
    </row>
    <row r="1215" spans="1:10">
      <c r="A1215" s="17"/>
      <c r="B1215" s="15"/>
      <c r="C1215" s="15"/>
      <c r="D1215" s="15"/>
      <c r="E1215" s="15"/>
      <c r="F1215" s="16"/>
      <c r="G1215" s="27"/>
      <c r="H1215" s="17"/>
      <c r="I1215" s="30">
        <f>IF($A1215="","",DATE(YEAR($A1215),MONTH($A1215),1))</f>
        <v/>
      </c>
      <c r="J1215" s="31">
        <f>IF($A1215="","",IF(OR($B1215="",$C1215="",$F1215="",$G1215=""),"Preencher tudo",IF(COUNTIF(EtapaLista,$B1215)=0,"Etapa inválida","OK")))</f>
        <v/>
      </c>
    </row>
    <row r="1216" spans="1:10">
      <c r="A1216" s="17"/>
      <c r="B1216" s="15"/>
      <c r="C1216" s="15"/>
      <c r="D1216" s="15"/>
      <c r="E1216" s="15"/>
      <c r="F1216" s="16"/>
      <c r="G1216" s="27"/>
      <c r="H1216" s="17"/>
      <c r="I1216" s="30">
        <f>IF($A1216="","",DATE(YEAR($A1216),MONTH($A1216),1))</f>
        <v/>
      </c>
      <c r="J1216" s="31">
        <f>IF($A1216="","",IF(OR($B1216="",$C1216="",$F1216="",$G1216=""),"Preencher tudo",IF(COUNTIF(EtapaLista,$B1216)=0,"Etapa inválida","OK")))</f>
        <v/>
      </c>
    </row>
    <row r="1217" spans="1:10">
      <c r="A1217" s="17"/>
      <c r="B1217" s="15"/>
      <c r="C1217" s="15"/>
      <c r="D1217" s="15"/>
      <c r="E1217" s="15"/>
      <c r="F1217" s="16"/>
      <c r="G1217" s="27"/>
      <c r="H1217" s="17"/>
      <c r="I1217" s="30">
        <f>IF($A1217="","",DATE(YEAR($A1217),MONTH($A1217),1))</f>
        <v/>
      </c>
      <c r="J1217" s="31">
        <f>IF($A1217="","",IF(OR($B1217="",$C1217="",$F1217="",$G1217=""),"Preencher tudo",IF(COUNTIF(EtapaLista,$B1217)=0,"Etapa inválida","OK")))</f>
        <v/>
      </c>
    </row>
    <row r="1218" spans="1:10">
      <c r="A1218" s="17"/>
      <c r="B1218" s="15"/>
      <c r="C1218" s="15"/>
      <c r="D1218" s="15"/>
      <c r="E1218" s="15"/>
      <c r="F1218" s="16"/>
      <c r="G1218" s="27"/>
      <c r="H1218" s="17"/>
      <c r="I1218" s="30">
        <f>IF($A1218="","",DATE(YEAR($A1218),MONTH($A1218),1))</f>
        <v/>
      </c>
      <c r="J1218" s="31">
        <f>IF($A1218="","",IF(OR($B1218="",$C1218="",$F1218="",$G1218=""),"Preencher tudo",IF(COUNTIF(EtapaLista,$B1218)=0,"Etapa inválida","OK")))</f>
        <v/>
      </c>
    </row>
    <row r="1219" spans="1:10">
      <c r="A1219" s="17"/>
      <c r="B1219" s="15"/>
      <c r="C1219" s="15"/>
      <c r="D1219" s="15"/>
      <c r="E1219" s="15"/>
      <c r="F1219" s="16"/>
      <c r="G1219" s="27"/>
      <c r="H1219" s="17"/>
      <c r="I1219" s="30">
        <f>IF($A1219="","",DATE(YEAR($A1219),MONTH($A1219),1))</f>
        <v/>
      </c>
      <c r="J1219" s="31">
        <f>IF($A1219="","",IF(OR($B1219="",$C1219="",$F1219="",$G1219=""),"Preencher tudo",IF(COUNTIF(EtapaLista,$B1219)=0,"Etapa inválida","OK")))</f>
        <v/>
      </c>
    </row>
    <row r="1220" spans="1:10">
      <c r="A1220" s="17"/>
      <c r="B1220" s="15"/>
      <c r="C1220" s="15"/>
      <c r="D1220" s="15"/>
      <c r="E1220" s="15"/>
      <c r="F1220" s="16"/>
      <c r="G1220" s="27"/>
      <c r="H1220" s="17"/>
      <c r="I1220" s="30">
        <f>IF($A1220="","",DATE(YEAR($A1220),MONTH($A1220),1))</f>
        <v/>
      </c>
      <c r="J1220" s="31">
        <f>IF($A1220="","",IF(OR($B1220="",$C1220="",$F1220="",$G1220=""),"Preencher tudo",IF(COUNTIF(EtapaLista,$B1220)=0,"Etapa inválida","OK")))</f>
        <v/>
      </c>
    </row>
    <row r="1221" spans="1:10">
      <c r="A1221" s="17"/>
      <c r="B1221" s="15"/>
      <c r="C1221" s="15"/>
      <c r="D1221" s="15"/>
      <c r="E1221" s="15"/>
      <c r="F1221" s="16"/>
      <c r="G1221" s="27"/>
      <c r="H1221" s="17"/>
      <c r="I1221" s="30">
        <f>IF($A1221="","",DATE(YEAR($A1221),MONTH($A1221),1))</f>
        <v/>
      </c>
      <c r="J1221" s="31">
        <f>IF($A1221="","",IF(OR($B1221="",$C1221="",$F1221="",$G1221=""),"Preencher tudo",IF(COUNTIF(EtapaLista,$B1221)=0,"Etapa inválida","OK")))</f>
        <v/>
      </c>
    </row>
    <row r="1222" spans="1:10">
      <c r="A1222" s="17"/>
      <c r="B1222" s="15"/>
      <c r="C1222" s="15"/>
      <c r="D1222" s="15"/>
      <c r="E1222" s="15"/>
      <c r="F1222" s="16"/>
      <c r="G1222" s="27"/>
      <c r="H1222" s="17"/>
      <c r="I1222" s="30">
        <f>IF($A1222="","",DATE(YEAR($A1222),MONTH($A1222),1))</f>
        <v/>
      </c>
      <c r="J1222" s="31">
        <f>IF($A1222="","",IF(OR($B1222="",$C1222="",$F1222="",$G1222=""),"Preencher tudo",IF(COUNTIF(EtapaLista,$B1222)=0,"Etapa inválida","OK")))</f>
        <v/>
      </c>
    </row>
    <row r="1223" spans="1:10">
      <c r="A1223" s="17"/>
      <c r="B1223" s="15"/>
      <c r="C1223" s="15"/>
      <c r="D1223" s="15"/>
      <c r="E1223" s="15"/>
      <c r="F1223" s="16"/>
      <c r="G1223" s="27"/>
      <c r="H1223" s="17"/>
      <c r="I1223" s="30">
        <f>IF($A1223="","",DATE(YEAR($A1223),MONTH($A1223),1))</f>
        <v/>
      </c>
      <c r="J1223" s="31">
        <f>IF($A1223="","",IF(OR($B1223="",$C1223="",$F1223="",$G1223=""),"Preencher tudo",IF(COUNTIF(EtapaLista,$B1223)=0,"Etapa inválida","OK")))</f>
        <v/>
      </c>
    </row>
    <row r="1224" spans="1:10">
      <c r="A1224" s="17"/>
      <c r="B1224" s="15"/>
      <c r="C1224" s="15"/>
      <c r="D1224" s="15"/>
      <c r="E1224" s="15"/>
      <c r="F1224" s="16"/>
      <c r="G1224" s="27"/>
      <c r="H1224" s="17"/>
      <c r="I1224" s="30">
        <f>IF($A1224="","",DATE(YEAR($A1224),MONTH($A1224),1))</f>
        <v/>
      </c>
      <c r="J1224" s="31">
        <f>IF($A1224="","",IF(OR($B1224="",$C1224="",$F1224="",$G1224=""),"Preencher tudo",IF(COUNTIF(EtapaLista,$B1224)=0,"Etapa inválida","OK")))</f>
        <v/>
      </c>
    </row>
    <row r="1225" spans="1:10">
      <c r="A1225" s="17"/>
      <c r="B1225" s="15"/>
      <c r="C1225" s="15"/>
      <c r="D1225" s="15"/>
      <c r="E1225" s="15"/>
      <c r="F1225" s="16"/>
      <c r="G1225" s="27"/>
      <c r="H1225" s="17"/>
      <c r="I1225" s="30">
        <f>IF($A1225="","",DATE(YEAR($A1225),MONTH($A1225),1))</f>
        <v/>
      </c>
      <c r="J1225" s="31">
        <f>IF($A1225="","",IF(OR($B1225="",$C1225="",$F1225="",$G1225=""),"Preencher tudo",IF(COUNTIF(EtapaLista,$B1225)=0,"Etapa inválida","OK")))</f>
        <v/>
      </c>
    </row>
    <row r="1226" spans="1:10">
      <c r="A1226" s="17"/>
      <c r="B1226" s="15"/>
      <c r="C1226" s="15"/>
      <c r="D1226" s="15"/>
      <c r="E1226" s="15"/>
      <c r="F1226" s="16"/>
      <c r="G1226" s="27"/>
      <c r="H1226" s="17"/>
      <c r="I1226" s="30">
        <f>IF($A1226="","",DATE(YEAR($A1226),MONTH($A1226),1))</f>
        <v/>
      </c>
      <c r="J1226" s="31">
        <f>IF($A1226="","",IF(OR($B1226="",$C1226="",$F1226="",$G1226=""),"Preencher tudo",IF(COUNTIF(EtapaLista,$B1226)=0,"Etapa inválida","OK")))</f>
        <v/>
      </c>
    </row>
    <row r="1227" spans="1:10">
      <c r="A1227" s="17"/>
      <c r="B1227" s="15"/>
      <c r="C1227" s="15"/>
      <c r="D1227" s="15"/>
      <c r="E1227" s="15"/>
      <c r="F1227" s="16"/>
      <c r="G1227" s="27"/>
      <c r="H1227" s="17"/>
      <c r="I1227" s="30">
        <f>IF($A1227="","",DATE(YEAR($A1227),MONTH($A1227),1))</f>
        <v/>
      </c>
      <c r="J1227" s="31">
        <f>IF($A1227="","",IF(OR($B1227="",$C1227="",$F1227="",$G1227=""),"Preencher tudo",IF(COUNTIF(EtapaLista,$B1227)=0,"Etapa inválida","OK")))</f>
        <v/>
      </c>
    </row>
    <row r="1228" spans="1:10">
      <c r="A1228" s="17"/>
      <c r="B1228" s="15"/>
      <c r="C1228" s="15"/>
      <c r="D1228" s="15"/>
      <c r="E1228" s="15"/>
      <c r="F1228" s="16"/>
      <c r="G1228" s="27"/>
      <c r="H1228" s="17"/>
      <c r="I1228" s="30">
        <f>IF($A1228="","",DATE(YEAR($A1228),MONTH($A1228),1))</f>
        <v/>
      </c>
      <c r="J1228" s="31">
        <f>IF($A1228="","",IF(OR($B1228="",$C1228="",$F1228="",$G1228=""),"Preencher tudo",IF(COUNTIF(EtapaLista,$B1228)=0,"Etapa inválida","OK")))</f>
        <v/>
      </c>
    </row>
    <row r="1229" spans="1:10">
      <c r="A1229" s="17"/>
      <c r="B1229" s="15"/>
      <c r="C1229" s="15"/>
      <c r="D1229" s="15"/>
      <c r="E1229" s="15"/>
      <c r="F1229" s="16"/>
      <c r="G1229" s="27"/>
      <c r="H1229" s="17"/>
      <c r="I1229" s="30">
        <f>IF($A1229="","",DATE(YEAR($A1229),MONTH($A1229),1))</f>
        <v/>
      </c>
      <c r="J1229" s="31">
        <f>IF($A1229="","",IF(OR($B1229="",$C1229="",$F1229="",$G1229=""),"Preencher tudo",IF(COUNTIF(EtapaLista,$B1229)=0,"Etapa inválida","OK")))</f>
        <v/>
      </c>
    </row>
    <row r="1230" spans="1:10">
      <c r="A1230" s="17"/>
      <c r="B1230" s="15"/>
      <c r="C1230" s="15"/>
      <c r="D1230" s="15"/>
      <c r="E1230" s="15"/>
      <c r="F1230" s="16"/>
      <c r="G1230" s="27"/>
      <c r="H1230" s="17"/>
      <c r="I1230" s="30">
        <f>IF($A1230="","",DATE(YEAR($A1230),MONTH($A1230),1))</f>
        <v/>
      </c>
      <c r="J1230" s="31">
        <f>IF($A1230="","",IF(OR($B1230="",$C1230="",$F1230="",$G1230=""),"Preencher tudo",IF(COUNTIF(EtapaLista,$B1230)=0,"Etapa inválida","OK")))</f>
        <v/>
      </c>
    </row>
    <row r="1231" spans="1:10">
      <c r="A1231" s="17"/>
      <c r="B1231" s="15"/>
      <c r="C1231" s="15"/>
      <c r="D1231" s="15"/>
      <c r="E1231" s="15"/>
      <c r="F1231" s="16"/>
      <c r="G1231" s="27"/>
      <c r="H1231" s="17"/>
      <c r="I1231" s="30">
        <f>IF($A1231="","",DATE(YEAR($A1231),MONTH($A1231),1))</f>
        <v/>
      </c>
      <c r="J1231" s="31">
        <f>IF($A1231="","",IF(OR($B1231="",$C1231="",$F1231="",$G1231=""),"Preencher tudo",IF(COUNTIF(EtapaLista,$B1231)=0,"Etapa inválida","OK")))</f>
        <v/>
      </c>
    </row>
    <row r="1232" spans="1:10">
      <c r="A1232" s="17"/>
      <c r="B1232" s="15"/>
      <c r="C1232" s="15"/>
      <c r="D1232" s="15"/>
      <c r="E1232" s="15"/>
      <c r="F1232" s="16"/>
      <c r="G1232" s="27"/>
      <c r="H1232" s="17"/>
      <c r="I1232" s="30">
        <f>IF($A1232="","",DATE(YEAR($A1232),MONTH($A1232),1))</f>
        <v/>
      </c>
      <c r="J1232" s="31">
        <f>IF($A1232="","",IF(OR($B1232="",$C1232="",$F1232="",$G1232=""),"Preencher tudo",IF(COUNTIF(EtapaLista,$B1232)=0,"Etapa inválida","OK")))</f>
        <v/>
      </c>
    </row>
    <row r="1233" spans="1:10">
      <c r="A1233" s="17"/>
      <c r="B1233" s="15"/>
      <c r="C1233" s="15"/>
      <c r="D1233" s="15"/>
      <c r="E1233" s="15"/>
      <c r="F1233" s="16"/>
      <c r="G1233" s="27"/>
      <c r="H1233" s="17"/>
      <c r="I1233" s="30">
        <f>IF($A1233="","",DATE(YEAR($A1233),MONTH($A1233),1))</f>
        <v/>
      </c>
      <c r="J1233" s="31">
        <f>IF($A1233="","",IF(OR($B1233="",$C1233="",$F1233="",$G1233=""),"Preencher tudo",IF(COUNTIF(EtapaLista,$B1233)=0,"Etapa inválida","OK")))</f>
        <v/>
      </c>
    </row>
    <row r="1234" spans="1:10">
      <c r="A1234" s="17"/>
      <c r="B1234" s="15"/>
      <c r="C1234" s="15"/>
      <c r="D1234" s="15"/>
      <c r="E1234" s="15"/>
      <c r="F1234" s="16"/>
      <c r="G1234" s="27"/>
      <c r="H1234" s="17"/>
      <c r="I1234" s="30">
        <f>IF($A1234="","",DATE(YEAR($A1234),MONTH($A1234),1))</f>
        <v/>
      </c>
      <c r="J1234" s="31">
        <f>IF($A1234="","",IF(OR($B1234="",$C1234="",$F1234="",$G1234=""),"Preencher tudo",IF(COUNTIF(EtapaLista,$B1234)=0,"Etapa inválida","OK")))</f>
        <v/>
      </c>
    </row>
    <row r="1235" spans="1:10">
      <c r="A1235" s="17"/>
      <c r="B1235" s="15"/>
      <c r="C1235" s="15"/>
      <c r="D1235" s="15"/>
      <c r="E1235" s="15"/>
      <c r="F1235" s="16"/>
      <c r="G1235" s="27"/>
      <c r="H1235" s="17"/>
      <c r="I1235" s="30">
        <f>IF($A1235="","",DATE(YEAR($A1235),MONTH($A1235),1))</f>
        <v/>
      </c>
      <c r="J1235" s="31">
        <f>IF($A1235="","",IF(OR($B1235="",$C1235="",$F1235="",$G1235=""),"Preencher tudo",IF(COUNTIF(EtapaLista,$B1235)=0,"Etapa inválida","OK")))</f>
        <v/>
      </c>
    </row>
    <row r="1236" spans="1:10">
      <c r="A1236" s="17"/>
      <c r="B1236" s="15"/>
      <c r="C1236" s="15"/>
      <c r="D1236" s="15"/>
      <c r="E1236" s="15"/>
      <c r="F1236" s="16"/>
      <c r="G1236" s="27"/>
      <c r="H1236" s="17"/>
      <c r="I1236" s="30">
        <f>IF($A1236="","",DATE(YEAR($A1236),MONTH($A1236),1))</f>
        <v/>
      </c>
      <c r="J1236" s="31">
        <f>IF($A1236="","",IF(OR($B1236="",$C1236="",$F1236="",$G1236=""),"Preencher tudo",IF(COUNTIF(EtapaLista,$B1236)=0,"Etapa inválida","OK")))</f>
        <v/>
      </c>
    </row>
    <row r="1237" spans="1:10">
      <c r="A1237" s="17"/>
      <c r="B1237" s="15"/>
      <c r="C1237" s="15"/>
      <c r="D1237" s="15"/>
      <c r="E1237" s="15"/>
      <c r="F1237" s="16"/>
      <c r="G1237" s="27"/>
      <c r="H1237" s="17"/>
      <c r="I1237" s="30">
        <f>IF($A1237="","",DATE(YEAR($A1237),MONTH($A1237),1))</f>
        <v/>
      </c>
      <c r="J1237" s="31">
        <f>IF($A1237="","",IF(OR($B1237="",$C1237="",$F1237="",$G1237=""),"Preencher tudo",IF(COUNTIF(EtapaLista,$B1237)=0,"Etapa inválida","OK")))</f>
        <v/>
      </c>
    </row>
    <row r="1238" spans="1:10">
      <c r="A1238" s="17"/>
      <c r="B1238" s="15"/>
      <c r="C1238" s="15"/>
      <c r="D1238" s="15"/>
      <c r="E1238" s="15"/>
      <c r="F1238" s="16"/>
      <c r="G1238" s="27"/>
      <c r="H1238" s="17"/>
      <c r="I1238" s="30">
        <f>IF($A1238="","",DATE(YEAR($A1238),MONTH($A1238),1))</f>
        <v/>
      </c>
      <c r="J1238" s="31">
        <f>IF($A1238="","",IF(OR($B1238="",$C1238="",$F1238="",$G1238=""),"Preencher tudo",IF(COUNTIF(EtapaLista,$B1238)=0,"Etapa inválida","OK")))</f>
        <v/>
      </c>
    </row>
    <row r="1239" spans="1:10">
      <c r="A1239" s="17"/>
      <c r="B1239" s="15"/>
      <c r="C1239" s="15"/>
      <c r="D1239" s="15"/>
      <c r="E1239" s="15"/>
      <c r="F1239" s="16"/>
      <c r="G1239" s="27"/>
      <c r="H1239" s="17"/>
      <c r="I1239" s="30">
        <f>IF($A1239="","",DATE(YEAR($A1239),MONTH($A1239),1))</f>
        <v/>
      </c>
      <c r="J1239" s="31">
        <f>IF($A1239="","",IF(OR($B1239="",$C1239="",$F1239="",$G1239=""),"Preencher tudo",IF(COUNTIF(EtapaLista,$B1239)=0,"Etapa inválida","OK")))</f>
        <v/>
      </c>
    </row>
    <row r="1240" spans="1:10">
      <c r="A1240" s="17"/>
      <c r="B1240" s="15"/>
      <c r="C1240" s="15"/>
      <c r="D1240" s="15"/>
      <c r="E1240" s="15"/>
      <c r="F1240" s="16"/>
      <c r="G1240" s="27"/>
      <c r="H1240" s="17"/>
      <c r="I1240" s="30">
        <f>IF($A1240="","",DATE(YEAR($A1240),MONTH($A1240),1))</f>
        <v/>
      </c>
      <c r="J1240" s="31">
        <f>IF($A1240="","",IF(OR($B1240="",$C1240="",$F1240="",$G1240=""),"Preencher tudo",IF(COUNTIF(EtapaLista,$B1240)=0,"Etapa inválida","OK")))</f>
        <v/>
      </c>
    </row>
    <row r="1241" spans="1:10">
      <c r="A1241" s="17"/>
      <c r="B1241" s="15"/>
      <c r="C1241" s="15"/>
      <c r="D1241" s="15"/>
      <c r="E1241" s="15"/>
      <c r="F1241" s="16"/>
      <c r="G1241" s="27"/>
      <c r="H1241" s="17"/>
      <c r="I1241" s="30">
        <f>IF($A1241="","",DATE(YEAR($A1241),MONTH($A1241),1))</f>
        <v/>
      </c>
      <c r="J1241" s="31">
        <f>IF($A1241="","",IF(OR($B1241="",$C1241="",$F1241="",$G1241=""),"Preencher tudo",IF(COUNTIF(EtapaLista,$B1241)=0,"Etapa inválida","OK")))</f>
        <v/>
      </c>
    </row>
    <row r="1242" spans="1:10">
      <c r="A1242" s="17"/>
      <c r="B1242" s="15"/>
      <c r="C1242" s="15"/>
      <c r="D1242" s="15"/>
      <c r="E1242" s="15"/>
      <c r="F1242" s="16"/>
      <c r="G1242" s="27"/>
      <c r="H1242" s="17"/>
      <c r="I1242" s="30">
        <f>IF($A1242="","",DATE(YEAR($A1242),MONTH($A1242),1))</f>
        <v/>
      </c>
      <c r="J1242" s="31">
        <f>IF($A1242="","",IF(OR($B1242="",$C1242="",$F1242="",$G1242=""),"Preencher tudo",IF(COUNTIF(EtapaLista,$B1242)=0,"Etapa inválida","OK")))</f>
        <v/>
      </c>
    </row>
    <row r="1243" spans="1:10">
      <c r="A1243" s="17"/>
      <c r="B1243" s="15"/>
      <c r="C1243" s="15"/>
      <c r="D1243" s="15"/>
      <c r="E1243" s="15"/>
      <c r="F1243" s="16"/>
      <c r="G1243" s="27"/>
      <c r="H1243" s="17"/>
      <c r="I1243" s="30">
        <f>IF($A1243="","",DATE(YEAR($A1243),MONTH($A1243),1))</f>
        <v/>
      </c>
      <c r="J1243" s="31">
        <f>IF($A1243="","",IF(OR($B1243="",$C1243="",$F1243="",$G1243=""),"Preencher tudo",IF(COUNTIF(EtapaLista,$B1243)=0,"Etapa inválida","OK")))</f>
        <v/>
      </c>
    </row>
    <row r="1244" spans="1:10">
      <c r="A1244" s="17"/>
      <c r="B1244" s="15"/>
      <c r="C1244" s="15"/>
      <c r="D1244" s="15"/>
      <c r="E1244" s="15"/>
      <c r="F1244" s="16"/>
      <c r="G1244" s="27"/>
      <c r="H1244" s="17"/>
      <c r="I1244" s="30">
        <f>IF($A1244="","",DATE(YEAR($A1244),MONTH($A1244),1))</f>
        <v/>
      </c>
      <c r="J1244" s="31">
        <f>IF($A1244="","",IF(OR($B1244="",$C1244="",$F1244="",$G1244=""),"Preencher tudo",IF(COUNTIF(EtapaLista,$B1244)=0,"Etapa inválida","OK")))</f>
        <v/>
      </c>
    </row>
    <row r="1245" spans="1:10">
      <c r="A1245" s="17"/>
      <c r="B1245" s="15"/>
      <c r="C1245" s="15"/>
      <c r="D1245" s="15"/>
      <c r="E1245" s="15"/>
      <c r="F1245" s="16"/>
      <c r="G1245" s="27"/>
      <c r="H1245" s="17"/>
      <c r="I1245" s="30">
        <f>IF($A1245="","",DATE(YEAR($A1245),MONTH($A1245),1))</f>
        <v/>
      </c>
      <c r="J1245" s="31">
        <f>IF($A1245="","",IF(OR($B1245="",$C1245="",$F1245="",$G1245=""),"Preencher tudo",IF(COUNTIF(EtapaLista,$B1245)=0,"Etapa inválida","OK")))</f>
        <v/>
      </c>
    </row>
    <row r="1246" spans="1:10">
      <c r="A1246" s="17"/>
      <c r="B1246" s="15"/>
      <c r="C1246" s="15"/>
      <c r="D1246" s="15"/>
      <c r="E1246" s="15"/>
      <c r="F1246" s="16"/>
      <c r="G1246" s="27"/>
      <c r="H1246" s="17"/>
      <c r="I1246" s="30">
        <f>IF($A1246="","",DATE(YEAR($A1246),MONTH($A1246),1))</f>
        <v/>
      </c>
      <c r="J1246" s="31">
        <f>IF($A1246="","",IF(OR($B1246="",$C1246="",$F1246="",$G1246=""),"Preencher tudo",IF(COUNTIF(EtapaLista,$B1246)=0,"Etapa inválida","OK")))</f>
        <v/>
      </c>
    </row>
    <row r="1247" spans="1:10">
      <c r="A1247" s="17"/>
      <c r="B1247" s="15"/>
      <c r="C1247" s="15"/>
      <c r="D1247" s="15"/>
      <c r="E1247" s="15"/>
      <c r="F1247" s="16"/>
      <c r="G1247" s="27"/>
      <c r="H1247" s="17"/>
      <c r="I1247" s="30">
        <f>IF($A1247="","",DATE(YEAR($A1247),MONTH($A1247),1))</f>
        <v/>
      </c>
      <c r="J1247" s="31">
        <f>IF($A1247="","",IF(OR($B1247="",$C1247="",$F1247="",$G1247=""),"Preencher tudo",IF(COUNTIF(EtapaLista,$B1247)=0,"Etapa inválida","OK")))</f>
        <v/>
      </c>
    </row>
    <row r="1248" spans="1:10">
      <c r="A1248" s="17"/>
      <c r="B1248" s="15"/>
      <c r="C1248" s="15"/>
      <c r="D1248" s="15"/>
      <c r="E1248" s="15"/>
      <c r="F1248" s="16"/>
      <c r="G1248" s="27"/>
      <c r="H1248" s="17"/>
      <c r="I1248" s="30">
        <f>IF($A1248="","",DATE(YEAR($A1248),MONTH($A1248),1))</f>
        <v/>
      </c>
      <c r="J1248" s="31">
        <f>IF($A1248="","",IF(OR($B1248="",$C1248="",$F1248="",$G1248=""),"Preencher tudo",IF(COUNTIF(EtapaLista,$B1248)=0,"Etapa inválida","OK")))</f>
        <v/>
      </c>
    </row>
    <row r="1249" spans="1:10">
      <c r="A1249" s="17"/>
      <c r="B1249" s="15"/>
      <c r="C1249" s="15"/>
      <c r="D1249" s="15"/>
      <c r="E1249" s="15"/>
      <c r="F1249" s="16"/>
      <c r="G1249" s="27"/>
      <c r="H1249" s="17"/>
      <c r="I1249" s="30">
        <f>IF($A1249="","",DATE(YEAR($A1249),MONTH($A1249),1))</f>
        <v/>
      </c>
      <c r="J1249" s="31">
        <f>IF($A1249="","",IF(OR($B1249="",$C1249="",$F1249="",$G1249=""),"Preencher tudo",IF(COUNTIF(EtapaLista,$B1249)=0,"Etapa inválida","OK")))</f>
        <v/>
      </c>
    </row>
    <row r="1250" spans="1:10">
      <c r="A1250" s="17"/>
      <c r="B1250" s="15"/>
      <c r="C1250" s="15"/>
      <c r="D1250" s="15"/>
      <c r="E1250" s="15"/>
      <c r="F1250" s="16"/>
      <c r="G1250" s="27"/>
      <c r="H1250" s="17"/>
      <c r="I1250" s="30">
        <f>IF($A1250="","",DATE(YEAR($A1250),MONTH($A1250),1))</f>
        <v/>
      </c>
      <c r="J1250" s="31">
        <f>IF($A1250="","",IF(OR($B1250="",$C1250="",$F1250="",$G1250=""),"Preencher tudo",IF(COUNTIF(EtapaLista,$B1250)=0,"Etapa inválida","OK")))</f>
        <v/>
      </c>
    </row>
    <row r="1251" spans="1:10">
      <c r="A1251" s="17"/>
      <c r="B1251" s="15"/>
      <c r="C1251" s="15"/>
      <c r="D1251" s="15"/>
      <c r="E1251" s="15"/>
      <c r="F1251" s="16"/>
      <c r="G1251" s="27"/>
      <c r="H1251" s="17"/>
      <c r="I1251" s="30">
        <f>IF($A1251="","",DATE(YEAR($A1251),MONTH($A1251),1))</f>
        <v/>
      </c>
      <c r="J1251" s="31">
        <f>IF($A1251="","",IF(OR($B1251="",$C1251="",$F1251="",$G1251=""),"Preencher tudo",IF(COUNTIF(EtapaLista,$B1251)=0,"Etapa inválida","OK")))</f>
        <v/>
      </c>
    </row>
    <row r="1252" spans="1:10">
      <c r="A1252" s="17"/>
      <c r="B1252" s="15"/>
      <c r="C1252" s="15"/>
      <c r="D1252" s="15"/>
      <c r="E1252" s="15"/>
      <c r="F1252" s="16"/>
      <c r="G1252" s="27"/>
      <c r="H1252" s="17"/>
      <c r="I1252" s="30">
        <f>IF($A1252="","",DATE(YEAR($A1252),MONTH($A1252),1))</f>
        <v/>
      </c>
      <c r="J1252" s="31">
        <f>IF($A1252="","",IF(OR($B1252="",$C1252="",$F1252="",$G1252=""),"Preencher tudo",IF(COUNTIF(EtapaLista,$B1252)=0,"Etapa inválida","OK")))</f>
        <v/>
      </c>
    </row>
    <row r="1253" spans="1:10">
      <c r="A1253" s="17"/>
      <c r="B1253" s="15"/>
      <c r="C1253" s="15"/>
      <c r="D1253" s="15"/>
      <c r="E1253" s="15"/>
      <c r="F1253" s="16"/>
      <c r="G1253" s="27"/>
      <c r="H1253" s="17"/>
      <c r="I1253" s="30">
        <f>IF($A1253="","",DATE(YEAR($A1253),MONTH($A1253),1))</f>
        <v/>
      </c>
      <c r="J1253" s="31">
        <f>IF($A1253="","",IF(OR($B1253="",$C1253="",$F1253="",$G1253=""),"Preencher tudo",IF(COUNTIF(EtapaLista,$B1253)=0,"Etapa inválida","OK")))</f>
        <v/>
      </c>
    </row>
    <row r="1254" spans="1:10">
      <c r="A1254" s="17"/>
      <c r="B1254" s="15"/>
      <c r="C1254" s="15"/>
      <c r="D1254" s="15"/>
      <c r="E1254" s="15"/>
      <c r="F1254" s="16"/>
      <c r="G1254" s="27"/>
      <c r="H1254" s="17"/>
      <c r="I1254" s="30">
        <f>IF($A1254="","",DATE(YEAR($A1254),MONTH($A1254),1))</f>
        <v/>
      </c>
      <c r="J1254" s="31">
        <f>IF($A1254="","",IF(OR($B1254="",$C1254="",$F1254="",$G1254=""),"Preencher tudo",IF(COUNTIF(EtapaLista,$B1254)=0,"Etapa inválida","OK")))</f>
        <v/>
      </c>
    </row>
    <row r="1255" spans="1:10">
      <c r="A1255" s="17"/>
      <c r="B1255" s="15"/>
      <c r="C1255" s="15"/>
      <c r="D1255" s="15"/>
      <c r="E1255" s="15"/>
      <c r="F1255" s="16"/>
      <c r="G1255" s="27"/>
      <c r="H1255" s="17"/>
      <c r="I1255" s="30">
        <f>IF($A1255="","",DATE(YEAR($A1255),MONTH($A1255),1))</f>
        <v/>
      </c>
      <c r="J1255" s="31">
        <f>IF($A1255="","",IF(OR($B1255="",$C1255="",$F1255="",$G1255=""),"Preencher tudo",IF(COUNTIF(EtapaLista,$B1255)=0,"Etapa inválida","OK")))</f>
        <v/>
      </c>
    </row>
    <row r="1256" spans="1:10">
      <c r="A1256" s="17"/>
      <c r="B1256" s="15"/>
      <c r="C1256" s="15"/>
      <c r="D1256" s="15"/>
      <c r="E1256" s="15"/>
      <c r="F1256" s="16"/>
      <c r="G1256" s="27"/>
      <c r="H1256" s="17"/>
      <c r="I1256" s="30">
        <f>IF($A1256="","",DATE(YEAR($A1256),MONTH($A1256),1))</f>
        <v/>
      </c>
      <c r="J1256" s="31">
        <f>IF($A1256="","",IF(OR($B1256="",$C1256="",$F1256="",$G1256=""),"Preencher tudo",IF(COUNTIF(EtapaLista,$B1256)=0,"Etapa inválida","OK")))</f>
        <v/>
      </c>
    </row>
    <row r="1257" spans="1:10">
      <c r="A1257" s="17"/>
      <c r="B1257" s="15"/>
      <c r="C1257" s="15"/>
      <c r="D1257" s="15"/>
      <c r="E1257" s="15"/>
      <c r="F1257" s="16"/>
      <c r="G1257" s="27"/>
      <c r="H1257" s="17"/>
      <c r="I1257" s="30">
        <f>IF($A1257="","",DATE(YEAR($A1257),MONTH($A1257),1))</f>
        <v/>
      </c>
      <c r="J1257" s="31">
        <f>IF($A1257="","",IF(OR($B1257="",$C1257="",$F1257="",$G1257=""),"Preencher tudo",IF(COUNTIF(EtapaLista,$B1257)=0,"Etapa inválida","OK")))</f>
        <v/>
      </c>
    </row>
    <row r="1258" spans="1:10">
      <c r="A1258" s="17"/>
      <c r="B1258" s="15"/>
      <c r="C1258" s="15"/>
      <c r="D1258" s="15"/>
      <c r="E1258" s="15"/>
      <c r="F1258" s="16"/>
      <c r="G1258" s="27"/>
      <c r="H1258" s="17"/>
      <c r="I1258" s="30">
        <f>IF($A1258="","",DATE(YEAR($A1258),MONTH($A1258),1))</f>
        <v/>
      </c>
      <c r="J1258" s="31">
        <f>IF($A1258="","",IF(OR($B1258="",$C1258="",$F1258="",$G1258=""),"Preencher tudo",IF(COUNTIF(EtapaLista,$B1258)=0,"Etapa inválida","OK")))</f>
        <v/>
      </c>
    </row>
    <row r="1259" spans="1:10">
      <c r="A1259" s="17"/>
      <c r="B1259" s="15"/>
      <c r="C1259" s="15"/>
      <c r="D1259" s="15"/>
      <c r="E1259" s="15"/>
      <c r="F1259" s="16"/>
      <c r="G1259" s="27"/>
      <c r="H1259" s="17"/>
      <c r="I1259" s="30">
        <f>IF($A1259="","",DATE(YEAR($A1259),MONTH($A1259),1))</f>
        <v/>
      </c>
      <c r="J1259" s="31">
        <f>IF($A1259="","",IF(OR($B1259="",$C1259="",$F1259="",$G1259=""),"Preencher tudo",IF(COUNTIF(EtapaLista,$B1259)=0,"Etapa inválida","OK")))</f>
        <v/>
      </c>
    </row>
    <row r="1260" spans="1:10">
      <c r="A1260" s="17"/>
      <c r="B1260" s="15"/>
      <c r="C1260" s="15"/>
      <c r="D1260" s="15"/>
      <c r="E1260" s="15"/>
      <c r="F1260" s="16"/>
      <c r="G1260" s="27"/>
      <c r="H1260" s="17"/>
      <c r="I1260" s="30">
        <f>IF($A1260="","",DATE(YEAR($A1260),MONTH($A1260),1))</f>
        <v/>
      </c>
      <c r="J1260" s="31">
        <f>IF($A1260="","",IF(OR($B1260="",$C1260="",$F1260="",$G1260=""),"Preencher tudo",IF(COUNTIF(EtapaLista,$B1260)=0,"Etapa inválida","OK")))</f>
        <v/>
      </c>
    </row>
    <row r="1261" spans="1:10">
      <c r="A1261" s="17"/>
      <c r="B1261" s="15"/>
      <c r="C1261" s="15"/>
      <c r="D1261" s="15"/>
      <c r="E1261" s="15"/>
      <c r="F1261" s="16"/>
      <c r="G1261" s="27"/>
      <c r="H1261" s="17"/>
      <c r="I1261" s="30">
        <f>IF($A1261="","",DATE(YEAR($A1261),MONTH($A1261),1))</f>
        <v/>
      </c>
      <c r="J1261" s="31">
        <f>IF($A1261="","",IF(OR($B1261="",$C1261="",$F1261="",$G1261=""),"Preencher tudo",IF(COUNTIF(EtapaLista,$B1261)=0,"Etapa inválida","OK")))</f>
        <v/>
      </c>
    </row>
    <row r="1262" spans="1:10">
      <c r="A1262" s="17"/>
      <c r="B1262" s="15"/>
      <c r="C1262" s="15"/>
      <c r="D1262" s="15"/>
      <c r="E1262" s="15"/>
      <c r="F1262" s="16"/>
      <c r="G1262" s="27"/>
      <c r="H1262" s="17"/>
      <c r="I1262" s="30">
        <f>IF($A1262="","",DATE(YEAR($A1262),MONTH($A1262),1))</f>
        <v/>
      </c>
      <c r="J1262" s="31">
        <f>IF($A1262="","",IF(OR($B1262="",$C1262="",$F1262="",$G1262=""),"Preencher tudo",IF(COUNTIF(EtapaLista,$B1262)=0,"Etapa inválida","OK")))</f>
        <v/>
      </c>
    </row>
    <row r="1263" spans="1:10">
      <c r="A1263" s="17"/>
      <c r="B1263" s="15"/>
      <c r="C1263" s="15"/>
      <c r="D1263" s="15"/>
      <c r="E1263" s="15"/>
      <c r="F1263" s="16"/>
      <c r="G1263" s="27"/>
      <c r="H1263" s="17"/>
      <c r="I1263" s="30">
        <f>IF($A1263="","",DATE(YEAR($A1263),MONTH($A1263),1))</f>
        <v/>
      </c>
      <c r="J1263" s="31">
        <f>IF($A1263="","",IF(OR($B1263="",$C1263="",$F1263="",$G1263=""),"Preencher tudo",IF(COUNTIF(EtapaLista,$B1263)=0,"Etapa inválida","OK")))</f>
        <v/>
      </c>
    </row>
    <row r="1264" spans="1:10">
      <c r="A1264" s="17"/>
      <c r="B1264" s="15"/>
      <c r="C1264" s="15"/>
      <c r="D1264" s="15"/>
      <c r="E1264" s="15"/>
      <c r="F1264" s="16"/>
      <c r="G1264" s="27"/>
      <c r="H1264" s="17"/>
      <c r="I1264" s="30">
        <f>IF($A1264="","",DATE(YEAR($A1264),MONTH($A1264),1))</f>
        <v/>
      </c>
      <c r="J1264" s="31">
        <f>IF($A1264="","",IF(OR($B1264="",$C1264="",$F1264="",$G1264=""),"Preencher tudo",IF(COUNTIF(EtapaLista,$B1264)=0,"Etapa inválida","OK")))</f>
        <v/>
      </c>
    </row>
    <row r="1265" spans="1:10">
      <c r="A1265" s="17"/>
      <c r="B1265" s="15"/>
      <c r="C1265" s="15"/>
      <c r="D1265" s="15"/>
      <c r="E1265" s="15"/>
      <c r="F1265" s="16"/>
      <c r="G1265" s="27"/>
      <c r="H1265" s="17"/>
      <c r="I1265" s="30">
        <f>IF($A1265="","",DATE(YEAR($A1265),MONTH($A1265),1))</f>
        <v/>
      </c>
      <c r="J1265" s="31">
        <f>IF($A1265="","",IF(OR($B1265="",$C1265="",$F1265="",$G1265=""),"Preencher tudo",IF(COUNTIF(EtapaLista,$B1265)=0,"Etapa inválida","OK")))</f>
        <v/>
      </c>
    </row>
    <row r="1266" spans="1:10">
      <c r="A1266" s="17"/>
      <c r="B1266" s="15"/>
      <c r="C1266" s="15"/>
      <c r="D1266" s="15"/>
      <c r="E1266" s="15"/>
      <c r="F1266" s="16"/>
      <c r="G1266" s="27"/>
      <c r="H1266" s="17"/>
      <c r="I1266" s="30">
        <f>IF($A1266="","",DATE(YEAR($A1266),MONTH($A1266),1))</f>
        <v/>
      </c>
      <c r="J1266" s="31">
        <f>IF($A1266="","",IF(OR($B1266="",$C1266="",$F1266="",$G1266=""),"Preencher tudo",IF(COUNTIF(EtapaLista,$B1266)=0,"Etapa inválida","OK")))</f>
        <v/>
      </c>
    </row>
    <row r="1267" spans="1:10">
      <c r="A1267" s="17"/>
      <c r="B1267" s="15"/>
      <c r="C1267" s="15"/>
      <c r="D1267" s="15"/>
      <c r="E1267" s="15"/>
      <c r="F1267" s="16"/>
      <c r="G1267" s="27"/>
      <c r="H1267" s="17"/>
      <c r="I1267" s="30">
        <f>IF($A1267="","",DATE(YEAR($A1267),MONTH($A1267),1))</f>
        <v/>
      </c>
      <c r="J1267" s="31">
        <f>IF($A1267="","",IF(OR($B1267="",$C1267="",$F1267="",$G1267=""),"Preencher tudo",IF(COUNTIF(EtapaLista,$B1267)=0,"Etapa inválida","OK")))</f>
        <v/>
      </c>
    </row>
    <row r="1268" spans="1:10">
      <c r="A1268" s="17"/>
      <c r="B1268" s="15"/>
      <c r="C1268" s="15"/>
      <c r="D1268" s="15"/>
      <c r="E1268" s="15"/>
      <c r="F1268" s="16"/>
      <c r="G1268" s="27"/>
      <c r="H1268" s="17"/>
      <c r="I1268" s="30">
        <f>IF($A1268="","",DATE(YEAR($A1268),MONTH($A1268),1))</f>
        <v/>
      </c>
      <c r="J1268" s="31">
        <f>IF($A1268="","",IF(OR($B1268="",$C1268="",$F1268="",$G1268=""),"Preencher tudo",IF(COUNTIF(EtapaLista,$B1268)=0,"Etapa inválida","OK")))</f>
        <v/>
      </c>
    </row>
    <row r="1269" spans="1:10">
      <c r="A1269" s="17"/>
      <c r="B1269" s="15"/>
      <c r="C1269" s="15"/>
      <c r="D1269" s="15"/>
      <c r="E1269" s="15"/>
      <c r="F1269" s="16"/>
      <c r="G1269" s="27"/>
      <c r="H1269" s="17"/>
      <c r="I1269" s="30">
        <f>IF($A1269="","",DATE(YEAR($A1269),MONTH($A1269),1))</f>
        <v/>
      </c>
      <c r="J1269" s="31">
        <f>IF($A1269="","",IF(OR($B1269="",$C1269="",$F1269="",$G1269=""),"Preencher tudo",IF(COUNTIF(EtapaLista,$B1269)=0,"Etapa inválida","OK")))</f>
        <v/>
      </c>
    </row>
    <row r="1270" spans="1:10">
      <c r="A1270" s="17"/>
      <c r="B1270" s="15"/>
      <c r="C1270" s="15"/>
      <c r="D1270" s="15"/>
      <c r="E1270" s="15"/>
      <c r="F1270" s="16"/>
      <c r="G1270" s="27"/>
      <c r="H1270" s="17"/>
      <c r="I1270" s="30">
        <f>IF($A1270="","",DATE(YEAR($A1270),MONTH($A1270),1))</f>
        <v/>
      </c>
      <c r="J1270" s="31">
        <f>IF($A1270="","",IF(OR($B1270="",$C1270="",$F1270="",$G1270=""),"Preencher tudo",IF(COUNTIF(EtapaLista,$B1270)=0,"Etapa inválida","OK")))</f>
        <v/>
      </c>
    </row>
    <row r="1271" spans="1:10">
      <c r="A1271" s="17"/>
      <c r="B1271" s="15"/>
      <c r="C1271" s="15"/>
      <c r="D1271" s="15"/>
      <c r="E1271" s="15"/>
      <c r="F1271" s="16"/>
      <c r="G1271" s="27"/>
      <c r="H1271" s="17"/>
      <c r="I1271" s="30">
        <f>IF($A1271="","",DATE(YEAR($A1271),MONTH($A1271),1))</f>
        <v/>
      </c>
      <c r="J1271" s="31">
        <f>IF($A1271="","",IF(OR($B1271="",$C1271="",$F1271="",$G1271=""),"Preencher tudo",IF(COUNTIF(EtapaLista,$B1271)=0,"Etapa inválida","OK")))</f>
        <v/>
      </c>
    </row>
    <row r="1272" spans="1:10">
      <c r="A1272" s="17"/>
      <c r="B1272" s="15"/>
      <c r="C1272" s="15"/>
      <c r="D1272" s="15"/>
      <c r="E1272" s="15"/>
      <c r="F1272" s="16"/>
      <c r="G1272" s="27"/>
      <c r="H1272" s="17"/>
      <c r="I1272" s="30">
        <f>IF($A1272="","",DATE(YEAR($A1272),MONTH($A1272),1))</f>
        <v/>
      </c>
      <c r="J1272" s="31">
        <f>IF($A1272="","",IF(OR($B1272="",$C1272="",$F1272="",$G1272=""),"Preencher tudo",IF(COUNTIF(EtapaLista,$B1272)=0,"Etapa inválida","OK")))</f>
        <v/>
      </c>
    </row>
    <row r="1273" spans="1:10">
      <c r="A1273" s="17"/>
      <c r="B1273" s="15"/>
      <c r="C1273" s="15"/>
      <c r="D1273" s="15"/>
      <c r="E1273" s="15"/>
      <c r="F1273" s="16"/>
      <c r="G1273" s="27"/>
      <c r="H1273" s="17"/>
      <c r="I1273" s="30">
        <f>IF($A1273="","",DATE(YEAR($A1273),MONTH($A1273),1))</f>
        <v/>
      </c>
      <c r="J1273" s="31">
        <f>IF($A1273="","",IF(OR($B1273="",$C1273="",$F1273="",$G1273=""),"Preencher tudo",IF(COUNTIF(EtapaLista,$B1273)=0,"Etapa inválida","OK")))</f>
        <v/>
      </c>
    </row>
    <row r="1274" spans="1:10">
      <c r="A1274" s="17"/>
      <c r="B1274" s="15"/>
      <c r="C1274" s="15"/>
      <c r="D1274" s="15"/>
      <c r="E1274" s="15"/>
      <c r="F1274" s="16"/>
      <c r="G1274" s="27"/>
      <c r="H1274" s="17"/>
      <c r="I1274" s="30">
        <f>IF($A1274="","",DATE(YEAR($A1274),MONTH($A1274),1))</f>
        <v/>
      </c>
      <c r="J1274" s="31">
        <f>IF($A1274="","",IF(OR($B1274="",$C1274="",$F1274="",$G1274=""),"Preencher tudo",IF(COUNTIF(EtapaLista,$B1274)=0,"Etapa inválida","OK")))</f>
        <v/>
      </c>
    </row>
    <row r="1275" spans="1:10">
      <c r="A1275" s="17"/>
      <c r="B1275" s="15"/>
      <c r="C1275" s="15"/>
      <c r="D1275" s="15"/>
      <c r="E1275" s="15"/>
      <c r="F1275" s="16"/>
      <c r="G1275" s="27"/>
      <c r="H1275" s="17"/>
      <c r="I1275" s="30">
        <f>IF($A1275="","",DATE(YEAR($A1275),MONTH($A1275),1))</f>
        <v/>
      </c>
      <c r="J1275" s="31">
        <f>IF($A1275="","",IF(OR($B1275="",$C1275="",$F1275="",$G1275=""),"Preencher tudo",IF(COUNTIF(EtapaLista,$B1275)=0,"Etapa inválida","OK")))</f>
        <v/>
      </c>
    </row>
    <row r="1276" spans="1:10">
      <c r="A1276" s="17"/>
      <c r="B1276" s="15"/>
      <c r="C1276" s="15"/>
      <c r="D1276" s="15"/>
      <c r="E1276" s="15"/>
      <c r="F1276" s="16"/>
      <c r="G1276" s="27"/>
      <c r="H1276" s="17"/>
      <c r="I1276" s="30">
        <f>IF($A1276="","",DATE(YEAR($A1276),MONTH($A1276),1))</f>
        <v/>
      </c>
      <c r="J1276" s="31">
        <f>IF($A1276="","",IF(OR($B1276="",$C1276="",$F1276="",$G1276=""),"Preencher tudo",IF(COUNTIF(EtapaLista,$B1276)=0,"Etapa inválida","OK")))</f>
        <v/>
      </c>
    </row>
    <row r="1277" spans="1:10">
      <c r="A1277" s="17"/>
      <c r="B1277" s="15"/>
      <c r="C1277" s="15"/>
      <c r="D1277" s="15"/>
      <c r="E1277" s="15"/>
      <c r="F1277" s="16"/>
      <c r="G1277" s="27"/>
      <c r="H1277" s="17"/>
      <c r="I1277" s="30">
        <f>IF($A1277="","",DATE(YEAR($A1277),MONTH($A1277),1))</f>
        <v/>
      </c>
      <c r="J1277" s="31">
        <f>IF($A1277="","",IF(OR($B1277="",$C1277="",$F1277="",$G1277=""),"Preencher tudo",IF(COUNTIF(EtapaLista,$B1277)=0,"Etapa inválida","OK")))</f>
        <v/>
      </c>
    </row>
    <row r="1278" spans="1:10">
      <c r="A1278" s="17"/>
      <c r="B1278" s="15"/>
      <c r="C1278" s="15"/>
      <c r="D1278" s="15"/>
      <c r="E1278" s="15"/>
      <c r="F1278" s="16"/>
      <c r="G1278" s="27"/>
      <c r="H1278" s="17"/>
      <c r="I1278" s="30">
        <f>IF($A1278="","",DATE(YEAR($A1278),MONTH($A1278),1))</f>
        <v/>
      </c>
      <c r="J1278" s="31">
        <f>IF($A1278="","",IF(OR($B1278="",$C1278="",$F1278="",$G1278=""),"Preencher tudo",IF(COUNTIF(EtapaLista,$B1278)=0,"Etapa inválida","OK")))</f>
        <v/>
      </c>
    </row>
    <row r="1279" spans="1:10">
      <c r="A1279" s="17"/>
      <c r="B1279" s="15"/>
      <c r="C1279" s="15"/>
      <c r="D1279" s="15"/>
      <c r="E1279" s="15"/>
      <c r="F1279" s="16"/>
      <c r="G1279" s="27"/>
      <c r="H1279" s="17"/>
      <c r="I1279" s="30">
        <f>IF($A1279="","",DATE(YEAR($A1279),MONTH($A1279),1))</f>
        <v/>
      </c>
      <c r="J1279" s="31">
        <f>IF($A1279="","",IF(OR($B1279="",$C1279="",$F1279="",$G1279=""),"Preencher tudo",IF(COUNTIF(EtapaLista,$B1279)=0,"Etapa inválida","OK")))</f>
        <v/>
      </c>
    </row>
    <row r="1280" spans="1:10">
      <c r="A1280" s="17"/>
      <c r="B1280" s="15"/>
      <c r="C1280" s="15"/>
      <c r="D1280" s="15"/>
      <c r="E1280" s="15"/>
      <c r="F1280" s="16"/>
      <c r="G1280" s="27"/>
      <c r="H1280" s="17"/>
      <c r="I1280" s="30">
        <f>IF($A1280="","",DATE(YEAR($A1280),MONTH($A1280),1))</f>
        <v/>
      </c>
      <c r="J1280" s="31">
        <f>IF($A1280="","",IF(OR($B1280="",$C1280="",$F1280="",$G1280=""),"Preencher tudo",IF(COUNTIF(EtapaLista,$B1280)=0,"Etapa inválida","OK")))</f>
        <v/>
      </c>
    </row>
    <row r="1281" spans="1:10">
      <c r="A1281" s="17"/>
      <c r="B1281" s="15"/>
      <c r="C1281" s="15"/>
      <c r="D1281" s="15"/>
      <c r="E1281" s="15"/>
      <c r="F1281" s="16"/>
      <c r="G1281" s="27"/>
      <c r="H1281" s="17"/>
      <c r="I1281" s="30">
        <f>IF($A1281="","",DATE(YEAR($A1281),MONTH($A1281),1))</f>
        <v/>
      </c>
      <c r="J1281" s="31">
        <f>IF($A1281="","",IF(OR($B1281="",$C1281="",$F1281="",$G1281=""),"Preencher tudo",IF(COUNTIF(EtapaLista,$B1281)=0,"Etapa inválida","OK")))</f>
        <v/>
      </c>
    </row>
    <row r="1282" spans="1:10">
      <c r="A1282" s="17"/>
      <c r="B1282" s="15"/>
      <c r="C1282" s="15"/>
      <c r="D1282" s="15"/>
      <c r="E1282" s="15"/>
      <c r="F1282" s="16"/>
      <c r="G1282" s="27"/>
      <c r="H1282" s="17"/>
      <c r="I1282" s="30">
        <f>IF($A1282="","",DATE(YEAR($A1282),MONTH($A1282),1))</f>
        <v/>
      </c>
      <c r="J1282" s="31">
        <f>IF($A1282="","",IF(OR($B1282="",$C1282="",$F1282="",$G1282=""),"Preencher tudo",IF(COUNTIF(EtapaLista,$B1282)=0,"Etapa inválida","OK")))</f>
        <v/>
      </c>
    </row>
    <row r="1283" spans="1:10">
      <c r="A1283" s="17"/>
      <c r="B1283" s="15"/>
      <c r="C1283" s="15"/>
      <c r="D1283" s="15"/>
      <c r="E1283" s="15"/>
      <c r="F1283" s="16"/>
      <c r="G1283" s="27"/>
      <c r="H1283" s="17"/>
      <c r="I1283" s="30">
        <f>IF($A1283="","",DATE(YEAR($A1283),MONTH($A1283),1))</f>
        <v/>
      </c>
      <c r="J1283" s="31">
        <f>IF($A1283="","",IF(OR($B1283="",$C1283="",$F1283="",$G1283=""),"Preencher tudo",IF(COUNTIF(EtapaLista,$B1283)=0,"Etapa inválida","OK")))</f>
        <v/>
      </c>
    </row>
    <row r="1284" spans="1:10">
      <c r="A1284" s="17"/>
      <c r="B1284" s="15"/>
      <c r="C1284" s="15"/>
      <c r="D1284" s="15"/>
      <c r="E1284" s="15"/>
      <c r="F1284" s="16"/>
      <c r="G1284" s="27"/>
      <c r="H1284" s="17"/>
      <c r="I1284" s="30">
        <f>IF($A1284="","",DATE(YEAR($A1284),MONTH($A1284),1))</f>
        <v/>
      </c>
      <c r="J1284" s="31">
        <f>IF($A1284="","",IF(OR($B1284="",$C1284="",$F1284="",$G1284=""),"Preencher tudo",IF(COUNTIF(EtapaLista,$B1284)=0,"Etapa inválida","OK")))</f>
        <v/>
      </c>
    </row>
    <row r="1285" spans="1:10">
      <c r="A1285" s="17"/>
      <c r="B1285" s="15"/>
      <c r="C1285" s="15"/>
      <c r="D1285" s="15"/>
      <c r="E1285" s="15"/>
      <c r="F1285" s="16"/>
      <c r="G1285" s="27"/>
      <c r="H1285" s="17"/>
      <c r="I1285" s="30">
        <f>IF($A1285="","",DATE(YEAR($A1285),MONTH($A1285),1))</f>
        <v/>
      </c>
      <c r="J1285" s="31">
        <f>IF($A1285="","",IF(OR($B1285="",$C1285="",$F1285="",$G1285=""),"Preencher tudo",IF(COUNTIF(EtapaLista,$B1285)=0,"Etapa inválida","OK")))</f>
        <v/>
      </c>
    </row>
    <row r="1286" spans="1:10">
      <c r="A1286" s="17"/>
      <c r="B1286" s="15"/>
      <c r="C1286" s="15"/>
      <c r="D1286" s="15"/>
      <c r="E1286" s="15"/>
      <c r="F1286" s="16"/>
      <c r="G1286" s="27"/>
      <c r="H1286" s="17"/>
      <c r="I1286" s="30">
        <f>IF($A1286="","",DATE(YEAR($A1286),MONTH($A1286),1))</f>
        <v/>
      </c>
      <c r="J1286" s="31">
        <f>IF($A1286="","",IF(OR($B1286="",$C1286="",$F1286="",$G1286=""),"Preencher tudo",IF(COUNTIF(EtapaLista,$B1286)=0,"Etapa inválida","OK")))</f>
        <v/>
      </c>
    </row>
    <row r="1287" spans="1:10">
      <c r="A1287" s="17"/>
      <c r="B1287" s="15"/>
      <c r="C1287" s="15"/>
      <c r="D1287" s="15"/>
      <c r="E1287" s="15"/>
      <c r="F1287" s="16"/>
      <c r="G1287" s="27"/>
      <c r="H1287" s="17"/>
      <c r="I1287" s="30">
        <f>IF($A1287="","",DATE(YEAR($A1287),MONTH($A1287),1))</f>
        <v/>
      </c>
      <c r="J1287" s="31">
        <f>IF($A1287="","",IF(OR($B1287="",$C1287="",$F1287="",$G1287=""),"Preencher tudo",IF(COUNTIF(EtapaLista,$B1287)=0,"Etapa inválida","OK")))</f>
        <v/>
      </c>
    </row>
    <row r="1288" spans="1:10">
      <c r="A1288" s="17"/>
      <c r="B1288" s="15"/>
      <c r="C1288" s="15"/>
      <c r="D1288" s="15"/>
      <c r="E1288" s="15"/>
      <c r="F1288" s="16"/>
      <c r="G1288" s="27"/>
      <c r="H1288" s="17"/>
      <c r="I1288" s="30">
        <f>IF($A1288="","",DATE(YEAR($A1288),MONTH($A1288),1))</f>
        <v/>
      </c>
      <c r="J1288" s="31">
        <f>IF($A1288="","",IF(OR($B1288="",$C1288="",$F1288="",$G1288=""),"Preencher tudo",IF(COUNTIF(EtapaLista,$B1288)=0,"Etapa inválida","OK")))</f>
        <v/>
      </c>
    </row>
    <row r="1289" spans="1:10">
      <c r="A1289" s="17"/>
      <c r="B1289" s="15"/>
      <c r="C1289" s="15"/>
      <c r="D1289" s="15"/>
      <c r="E1289" s="15"/>
      <c r="F1289" s="16"/>
      <c r="G1289" s="27"/>
      <c r="H1289" s="17"/>
      <c r="I1289" s="30">
        <f>IF($A1289="","",DATE(YEAR($A1289),MONTH($A1289),1))</f>
        <v/>
      </c>
      <c r="J1289" s="31">
        <f>IF($A1289="","",IF(OR($B1289="",$C1289="",$F1289="",$G1289=""),"Preencher tudo",IF(COUNTIF(EtapaLista,$B1289)=0,"Etapa inválida","OK")))</f>
        <v/>
      </c>
    </row>
    <row r="1290" spans="1:10">
      <c r="A1290" s="17"/>
      <c r="B1290" s="15"/>
      <c r="C1290" s="15"/>
      <c r="D1290" s="15"/>
      <c r="E1290" s="15"/>
      <c r="F1290" s="16"/>
      <c r="G1290" s="27"/>
      <c r="H1290" s="17"/>
      <c r="I1290" s="30">
        <f>IF($A1290="","",DATE(YEAR($A1290),MONTH($A1290),1))</f>
        <v/>
      </c>
      <c r="J1290" s="31">
        <f>IF($A1290="","",IF(OR($B1290="",$C1290="",$F1290="",$G1290=""),"Preencher tudo",IF(COUNTIF(EtapaLista,$B1290)=0,"Etapa inválida","OK")))</f>
        <v/>
      </c>
    </row>
    <row r="1291" spans="1:10">
      <c r="A1291" s="17"/>
      <c r="B1291" s="15"/>
      <c r="C1291" s="15"/>
      <c r="D1291" s="15"/>
      <c r="E1291" s="15"/>
      <c r="F1291" s="16"/>
      <c r="G1291" s="27"/>
      <c r="H1291" s="17"/>
      <c r="I1291" s="30">
        <f>IF($A1291="","",DATE(YEAR($A1291),MONTH($A1291),1))</f>
        <v/>
      </c>
      <c r="J1291" s="31">
        <f>IF($A1291="","",IF(OR($B1291="",$C1291="",$F1291="",$G1291=""),"Preencher tudo",IF(COUNTIF(EtapaLista,$B1291)=0,"Etapa inválida","OK")))</f>
        <v/>
      </c>
    </row>
    <row r="1292" spans="1:10">
      <c r="A1292" s="17"/>
      <c r="B1292" s="15"/>
      <c r="C1292" s="15"/>
      <c r="D1292" s="15"/>
      <c r="E1292" s="15"/>
      <c r="F1292" s="16"/>
      <c r="G1292" s="27"/>
      <c r="H1292" s="17"/>
      <c r="I1292" s="30">
        <f>IF($A1292="","",DATE(YEAR($A1292),MONTH($A1292),1))</f>
        <v/>
      </c>
      <c r="J1292" s="31">
        <f>IF($A1292="","",IF(OR($B1292="",$C1292="",$F1292="",$G1292=""),"Preencher tudo",IF(COUNTIF(EtapaLista,$B1292)=0,"Etapa inválida","OK")))</f>
        <v/>
      </c>
    </row>
    <row r="1293" spans="1:10">
      <c r="A1293" s="17"/>
      <c r="B1293" s="15"/>
      <c r="C1293" s="15"/>
      <c r="D1293" s="15"/>
      <c r="E1293" s="15"/>
      <c r="F1293" s="16"/>
      <c r="G1293" s="27"/>
      <c r="H1293" s="17"/>
      <c r="I1293" s="30">
        <f>IF($A1293="","",DATE(YEAR($A1293),MONTH($A1293),1))</f>
        <v/>
      </c>
      <c r="J1293" s="31">
        <f>IF($A1293="","",IF(OR($B1293="",$C1293="",$F1293="",$G1293=""),"Preencher tudo",IF(COUNTIF(EtapaLista,$B1293)=0,"Etapa inválida","OK")))</f>
        <v/>
      </c>
    </row>
    <row r="1294" spans="1:10">
      <c r="A1294" s="17"/>
      <c r="B1294" s="15"/>
      <c r="C1294" s="15"/>
      <c r="D1294" s="15"/>
      <c r="E1294" s="15"/>
      <c r="F1294" s="16"/>
      <c r="G1294" s="27"/>
      <c r="H1294" s="17"/>
      <c r="I1294" s="30">
        <f>IF($A1294="","",DATE(YEAR($A1294),MONTH($A1294),1))</f>
        <v/>
      </c>
      <c r="J1294" s="31">
        <f>IF($A1294="","",IF(OR($B1294="",$C1294="",$F1294="",$G1294=""),"Preencher tudo",IF(COUNTIF(EtapaLista,$B1294)=0,"Etapa inválida","OK")))</f>
        <v/>
      </c>
    </row>
    <row r="1295" spans="1:10">
      <c r="A1295" s="17"/>
      <c r="B1295" s="15"/>
      <c r="C1295" s="15"/>
      <c r="D1295" s="15"/>
      <c r="E1295" s="15"/>
      <c r="F1295" s="16"/>
      <c r="G1295" s="27"/>
      <c r="H1295" s="17"/>
      <c r="I1295" s="30">
        <f>IF($A1295="","",DATE(YEAR($A1295),MONTH($A1295),1))</f>
        <v/>
      </c>
      <c r="J1295" s="31">
        <f>IF($A1295="","",IF(OR($B1295="",$C1295="",$F1295="",$G1295=""),"Preencher tudo",IF(COUNTIF(EtapaLista,$B1295)=0,"Etapa inválida","OK")))</f>
        <v/>
      </c>
    </row>
    <row r="1296" spans="1:10">
      <c r="A1296" s="17"/>
      <c r="B1296" s="15"/>
      <c r="C1296" s="15"/>
      <c r="D1296" s="15"/>
      <c r="E1296" s="15"/>
      <c r="F1296" s="16"/>
      <c r="G1296" s="27"/>
      <c r="H1296" s="17"/>
      <c r="I1296" s="30">
        <f>IF($A1296="","",DATE(YEAR($A1296),MONTH($A1296),1))</f>
        <v/>
      </c>
      <c r="J1296" s="31">
        <f>IF($A1296="","",IF(OR($B1296="",$C1296="",$F1296="",$G1296=""),"Preencher tudo",IF(COUNTIF(EtapaLista,$B1296)=0,"Etapa inválida","OK")))</f>
        <v/>
      </c>
    </row>
    <row r="1297" spans="1:10">
      <c r="A1297" s="17"/>
      <c r="B1297" s="15"/>
      <c r="C1297" s="15"/>
      <c r="D1297" s="15"/>
      <c r="E1297" s="15"/>
      <c r="F1297" s="16"/>
      <c r="G1297" s="27"/>
      <c r="H1297" s="17"/>
      <c r="I1297" s="30">
        <f>IF($A1297="","",DATE(YEAR($A1297),MONTH($A1297),1))</f>
        <v/>
      </c>
      <c r="J1297" s="31">
        <f>IF($A1297="","",IF(OR($B1297="",$C1297="",$F1297="",$G1297=""),"Preencher tudo",IF(COUNTIF(EtapaLista,$B1297)=0,"Etapa inválida","OK")))</f>
        <v/>
      </c>
    </row>
    <row r="1298" spans="1:10">
      <c r="A1298" s="17"/>
      <c r="B1298" s="15"/>
      <c r="C1298" s="15"/>
      <c r="D1298" s="15"/>
      <c r="E1298" s="15"/>
      <c r="F1298" s="16"/>
      <c r="G1298" s="27"/>
      <c r="H1298" s="17"/>
      <c r="I1298" s="30">
        <f>IF($A1298="","",DATE(YEAR($A1298),MONTH($A1298),1))</f>
        <v/>
      </c>
      <c r="J1298" s="31">
        <f>IF($A1298="","",IF(OR($B1298="",$C1298="",$F1298="",$G1298=""),"Preencher tudo",IF(COUNTIF(EtapaLista,$B1298)=0,"Etapa inválida","OK")))</f>
        <v/>
      </c>
    </row>
    <row r="1299" spans="1:10">
      <c r="A1299" s="17"/>
      <c r="B1299" s="15"/>
      <c r="C1299" s="15"/>
      <c r="D1299" s="15"/>
      <c r="E1299" s="15"/>
      <c r="F1299" s="16"/>
      <c r="G1299" s="27"/>
      <c r="H1299" s="17"/>
      <c r="I1299" s="30">
        <f>IF($A1299="","",DATE(YEAR($A1299),MONTH($A1299),1))</f>
        <v/>
      </c>
      <c r="J1299" s="31">
        <f>IF($A1299="","",IF(OR($B1299="",$C1299="",$F1299="",$G1299=""),"Preencher tudo",IF(COUNTIF(EtapaLista,$B1299)=0,"Etapa inválida","OK")))</f>
        <v/>
      </c>
    </row>
    <row r="1300" spans="1:10">
      <c r="A1300" s="17"/>
      <c r="B1300" s="15"/>
      <c r="C1300" s="15"/>
      <c r="D1300" s="15"/>
      <c r="E1300" s="15"/>
      <c r="F1300" s="16"/>
      <c r="G1300" s="27"/>
      <c r="H1300" s="17"/>
      <c r="I1300" s="30">
        <f>IF($A1300="","",DATE(YEAR($A1300),MONTH($A1300),1))</f>
        <v/>
      </c>
      <c r="J1300" s="31">
        <f>IF($A1300="","",IF(OR($B1300="",$C1300="",$F1300="",$G1300=""),"Preencher tudo",IF(COUNTIF(EtapaLista,$B1300)=0,"Etapa inválida","OK")))</f>
        <v/>
      </c>
    </row>
    <row r="1301" spans="1:10">
      <c r="A1301" s="17"/>
      <c r="B1301" s="15"/>
      <c r="C1301" s="15"/>
      <c r="D1301" s="15"/>
      <c r="E1301" s="15"/>
      <c r="F1301" s="16"/>
      <c r="G1301" s="27"/>
      <c r="H1301" s="17"/>
      <c r="I1301" s="30">
        <f>IF($A1301="","",DATE(YEAR($A1301),MONTH($A1301),1))</f>
        <v/>
      </c>
      <c r="J1301" s="31">
        <f>IF($A1301="","",IF(OR($B1301="",$C1301="",$F1301="",$G1301=""),"Preencher tudo",IF(COUNTIF(EtapaLista,$B1301)=0,"Etapa inválida","OK")))</f>
        <v/>
      </c>
    </row>
    <row r="1302" spans="1:10">
      <c r="A1302" s="17"/>
      <c r="B1302" s="15"/>
      <c r="C1302" s="15"/>
      <c r="D1302" s="15"/>
      <c r="E1302" s="15"/>
      <c r="F1302" s="16"/>
      <c r="G1302" s="27"/>
      <c r="H1302" s="17"/>
      <c r="I1302" s="30">
        <f>IF($A1302="","",DATE(YEAR($A1302),MONTH($A1302),1))</f>
        <v/>
      </c>
      <c r="J1302" s="31">
        <f>IF($A1302="","",IF(OR($B1302="",$C1302="",$F1302="",$G1302=""),"Preencher tudo",IF(COUNTIF(EtapaLista,$B1302)=0,"Etapa inválida","OK")))</f>
        <v/>
      </c>
    </row>
    <row r="1303" spans="1:10">
      <c r="A1303" s="17"/>
      <c r="B1303" s="15"/>
      <c r="C1303" s="15"/>
      <c r="D1303" s="15"/>
      <c r="E1303" s="15"/>
      <c r="F1303" s="16"/>
      <c r="G1303" s="27"/>
      <c r="H1303" s="17"/>
      <c r="I1303" s="30">
        <f>IF($A1303="","",DATE(YEAR($A1303),MONTH($A1303),1))</f>
        <v/>
      </c>
      <c r="J1303" s="31">
        <f>IF($A1303="","",IF(OR($B1303="",$C1303="",$F1303="",$G1303=""),"Preencher tudo",IF(COUNTIF(EtapaLista,$B1303)=0,"Etapa inválida","OK")))</f>
        <v/>
      </c>
    </row>
    <row r="1304" spans="1:10">
      <c r="A1304" s="17"/>
      <c r="B1304" s="15"/>
      <c r="C1304" s="15"/>
      <c r="D1304" s="15"/>
      <c r="E1304" s="15"/>
      <c r="F1304" s="16"/>
      <c r="G1304" s="27"/>
      <c r="H1304" s="17"/>
      <c r="I1304" s="30">
        <f>IF($A1304="","",DATE(YEAR($A1304),MONTH($A1304),1))</f>
        <v/>
      </c>
      <c r="J1304" s="31">
        <f>IF($A1304="","",IF(OR($B1304="",$C1304="",$F1304="",$G1304=""),"Preencher tudo",IF(COUNTIF(EtapaLista,$B1304)=0,"Etapa inválida","OK")))</f>
        <v/>
      </c>
    </row>
    <row r="1305" spans="1:10">
      <c r="A1305" s="17"/>
      <c r="B1305" s="15"/>
      <c r="C1305" s="15"/>
      <c r="D1305" s="15"/>
      <c r="E1305" s="15"/>
      <c r="F1305" s="16"/>
      <c r="G1305" s="27"/>
      <c r="H1305" s="17"/>
      <c r="I1305" s="30">
        <f>IF($A1305="","",DATE(YEAR($A1305),MONTH($A1305),1))</f>
        <v/>
      </c>
      <c r="J1305" s="31">
        <f>IF($A1305="","",IF(OR($B1305="",$C1305="",$F1305="",$G1305=""),"Preencher tudo",IF(COUNTIF(EtapaLista,$B1305)=0,"Etapa inválida","OK")))</f>
        <v/>
      </c>
    </row>
    <row r="1306" spans="1:10">
      <c r="A1306" s="17"/>
      <c r="B1306" s="15"/>
      <c r="C1306" s="15"/>
      <c r="D1306" s="15"/>
      <c r="E1306" s="15"/>
      <c r="F1306" s="16"/>
      <c r="G1306" s="27"/>
      <c r="H1306" s="17"/>
      <c r="I1306" s="30">
        <f>IF($A1306="","",DATE(YEAR($A1306),MONTH($A1306),1))</f>
        <v/>
      </c>
      <c r="J1306" s="31">
        <f>IF($A1306="","",IF(OR($B1306="",$C1306="",$F1306="",$G1306=""),"Preencher tudo",IF(COUNTIF(EtapaLista,$B1306)=0,"Etapa inválida","OK")))</f>
        <v/>
      </c>
    </row>
    <row r="1307" spans="1:10">
      <c r="A1307" s="17"/>
      <c r="B1307" s="15"/>
      <c r="C1307" s="15"/>
      <c r="D1307" s="15"/>
      <c r="E1307" s="15"/>
      <c r="F1307" s="16"/>
      <c r="G1307" s="27"/>
      <c r="H1307" s="17"/>
      <c r="I1307" s="30">
        <f>IF($A1307="","",DATE(YEAR($A1307),MONTH($A1307),1))</f>
        <v/>
      </c>
      <c r="J1307" s="31">
        <f>IF($A1307="","",IF(OR($B1307="",$C1307="",$F1307="",$G1307=""),"Preencher tudo",IF(COUNTIF(EtapaLista,$B1307)=0,"Etapa inválida","OK")))</f>
        <v/>
      </c>
    </row>
    <row r="1308" spans="1:10">
      <c r="A1308" s="17"/>
      <c r="B1308" s="15"/>
      <c r="C1308" s="15"/>
      <c r="D1308" s="15"/>
      <c r="E1308" s="15"/>
      <c r="F1308" s="16"/>
      <c r="G1308" s="27"/>
      <c r="H1308" s="17"/>
      <c r="I1308" s="30">
        <f>IF($A1308="","",DATE(YEAR($A1308),MONTH($A1308),1))</f>
        <v/>
      </c>
      <c r="J1308" s="31">
        <f>IF($A1308="","",IF(OR($B1308="",$C1308="",$F1308="",$G1308=""),"Preencher tudo",IF(COUNTIF(EtapaLista,$B1308)=0,"Etapa inválida","OK")))</f>
        <v/>
      </c>
    </row>
    <row r="1309" spans="1:10">
      <c r="A1309" s="17"/>
      <c r="B1309" s="15"/>
      <c r="C1309" s="15"/>
      <c r="D1309" s="15"/>
      <c r="E1309" s="15"/>
      <c r="F1309" s="16"/>
      <c r="G1309" s="27"/>
      <c r="H1309" s="17"/>
      <c r="I1309" s="30">
        <f>IF($A1309="","",DATE(YEAR($A1309),MONTH($A1309),1))</f>
        <v/>
      </c>
      <c r="J1309" s="31">
        <f>IF($A1309="","",IF(OR($B1309="",$C1309="",$F1309="",$G1309=""),"Preencher tudo",IF(COUNTIF(EtapaLista,$B1309)=0,"Etapa inválida","OK")))</f>
        <v/>
      </c>
    </row>
    <row r="1310" spans="1:10">
      <c r="A1310" s="17"/>
      <c r="B1310" s="15"/>
      <c r="C1310" s="15"/>
      <c r="D1310" s="15"/>
      <c r="E1310" s="15"/>
      <c r="F1310" s="16"/>
      <c r="G1310" s="27"/>
      <c r="H1310" s="17"/>
      <c r="I1310" s="30">
        <f>IF($A1310="","",DATE(YEAR($A1310),MONTH($A1310),1))</f>
        <v/>
      </c>
      <c r="J1310" s="31">
        <f>IF($A1310="","",IF(OR($B1310="",$C1310="",$F1310="",$G1310=""),"Preencher tudo",IF(COUNTIF(EtapaLista,$B1310)=0,"Etapa inválida","OK")))</f>
        <v/>
      </c>
    </row>
    <row r="1311" spans="1:10">
      <c r="A1311" s="17"/>
      <c r="B1311" s="15"/>
      <c r="C1311" s="15"/>
      <c r="D1311" s="15"/>
      <c r="E1311" s="15"/>
      <c r="F1311" s="16"/>
      <c r="G1311" s="27"/>
      <c r="H1311" s="17"/>
      <c r="I1311" s="30">
        <f>IF($A1311="","",DATE(YEAR($A1311),MONTH($A1311),1))</f>
        <v/>
      </c>
      <c r="J1311" s="31">
        <f>IF($A1311="","",IF(OR($B1311="",$C1311="",$F1311="",$G1311=""),"Preencher tudo",IF(COUNTIF(EtapaLista,$B1311)=0,"Etapa inválida","OK")))</f>
        <v/>
      </c>
    </row>
    <row r="1312" spans="1:10">
      <c r="A1312" s="17"/>
      <c r="B1312" s="15"/>
      <c r="C1312" s="15"/>
      <c r="D1312" s="15"/>
      <c r="E1312" s="15"/>
      <c r="F1312" s="16"/>
      <c r="G1312" s="27"/>
      <c r="H1312" s="17"/>
      <c r="I1312" s="30">
        <f>IF($A1312="","",DATE(YEAR($A1312),MONTH($A1312),1))</f>
        <v/>
      </c>
      <c r="J1312" s="31">
        <f>IF($A1312="","",IF(OR($B1312="",$C1312="",$F1312="",$G1312=""),"Preencher tudo",IF(COUNTIF(EtapaLista,$B1312)=0,"Etapa inválida","OK")))</f>
        <v/>
      </c>
    </row>
    <row r="1313" spans="1:10">
      <c r="A1313" s="17"/>
      <c r="B1313" s="15"/>
      <c r="C1313" s="15"/>
      <c r="D1313" s="15"/>
      <c r="E1313" s="15"/>
      <c r="F1313" s="16"/>
      <c r="G1313" s="27"/>
      <c r="H1313" s="17"/>
      <c r="I1313" s="30">
        <f>IF($A1313="","",DATE(YEAR($A1313),MONTH($A1313),1))</f>
        <v/>
      </c>
      <c r="J1313" s="31">
        <f>IF($A1313="","",IF(OR($B1313="",$C1313="",$F1313="",$G1313=""),"Preencher tudo",IF(COUNTIF(EtapaLista,$B1313)=0,"Etapa inválida","OK")))</f>
        <v/>
      </c>
    </row>
    <row r="1314" spans="1:10">
      <c r="A1314" s="17"/>
      <c r="B1314" s="15"/>
      <c r="C1314" s="15"/>
      <c r="D1314" s="15"/>
      <c r="E1314" s="15"/>
      <c r="F1314" s="16"/>
      <c r="G1314" s="27"/>
      <c r="H1314" s="17"/>
      <c r="I1314" s="30">
        <f>IF($A1314="","",DATE(YEAR($A1314),MONTH($A1314),1))</f>
        <v/>
      </c>
      <c r="J1314" s="31">
        <f>IF($A1314="","",IF(OR($B1314="",$C1314="",$F1314="",$G1314=""),"Preencher tudo",IF(COUNTIF(EtapaLista,$B1314)=0,"Etapa inválida","OK")))</f>
        <v/>
      </c>
    </row>
    <row r="1315" spans="1:10">
      <c r="A1315" s="17"/>
      <c r="B1315" s="15"/>
      <c r="C1315" s="15"/>
      <c r="D1315" s="15"/>
      <c r="E1315" s="15"/>
      <c r="F1315" s="16"/>
      <c r="G1315" s="27"/>
      <c r="H1315" s="17"/>
      <c r="I1315" s="30">
        <f>IF($A1315="","",DATE(YEAR($A1315),MONTH($A1315),1))</f>
        <v/>
      </c>
      <c r="J1315" s="31">
        <f>IF($A1315="","",IF(OR($B1315="",$C1315="",$F1315="",$G1315=""),"Preencher tudo",IF(COUNTIF(EtapaLista,$B1315)=0,"Etapa inválida","OK")))</f>
        <v/>
      </c>
    </row>
    <row r="1316" spans="1:10">
      <c r="A1316" s="17"/>
      <c r="B1316" s="15"/>
      <c r="C1316" s="15"/>
      <c r="D1316" s="15"/>
      <c r="E1316" s="15"/>
      <c r="F1316" s="16"/>
      <c r="G1316" s="27"/>
      <c r="H1316" s="17"/>
      <c r="I1316" s="30">
        <f>IF($A1316="","",DATE(YEAR($A1316),MONTH($A1316),1))</f>
        <v/>
      </c>
      <c r="J1316" s="31">
        <f>IF($A1316="","",IF(OR($B1316="",$C1316="",$F1316="",$G1316=""),"Preencher tudo",IF(COUNTIF(EtapaLista,$B1316)=0,"Etapa inválida","OK")))</f>
        <v/>
      </c>
    </row>
    <row r="1317" spans="1:10">
      <c r="A1317" s="17"/>
      <c r="B1317" s="15"/>
      <c r="C1317" s="15"/>
      <c r="D1317" s="15"/>
      <c r="E1317" s="15"/>
      <c r="F1317" s="16"/>
      <c r="G1317" s="27"/>
      <c r="H1317" s="17"/>
      <c r="I1317" s="30">
        <f>IF($A1317="","",DATE(YEAR($A1317),MONTH($A1317),1))</f>
        <v/>
      </c>
      <c r="J1317" s="31">
        <f>IF($A1317="","",IF(OR($B1317="",$C1317="",$F1317="",$G1317=""),"Preencher tudo",IF(COUNTIF(EtapaLista,$B1317)=0,"Etapa inválida","OK")))</f>
        <v/>
      </c>
    </row>
    <row r="1318" spans="1:10">
      <c r="A1318" s="17"/>
      <c r="B1318" s="15"/>
      <c r="C1318" s="15"/>
      <c r="D1318" s="15"/>
      <c r="E1318" s="15"/>
      <c r="F1318" s="16"/>
      <c r="G1318" s="27"/>
      <c r="H1318" s="17"/>
      <c r="I1318" s="30">
        <f>IF($A1318="","",DATE(YEAR($A1318),MONTH($A1318),1))</f>
        <v/>
      </c>
      <c r="J1318" s="31">
        <f>IF($A1318="","",IF(OR($B1318="",$C1318="",$F1318="",$G1318=""),"Preencher tudo",IF(COUNTIF(EtapaLista,$B1318)=0,"Etapa inválida","OK")))</f>
        <v/>
      </c>
    </row>
    <row r="1319" spans="1:10">
      <c r="A1319" s="17"/>
      <c r="B1319" s="15"/>
      <c r="C1319" s="15"/>
      <c r="D1319" s="15"/>
      <c r="E1319" s="15"/>
      <c r="F1319" s="16"/>
      <c r="G1319" s="27"/>
      <c r="H1319" s="17"/>
      <c r="I1319" s="30">
        <f>IF($A1319="","",DATE(YEAR($A1319),MONTH($A1319),1))</f>
        <v/>
      </c>
      <c r="J1319" s="31">
        <f>IF($A1319="","",IF(OR($B1319="",$C1319="",$F1319="",$G1319=""),"Preencher tudo",IF(COUNTIF(EtapaLista,$B1319)=0,"Etapa inválida","OK")))</f>
        <v/>
      </c>
    </row>
    <row r="1320" spans="1:10">
      <c r="A1320" s="17"/>
      <c r="B1320" s="15"/>
      <c r="C1320" s="15"/>
      <c r="D1320" s="15"/>
      <c r="E1320" s="15"/>
      <c r="F1320" s="16"/>
      <c r="G1320" s="27"/>
      <c r="H1320" s="17"/>
      <c r="I1320" s="30">
        <f>IF($A1320="","",DATE(YEAR($A1320),MONTH($A1320),1))</f>
        <v/>
      </c>
      <c r="J1320" s="31">
        <f>IF($A1320="","",IF(OR($B1320="",$C1320="",$F1320="",$G1320=""),"Preencher tudo",IF(COUNTIF(EtapaLista,$B1320)=0,"Etapa inválida","OK")))</f>
        <v/>
      </c>
    </row>
    <row r="1321" spans="1:10">
      <c r="A1321" s="17"/>
      <c r="B1321" s="15"/>
      <c r="C1321" s="15"/>
      <c r="D1321" s="15"/>
      <c r="E1321" s="15"/>
      <c r="F1321" s="16"/>
      <c r="G1321" s="27"/>
      <c r="H1321" s="17"/>
      <c r="I1321" s="30">
        <f>IF($A1321="","",DATE(YEAR($A1321),MONTH($A1321),1))</f>
        <v/>
      </c>
      <c r="J1321" s="31">
        <f>IF($A1321="","",IF(OR($B1321="",$C1321="",$F1321="",$G1321=""),"Preencher tudo",IF(COUNTIF(EtapaLista,$B1321)=0,"Etapa inválida","OK")))</f>
        <v/>
      </c>
    </row>
    <row r="1322" spans="1:10">
      <c r="A1322" s="17"/>
      <c r="B1322" s="15"/>
      <c r="C1322" s="15"/>
      <c r="D1322" s="15"/>
      <c r="E1322" s="15"/>
      <c r="F1322" s="16"/>
      <c r="G1322" s="27"/>
      <c r="H1322" s="17"/>
      <c r="I1322" s="30">
        <f>IF($A1322="","",DATE(YEAR($A1322),MONTH($A1322),1))</f>
        <v/>
      </c>
      <c r="J1322" s="31">
        <f>IF($A1322="","",IF(OR($B1322="",$C1322="",$F1322="",$G1322=""),"Preencher tudo",IF(COUNTIF(EtapaLista,$B1322)=0,"Etapa inválida","OK")))</f>
        <v/>
      </c>
    </row>
    <row r="1323" spans="1:10">
      <c r="A1323" s="17"/>
      <c r="B1323" s="15"/>
      <c r="C1323" s="15"/>
      <c r="D1323" s="15"/>
      <c r="E1323" s="15"/>
      <c r="F1323" s="16"/>
      <c r="G1323" s="27"/>
      <c r="H1323" s="17"/>
      <c r="I1323" s="30">
        <f>IF($A1323="","",DATE(YEAR($A1323),MONTH($A1323),1))</f>
        <v/>
      </c>
      <c r="J1323" s="31">
        <f>IF($A1323="","",IF(OR($B1323="",$C1323="",$F1323="",$G1323=""),"Preencher tudo",IF(COUNTIF(EtapaLista,$B1323)=0,"Etapa inválida","OK")))</f>
        <v/>
      </c>
    </row>
    <row r="1324" spans="1:10">
      <c r="A1324" s="17"/>
      <c r="B1324" s="15"/>
      <c r="C1324" s="15"/>
      <c r="D1324" s="15"/>
      <c r="E1324" s="15"/>
      <c r="F1324" s="16"/>
      <c r="G1324" s="27"/>
      <c r="H1324" s="17"/>
      <c r="I1324" s="30">
        <f>IF($A1324="","",DATE(YEAR($A1324),MONTH($A1324),1))</f>
        <v/>
      </c>
      <c r="J1324" s="31">
        <f>IF($A1324="","",IF(OR($B1324="",$C1324="",$F1324="",$G1324=""),"Preencher tudo",IF(COUNTIF(EtapaLista,$B1324)=0,"Etapa inválida","OK")))</f>
        <v/>
      </c>
    </row>
    <row r="1325" spans="1:10">
      <c r="A1325" s="17"/>
      <c r="B1325" s="15"/>
      <c r="C1325" s="15"/>
      <c r="D1325" s="15"/>
      <c r="E1325" s="15"/>
      <c r="F1325" s="16"/>
      <c r="G1325" s="27"/>
      <c r="H1325" s="17"/>
      <c r="I1325" s="30">
        <f>IF($A1325="","",DATE(YEAR($A1325),MONTH($A1325),1))</f>
        <v/>
      </c>
      <c r="J1325" s="31">
        <f>IF($A1325="","",IF(OR($B1325="",$C1325="",$F1325="",$G1325=""),"Preencher tudo",IF(COUNTIF(EtapaLista,$B1325)=0,"Etapa inválida","OK")))</f>
        <v/>
      </c>
    </row>
    <row r="1326" spans="1:10">
      <c r="A1326" s="17"/>
      <c r="B1326" s="15"/>
      <c r="C1326" s="15"/>
      <c r="D1326" s="15"/>
      <c r="E1326" s="15"/>
      <c r="F1326" s="16"/>
      <c r="G1326" s="27"/>
      <c r="H1326" s="17"/>
      <c r="I1326" s="30">
        <f>IF($A1326="","",DATE(YEAR($A1326),MONTH($A1326),1))</f>
        <v/>
      </c>
      <c r="J1326" s="31">
        <f>IF($A1326="","",IF(OR($B1326="",$C1326="",$F1326="",$G1326=""),"Preencher tudo",IF(COUNTIF(EtapaLista,$B1326)=0,"Etapa inválida","OK")))</f>
        <v/>
      </c>
    </row>
    <row r="1327" spans="1:10">
      <c r="A1327" s="17"/>
      <c r="B1327" s="15"/>
      <c r="C1327" s="15"/>
      <c r="D1327" s="15"/>
      <c r="E1327" s="15"/>
      <c r="F1327" s="16"/>
      <c r="G1327" s="27"/>
      <c r="H1327" s="17"/>
      <c r="I1327" s="30">
        <f>IF($A1327="","",DATE(YEAR($A1327),MONTH($A1327),1))</f>
        <v/>
      </c>
      <c r="J1327" s="31">
        <f>IF($A1327="","",IF(OR($B1327="",$C1327="",$F1327="",$G1327=""),"Preencher tudo",IF(COUNTIF(EtapaLista,$B1327)=0,"Etapa inválida","OK")))</f>
        <v/>
      </c>
    </row>
    <row r="1328" spans="1:10">
      <c r="A1328" s="17"/>
      <c r="B1328" s="15"/>
      <c r="C1328" s="15"/>
      <c r="D1328" s="15"/>
      <c r="E1328" s="15"/>
      <c r="F1328" s="16"/>
      <c r="G1328" s="27"/>
      <c r="H1328" s="17"/>
      <c r="I1328" s="30">
        <f>IF($A1328="","",DATE(YEAR($A1328),MONTH($A1328),1))</f>
        <v/>
      </c>
      <c r="J1328" s="31">
        <f>IF($A1328="","",IF(OR($B1328="",$C1328="",$F1328="",$G1328=""),"Preencher tudo",IF(COUNTIF(EtapaLista,$B1328)=0,"Etapa inválida","OK")))</f>
        <v/>
      </c>
    </row>
    <row r="1329" spans="1:10">
      <c r="A1329" s="17"/>
      <c r="B1329" s="15"/>
      <c r="C1329" s="15"/>
      <c r="D1329" s="15"/>
      <c r="E1329" s="15"/>
      <c r="F1329" s="16"/>
      <c r="G1329" s="27"/>
      <c r="H1329" s="17"/>
      <c r="I1329" s="30">
        <f>IF($A1329="","",DATE(YEAR($A1329),MONTH($A1329),1))</f>
        <v/>
      </c>
      <c r="J1329" s="31">
        <f>IF($A1329="","",IF(OR($B1329="",$C1329="",$F1329="",$G1329=""),"Preencher tudo",IF(COUNTIF(EtapaLista,$B1329)=0,"Etapa inválida","OK")))</f>
        <v/>
      </c>
    </row>
    <row r="1330" spans="1:10">
      <c r="A1330" s="17"/>
      <c r="B1330" s="15"/>
      <c r="C1330" s="15"/>
      <c r="D1330" s="15"/>
      <c r="E1330" s="15"/>
      <c r="F1330" s="16"/>
      <c r="G1330" s="27"/>
      <c r="H1330" s="17"/>
      <c r="I1330" s="30">
        <f>IF($A1330="","",DATE(YEAR($A1330),MONTH($A1330),1))</f>
        <v/>
      </c>
      <c r="J1330" s="31">
        <f>IF($A1330="","",IF(OR($B1330="",$C1330="",$F1330="",$G1330=""),"Preencher tudo",IF(COUNTIF(EtapaLista,$B1330)=0,"Etapa inválida","OK")))</f>
        <v/>
      </c>
    </row>
    <row r="1331" spans="1:10">
      <c r="A1331" s="17"/>
      <c r="B1331" s="15"/>
      <c r="C1331" s="15"/>
      <c r="D1331" s="15"/>
      <c r="E1331" s="15"/>
      <c r="F1331" s="16"/>
      <c r="G1331" s="27"/>
      <c r="H1331" s="17"/>
      <c r="I1331" s="30">
        <f>IF($A1331="","",DATE(YEAR($A1331),MONTH($A1331),1))</f>
        <v/>
      </c>
      <c r="J1331" s="31">
        <f>IF($A1331="","",IF(OR($B1331="",$C1331="",$F1331="",$G1331=""),"Preencher tudo",IF(COUNTIF(EtapaLista,$B1331)=0,"Etapa inválida","OK")))</f>
        <v/>
      </c>
    </row>
    <row r="1332" spans="1:10">
      <c r="A1332" s="17"/>
      <c r="B1332" s="15"/>
      <c r="C1332" s="15"/>
      <c r="D1332" s="15"/>
      <c r="E1332" s="15"/>
      <c r="F1332" s="16"/>
      <c r="G1332" s="27"/>
      <c r="H1332" s="17"/>
      <c r="I1332" s="30">
        <f>IF($A1332="","",DATE(YEAR($A1332),MONTH($A1332),1))</f>
        <v/>
      </c>
      <c r="J1332" s="31">
        <f>IF($A1332="","",IF(OR($B1332="",$C1332="",$F1332="",$G1332=""),"Preencher tudo",IF(COUNTIF(EtapaLista,$B1332)=0,"Etapa inválida","OK")))</f>
        <v/>
      </c>
    </row>
    <row r="1333" spans="1:10">
      <c r="A1333" s="17"/>
      <c r="B1333" s="15"/>
      <c r="C1333" s="15"/>
      <c r="D1333" s="15"/>
      <c r="E1333" s="15"/>
      <c r="F1333" s="16"/>
      <c r="G1333" s="27"/>
      <c r="H1333" s="17"/>
      <c r="I1333" s="30">
        <f>IF($A1333="","",DATE(YEAR($A1333),MONTH($A1333),1))</f>
        <v/>
      </c>
      <c r="J1333" s="31">
        <f>IF($A1333="","",IF(OR($B1333="",$C1333="",$F1333="",$G1333=""),"Preencher tudo",IF(COUNTIF(EtapaLista,$B1333)=0,"Etapa inválida","OK")))</f>
        <v/>
      </c>
    </row>
    <row r="1334" spans="1:10">
      <c r="A1334" s="17"/>
      <c r="B1334" s="15"/>
      <c r="C1334" s="15"/>
      <c r="D1334" s="15"/>
      <c r="E1334" s="15"/>
      <c r="F1334" s="16"/>
      <c r="G1334" s="27"/>
      <c r="H1334" s="17"/>
      <c r="I1334" s="30">
        <f>IF($A1334="","",DATE(YEAR($A1334),MONTH($A1334),1))</f>
        <v/>
      </c>
      <c r="J1334" s="31">
        <f>IF($A1334="","",IF(OR($B1334="",$C1334="",$F1334="",$G1334=""),"Preencher tudo",IF(COUNTIF(EtapaLista,$B1334)=0,"Etapa inválida","OK")))</f>
        <v/>
      </c>
    </row>
    <row r="1335" spans="1:10">
      <c r="A1335" s="17"/>
      <c r="B1335" s="15"/>
      <c r="C1335" s="15"/>
      <c r="D1335" s="15"/>
      <c r="E1335" s="15"/>
      <c r="F1335" s="16"/>
      <c r="G1335" s="27"/>
      <c r="H1335" s="17"/>
      <c r="I1335" s="30">
        <f>IF($A1335="","",DATE(YEAR($A1335),MONTH($A1335),1))</f>
        <v/>
      </c>
      <c r="J1335" s="31">
        <f>IF($A1335="","",IF(OR($B1335="",$C1335="",$F1335="",$G1335=""),"Preencher tudo",IF(COUNTIF(EtapaLista,$B1335)=0,"Etapa inválida","OK")))</f>
        <v/>
      </c>
    </row>
    <row r="1336" spans="1:10">
      <c r="A1336" s="17"/>
      <c r="B1336" s="15"/>
      <c r="C1336" s="15"/>
      <c r="D1336" s="15"/>
      <c r="E1336" s="15"/>
      <c r="F1336" s="16"/>
      <c r="G1336" s="27"/>
      <c r="H1336" s="17"/>
      <c r="I1336" s="30">
        <f>IF($A1336="","",DATE(YEAR($A1336),MONTH($A1336),1))</f>
        <v/>
      </c>
      <c r="J1336" s="31">
        <f>IF($A1336="","",IF(OR($B1336="",$C1336="",$F1336="",$G1336=""),"Preencher tudo",IF(COUNTIF(EtapaLista,$B1336)=0,"Etapa inválida","OK")))</f>
        <v/>
      </c>
    </row>
    <row r="1337" spans="1:10">
      <c r="A1337" s="17"/>
      <c r="B1337" s="15"/>
      <c r="C1337" s="15"/>
      <c r="D1337" s="15"/>
      <c r="E1337" s="15"/>
      <c r="F1337" s="16"/>
      <c r="G1337" s="27"/>
      <c r="H1337" s="17"/>
      <c r="I1337" s="30">
        <f>IF($A1337="","",DATE(YEAR($A1337),MONTH($A1337),1))</f>
        <v/>
      </c>
      <c r="J1337" s="31">
        <f>IF($A1337="","",IF(OR($B1337="",$C1337="",$F1337="",$G1337=""),"Preencher tudo",IF(COUNTIF(EtapaLista,$B1337)=0,"Etapa inválida","OK")))</f>
        <v/>
      </c>
    </row>
    <row r="1338" spans="1:10">
      <c r="A1338" s="17"/>
      <c r="B1338" s="15"/>
      <c r="C1338" s="15"/>
      <c r="D1338" s="15"/>
      <c r="E1338" s="15"/>
      <c r="F1338" s="16"/>
      <c r="G1338" s="27"/>
      <c r="H1338" s="17"/>
      <c r="I1338" s="30">
        <f>IF($A1338="","",DATE(YEAR($A1338),MONTH($A1338),1))</f>
        <v/>
      </c>
      <c r="J1338" s="31">
        <f>IF($A1338="","",IF(OR($B1338="",$C1338="",$F1338="",$G1338=""),"Preencher tudo",IF(COUNTIF(EtapaLista,$B1338)=0,"Etapa inválida","OK")))</f>
        <v/>
      </c>
    </row>
    <row r="1339" spans="1:10">
      <c r="A1339" s="17"/>
      <c r="B1339" s="15"/>
      <c r="C1339" s="15"/>
      <c r="D1339" s="15"/>
      <c r="E1339" s="15"/>
      <c r="F1339" s="16"/>
      <c r="G1339" s="27"/>
      <c r="H1339" s="17"/>
      <c r="I1339" s="30">
        <f>IF($A1339="","",DATE(YEAR($A1339),MONTH($A1339),1))</f>
        <v/>
      </c>
      <c r="J1339" s="31">
        <f>IF($A1339="","",IF(OR($B1339="",$C1339="",$F1339="",$G1339=""),"Preencher tudo",IF(COUNTIF(EtapaLista,$B1339)=0,"Etapa inválida","OK")))</f>
        <v/>
      </c>
    </row>
    <row r="1340" spans="1:10">
      <c r="A1340" s="17"/>
      <c r="B1340" s="15"/>
      <c r="C1340" s="15"/>
      <c r="D1340" s="15"/>
      <c r="E1340" s="15"/>
      <c r="F1340" s="16"/>
      <c r="G1340" s="27"/>
      <c r="H1340" s="17"/>
      <c r="I1340" s="30">
        <f>IF($A1340="","",DATE(YEAR($A1340),MONTH($A1340),1))</f>
        <v/>
      </c>
      <c r="J1340" s="31">
        <f>IF($A1340="","",IF(OR($B1340="",$C1340="",$F1340="",$G1340=""),"Preencher tudo",IF(COUNTIF(EtapaLista,$B1340)=0,"Etapa inválida","OK")))</f>
        <v/>
      </c>
    </row>
    <row r="1341" spans="1:10">
      <c r="A1341" s="17"/>
      <c r="B1341" s="15"/>
      <c r="C1341" s="15"/>
      <c r="D1341" s="15"/>
      <c r="E1341" s="15"/>
      <c r="F1341" s="16"/>
      <c r="G1341" s="27"/>
      <c r="H1341" s="17"/>
      <c r="I1341" s="30">
        <f>IF($A1341="","",DATE(YEAR($A1341),MONTH($A1341),1))</f>
        <v/>
      </c>
      <c r="J1341" s="31">
        <f>IF($A1341="","",IF(OR($B1341="",$C1341="",$F1341="",$G1341=""),"Preencher tudo",IF(COUNTIF(EtapaLista,$B1341)=0,"Etapa inválida","OK")))</f>
        <v/>
      </c>
    </row>
    <row r="1342" spans="1:10">
      <c r="A1342" s="17"/>
      <c r="B1342" s="15"/>
      <c r="C1342" s="15"/>
      <c r="D1342" s="15"/>
      <c r="E1342" s="15"/>
      <c r="F1342" s="16"/>
      <c r="G1342" s="27"/>
      <c r="H1342" s="17"/>
      <c r="I1342" s="30">
        <f>IF($A1342="","",DATE(YEAR($A1342),MONTH($A1342),1))</f>
        <v/>
      </c>
      <c r="J1342" s="31">
        <f>IF($A1342="","",IF(OR($B1342="",$C1342="",$F1342="",$G1342=""),"Preencher tudo",IF(COUNTIF(EtapaLista,$B1342)=0,"Etapa inválida","OK")))</f>
        <v/>
      </c>
    </row>
    <row r="1343" spans="1:10">
      <c r="A1343" s="17"/>
      <c r="B1343" s="15"/>
      <c r="C1343" s="15"/>
      <c r="D1343" s="15"/>
      <c r="E1343" s="15"/>
      <c r="F1343" s="16"/>
      <c r="G1343" s="27"/>
      <c r="H1343" s="17"/>
      <c r="I1343" s="30">
        <f>IF($A1343="","",DATE(YEAR($A1343),MONTH($A1343),1))</f>
        <v/>
      </c>
      <c r="J1343" s="31">
        <f>IF($A1343="","",IF(OR($B1343="",$C1343="",$F1343="",$G1343=""),"Preencher tudo",IF(COUNTIF(EtapaLista,$B1343)=0,"Etapa inválida","OK")))</f>
        <v/>
      </c>
    </row>
    <row r="1344" spans="1:10">
      <c r="A1344" s="17"/>
      <c r="B1344" s="15"/>
      <c r="C1344" s="15"/>
      <c r="D1344" s="15"/>
      <c r="E1344" s="15"/>
      <c r="F1344" s="16"/>
      <c r="G1344" s="27"/>
      <c r="H1344" s="17"/>
      <c r="I1344" s="30">
        <f>IF($A1344="","",DATE(YEAR($A1344),MONTH($A1344),1))</f>
        <v/>
      </c>
      <c r="J1344" s="31">
        <f>IF($A1344="","",IF(OR($B1344="",$C1344="",$F1344="",$G1344=""),"Preencher tudo",IF(COUNTIF(EtapaLista,$B1344)=0,"Etapa inválida","OK")))</f>
        <v/>
      </c>
    </row>
    <row r="1345" spans="1:10">
      <c r="A1345" s="17"/>
      <c r="B1345" s="15"/>
      <c r="C1345" s="15"/>
      <c r="D1345" s="15"/>
      <c r="E1345" s="15"/>
      <c r="F1345" s="16"/>
      <c r="G1345" s="27"/>
      <c r="H1345" s="17"/>
      <c r="I1345" s="30">
        <f>IF($A1345="","",DATE(YEAR($A1345),MONTH($A1345),1))</f>
        <v/>
      </c>
      <c r="J1345" s="31">
        <f>IF($A1345="","",IF(OR($B1345="",$C1345="",$F1345="",$G1345=""),"Preencher tudo",IF(COUNTIF(EtapaLista,$B1345)=0,"Etapa inválida","OK")))</f>
        <v/>
      </c>
    </row>
    <row r="1346" spans="1:10">
      <c r="A1346" s="17"/>
      <c r="B1346" s="15"/>
      <c r="C1346" s="15"/>
      <c r="D1346" s="15"/>
      <c r="E1346" s="15"/>
      <c r="F1346" s="16"/>
      <c r="G1346" s="27"/>
      <c r="H1346" s="17"/>
      <c r="I1346" s="30">
        <f>IF($A1346="","",DATE(YEAR($A1346),MONTH($A1346),1))</f>
        <v/>
      </c>
      <c r="J1346" s="31">
        <f>IF($A1346="","",IF(OR($B1346="",$C1346="",$F1346="",$G1346=""),"Preencher tudo",IF(COUNTIF(EtapaLista,$B1346)=0,"Etapa inválida","OK")))</f>
        <v/>
      </c>
    </row>
    <row r="1347" spans="1:10">
      <c r="A1347" s="17"/>
      <c r="B1347" s="15"/>
      <c r="C1347" s="15"/>
      <c r="D1347" s="15"/>
      <c r="E1347" s="15"/>
      <c r="F1347" s="16"/>
      <c r="G1347" s="27"/>
      <c r="H1347" s="17"/>
      <c r="I1347" s="30">
        <f>IF($A1347="","",DATE(YEAR($A1347),MONTH($A1347),1))</f>
        <v/>
      </c>
      <c r="J1347" s="31">
        <f>IF($A1347="","",IF(OR($B1347="",$C1347="",$F1347="",$G1347=""),"Preencher tudo",IF(COUNTIF(EtapaLista,$B1347)=0,"Etapa inválida","OK")))</f>
        <v/>
      </c>
    </row>
    <row r="1348" spans="1:10">
      <c r="A1348" s="17"/>
      <c r="B1348" s="15"/>
      <c r="C1348" s="15"/>
      <c r="D1348" s="15"/>
      <c r="E1348" s="15"/>
      <c r="F1348" s="16"/>
      <c r="G1348" s="27"/>
      <c r="H1348" s="17"/>
      <c r="I1348" s="30">
        <f>IF($A1348="","",DATE(YEAR($A1348),MONTH($A1348),1))</f>
        <v/>
      </c>
      <c r="J1348" s="31">
        <f>IF($A1348="","",IF(OR($B1348="",$C1348="",$F1348="",$G1348=""),"Preencher tudo",IF(COUNTIF(EtapaLista,$B1348)=0,"Etapa inválida","OK")))</f>
        <v/>
      </c>
    </row>
    <row r="1349" spans="1:10">
      <c r="A1349" s="17"/>
      <c r="B1349" s="15"/>
      <c r="C1349" s="15"/>
      <c r="D1349" s="15"/>
      <c r="E1349" s="15"/>
      <c r="F1349" s="16"/>
      <c r="G1349" s="27"/>
      <c r="H1349" s="17"/>
      <c r="I1349" s="30">
        <f>IF($A1349="","",DATE(YEAR($A1349),MONTH($A1349),1))</f>
        <v/>
      </c>
      <c r="J1349" s="31">
        <f>IF($A1349="","",IF(OR($B1349="",$C1349="",$F1349="",$G1349=""),"Preencher tudo",IF(COUNTIF(EtapaLista,$B1349)=0,"Etapa inválida","OK")))</f>
        <v/>
      </c>
    </row>
    <row r="1350" spans="1:10">
      <c r="A1350" s="17"/>
      <c r="B1350" s="15"/>
      <c r="C1350" s="15"/>
      <c r="D1350" s="15"/>
      <c r="E1350" s="15"/>
      <c r="F1350" s="16"/>
      <c r="G1350" s="27"/>
      <c r="H1350" s="17"/>
      <c r="I1350" s="30">
        <f>IF($A1350="","",DATE(YEAR($A1350),MONTH($A1350),1))</f>
        <v/>
      </c>
      <c r="J1350" s="31">
        <f>IF($A1350="","",IF(OR($B1350="",$C1350="",$F1350="",$G1350=""),"Preencher tudo",IF(COUNTIF(EtapaLista,$B1350)=0,"Etapa inválida","OK")))</f>
        <v/>
      </c>
    </row>
    <row r="1351" spans="1:10">
      <c r="A1351" s="17"/>
      <c r="B1351" s="15"/>
      <c r="C1351" s="15"/>
      <c r="D1351" s="15"/>
      <c r="E1351" s="15"/>
      <c r="F1351" s="16"/>
      <c r="G1351" s="27"/>
      <c r="H1351" s="17"/>
      <c r="I1351" s="30">
        <f>IF($A1351="","",DATE(YEAR($A1351),MONTH($A1351),1))</f>
        <v/>
      </c>
      <c r="J1351" s="31">
        <f>IF($A1351="","",IF(OR($B1351="",$C1351="",$F1351="",$G1351=""),"Preencher tudo",IF(COUNTIF(EtapaLista,$B1351)=0,"Etapa inválida","OK")))</f>
        <v/>
      </c>
    </row>
    <row r="1352" spans="1:10">
      <c r="A1352" s="17"/>
      <c r="B1352" s="15"/>
      <c r="C1352" s="15"/>
      <c r="D1352" s="15"/>
      <c r="E1352" s="15"/>
      <c r="F1352" s="16"/>
      <c r="G1352" s="27"/>
      <c r="H1352" s="17"/>
      <c r="I1352" s="30">
        <f>IF($A1352="","",DATE(YEAR($A1352),MONTH($A1352),1))</f>
        <v/>
      </c>
      <c r="J1352" s="31">
        <f>IF($A1352="","",IF(OR($B1352="",$C1352="",$F1352="",$G1352=""),"Preencher tudo",IF(COUNTIF(EtapaLista,$B1352)=0,"Etapa inválida","OK")))</f>
        <v/>
      </c>
    </row>
    <row r="1353" spans="1:10">
      <c r="A1353" s="17"/>
      <c r="B1353" s="15"/>
      <c r="C1353" s="15"/>
      <c r="D1353" s="15"/>
      <c r="E1353" s="15"/>
      <c r="F1353" s="16"/>
      <c r="G1353" s="27"/>
      <c r="H1353" s="17"/>
      <c r="I1353" s="30">
        <f>IF($A1353="","",DATE(YEAR($A1353),MONTH($A1353),1))</f>
        <v/>
      </c>
      <c r="J1353" s="31">
        <f>IF($A1353="","",IF(OR($B1353="",$C1353="",$F1353="",$G1353=""),"Preencher tudo",IF(COUNTIF(EtapaLista,$B1353)=0,"Etapa inválida","OK")))</f>
        <v/>
      </c>
    </row>
    <row r="1354" spans="1:10">
      <c r="A1354" s="17"/>
      <c r="B1354" s="15"/>
      <c r="C1354" s="15"/>
      <c r="D1354" s="15"/>
      <c r="E1354" s="15"/>
      <c r="F1354" s="16"/>
      <c r="G1354" s="27"/>
      <c r="H1354" s="17"/>
      <c r="I1354" s="30">
        <f>IF($A1354="","",DATE(YEAR($A1354),MONTH($A1354),1))</f>
        <v/>
      </c>
      <c r="J1354" s="31">
        <f>IF($A1354="","",IF(OR($B1354="",$C1354="",$F1354="",$G1354=""),"Preencher tudo",IF(COUNTIF(EtapaLista,$B1354)=0,"Etapa inválida","OK")))</f>
        <v/>
      </c>
    </row>
    <row r="1355" spans="1:10">
      <c r="A1355" s="17"/>
      <c r="B1355" s="15"/>
      <c r="C1355" s="15"/>
      <c r="D1355" s="15"/>
      <c r="E1355" s="15"/>
      <c r="F1355" s="16"/>
      <c r="G1355" s="27"/>
      <c r="H1355" s="17"/>
      <c r="I1355" s="30">
        <f>IF($A1355="","",DATE(YEAR($A1355),MONTH($A1355),1))</f>
        <v/>
      </c>
      <c r="J1355" s="31">
        <f>IF($A1355="","",IF(OR($B1355="",$C1355="",$F1355="",$G1355=""),"Preencher tudo",IF(COUNTIF(EtapaLista,$B1355)=0,"Etapa inválida","OK")))</f>
        <v/>
      </c>
    </row>
    <row r="1356" spans="1:10">
      <c r="A1356" s="17"/>
      <c r="B1356" s="15"/>
      <c r="C1356" s="15"/>
      <c r="D1356" s="15"/>
      <c r="E1356" s="15"/>
      <c r="F1356" s="16"/>
      <c r="G1356" s="27"/>
      <c r="H1356" s="17"/>
      <c r="I1356" s="30">
        <f>IF($A1356="","",DATE(YEAR($A1356),MONTH($A1356),1))</f>
        <v/>
      </c>
      <c r="J1356" s="31">
        <f>IF($A1356="","",IF(OR($B1356="",$C1356="",$F1356="",$G1356=""),"Preencher tudo",IF(COUNTIF(EtapaLista,$B1356)=0,"Etapa inválida","OK")))</f>
        <v/>
      </c>
    </row>
    <row r="1357" spans="1:10">
      <c r="A1357" s="17"/>
      <c r="B1357" s="15"/>
      <c r="C1357" s="15"/>
      <c r="D1357" s="15"/>
      <c r="E1357" s="15"/>
      <c r="F1357" s="16"/>
      <c r="G1357" s="27"/>
      <c r="H1357" s="17"/>
      <c r="I1357" s="30">
        <f>IF($A1357="","",DATE(YEAR($A1357),MONTH($A1357),1))</f>
        <v/>
      </c>
      <c r="J1357" s="31">
        <f>IF($A1357="","",IF(OR($B1357="",$C1357="",$F1357="",$G1357=""),"Preencher tudo",IF(COUNTIF(EtapaLista,$B1357)=0,"Etapa inválida","OK")))</f>
        <v/>
      </c>
    </row>
    <row r="1358" spans="1:10">
      <c r="A1358" s="17"/>
      <c r="B1358" s="15"/>
      <c r="C1358" s="15"/>
      <c r="D1358" s="15"/>
      <c r="E1358" s="15"/>
      <c r="F1358" s="16"/>
      <c r="G1358" s="27"/>
      <c r="H1358" s="17"/>
      <c r="I1358" s="30">
        <f>IF($A1358="","",DATE(YEAR($A1358),MONTH($A1358),1))</f>
        <v/>
      </c>
      <c r="J1358" s="31">
        <f>IF($A1358="","",IF(OR($B1358="",$C1358="",$F1358="",$G1358=""),"Preencher tudo",IF(COUNTIF(EtapaLista,$B1358)=0,"Etapa inválida","OK")))</f>
        <v/>
      </c>
    </row>
    <row r="1359" spans="1:10">
      <c r="A1359" s="17"/>
      <c r="B1359" s="15"/>
      <c r="C1359" s="15"/>
      <c r="D1359" s="15"/>
      <c r="E1359" s="15"/>
      <c r="F1359" s="16"/>
      <c r="G1359" s="27"/>
      <c r="H1359" s="17"/>
      <c r="I1359" s="30">
        <f>IF($A1359="","",DATE(YEAR($A1359),MONTH($A1359),1))</f>
        <v/>
      </c>
      <c r="J1359" s="31">
        <f>IF($A1359="","",IF(OR($B1359="",$C1359="",$F1359="",$G1359=""),"Preencher tudo",IF(COUNTIF(EtapaLista,$B1359)=0,"Etapa inválida","OK")))</f>
        <v/>
      </c>
    </row>
    <row r="1360" spans="1:10">
      <c r="A1360" s="17"/>
      <c r="B1360" s="15"/>
      <c r="C1360" s="15"/>
      <c r="D1360" s="15"/>
      <c r="E1360" s="15"/>
      <c r="F1360" s="16"/>
      <c r="G1360" s="27"/>
      <c r="H1360" s="17"/>
      <c r="I1360" s="30">
        <f>IF($A1360="","",DATE(YEAR($A1360),MONTH($A1360),1))</f>
        <v/>
      </c>
      <c r="J1360" s="31">
        <f>IF($A1360="","",IF(OR($B1360="",$C1360="",$F1360="",$G1360=""),"Preencher tudo",IF(COUNTIF(EtapaLista,$B1360)=0,"Etapa inválida","OK")))</f>
        <v/>
      </c>
    </row>
    <row r="1361" spans="1:10">
      <c r="A1361" s="17"/>
      <c r="B1361" s="15"/>
      <c r="C1361" s="15"/>
      <c r="D1361" s="15"/>
      <c r="E1361" s="15"/>
      <c r="F1361" s="16"/>
      <c r="G1361" s="27"/>
      <c r="H1361" s="17"/>
      <c r="I1361" s="30">
        <f>IF($A1361="","",DATE(YEAR($A1361),MONTH($A1361),1))</f>
        <v/>
      </c>
      <c r="J1361" s="31">
        <f>IF($A1361="","",IF(OR($B1361="",$C1361="",$F1361="",$G1361=""),"Preencher tudo",IF(COUNTIF(EtapaLista,$B1361)=0,"Etapa inválida","OK")))</f>
        <v/>
      </c>
    </row>
    <row r="1362" spans="1:10">
      <c r="A1362" s="17"/>
      <c r="B1362" s="15"/>
      <c r="C1362" s="15"/>
      <c r="D1362" s="15"/>
      <c r="E1362" s="15"/>
      <c r="F1362" s="16"/>
      <c r="G1362" s="27"/>
      <c r="H1362" s="17"/>
      <c r="I1362" s="30">
        <f>IF($A1362="","",DATE(YEAR($A1362),MONTH($A1362),1))</f>
        <v/>
      </c>
      <c r="J1362" s="31">
        <f>IF($A1362="","",IF(OR($B1362="",$C1362="",$F1362="",$G1362=""),"Preencher tudo",IF(COUNTIF(EtapaLista,$B1362)=0,"Etapa inválida","OK")))</f>
        <v/>
      </c>
    </row>
    <row r="1363" spans="1:10">
      <c r="A1363" s="17"/>
      <c r="B1363" s="15"/>
      <c r="C1363" s="15"/>
      <c r="D1363" s="15"/>
      <c r="E1363" s="15"/>
      <c r="F1363" s="16"/>
      <c r="G1363" s="27"/>
      <c r="H1363" s="17"/>
      <c r="I1363" s="30">
        <f>IF($A1363="","",DATE(YEAR($A1363),MONTH($A1363),1))</f>
        <v/>
      </c>
      <c r="J1363" s="31">
        <f>IF($A1363="","",IF(OR($B1363="",$C1363="",$F1363="",$G1363=""),"Preencher tudo",IF(COUNTIF(EtapaLista,$B1363)=0,"Etapa inválida","OK")))</f>
        <v/>
      </c>
    </row>
    <row r="1364" spans="1:10">
      <c r="A1364" s="17"/>
      <c r="B1364" s="15"/>
      <c r="C1364" s="15"/>
      <c r="D1364" s="15"/>
      <c r="E1364" s="15"/>
      <c r="F1364" s="16"/>
      <c r="G1364" s="27"/>
      <c r="H1364" s="17"/>
      <c r="I1364" s="30">
        <f>IF($A1364="","",DATE(YEAR($A1364),MONTH($A1364),1))</f>
        <v/>
      </c>
      <c r="J1364" s="31">
        <f>IF($A1364="","",IF(OR($B1364="",$C1364="",$F1364="",$G1364=""),"Preencher tudo",IF(COUNTIF(EtapaLista,$B1364)=0,"Etapa inválida","OK")))</f>
        <v/>
      </c>
    </row>
    <row r="1365" spans="1:10">
      <c r="A1365" s="17"/>
      <c r="B1365" s="15"/>
      <c r="C1365" s="15"/>
      <c r="D1365" s="15"/>
      <c r="E1365" s="15"/>
      <c r="F1365" s="16"/>
      <c r="G1365" s="27"/>
      <c r="H1365" s="17"/>
      <c r="I1365" s="30">
        <f>IF($A1365="","",DATE(YEAR($A1365),MONTH($A1365),1))</f>
        <v/>
      </c>
      <c r="J1365" s="31">
        <f>IF($A1365="","",IF(OR($B1365="",$C1365="",$F1365="",$G1365=""),"Preencher tudo",IF(COUNTIF(EtapaLista,$B1365)=0,"Etapa inválida","OK")))</f>
        <v/>
      </c>
    </row>
    <row r="1366" spans="1:10">
      <c r="A1366" s="17"/>
      <c r="B1366" s="15"/>
      <c r="C1366" s="15"/>
      <c r="D1366" s="15"/>
      <c r="E1366" s="15"/>
      <c r="F1366" s="16"/>
      <c r="G1366" s="27"/>
      <c r="H1366" s="17"/>
      <c r="I1366" s="30">
        <f>IF($A1366="","",DATE(YEAR($A1366),MONTH($A1366),1))</f>
        <v/>
      </c>
      <c r="J1366" s="31">
        <f>IF($A1366="","",IF(OR($B1366="",$C1366="",$F1366="",$G1366=""),"Preencher tudo",IF(COUNTIF(EtapaLista,$B1366)=0,"Etapa inválida","OK")))</f>
        <v/>
      </c>
    </row>
    <row r="1367" spans="1:10">
      <c r="A1367" s="17"/>
      <c r="B1367" s="15"/>
      <c r="C1367" s="15"/>
      <c r="D1367" s="15"/>
      <c r="E1367" s="15"/>
      <c r="F1367" s="16"/>
      <c r="G1367" s="27"/>
      <c r="H1367" s="17"/>
      <c r="I1367" s="30">
        <f>IF($A1367="","",DATE(YEAR($A1367),MONTH($A1367),1))</f>
        <v/>
      </c>
      <c r="J1367" s="31">
        <f>IF($A1367="","",IF(OR($B1367="",$C1367="",$F1367="",$G1367=""),"Preencher tudo",IF(COUNTIF(EtapaLista,$B1367)=0,"Etapa inválida","OK")))</f>
        <v/>
      </c>
    </row>
    <row r="1368" spans="1:10">
      <c r="A1368" s="17"/>
      <c r="B1368" s="15"/>
      <c r="C1368" s="15"/>
      <c r="D1368" s="15"/>
      <c r="E1368" s="15"/>
      <c r="F1368" s="16"/>
      <c r="G1368" s="27"/>
      <c r="H1368" s="17"/>
      <c r="I1368" s="30">
        <f>IF($A1368="","",DATE(YEAR($A1368),MONTH($A1368),1))</f>
        <v/>
      </c>
      <c r="J1368" s="31">
        <f>IF($A1368="","",IF(OR($B1368="",$C1368="",$F1368="",$G1368=""),"Preencher tudo",IF(COUNTIF(EtapaLista,$B1368)=0,"Etapa inválida","OK")))</f>
        <v/>
      </c>
    </row>
    <row r="1369" spans="1:10">
      <c r="A1369" s="17"/>
      <c r="B1369" s="15"/>
      <c r="C1369" s="15"/>
      <c r="D1369" s="15"/>
      <c r="E1369" s="15"/>
      <c r="F1369" s="16"/>
      <c r="G1369" s="27"/>
      <c r="H1369" s="17"/>
      <c r="I1369" s="30">
        <f>IF($A1369="","",DATE(YEAR($A1369),MONTH($A1369),1))</f>
        <v/>
      </c>
      <c r="J1369" s="31">
        <f>IF($A1369="","",IF(OR($B1369="",$C1369="",$F1369="",$G1369=""),"Preencher tudo",IF(COUNTIF(EtapaLista,$B1369)=0,"Etapa inválida","OK")))</f>
        <v/>
      </c>
    </row>
    <row r="1370" spans="1:10">
      <c r="A1370" s="17"/>
      <c r="B1370" s="15"/>
      <c r="C1370" s="15"/>
      <c r="D1370" s="15"/>
      <c r="E1370" s="15"/>
      <c r="F1370" s="16"/>
      <c r="G1370" s="27"/>
      <c r="H1370" s="17"/>
      <c r="I1370" s="30">
        <f>IF($A1370="","",DATE(YEAR($A1370),MONTH($A1370),1))</f>
        <v/>
      </c>
      <c r="J1370" s="31">
        <f>IF($A1370="","",IF(OR($B1370="",$C1370="",$F1370="",$G1370=""),"Preencher tudo",IF(COUNTIF(EtapaLista,$B1370)=0,"Etapa inválida","OK")))</f>
        <v/>
      </c>
    </row>
    <row r="1371" spans="1:10">
      <c r="A1371" s="17"/>
      <c r="B1371" s="15"/>
      <c r="C1371" s="15"/>
      <c r="D1371" s="15"/>
      <c r="E1371" s="15"/>
      <c r="F1371" s="16"/>
      <c r="G1371" s="27"/>
      <c r="H1371" s="17"/>
      <c r="I1371" s="30">
        <f>IF($A1371="","",DATE(YEAR($A1371),MONTH($A1371),1))</f>
        <v/>
      </c>
      <c r="J1371" s="31">
        <f>IF($A1371="","",IF(OR($B1371="",$C1371="",$F1371="",$G1371=""),"Preencher tudo",IF(COUNTIF(EtapaLista,$B1371)=0,"Etapa inválida","OK")))</f>
        <v/>
      </c>
    </row>
    <row r="1372" spans="1:10">
      <c r="A1372" s="17"/>
      <c r="B1372" s="15"/>
      <c r="C1372" s="15"/>
      <c r="D1372" s="15"/>
      <c r="E1372" s="15"/>
      <c r="F1372" s="16"/>
      <c r="G1372" s="27"/>
      <c r="H1372" s="17"/>
      <c r="I1372" s="30">
        <f>IF($A1372="","",DATE(YEAR($A1372),MONTH($A1372),1))</f>
        <v/>
      </c>
      <c r="J1372" s="31">
        <f>IF($A1372="","",IF(OR($B1372="",$C1372="",$F1372="",$G1372=""),"Preencher tudo",IF(COUNTIF(EtapaLista,$B1372)=0,"Etapa inválida","OK")))</f>
        <v/>
      </c>
    </row>
    <row r="1373" spans="1:10">
      <c r="A1373" s="17"/>
      <c r="B1373" s="15"/>
      <c r="C1373" s="15"/>
      <c r="D1373" s="15"/>
      <c r="E1373" s="15"/>
      <c r="F1373" s="16"/>
      <c r="G1373" s="27"/>
      <c r="H1373" s="17"/>
      <c r="I1373" s="30">
        <f>IF($A1373="","",DATE(YEAR($A1373),MONTH($A1373),1))</f>
        <v/>
      </c>
      <c r="J1373" s="31">
        <f>IF($A1373="","",IF(OR($B1373="",$C1373="",$F1373="",$G1373=""),"Preencher tudo",IF(COUNTIF(EtapaLista,$B1373)=0,"Etapa inválida","OK")))</f>
        <v/>
      </c>
    </row>
    <row r="1374" spans="1:10">
      <c r="A1374" s="17"/>
      <c r="B1374" s="15"/>
      <c r="C1374" s="15"/>
      <c r="D1374" s="15"/>
      <c r="E1374" s="15"/>
      <c r="F1374" s="16"/>
      <c r="G1374" s="27"/>
      <c r="H1374" s="17"/>
      <c r="I1374" s="30">
        <f>IF($A1374="","",DATE(YEAR($A1374),MONTH($A1374),1))</f>
        <v/>
      </c>
      <c r="J1374" s="31">
        <f>IF($A1374="","",IF(OR($B1374="",$C1374="",$F1374="",$G1374=""),"Preencher tudo",IF(COUNTIF(EtapaLista,$B1374)=0,"Etapa inválida","OK")))</f>
        <v/>
      </c>
    </row>
    <row r="1375" spans="1:10">
      <c r="A1375" s="17"/>
      <c r="B1375" s="15"/>
      <c r="C1375" s="15"/>
      <c r="D1375" s="15"/>
      <c r="E1375" s="15"/>
      <c r="F1375" s="16"/>
      <c r="G1375" s="27"/>
      <c r="H1375" s="17"/>
      <c r="I1375" s="30">
        <f>IF($A1375="","",DATE(YEAR($A1375),MONTH($A1375),1))</f>
        <v/>
      </c>
      <c r="J1375" s="31">
        <f>IF($A1375="","",IF(OR($B1375="",$C1375="",$F1375="",$G1375=""),"Preencher tudo",IF(COUNTIF(EtapaLista,$B1375)=0,"Etapa inválida","OK")))</f>
        <v/>
      </c>
    </row>
    <row r="1376" spans="1:10">
      <c r="A1376" s="17"/>
      <c r="B1376" s="15"/>
      <c r="C1376" s="15"/>
      <c r="D1376" s="15"/>
      <c r="E1376" s="15"/>
      <c r="F1376" s="16"/>
      <c r="G1376" s="27"/>
      <c r="H1376" s="17"/>
      <c r="I1376" s="30">
        <f>IF($A1376="","",DATE(YEAR($A1376),MONTH($A1376),1))</f>
        <v/>
      </c>
      <c r="J1376" s="31">
        <f>IF($A1376="","",IF(OR($B1376="",$C1376="",$F1376="",$G1376=""),"Preencher tudo",IF(COUNTIF(EtapaLista,$B1376)=0,"Etapa inválida","OK")))</f>
        <v/>
      </c>
    </row>
    <row r="1377" spans="1:10">
      <c r="A1377" s="17"/>
      <c r="B1377" s="15"/>
      <c r="C1377" s="15"/>
      <c r="D1377" s="15"/>
      <c r="E1377" s="15"/>
      <c r="F1377" s="16"/>
      <c r="G1377" s="27"/>
      <c r="H1377" s="17"/>
      <c r="I1377" s="30">
        <f>IF($A1377="","",DATE(YEAR($A1377),MONTH($A1377),1))</f>
        <v/>
      </c>
      <c r="J1377" s="31">
        <f>IF($A1377="","",IF(OR($B1377="",$C1377="",$F1377="",$G1377=""),"Preencher tudo",IF(COUNTIF(EtapaLista,$B1377)=0,"Etapa inválida","OK")))</f>
        <v/>
      </c>
    </row>
    <row r="1378" spans="1:10">
      <c r="A1378" s="17"/>
      <c r="B1378" s="15"/>
      <c r="C1378" s="15"/>
      <c r="D1378" s="15"/>
      <c r="E1378" s="15"/>
      <c r="F1378" s="16"/>
      <c r="G1378" s="27"/>
      <c r="H1378" s="17"/>
      <c r="I1378" s="30">
        <f>IF($A1378="","",DATE(YEAR($A1378),MONTH($A1378),1))</f>
        <v/>
      </c>
      <c r="J1378" s="31">
        <f>IF($A1378="","",IF(OR($B1378="",$C1378="",$F1378="",$G1378=""),"Preencher tudo",IF(COUNTIF(EtapaLista,$B1378)=0,"Etapa inválida","OK")))</f>
        <v/>
      </c>
    </row>
    <row r="1379" spans="1:10">
      <c r="A1379" s="17"/>
      <c r="B1379" s="15"/>
      <c r="C1379" s="15"/>
      <c r="D1379" s="15"/>
      <c r="E1379" s="15"/>
      <c r="F1379" s="16"/>
      <c r="G1379" s="27"/>
      <c r="H1379" s="17"/>
      <c r="I1379" s="30">
        <f>IF($A1379="","",DATE(YEAR($A1379),MONTH($A1379),1))</f>
        <v/>
      </c>
      <c r="J1379" s="31">
        <f>IF($A1379="","",IF(OR($B1379="",$C1379="",$F1379="",$G1379=""),"Preencher tudo",IF(COUNTIF(EtapaLista,$B1379)=0,"Etapa inválida","OK")))</f>
        <v/>
      </c>
    </row>
    <row r="1380" spans="1:10">
      <c r="A1380" s="17"/>
      <c r="B1380" s="15"/>
      <c r="C1380" s="15"/>
      <c r="D1380" s="15"/>
      <c r="E1380" s="15"/>
      <c r="F1380" s="16"/>
      <c r="G1380" s="27"/>
      <c r="H1380" s="17"/>
      <c r="I1380" s="30">
        <f>IF($A1380="","",DATE(YEAR($A1380),MONTH($A1380),1))</f>
        <v/>
      </c>
      <c r="J1380" s="31">
        <f>IF($A1380="","",IF(OR($B1380="",$C1380="",$F1380="",$G1380=""),"Preencher tudo",IF(COUNTIF(EtapaLista,$B1380)=0,"Etapa inválida","OK")))</f>
        <v/>
      </c>
    </row>
    <row r="1381" spans="1:10">
      <c r="A1381" s="17"/>
      <c r="B1381" s="15"/>
      <c r="C1381" s="15"/>
      <c r="D1381" s="15"/>
      <c r="E1381" s="15"/>
      <c r="F1381" s="16"/>
      <c r="G1381" s="27"/>
      <c r="H1381" s="17"/>
      <c r="I1381" s="30">
        <f>IF($A1381="","",DATE(YEAR($A1381),MONTH($A1381),1))</f>
        <v/>
      </c>
      <c r="J1381" s="31">
        <f>IF($A1381="","",IF(OR($B1381="",$C1381="",$F1381="",$G1381=""),"Preencher tudo",IF(COUNTIF(EtapaLista,$B1381)=0,"Etapa inválida","OK")))</f>
        <v/>
      </c>
    </row>
    <row r="1382" spans="1:10">
      <c r="A1382" s="17"/>
      <c r="B1382" s="15"/>
      <c r="C1382" s="15"/>
      <c r="D1382" s="15"/>
      <c r="E1382" s="15"/>
      <c r="F1382" s="16"/>
      <c r="G1382" s="27"/>
      <c r="H1382" s="17"/>
      <c r="I1382" s="30">
        <f>IF($A1382="","",DATE(YEAR($A1382),MONTH($A1382),1))</f>
        <v/>
      </c>
      <c r="J1382" s="31">
        <f>IF($A1382="","",IF(OR($B1382="",$C1382="",$F1382="",$G1382=""),"Preencher tudo",IF(COUNTIF(EtapaLista,$B1382)=0,"Etapa inválida","OK")))</f>
        <v/>
      </c>
    </row>
    <row r="1383" spans="1:10">
      <c r="A1383" s="17"/>
      <c r="B1383" s="15"/>
      <c r="C1383" s="15"/>
      <c r="D1383" s="15"/>
      <c r="E1383" s="15"/>
      <c r="F1383" s="16"/>
      <c r="G1383" s="27"/>
      <c r="H1383" s="17"/>
      <c r="I1383" s="30">
        <f>IF($A1383="","",DATE(YEAR($A1383),MONTH($A1383),1))</f>
        <v/>
      </c>
      <c r="J1383" s="31">
        <f>IF($A1383="","",IF(OR($B1383="",$C1383="",$F1383="",$G1383=""),"Preencher tudo",IF(COUNTIF(EtapaLista,$B1383)=0,"Etapa inválida","OK")))</f>
        <v/>
      </c>
    </row>
    <row r="1384" spans="1:10">
      <c r="A1384" s="17"/>
      <c r="B1384" s="15"/>
      <c r="C1384" s="15"/>
      <c r="D1384" s="15"/>
      <c r="E1384" s="15"/>
      <c r="F1384" s="16"/>
      <c r="G1384" s="27"/>
      <c r="H1384" s="17"/>
      <c r="I1384" s="30">
        <f>IF($A1384="","",DATE(YEAR($A1384),MONTH($A1384),1))</f>
        <v/>
      </c>
      <c r="J1384" s="31">
        <f>IF($A1384="","",IF(OR($B1384="",$C1384="",$F1384="",$G1384=""),"Preencher tudo",IF(COUNTIF(EtapaLista,$B1384)=0,"Etapa inválida","OK")))</f>
        <v/>
      </c>
    </row>
    <row r="1385" spans="1:10">
      <c r="A1385" s="17"/>
      <c r="B1385" s="15"/>
      <c r="C1385" s="15"/>
      <c r="D1385" s="15"/>
      <c r="E1385" s="15"/>
      <c r="F1385" s="16"/>
      <c r="G1385" s="27"/>
      <c r="H1385" s="17"/>
      <c r="I1385" s="30">
        <f>IF($A1385="","",DATE(YEAR($A1385),MONTH($A1385),1))</f>
        <v/>
      </c>
      <c r="J1385" s="31">
        <f>IF($A1385="","",IF(OR($B1385="",$C1385="",$F1385="",$G1385=""),"Preencher tudo",IF(COUNTIF(EtapaLista,$B1385)=0,"Etapa inválida","OK")))</f>
        <v/>
      </c>
    </row>
    <row r="1386" spans="1:10">
      <c r="A1386" s="17"/>
      <c r="B1386" s="15"/>
      <c r="C1386" s="15"/>
      <c r="D1386" s="15"/>
      <c r="E1386" s="15"/>
      <c r="F1386" s="16"/>
      <c r="G1386" s="27"/>
      <c r="H1386" s="17"/>
      <c r="I1386" s="30">
        <f>IF($A1386="","",DATE(YEAR($A1386),MONTH($A1386),1))</f>
        <v/>
      </c>
      <c r="J1386" s="31">
        <f>IF($A1386="","",IF(OR($B1386="",$C1386="",$F1386="",$G1386=""),"Preencher tudo",IF(COUNTIF(EtapaLista,$B1386)=0,"Etapa inválida","OK")))</f>
        <v/>
      </c>
    </row>
    <row r="1387" spans="1:10">
      <c r="A1387" s="17"/>
      <c r="B1387" s="15"/>
      <c r="C1387" s="15"/>
      <c r="D1387" s="15"/>
      <c r="E1387" s="15"/>
      <c r="F1387" s="16"/>
      <c r="G1387" s="27"/>
      <c r="H1387" s="17"/>
      <c r="I1387" s="30">
        <f>IF($A1387="","",DATE(YEAR($A1387),MONTH($A1387),1))</f>
        <v/>
      </c>
      <c r="J1387" s="31">
        <f>IF($A1387="","",IF(OR($B1387="",$C1387="",$F1387="",$G1387=""),"Preencher tudo",IF(COUNTIF(EtapaLista,$B1387)=0,"Etapa inválida","OK")))</f>
        <v/>
      </c>
    </row>
    <row r="1388" spans="1:10">
      <c r="A1388" s="17"/>
      <c r="B1388" s="15"/>
      <c r="C1388" s="15"/>
      <c r="D1388" s="15"/>
      <c r="E1388" s="15"/>
      <c r="F1388" s="16"/>
      <c r="G1388" s="27"/>
      <c r="H1388" s="17"/>
      <c r="I1388" s="30">
        <f>IF($A1388="","",DATE(YEAR($A1388),MONTH($A1388),1))</f>
        <v/>
      </c>
      <c r="J1388" s="31">
        <f>IF($A1388="","",IF(OR($B1388="",$C1388="",$F1388="",$G1388=""),"Preencher tudo",IF(COUNTIF(EtapaLista,$B1388)=0,"Etapa inválida","OK")))</f>
        <v/>
      </c>
    </row>
    <row r="1389" spans="1:10">
      <c r="A1389" s="17"/>
      <c r="B1389" s="15"/>
      <c r="C1389" s="15"/>
      <c r="D1389" s="15"/>
      <c r="E1389" s="15"/>
      <c r="F1389" s="16"/>
      <c r="G1389" s="27"/>
      <c r="H1389" s="17"/>
      <c r="I1389" s="30">
        <f>IF($A1389="","",DATE(YEAR($A1389),MONTH($A1389),1))</f>
        <v/>
      </c>
      <c r="J1389" s="31">
        <f>IF($A1389="","",IF(OR($B1389="",$C1389="",$F1389="",$G1389=""),"Preencher tudo",IF(COUNTIF(EtapaLista,$B1389)=0,"Etapa inválida","OK")))</f>
        <v/>
      </c>
    </row>
    <row r="1390" spans="1:10">
      <c r="A1390" s="17"/>
      <c r="B1390" s="15"/>
      <c r="C1390" s="15"/>
      <c r="D1390" s="15"/>
      <c r="E1390" s="15"/>
      <c r="F1390" s="16"/>
      <c r="G1390" s="27"/>
      <c r="H1390" s="17"/>
      <c r="I1390" s="30">
        <f>IF($A1390="","",DATE(YEAR($A1390),MONTH($A1390),1))</f>
        <v/>
      </c>
      <c r="J1390" s="31">
        <f>IF($A1390="","",IF(OR($B1390="",$C1390="",$F1390="",$G1390=""),"Preencher tudo",IF(COUNTIF(EtapaLista,$B1390)=0,"Etapa inválida","OK")))</f>
        <v/>
      </c>
    </row>
    <row r="1391" spans="1:10">
      <c r="A1391" s="17"/>
      <c r="B1391" s="15"/>
      <c r="C1391" s="15"/>
      <c r="D1391" s="15"/>
      <c r="E1391" s="15"/>
      <c r="F1391" s="16"/>
      <c r="G1391" s="27"/>
      <c r="H1391" s="17"/>
      <c r="I1391" s="30">
        <f>IF($A1391="","",DATE(YEAR($A1391),MONTH($A1391),1))</f>
        <v/>
      </c>
      <c r="J1391" s="31">
        <f>IF($A1391="","",IF(OR($B1391="",$C1391="",$F1391="",$G1391=""),"Preencher tudo",IF(COUNTIF(EtapaLista,$B1391)=0,"Etapa inválida","OK")))</f>
        <v/>
      </c>
    </row>
    <row r="1392" spans="1:10">
      <c r="A1392" s="17"/>
      <c r="B1392" s="15"/>
      <c r="C1392" s="15"/>
      <c r="D1392" s="15"/>
      <c r="E1392" s="15"/>
      <c r="F1392" s="16"/>
      <c r="G1392" s="27"/>
      <c r="H1392" s="17"/>
      <c r="I1392" s="30">
        <f>IF($A1392="","",DATE(YEAR($A1392),MONTH($A1392),1))</f>
        <v/>
      </c>
      <c r="J1392" s="31">
        <f>IF($A1392="","",IF(OR($B1392="",$C1392="",$F1392="",$G1392=""),"Preencher tudo",IF(COUNTIF(EtapaLista,$B1392)=0,"Etapa inválida","OK")))</f>
        <v/>
      </c>
    </row>
    <row r="1393" spans="1:10">
      <c r="A1393" s="17"/>
      <c r="B1393" s="15"/>
      <c r="C1393" s="15"/>
      <c r="D1393" s="15"/>
      <c r="E1393" s="15"/>
      <c r="F1393" s="16"/>
      <c r="G1393" s="27"/>
      <c r="H1393" s="17"/>
      <c r="I1393" s="30">
        <f>IF($A1393="","",DATE(YEAR($A1393),MONTH($A1393),1))</f>
        <v/>
      </c>
      <c r="J1393" s="31">
        <f>IF($A1393="","",IF(OR($B1393="",$C1393="",$F1393="",$G1393=""),"Preencher tudo",IF(COUNTIF(EtapaLista,$B1393)=0,"Etapa inválida","OK")))</f>
        <v/>
      </c>
    </row>
    <row r="1394" spans="1:10">
      <c r="A1394" s="17"/>
      <c r="B1394" s="15"/>
      <c r="C1394" s="15"/>
      <c r="D1394" s="15"/>
      <c r="E1394" s="15"/>
      <c r="F1394" s="16"/>
      <c r="G1394" s="27"/>
      <c r="H1394" s="17"/>
      <c r="I1394" s="30">
        <f>IF($A1394="","",DATE(YEAR($A1394),MONTH($A1394),1))</f>
        <v/>
      </c>
      <c r="J1394" s="31">
        <f>IF($A1394="","",IF(OR($B1394="",$C1394="",$F1394="",$G1394=""),"Preencher tudo",IF(COUNTIF(EtapaLista,$B1394)=0,"Etapa inválida","OK")))</f>
        <v/>
      </c>
    </row>
    <row r="1395" spans="1:10">
      <c r="A1395" s="17"/>
      <c r="B1395" s="15"/>
      <c r="C1395" s="15"/>
      <c r="D1395" s="15"/>
      <c r="E1395" s="15"/>
      <c r="F1395" s="16"/>
      <c r="G1395" s="27"/>
      <c r="H1395" s="17"/>
      <c r="I1395" s="30">
        <f>IF($A1395="","",DATE(YEAR($A1395),MONTH($A1395),1))</f>
        <v/>
      </c>
      <c r="J1395" s="31">
        <f>IF($A1395="","",IF(OR($B1395="",$C1395="",$F1395="",$G1395=""),"Preencher tudo",IF(COUNTIF(EtapaLista,$B1395)=0,"Etapa inválida","OK")))</f>
        <v/>
      </c>
    </row>
    <row r="1396" spans="1:10">
      <c r="A1396" s="17"/>
      <c r="B1396" s="15"/>
      <c r="C1396" s="15"/>
      <c r="D1396" s="15"/>
      <c r="E1396" s="15"/>
      <c r="F1396" s="16"/>
      <c r="G1396" s="27"/>
      <c r="H1396" s="17"/>
      <c r="I1396" s="30">
        <f>IF($A1396="","",DATE(YEAR($A1396),MONTH($A1396),1))</f>
        <v/>
      </c>
      <c r="J1396" s="31">
        <f>IF($A1396="","",IF(OR($B1396="",$C1396="",$F1396="",$G1396=""),"Preencher tudo",IF(COUNTIF(EtapaLista,$B1396)=0,"Etapa inválida","OK")))</f>
        <v/>
      </c>
    </row>
    <row r="1397" spans="1:10">
      <c r="A1397" s="17"/>
      <c r="B1397" s="15"/>
      <c r="C1397" s="15"/>
      <c r="D1397" s="15"/>
      <c r="E1397" s="15"/>
      <c r="F1397" s="16"/>
      <c r="G1397" s="27"/>
      <c r="H1397" s="17"/>
      <c r="I1397" s="30">
        <f>IF($A1397="","",DATE(YEAR($A1397),MONTH($A1397),1))</f>
        <v/>
      </c>
      <c r="J1397" s="31">
        <f>IF($A1397="","",IF(OR($B1397="",$C1397="",$F1397="",$G1397=""),"Preencher tudo",IF(COUNTIF(EtapaLista,$B1397)=0,"Etapa inválida","OK")))</f>
        <v/>
      </c>
    </row>
    <row r="1398" spans="1:10">
      <c r="A1398" s="17"/>
      <c r="B1398" s="15"/>
      <c r="C1398" s="15"/>
      <c r="D1398" s="15"/>
      <c r="E1398" s="15"/>
      <c r="F1398" s="16"/>
      <c r="G1398" s="27"/>
      <c r="H1398" s="17"/>
      <c r="I1398" s="30">
        <f>IF($A1398="","",DATE(YEAR($A1398),MONTH($A1398),1))</f>
        <v/>
      </c>
      <c r="J1398" s="31">
        <f>IF($A1398="","",IF(OR($B1398="",$C1398="",$F1398="",$G1398=""),"Preencher tudo",IF(COUNTIF(EtapaLista,$B1398)=0,"Etapa inválida","OK")))</f>
        <v/>
      </c>
    </row>
    <row r="1399" spans="1:10">
      <c r="A1399" s="17"/>
      <c r="B1399" s="15"/>
      <c r="C1399" s="15"/>
      <c r="D1399" s="15"/>
      <c r="E1399" s="15"/>
      <c r="F1399" s="16"/>
      <c r="G1399" s="27"/>
      <c r="H1399" s="17"/>
      <c r="I1399" s="30">
        <f>IF($A1399="","",DATE(YEAR($A1399),MONTH($A1399),1))</f>
        <v/>
      </c>
      <c r="J1399" s="31">
        <f>IF($A1399="","",IF(OR($B1399="",$C1399="",$F1399="",$G1399=""),"Preencher tudo",IF(COUNTIF(EtapaLista,$B1399)=0,"Etapa inválida","OK")))</f>
        <v/>
      </c>
    </row>
    <row r="1400" spans="1:10">
      <c r="A1400" s="17"/>
      <c r="B1400" s="15"/>
      <c r="C1400" s="15"/>
      <c r="D1400" s="15"/>
      <c r="E1400" s="15"/>
      <c r="F1400" s="16"/>
      <c r="G1400" s="27"/>
      <c r="H1400" s="17"/>
      <c r="I1400" s="30">
        <f>IF($A1400="","",DATE(YEAR($A1400),MONTH($A1400),1))</f>
        <v/>
      </c>
      <c r="J1400" s="31">
        <f>IF($A1400="","",IF(OR($B1400="",$C1400="",$F1400="",$G1400=""),"Preencher tudo",IF(COUNTIF(EtapaLista,$B1400)=0,"Etapa inválida","OK")))</f>
        <v/>
      </c>
    </row>
    <row r="1401" spans="1:10">
      <c r="A1401" s="17"/>
      <c r="B1401" s="15"/>
      <c r="C1401" s="15"/>
      <c r="D1401" s="15"/>
      <c r="E1401" s="15"/>
      <c r="F1401" s="16"/>
      <c r="G1401" s="27"/>
      <c r="H1401" s="17"/>
      <c r="I1401" s="30">
        <f>IF($A1401="","",DATE(YEAR($A1401),MONTH($A1401),1))</f>
        <v/>
      </c>
      <c r="J1401" s="31">
        <f>IF($A1401="","",IF(OR($B1401="",$C1401="",$F1401="",$G1401=""),"Preencher tudo",IF(COUNTIF(EtapaLista,$B1401)=0,"Etapa inválida","OK")))</f>
        <v/>
      </c>
    </row>
    <row r="1402" spans="1:10">
      <c r="A1402" s="17"/>
      <c r="B1402" s="15"/>
      <c r="C1402" s="15"/>
      <c r="D1402" s="15"/>
      <c r="E1402" s="15"/>
      <c r="F1402" s="16"/>
      <c r="G1402" s="27"/>
      <c r="H1402" s="17"/>
      <c r="I1402" s="30">
        <f>IF($A1402="","",DATE(YEAR($A1402),MONTH($A1402),1))</f>
        <v/>
      </c>
      <c r="J1402" s="31">
        <f>IF($A1402="","",IF(OR($B1402="",$C1402="",$F1402="",$G1402=""),"Preencher tudo",IF(COUNTIF(EtapaLista,$B1402)=0,"Etapa inválida","OK")))</f>
        <v/>
      </c>
    </row>
    <row r="1403" spans="1:10">
      <c r="A1403" s="17"/>
      <c r="B1403" s="15"/>
      <c r="C1403" s="15"/>
      <c r="D1403" s="15"/>
      <c r="E1403" s="15"/>
      <c r="F1403" s="16"/>
      <c r="G1403" s="27"/>
      <c r="H1403" s="17"/>
      <c r="I1403" s="30">
        <f>IF($A1403="","",DATE(YEAR($A1403),MONTH($A1403),1))</f>
        <v/>
      </c>
      <c r="J1403" s="31">
        <f>IF($A1403="","",IF(OR($B1403="",$C1403="",$F1403="",$G1403=""),"Preencher tudo",IF(COUNTIF(EtapaLista,$B1403)=0,"Etapa inválida","OK")))</f>
        <v/>
      </c>
    </row>
    <row r="1404" spans="1:10">
      <c r="A1404" s="17"/>
      <c r="B1404" s="15"/>
      <c r="C1404" s="15"/>
      <c r="D1404" s="15"/>
      <c r="E1404" s="15"/>
      <c r="F1404" s="16"/>
      <c r="G1404" s="27"/>
      <c r="H1404" s="17"/>
      <c r="I1404" s="30">
        <f>IF($A1404="","",DATE(YEAR($A1404),MONTH($A1404),1))</f>
        <v/>
      </c>
      <c r="J1404" s="31">
        <f>IF($A1404="","",IF(OR($B1404="",$C1404="",$F1404="",$G1404=""),"Preencher tudo",IF(COUNTIF(EtapaLista,$B1404)=0,"Etapa inválida","OK")))</f>
        <v/>
      </c>
    </row>
    <row r="1405" spans="1:10">
      <c r="A1405" s="17"/>
      <c r="B1405" s="15"/>
      <c r="C1405" s="15"/>
      <c r="D1405" s="15"/>
      <c r="E1405" s="15"/>
      <c r="F1405" s="16"/>
      <c r="G1405" s="27"/>
      <c r="H1405" s="17"/>
      <c r="I1405" s="30">
        <f>IF($A1405="","",DATE(YEAR($A1405),MONTH($A1405),1))</f>
        <v/>
      </c>
      <c r="J1405" s="31">
        <f>IF($A1405="","",IF(OR($B1405="",$C1405="",$F1405="",$G1405=""),"Preencher tudo",IF(COUNTIF(EtapaLista,$B1405)=0,"Etapa inválida","OK")))</f>
        <v/>
      </c>
    </row>
    <row r="1406" spans="1:10">
      <c r="A1406" s="17"/>
      <c r="B1406" s="15"/>
      <c r="C1406" s="15"/>
      <c r="D1406" s="15"/>
      <c r="E1406" s="15"/>
      <c r="F1406" s="16"/>
      <c r="G1406" s="27"/>
      <c r="H1406" s="17"/>
      <c r="I1406" s="30">
        <f>IF($A1406="","",DATE(YEAR($A1406),MONTH($A1406),1))</f>
        <v/>
      </c>
      <c r="J1406" s="31">
        <f>IF($A1406="","",IF(OR($B1406="",$C1406="",$F1406="",$G1406=""),"Preencher tudo",IF(COUNTIF(EtapaLista,$B1406)=0,"Etapa inválida","OK")))</f>
        <v/>
      </c>
    </row>
    <row r="1407" spans="1:10">
      <c r="A1407" s="17"/>
      <c r="B1407" s="15"/>
      <c r="C1407" s="15"/>
      <c r="D1407" s="15"/>
      <c r="E1407" s="15"/>
      <c r="F1407" s="16"/>
      <c r="G1407" s="27"/>
      <c r="H1407" s="17"/>
      <c r="I1407" s="30">
        <f>IF($A1407="","",DATE(YEAR($A1407),MONTH($A1407),1))</f>
        <v/>
      </c>
      <c r="J1407" s="31">
        <f>IF($A1407="","",IF(OR($B1407="",$C1407="",$F1407="",$G1407=""),"Preencher tudo",IF(COUNTIF(EtapaLista,$B1407)=0,"Etapa inválida","OK")))</f>
        <v/>
      </c>
    </row>
    <row r="1408" spans="1:10">
      <c r="A1408" s="17"/>
      <c r="B1408" s="15"/>
      <c r="C1408" s="15"/>
      <c r="D1408" s="15"/>
      <c r="E1408" s="15"/>
      <c r="F1408" s="16"/>
      <c r="G1408" s="27"/>
      <c r="H1408" s="17"/>
      <c r="I1408" s="30">
        <f>IF($A1408="","",DATE(YEAR($A1408),MONTH($A1408),1))</f>
        <v/>
      </c>
      <c r="J1408" s="31">
        <f>IF($A1408="","",IF(OR($B1408="",$C1408="",$F1408="",$G1408=""),"Preencher tudo",IF(COUNTIF(EtapaLista,$B1408)=0,"Etapa inválida","OK")))</f>
        <v/>
      </c>
    </row>
    <row r="1409" spans="1:10">
      <c r="A1409" s="17"/>
      <c r="B1409" s="15"/>
      <c r="C1409" s="15"/>
      <c r="D1409" s="15"/>
      <c r="E1409" s="15"/>
      <c r="F1409" s="16"/>
      <c r="G1409" s="27"/>
      <c r="H1409" s="17"/>
      <c r="I1409" s="30">
        <f>IF($A1409="","",DATE(YEAR($A1409),MONTH($A1409),1))</f>
        <v/>
      </c>
      <c r="J1409" s="31">
        <f>IF($A1409="","",IF(OR($B1409="",$C1409="",$F1409="",$G1409=""),"Preencher tudo",IF(COUNTIF(EtapaLista,$B1409)=0,"Etapa inválida","OK")))</f>
        <v/>
      </c>
    </row>
    <row r="1410" spans="1:10">
      <c r="A1410" s="17"/>
      <c r="B1410" s="15"/>
      <c r="C1410" s="15"/>
      <c r="D1410" s="15"/>
      <c r="E1410" s="15"/>
      <c r="F1410" s="16"/>
      <c r="G1410" s="27"/>
      <c r="H1410" s="17"/>
      <c r="I1410" s="30">
        <f>IF($A1410="","",DATE(YEAR($A1410),MONTH($A1410),1))</f>
        <v/>
      </c>
      <c r="J1410" s="31">
        <f>IF($A1410="","",IF(OR($B1410="",$C1410="",$F1410="",$G1410=""),"Preencher tudo",IF(COUNTIF(EtapaLista,$B1410)=0,"Etapa inválida","OK")))</f>
        <v/>
      </c>
    </row>
    <row r="1411" spans="1:10">
      <c r="A1411" s="17"/>
      <c r="B1411" s="15"/>
      <c r="C1411" s="15"/>
      <c r="D1411" s="15"/>
      <c r="E1411" s="15"/>
      <c r="F1411" s="16"/>
      <c r="G1411" s="27"/>
      <c r="H1411" s="17"/>
      <c r="I1411" s="30">
        <f>IF($A1411="","",DATE(YEAR($A1411),MONTH($A1411),1))</f>
        <v/>
      </c>
      <c r="J1411" s="31">
        <f>IF($A1411="","",IF(OR($B1411="",$C1411="",$F1411="",$G1411=""),"Preencher tudo",IF(COUNTIF(EtapaLista,$B1411)=0,"Etapa inválida","OK")))</f>
        <v/>
      </c>
    </row>
    <row r="1412" spans="1:10">
      <c r="A1412" s="17"/>
      <c r="B1412" s="15"/>
      <c r="C1412" s="15"/>
      <c r="D1412" s="15"/>
      <c r="E1412" s="15"/>
      <c r="F1412" s="16"/>
      <c r="G1412" s="27"/>
      <c r="H1412" s="17"/>
      <c r="I1412" s="30">
        <f>IF($A1412="","",DATE(YEAR($A1412),MONTH($A1412),1))</f>
        <v/>
      </c>
      <c r="J1412" s="31">
        <f>IF($A1412="","",IF(OR($B1412="",$C1412="",$F1412="",$G1412=""),"Preencher tudo",IF(COUNTIF(EtapaLista,$B1412)=0,"Etapa inválida","OK")))</f>
        <v/>
      </c>
    </row>
    <row r="1413" spans="1:10">
      <c r="A1413" s="17"/>
      <c r="B1413" s="15"/>
      <c r="C1413" s="15"/>
      <c r="D1413" s="15"/>
      <c r="E1413" s="15"/>
      <c r="F1413" s="16"/>
      <c r="G1413" s="27"/>
      <c r="H1413" s="17"/>
      <c r="I1413" s="30">
        <f>IF($A1413="","",DATE(YEAR($A1413),MONTH($A1413),1))</f>
        <v/>
      </c>
      <c r="J1413" s="31">
        <f>IF($A1413="","",IF(OR($B1413="",$C1413="",$F1413="",$G1413=""),"Preencher tudo",IF(COUNTIF(EtapaLista,$B1413)=0,"Etapa inválida","OK")))</f>
        <v/>
      </c>
    </row>
    <row r="1414" spans="1:10">
      <c r="A1414" s="17"/>
      <c r="B1414" s="15"/>
      <c r="C1414" s="15"/>
      <c r="D1414" s="15"/>
      <c r="E1414" s="15"/>
      <c r="F1414" s="16"/>
      <c r="G1414" s="27"/>
      <c r="H1414" s="17"/>
      <c r="I1414" s="30">
        <f>IF($A1414="","",DATE(YEAR($A1414),MONTH($A1414),1))</f>
        <v/>
      </c>
      <c r="J1414" s="31">
        <f>IF($A1414="","",IF(OR($B1414="",$C1414="",$F1414="",$G1414=""),"Preencher tudo",IF(COUNTIF(EtapaLista,$B1414)=0,"Etapa inválida","OK")))</f>
        <v/>
      </c>
    </row>
    <row r="1415" spans="1:10">
      <c r="A1415" s="17"/>
      <c r="B1415" s="15"/>
      <c r="C1415" s="15"/>
      <c r="D1415" s="15"/>
      <c r="E1415" s="15"/>
      <c r="F1415" s="16"/>
      <c r="G1415" s="27"/>
      <c r="H1415" s="17"/>
      <c r="I1415" s="30">
        <f>IF($A1415="","",DATE(YEAR($A1415),MONTH($A1415),1))</f>
        <v/>
      </c>
      <c r="J1415" s="31">
        <f>IF($A1415="","",IF(OR($B1415="",$C1415="",$F1415="",$G1415=""),"Preencher tudo",IF(COUNTIF(EtapaLista,$B1415)=0,"Etapa inválida","OK")))</f>
        <v/>
      </c>
    </row>
    <row r="1416" spans="1:10">
      <c r="A1416" s="17"/>
      <c r="B1416" s="15"/>
      <c r="C1416" s="15"/>
      <c r="D1416" s="15"/>
      <c r="E1416" s="15"/>
      <c r="F1416" s="16"/>
      <c r="G1416" s="27"/>
      <c r="H1416" s="17"/>
      <c r="I1416" s="30">
        <f>IF($A1416="","",DATE(YEAR($A1416),MONTH($A1416),1))</f>
        <v/>
      </c>
      <c r="J1416" s="31">
        <f>IF($A1416="","",IF(OR($B1416="",$C1416="",$F1416="",$G1416=""),"Preencher tudo",IF(COUNTIF(EtapaLista,$B1416)=0,"Etapa inválida","OK")))</f>
        <v/>
      </c>
    </row>
    <row r="1417" spans="1:10">
      <c r="A1417" s="17"/>
      <c r="B1417" s="15"/>
      <c r="C1417" s="15"/>
      <c r="D1417" s="15"/>
      <c r="E1417" s="15"/>
      <c r="F1417" s="16"/>
      <c r="G1417" s="27"/>
      <c r="H1417" s="17"/>
      <c r="I1417" s="30">
        <f>IF($A1417="","",DATE(YEAR($A1417),MONTH($A1417),1))</f>
        <v/>
      </c>
      <c r="J1417" s="31">
        <f>IF($A1417="","",IF(OR($B1417="",$C1417="",$F1417="",$G1417=""),"Preencher tudo",IF(COUNTIF(EtapaLista,$B1417)=0,"Etapa inválida","OK")))</f>
        <v/>
      </c>
    </row>
    <row r="1418" spans="1:10">
      <c r="A1418" s="17"/>
      <c r="B1418" s="15"/>
      <c r="C1418" s="15"/>
      <c r="D1418" s="15"/>
      <c r="E1418" s="15"/>
      <c r="F1418" s="16"/>
      <c r="G1418" s="27"/>
      <c r="H1418" s="17"/>
      <c r="I1418" s="30">
        <f>IF($A1418="","",DATE(YEAR($A1418),MONTH($A1418),1))</f>
        <v/>
      </c>
      <c r="J1418" s="31">
        <f>IF($A1418="","",IF(OR($B1418="",$C1418="",$F1418="",$G1418=""),"Preencher tudo",IF(COUNTIF(EtapaLista,$B1418)=0,"Etapa inválida","OK")))</f>
        <v/>
      </c>
    </row>
    <row r="1419" spans="1:10">
      <c r="A1419" s="17"/>
      <c r="B1419" s="15"/>
      <c r="C1419" s="15"/>
      <c r="D1419" s="15"/>
      <c r="E1419" s="15"/>
      <c r="F1419" s="16"/>
      <c r="G1419" s="27"/>
      <c r="H1419" s="17"/>
      <c r="I1419" s="30">
        <f>IF($A1419="","",DATE(YEAR($A1419),MONTH($A1419),1))</f>
        <v/>
      </c>
      <c r="J1419" s="31">
        <f>IF($A1419="","",IF(OR($B1419="",$C1419="",$F1419="",$G1419=""),"Preencher tudo",IF(COUNTIF(EtapaLista,$B1419)=0,"Etapa inválida","OK")))</f>
        <v/>
      </c>
    </row>
    <row r="1420" spans="1:10">
      <c r="A1420" s="17"/>
      <c r="B1420" s="15"/>
      <c r="C1420" s="15"/>
      <c r="D1420" s="15"/>
      <c r="E1420" s="15"/>
      <c r="F1420" s="16"/>
      <c r="G1420" s="27"/>
      <c r="H1420" s="17"/>
      <c r="I1420" s="30">
        <f>IF($A1420="","",DATE(YEAR($A1420),MONTH($A1420),1))</f>
        <v/>
      </c>
      <c r="J1420" s="31">
        <f>IF($A1420="","",IF(OR($B1420="",$C1420="",$F1420="",$G1420=""),"Preencher tudo",IF(COUNTIF(EtapaLista,$B1420)=0,"Etapa inválida","OK")))</f>
        <v/>
      </c>
    </row>
    <row r="1421" spans="1:10">
      <c r="A1421" s="17"/>
      <c r="B1421" s="15"/>
      <c r="C1421" s="15"/>
      <c r="D1421" s="15"/>
      <c r="E1421" s="15"/>
      <c r="F1421" s="16"/>
      <c r="G1421" s="27"/>
      <c r="H1421" s="17"/>
      <c r="I1421" s="30">
        <f>IF($A1421="","",DATE(YEAR($A1421),MONTH($A1421),1))</f>
        <v/>
      </c>
      <c r="J1421" s="31">
        <f>IF($A1421="","",IF(OR($B1421="",$C1421="",$F1421="",$G1421=""),"Preencher tudo",IF(COUNTIF(EtapaLista,$B1421)=0,"Etapa inválida","OK")))</f>
        <v/>
      </c>
    </row>
    <row r="1422" spans="1:10">
      <c r="A1422" s="17"/>
      <c r="B1422" s="15"/>
      <c r="C1422" s="15"/>
      <c r="D1422" s="15"/>
      <c r="E1422" s="15"/>
      <c r="F1422" s="16"/>
      <c r="G1422" s="27"/>
      <c r="H1422" s="17"/>
      <c r="I1422" s="30">
        <f>IF($A1422="","",DATE(YEAR($A1422),MONTH($A1422),1))</f>
        <v/>
      </c>
      <c r="J1422" s="31">
        <f>IF($A1422="","",IF(OR($B1422="",$C1422="",$F1422="",$G1422=""),"Preencher tudo",IF(COUNTIF(EtapaLista,$B1422)=0,"Etapa inválida","OK")))</f>
        <v/>
      </c>
    </row>
    <row r="1423" spans="1:10">
      <c r="A1423" s="17"/>
      <c r="B1423" s="15"/>
      <c r="C1423" s="15"/>
      <c r="D1423" s="15"/>
      <c r="E1423" s="15"/>
      <c r="F1423" s="16"/>
      <c r="G1423" s="27"/>
      <c r="H1423" s="17"/>
      <c r="I1423" s="30">
        <f>IF($A1423="","",DATE(YEAR($A1423),MONTH($A1423),1))</f>
        <v/>
      </c>
      <c r="J1423" s="31">
        <f>IF($A1423="","",IF(OR($B1423="",$C1423="",$F1423="",$G1423=""),"Preencher tudo",IF(COUNTIF(EtapaLista,$B1423)=0,"Etapa inválida","OK")))</f>
        <v/>
      </c>
    </row>
    <row r="1424" spans="1:10">
      <c r="A1424" s="17"/>
      <c r="B1424" s="15"/>
      <c r="C1424" s="15"/>
      <c r="D1424" s="15"/>
      <c r="E1424" s="15"/>
      <c r="F1424" s="16"/>
      <c r="G1424" s="27"/>
      <c r="H1424" s="17"/>
      <c r="I1424" s="30">
        <f>IF($A1424="","",DATE(YEAR($A1424),MONTH($A1424),1))</f>
        <v/>
      </c>
      <c r="J1424" s="31">
        <f>IF($A1424="","",IF(OR($B1424="",$C1424="",$F1424="",$G1424=""),"Preencher tudo",IF(COUNTIF(EtapaLista,$B1424)=0,"Etapa inválida","OK")))</f>
        <v/>
      </c>
    </row>
    <row r="1425" spans="1:10">
      <c r="A1425" s="17"/>
      <c r="B1425" s="15"/>
      <c r="C1425" s="15"/>
      <c r="D1425" s="15"/>
      <c r="E1425" s="15"/>
      <c r="F1425" s="16"/>
      <c r="G1425" s="27"/>
      <c r="H1425" s="17"/>
      <c r="I1425" s="30">
        <f>IF($A1425="","",DATE(YEAR($A1425),MONTH($A1425),1))</f>
        <v/>
      </c>
      <c r="J1425" s="31">
        <f>IF($A1425="","",IF(OR($B1425="",$C1425="",$F1425="",$G1425=""),"Preencher tudo",IF(COUNTIF(EtapaLista,$B1425)=0,"Etapa inválida","OK")))</f>
        <v/>
      </c>
    </row>
    <row r="1426" spans="1:10">
      <c r="A1426" s="17"/>
      <c r="B1426" s="15"/>
      <c r="C1426" s="15"/>
      <c r="D1426" s="15"/>
      <c r="E1426" s="15"/>
      <c r="F1426" s="16"/>
      <c r="G1426" s="27"/>
      <c r="H1426" s="17"/>
      <c r="I1426" s="30">
        <f>IF($A1426="","",DATE(YEAR($A1426),MONTH($A1426),1))</f>
        <v/>
      </c>
      <c r="J1426" s="31">
        <f>IF($A1426="","",IF(OR($B1426="",$C1426="",$F1426="",$G1426=""),"Preencher tudo",IF(COUNTIF(EtapaLista,$B1426)=0,"Etapa inválida","OK")))</f>
        <v/>
      </c>
    </row>
    <row r="1427" spans="1:10">
      <c r="A1427" s="17"/>
      <c r="B1427" s="15"/>
      <c r="C1427" s="15"/>
      <c r="D1427" s="15"/>
      <c r="E1427" s="15"/>
      <c r="F1427" s="16"/>
      <c r="G1427" s="27"/>
      <c r="H1427" s="17"/>
      <c r="I1427" s="30">
        <f>IF($A1427="","",DATE(YEAR($A1427),MONTH($A1427),1))</f>
        <v/>
      </c>
      <c r="J1427" s="31">
        <f>IF($A1427="","",IF(OR($B1427="",$C1427="",$F1427="",$G1427=""),"Preencher tudo",IF(COUNTIF(EtapaLista,$B1427)=0,"Etapa inválida","OK")))</f>
        <v/>
      </c>
    </row>
    <row r="1428" spans="1:10">
      <c r="A1428" s="17"/>
      <c r="B1428" s="15"/>
      <c r="C1428" s="15"/>
      <c r="D1428" s="15"/>
      <c r="E1428" s="15"/>
      <c r="F1428" s="16"/>
      <c r="G1428" s="27"/>
      <c r="H1428" s="17"/>
      <c r="I1428" s="30">
        <f>IF($A1428="","",DATE(YEAR($A1428),MONTH($A1428),1))</f>
        <v/>
      </c>
      <c r="J1428" s="31">
        <f>IF($A1428="","",IF(OR($B1428="",$C1428="",$F1428="",$G1428=""),"Preencher tudo",IF(COUNTIF(EtapaLista,$B1428)=0,"Etapa inválida","OK")))</f>
        <v/>
      </c>
    </row>
    <row r="1429" spans="1:10">
      <c r="A1429" s="17"/>
      <c r="B1429" s="15"/>
      <c r="C1429" s="15"/>
      <c r="D1429" s="15"/>
      <c r="E1429" s="15"/>
      <c r="F1429" s="16"/>
      <c r="G1429" s="27"/>
      <c r="H1429" s="17"/>
      <c r="I1429" s="30">
        <f>IF($A1429="","",DATE(YEAR($A1429),MONTH($A1429),1))</f>
        <v/>
      </c>
      <c r="J1429" s="31">
        <f>IF($A1429="","",IF(OR($B1429="",$C1429="",$F1429="",$G1429=""),"Preencher tudo",IF(COUNTIF(EtapaLista,$B1429)=0,"Etapa inválida","OK")))</f>
        <v/>
      </c>
    </row>
    <row r="1430" spans="1:10">
      <c r="A1430" s="17"/>
      <c r="B1430" s="15"/>
      <c r="C1430" s="15"/>
      <c r="D1430" s="15"/>
      <c r="E1430" s="15"/>
      <c r="F1430" s="16"/>
      <c r="G1430" s="27"/>
      <c r="H1430" s="17"/>
      <c r="I1430" s="30">
        <f>IF($A1430="","",DATE(YEAR($A1430),MONTH($A1430),1))</f>
        <v/>
      </c>
      <c r="J1430" s="31">
        <f>IF($A1430="","",IF(OR($B1430="",$C1430="",$F1430="",$G1430=""),"Preencher tudo",IF(COUNTIF(EtapaLista,$B1430)=0,"Etapa inválida","OK")))</f>
        <v/>
      </c>
    </row>
    <row r="1431" spans="1:10">
      <c r="A1431" s="17"/>
      <c r="B1431" s="15"/>
      <c r="C1431" s="15"/>
      <c r="D1431" s="15"/>
      <c r="E1431" s="15"/>
      <c r="F1431" s="16"/>
      <c r="G1431" s="27"/>
      <c r="H1431" s="17"/>
      <c r="I1431" s="30">
        <f>IF($A1431="","",DATE(YEAR($A1431),MONTH($A1431),1))</f>
        <v/>
      </c>
      <c r="J1431" s="31">
        <f>IF($A1431="","",IF(OR($B1431="",$C1431="",$F1431="",$G1431=""),"Preencher tudo",IF(COUNTIF(EtapaLista,$B1431)=0,"Etapa inválida","OK")))</f>
        <v/>
      </c>
    </row>
    <row r="1432" spans="1:10">
      <c r="A1432" s="17"/>
      <c r="B1432" s="15"/>
      <c r="C1432" s="15"/>
      <c r="D1432" s="15"/>
      <c r="E1432" s="15"/>
      <c r="F1432" s="16"/>
      <c r="G1432" s="27"/>
      <c r="H1432" s="17"/>
      <c r="I1432" s="30">
        <f>IF($A1432="","",DATE(YEAR($A1432),MONTH($A1432),1))</f>
        <v/>
      </c>
      <c r="J1432" s="31">
        <f>IF($A1432="","",IF(OR($B1432="",$C1432="",$F1432="",$G1432=""),"Preencher tudo",IF(COUNTIF(EtapaLista,$B1432)=0,"Etapa inválida","OK")))</f>
        <v/>
      </c>
    </row>
    <row r="1433" spans="1:10">
      <c r="A1433" s="17"/>
      <c r="B1433" s="15"/>
      <c r="C1433" s="15"/>
      <c r="D1433" s="15"/>
      <c r="E1433" s="15"/>
      <c r="F1433" s="16"/>
      <c r="G1433" s="27"/>
      <c r="H1433" s="17"/>
      <c r="I1433" s="30">
        <f>IF($A1433="","",DATE(YEAR($A1433),MONTH($A1433),1))</f>
        <v/>
      </c>
      <c r="J1433" s="31">
        <f>IF($A1433="","",IF(OR($B1433="",$C1433="",$F1433="",$G1433=""),"Preencher tudo",IF(COUNTIF(EtapaLista,$B1433)=0,"Etapa inválida","OK")))</f>
        <v/>
      </c>
    </row>
    <row r="1434" spans="1:10">
      <c r="A1434" s="17"/>
      <c r="B1434" s="15"/>
      <c r="C1434" s="15"/>
      <c r="D1434" s="15"/>
      <c r="E1434" s="15"/>
      <c r="F1434" s="16"/>
      <c r="G1434" s="27"/>
      <c r="H1434" s="17"/>
      <c r="I1434" s="30">
        <f>IF($A1434="","",DATE(YEAR($A1434),MONTH($A1434),1))</f>
        <v/>
      </c>
      <c r="J1434" s="31">
        <f>IF($A1434="","",IF(OR($B1434="",$C1434="",$F1434="",$G1434=""),"Preencher tudo",IF(COUNTIF(EtapaLista,$B1434)=0,"Etapa inválida","OK")))</f>
        <v/>
      </c>
    </row>
    <row r="1435" spans="1:10">
      <c r="A1435" s="17"/>
      <c r="B1435" s="15"/>
      <c r="C1435" s="15"/>
      <c r="D1435" s="15"/>
      <c r="E1435" s="15"/>
      <c r="F1435" s="16"/>
      <c r="G1435" s="27"/>
      <c r="H1435" s="17"/>
      <c r="I1435" s="30">
        <f>IF($A1435="","",DATE(YEAR($A1435),MONTH($A1435),1))</f>
        <v/>
      </c>
      <c r="J1435" s="31">
        <f>IF($A1435="","",IF(OR($B1435="",$C1435="",$F1435="",$G1435=""),"Preencher tudo",IF(COUNTIF(EtapaLista,$B1435)=0,"Etapa inválida","OK")))</f>
        <v/>
      </c>
    </row>
    <row r="1436" spans="1:10">
      <c r="A1436" s="17"/>
      <c r="B1436" s="15"/>
      <c r="C1436" s="15"/>
      <c r="D1436" s="15"/>
      <c r="E1436" s="15"/>
      <c r="F1436" s="16"/>
      <c r="G1436" s="27"/>
      <c r="H1436" s="17"/>
      <c r="I1436" s="30">
        <f>IF($A1436="","",DATE(YEAR($A1436),MONTH($A1436),1))</f>
        <v/>
      </c>
      <c r="J1436" s="31">
        <f>IF($A1436="","",IF(OR($B1436="",$C1436="",$F1436="",$G1436=""),"Preencher tudo",IF(COUNTIF(EtapaLista,$B1436)=0,"Etapa inválida","OK")))</f>
        <v/>
      </c>
    </row>
    <row r="1437" spans="1:10">
      <c r="A1437" s="17"/>
      <c r="B1437" s="15"/>
      <c r="C1437" s="15"/>
      <c r="D1437" s="15"/>
      <c r="E1437" s="15"/>
      <c r="F1437" s="16"/>
      <c r="G1437" s="27"/>
      <c r="H1437" s="17"/>
      <c r="I1437" s="30">
        <f>IF($A1437="","",DATE(YEAR($A1437),MONTH($A1437),1))</f>
        <v/>
      </c>
      <c r="J1437" s="31">
        <f>IF($A1437="","",IF(OR($B1437="",$C1437="",$F1437="",$G1437=""),"Preencher tudo",IF(COUNTIF(EtapaLista,$B1437)=0,"Etapa inválida","OK")))</f>
        <v/>
      </c>
    </row>
    <row r="1438" spans="1:10">
      <c r="A1438" s="17"/>
      <c r="B1438" s="15"/>
      <c r="C1438" s="15"/>
      <c r="D1438" s="15"/>
      <c r="E1438" s="15"/>
      <c r="F1438" s="16"/>
      <c r="G1438" s="27"/>
      <c r="H1438" s="17"/>
      <c r="I1438" s="30">
        <f>IF($A1438="","",DATE(YEAR($A1438),MONTH($A1438),1))</f>
        <v/>
      </c>
      <c r="J1438" s="31">
        <f>IF($A1438="","",IF(OR($B1438="",$C1438="",$F1438="",$G1438=""),"Preencher tudo",IF(COUNTIF(EtapaLista,$B1438)=0,"Etapa inválida","OK")))</f>
        <v/>
      </c>
    </row>
    <row r="1439" spans="1:10">
      <c r="A1439" s="17"/>
      <c r="B1439" s="15"/>
      <c r="C1439" s="15"/>
      <c r="D1439" s="15"/>
      <c r="E1439" s="15"/>
      <c r="F1439" s="16"/>
      <c r="G1439" s="27"/>
      <c r="H1439" s="17"/>
      <c r="I1439" s="30">
        <f>IF($A1439="","",DATE(YEAR($A1439),MONTH($A1439),1))</f>
        <v/>
      </c>
      <c r="J1439" s="31">
        <f>IF($A1439="","",IF(OR($B1439="",$C1439="",$F1439="",$G1439=""),"Preencher tudo",IF(COUNTIF(EtapaLista,$B1439)=0,"Etapa inválida","OK")))</f>
        <v/>
      </c>
    </row>
    <row r="1440" spans="1:10">
      <c r="A1440" s="17"/>
      <c r="B1440" s="15"/>
      <c r="C1440" s="15"/>
      <c r="D1440" s="15"/>
      <c r="E1440" s="15"/>
      <c r="F1440" s="16"/>
      <c r="G1440" s="27"/>
      <c r="H1440" s="17"/>
      <c r="I1440" s="30">
        <f>IF($A1440="","",DATE(YEAR($A1440),MONTH($A1440),1))</f>
        <v/>
      </c>
      <c r="J1440" s="31">
        <f>IF($A1440="","",IF(OR($B1440="",$C1440="",$F1440="",$G1440=""),"Preencher tudo",IF(COUNTIF(EtapaLista,$B1440)=0,"Etapa inválida","OK")))</f>
        <v/>
      </c>
    </row>
    <row r="1441" spans="1:10">
      <c r="A1441" s="17"/>
      <c r="B1441" s="15"/>
      <c r="C1441" s="15"/>
      <c r="D1441" s="15"/>
      <c r="E1441" s="15"/>
      <c r="F1441" s="16"/>
      <c r="G1441" s="27"/>
      <c r="H1441" s="17"/>
      <c r="I1441" s="30">
        <f>IF($A1441="","",DATE(YEAR($A1441),MONTH($A1441),1))</f>
        <v/>
      </c>
      <c r="J1441" s="31">
        <f>IF($A1441="","",IF(OR($B1441="",$C1441="",$F1441="",$G1441=""),"Preencher tudo",IF(COUNTIF(EtapaLista,$B1441)=0,"Etapa inválida","OK")))</f>
        <v/>
      </c>
    </row>
    <row r="1442" spans="1:10">
      <c r="A1442" s="17"/>
      <c r="B1442" s="15"/>
      <c r="C1442" s="15"/>
      <c r="D1442" s="15"/>
      <c r="E1442" s="15"/>
      <c r="F1442" s="16"/>
      <c r="G1442" s="27"/>
      <c r="H1442" s="17"/>
      <c r="I1442" s="30">
        <f>IF($A1442="","",DATE(YEAR($A1442),MONTH($A1442),1))</f>
        <v/>
      </c>
      <c r="J1442" s="31">
        <f>IF($A1442="","",IF(OR($B1442="",$C1442="",$F1442="",$G1442=""),"Preencher tudo",IF(COUNTIF(EtapaLista,$B1442)=0,"Etapa inválida","OK")))</f>
        <v/>
      </c>
    </row>
    <row r="1443" spans="1:10">
      <c r="A1443" s="17"/>
      <c r="B1443" s="15"/>
      <c r="C1443" s="15"/>
      <c r="D1443" s="15"/>
      <c r="E1443" s="15"/>
      <c r="F1443" s="16"/>
      <c r="G1443" s="27"/>
      <c r="H1443" s="17"/>
      <c r="I1443" s="30">
        <f>IF($A1443="","",DATE(YEAR($A1443),MONTH($A1443),1))</f>
        <v/>
      </c>
      <c r="J1443" s="31">
        <f>IF($A1443="","",IF(OR($B1443="",$C1443="",$F1443="",$G1443=""),"Preencher tudo",IF(COUNTIF(EtapaLista,$B1443)=0,"Etapa inválida","OK")))</f>
        <v/>
      </c>
    </row>
    <row r="1444" spans="1:10">
      <c r="A1444" s="17"/>
      <c r="B1444" s="15"/>
      <c r="C1444" s="15"/>
      <c r="D1444" s="15"/>
      <c r="E1444" s="15"/>
      <c r="F1444" s="16"/>
      <c r="G1444" s="27"/>
      <c r="H1444" s="17"/>
      <c r="I1444" s="30">
        <f>IF($A1444="","",DATE(YEAR($A1444),MONTH($A1444),1))</f>
        <v/>
      </c>
      <c r="J1444" s="31">
        <f>IF($A1444="","",IF(OR($B1444="",$C1444="",$F1444="",$G1444=""),"Preencher tudo",IF(COUNTIF(EtapaLista,$B1444)=0,"Etapa inválida","OK")))</f>
        <v/>
      </c>
    </row>
    <row r="1445" spans="1:10">
      <c r="A1445" s="17"/>
      <c r="B1445" s="15"/>
      <c r="C1445" s="15"/>
      <c r="D1445" s="15"/>
      <c r="E1445" s="15"/>
      <c r="F1445" s="16"/>
      <c r="G1445" s="27"/>
      <c r="H1445" s="17"/>
      <c r="I1445" s="30">
        <f>IF($A1445="","",DATE(YEAR($A1445),MONTH($A1445),1))</f>
        <v/>
      </c>
      <c r="J1445" s="31">
        <f>IF($A1445="","",IF(OR($B1445="",$C1445="",$F1445="",$G1445=""),"Preencher tudo",IF(COUNTIF(EtapaLista,$B1445)=0,"Etapa inválida","OK")))</f>
        <v/>
      </c>
    </row>
    <row r="1446" spans="1:10">
      <c r="A1446" s="17"/>
      <c r="B1446" s="15"/>
      <c r="C1446" s="15"/>
      <c r="D1446" s="15"/>
      <c r="E1446" s="15"/>
      <c r="F1446" s="16"/>
      <c r="G1446" s="27"/>
      <c r="H1446" s="17"/>
      <c r="I1446" s="30">
        <f>IF($A1446="","",DATE(YEAR($A1446),MONTH($A1446),1))</f>
        <v/>
      </c>
      <c r="J1446" s="31">
        <f>IF($A1446="","",IF(OR($B1446="",$C1446="",$F1446="",$G1446=""),"Preencher tudo",IF(COUNTIF(EtapaLista,$B1446)=0,"Etapa inválida","OK")))</f>
        <v/>
      </c>
    </row>
    <row r="1447" spans="1:10">
      <c r="A1447" s="17"/>
      <c r="B1447" s="15"/>
      <c r="C1447" s="15"/>
      <c r="D1447" s="15"/>
      <c r="E1447" s="15"/>
      <c r="F1447" s="16"/>
      <c r="G1447" s="27"/>
      <c r="H1447" s="17"/>
      <c r="I1447" s="30">
        <f>IF($A1447="","",DATE(YEAR($A1447),MONTH($A1447),1))</f>
        <v/>
      </c>
      <c r="J1447" s="31">
        <f>IF($A1447="","",IF(OR($B1447="",$C1447="",$F1447="",$G1447=""),"Preencher tudo",IF(COUNTIF(EtapaLista,$B1447)=0,"Etapa inválida","OK")))</f>
        <v/>
      </c>
    </row>
    <row r="1448" spans="1:10">
      <c r="A1448" s="17"/>
      <c r="B1448" s="15"/>
      <c r="C1448" s="15"/>
      <c r="D1448" s="15"/>
      <c r="E1448" s="15"/>
      <c r="F1448" s="16"/>
      <c r="G1448" s="27"/>
      <c r="H1448" s="17"/>
      <c r="I1448" s="30">
        <f>IF($A1448="","",DATE(YEAR($A1448),MONTH($A1448),1))</f>
        <v/>
      </c>
      <c r="J1448" s="31">
        <f>IF($A1448="","",IF(OR($B1448="",$C1448="",$F1448="",$G1448=""),"Preencher tudo",IF(COUNTIF(EtapaLista,$B1448)=0,"Etapa inválida","OK")))</f>
        <v/>
      </c>
    </row>
    <row r="1449" spans="1:10">
      <c r="A1449" s="17"/>
      <c r="B1449" s="15"/>
      <c r="C1449" s="15"/>
      <c r="D1449" s="15"/>
      <c r="E1449" s="15"/>
      <c r="F1449" s="16"/>
      <c r="G1449" s="27"/>
      <c r="H1449" s="17"/>
      <c r="I1449" s="30">
        <f>IF($A1449="","",DATE(YEAR($A1449),MONTH($A1449),1))</f>
        <v/>
      </c>
      <c r="J1449" s="31">
        <f>IF($A1449="","",IF(OR($B1449="",$C1449="",$F1449="",$G1449=""),"Preencher tudo",IF(COUNTIF(EtapaLista,$B1449)=0,"Etapa inválida","OK")))</f>
        <v/>
      </c>
    </row>
    <row r="1450" spans="1:10">
      <c r="A1450" s="17"/>
      <c r="B1450" s="15"/>
      <c r="C1450" s="15"/>
      <c r="D1450" s="15"/>
      <c r="E1450" s="15"/>
      <c r="F1450" s="16"/>
      <c r="G1450" s="27"/>
      <c r="H1450" s="17"/>
      <c r="I1450" s="30">
        <f>IF($A1450="","",DATE(YEAR($A1450),MONTH($A1450),1))</f>
        <v/>
      </c>
      <c r="J1450" s="31">
        <f>IF($A1450="","",IF(OR($B1450="",$C1450="",$F1450="",$G1450=""),"Preencher tudo",IF(COUNTIF(EtapaLista,$B1450)=0,"Etapa inválida","OK")))</f>
        <v/>
      </c>
    </row>
    <row r="1451" spans="1:10">
      <c r="A1451" s="17"/>
      <c r="B1451" s="15"/>
      <c r="C1451" s="15"/>
      <c r="D1451" s="15"/>
      <c r="E1451" s="15"/>
      <c r="F1451" s="16"/>
      <c r="G1451" s="27"/>
      <c r="H1451" s="17"/>
      <c r="I1451" s="30">
        <f>IF($A1451="","",DATE(YEAR($A1451),MONTH($A1451),1))</f>
        <v/>
      </c>
      <c r="J1451" s="31">
        <f>IF($A1451="","",IF(OR($B1451="",$C1451="",$F1451="",$G1451=""),"Preencher tudo",IF(COUNTIF(EtapaLista,$B1451)=0,"Etapa inválida","OK")))</f>
        <v/>
      </c>
    </row>
    <row r="1452" spans="1:10">
      <c r="A1452" s="17"/>
      <c r="B1452" s="15"/>
      <c r="C1452" s="15"/>
      <c r="D1452" s="15"/>
      <c r="E1452" s="15"/>
      <c r="F1452" s="16"/>
      <c r="G1452" s="27"/>
      <c r="H1452" s="17"/>
      <c r="I1452" s="30">
        <f>IF($A1452="","",DATE(YEAR($A1452),MONTH($A1452),1))</f>
        <v/>
      </c>
      <c r="J1452" s="31">
        <f>IF($A1452="","",IF(OR($B1452="",$C1452="",$F1452="",$G1452=""),"Preencher tudo",IF(COUNTIF(EtapaLista,$B1452)=0,"Etapa inválida","OK")))</f>
        <v/>
      </c>
    </row>
    <row r="1453" spans="1:10">
      <c r="A1453" s="17"/>
      <c r="B1453" s="15"/>
      <c r="C1453" s="15"/>
      <c r="D1453" s="15"/>
      <c r="E1453" s="15"/>
      <c r="F1453" s="16"/>
      <c r="G1453" s="27"/>
      <c r="H1453" s="17"/>
      <c r="I1453" s="30">
        <f>IF($A1453="","",DATE(YEAR($A1453),MONTH($A1453),1))</f>
        <v/>
      </c>
      <c r="J1453" s="31">
        <f>IF($A1453="","",IF(OR($B1453="",$C1453="",$F1453="",$G1453=""),"Preencher tudo",IF(COUNTIF(EtapaLista,$B1453)=0,"Etapa inválida","OK")))</f>
        <v/>
      </c>
    </row>
    <row r="1454" spans="1:10">
      <c r="A1454" s="17"/>
      <c r="B1454" s="15"/>
      <c r="C1454" s="15"/>
      <c r="D1454" s="15"/>
      <c r="E1454" s="15"/>
      <c r="F1454" s="16"/>
      <c r="G1454" s="27"/>
      <c r="H1454" s="17"/>
      <c r="I1454" s="30">
        <f>IF($A1454="","",DATE(YEAR($A1454),MONTH($A1454),1))</f>
        <v/>
      </c>
      <c r="J1454" s="31">
        <f>IF($A1454="","",IF(OR($B1454="",$C1454="",$F1454="",$G1454=""),"Preencher tudo",IF(COUNTIF(EtapaLista,$B1454)=0,"Etapa inválida","OK")))</f>
        <v/>
      </c>
    </row>
    <row r="1455" spans="1:10">
      <c r="A1455" s="17"/>
      <c r="B1455" s="15"/>
      <c r="C1455" s="15"/>
      <c r="D1455" s="15"/>
      <c r="E1455" s="15"/>
      <c r="F1455" s="16"/>
      <c r="G1455" s="27"/>
      <c r="H1455" s="17"/>
      <c r="I1455" s="30">
        <f>IF($A1455="","",DATE(YEAR($A1455),MONTH($A1455),1))</f>
        <v/>
      </c>
      <c r="J1455" s="31">
        <f>IF($A1455="","",IF(OR($B1455="",$C1455="",$F1455="",$G1455=""),"Preencher tudo",IF(COUNTIF(EtapaLista,$B1455)=0,"Etapa inválida","OK")))</f>
        <v/>
      </c>
    </row>
    <row r="1456" spans="1:10">
      <c r="A1456" s="17"/>
      <c r="B1456" s="15"/>
      <c r="C1456" s="15"/>
      <c r="D1456" s="15"/>
      <c r="E1456" s="15"/>
      <c r="F1456" s="16"/>
      <c r="G1456" s="27"/>
      <c r="H1456" s="17"/>
      <c r="I1456" s="30">
        <f>IF($A1456="","",DATE(YEAR($A1456),MONTH($A1456),1))</f>
        <v/>
      </c>
      <c r="J1456" s="31">
        <f>IF($A1456="","",IF(OR($B1456="",$C1456="",$F1456="",$G1456=""),"Preencher tudo",IF(COUNTIF(EtapaLista,$B1456)=0,"Etapa inválida","OK")))</f>
        <v/>
      </c>
    </row>
    <row r="1457" spans="1:10">
      <c r="A1457" s="17"/>
      <c r="B1457" s="15"/>
      <c r="C1457" s="15"/>
      <c r="D1457" s="15"/>
      <c r="E1457" s="15"/>
      <c r="F1457" s="16"/>
      <c r="G1457" s="27"/>
      <c r="H1457" s="17"/>
      <c r="I1457" s="30">
        <f>IF($A1457="","",DATE(YEAR($A1457),MONTH($A1457),1))</f>
        <v/>
      </c>
      <c r="J1457" s="31">
        <f>IF($A1457="","",IF(OR($B1457="",$C1457="",$F1457="",$G1457=""),"Preencher tudo",IF(COUNTIF(EtapaLista,$B1457)=0,"Etapa inválida","OK")))</f>
        <v/>
      </c>
    </row>
    <row r="1458" spans="1:10">
      <c r="A1458" s="17"/>
      <c r="B1458" s="15"/>
      <c r="C1458" s="15"/>
      <c r="D1458" s="15"/>
      <c r="E1458" s="15"/>
      <c r="F1458" s="16"/>
      <c r="G1458" s="27"/>
      <c r="H1458" s="17"/>
      <c r="I1458" s="30">
        <f>IF($A1458="","",DATE(YEAR($A1458),MONTH($A1458),1))</f>
        <v/>
      </c>
      <c r="J1458" s="31">
        <f>IF($A1458="","",IF(OR($B1458="",$C1458="",$F1458="",$G1458=""),"Preencher tudo",IF(COUNTIF(EtapaLista,$B1458)=0,"Etapa inválida","OK")))</f>
        <v/>
      </c>
    </row>
    <row r="1459" spans="1:10">
      <c r="A1459" s="17"/>
      <c r="B1459" s="15"/>
      <c r="C1459" s="15"/>
      <c r="D1459" s="15"/>
      <c r="E1459" s="15"/>
      <c r="F1459" s="16"/>
      <c r="G1459" s="27"/>
      <c r="H1459" s="17"/>
      <c r="I1459" s="30">
        <f>IF($A1459="","",DATE(YEAR($A1459),MONTH($A1459),1))</f>
        <v/>
      </c>
      <c r="J1459" s="31">
        <f>IF($A1459="","",IF(OR($B1459="",$C1459="",$F1459="",$G1459=""),"Preencher tudo",IF(COUNTIF(EtapaLista,$B1459)=0,"Etapa inválida","OK")))</f>
        <v/>
      </c>
    </row>
    <row r="1460" spans="1:10">
      <c r="A1460" s="17"/>
      <c r="B1460" s="15"/>
      <c r="C1460" s="15"/>
      <c r="D1460" s="15"/>
      <c r="E1460" s="15"/>
      <c r="F1460" s="16"/>
      <c r="G1460" s="27"/>
      <c r="H1460" s="17"/>
      <c r="I1460" s="30">
        <f>IF($A1460="","",DATE(YEAR($A1460),MONTH($A1460),1))</f>
        <v/>
      </c>
      <c r="J1460" s="31">
        <f>IF($A1460="","",IF(OR($B1460="",$C1460="",$F1460="",$G1460=""),"Preencher tudo",IF(COUNTIF(EtapaLista,$B1460)=0,"Etapa inválida","OK")))</f>
        <v/>
      </c>
    </row>
    <row r="1461" spans="1:10">
      <c r="A1461" s="17"/>
      <c r="B1461" s="15"/>
      <c r="C1461" s="15"/>
      <c r="D1461" s="15"/>
      <c r="E1461" s="15"/>
      <c r="F1461" s="16"/>
      <c r="G1461" s="27"/>
      <c r="H1461" s="17"/>
      <c r="I1461" s="30">
        <f>IF($A1461="","",DATE(YEAR($A1461),MONTH($A1461),1))</f>
        <v/>
      </c>
      <c r="J1461" s="31">
        <f>IF($A1461="","",IF(OR($B1461="",$C1461="",$F1461="",$G1461=""),"Preencher tudo",IF(COUNTIF(EtapaLista,$B1461)=0,"Etapa inválida","OK")))</f>
        <v/>
      </c>
    </row>
    <row r="1462" spans="1:10">
      <c r="A1462" s="17"/>
      <c r="B1462" s="15"/>
      <c r="C1462" s="15"/>
      <c r="D1462" s="15"/>
      <c r="E1462" s="15"/>
      <c r="F1462" s="16"/>
      <c r="G1462" s="27"/>
      <c r="H1462" s="17"/>
      <c r="I1462" s="30">
        <f>IF($A1462="","",DATE(YEAR($A1462),MONTH($A1462),1))</f>
        <v/>
      </c>
      <c r="J1462" s="31">
        <f>IF($A1462="","",IF(OR($B1462="",$C1462="",$F1462="",$G1462=""),"Preencher tudo",IF(COUNTIF(EtapaLista,$B1462)=0,"Etapa inválida","OK")))</f>
        <v/>
      </c>
    </row>
    <row r="1463" spans="1:10">
      <c r="A1463" s="17"/>
      <c r="B1463" s="15"/>
      <c r="C1463" s="15"/>
      <c r="D1463" s="15"/>
      <c r="E1463" s="15"/>
      <c r="F1463" s="16"/>
      <c r="G1463" s="27"/>
      <c r="H1463" s="17"/>
      <c r="I1463" s="30">
        <f>IF($A1463="","",DATE(YEAR($A1463),MONTH($A1463),1))</f>
        <v/>
      </c>
      <c r="J1463" s="31">
        <f>IF($A1463="","",IF(OR($B1463="",$C1463="",$F1463="",$G1463=""),"Preencher tudo",IF(COUNTIF(EtapaLista,$B1463)=0,"Etapa inválida","OK")))</f>
        <v/>
      </c>
    </row>
    <row r="1464" spans="1:10">
      <c r="A1464" s="17"/>
      <c r="B1464" s="15"/>
      <c r="C1464" s="15"/>
      <c r="D1464" s="15"/>
      <c r="E1464" s="15"/>
      <c r="F1464" s="16"/>
      <c r="G1464" s="27"/>
      <c r="H1464" s="17"/>
      <c r="I1464" s="30">
        <f>IF($A1464="","",DATE(YEAR($A1464),MONTH($A1464),1))</f>
        <v/>
      </c>
      <c r="J1464" s="31">
        <f>IF($A1464="","",IF(OR($B1464="",$C1464="",$F1464="",$G1464=""),"Preencher tudo",IF(COUNTIF(EtapaLista,$B1464)=0,"Etapa inválida","OK")))</f>
        <v/>
      </c>
    </row>
    <row r="1465" spans="1:10">
      <c r="A1465" s="17"/>
      <c r="B1465" s="15"/>
      <c r="C1465" s="15"/>
      <c r="D1465" s="15"/>
      <c r="E1465" s="15"/>
      <c r="F1465" s="16"/>
      <c r="G1465" s="27"/>
      <c r="H1465" s="17"/>
      <c r="I1465" s="30">
        <f>IF($A1465="","",DATE(YEAR($A1465),MONTH($A1465),1))</f>
        <v/>
      </c>
      <c r="J1465" s="31">
        <f>IF($A1465="","",IF(OR($B1465="",$C1465="",$F1465="",$G1465=""),"Preencher tudo",IF(COUNTIF(EtapaLista,$B1465)=0,"Etapa inválida","OK")))</f>
        <v/>
      </c>
    </row>
    <row r="1466" spans="1:10">
      <c r="A1466" s="17"/>
      <c r="B1466" s="15"/>
      <c r="C1466" s="15"/>
      <c r="D1466" s="15"/>
      <c r="E1466" s="15"/>
      <c r="F1466" s="16"/>
      <c r="G1466" s="27"/>
      <c r="H1466" s="17"/>
      <c r="I1466" s="30">
        <f>IF($A1466="","",DATE(YEAR($A1466),MONTH($A1466),1))</f>
        <v/>
      </c>
      <c r="J1466" s="31">
        <f>IF($A1466="","",IF(OR($B1466="",$C1466="",$F1466="",$G1466=""),"Preencher tudo",IF(COUNTIF(EtapaLista,$B1466)=0,"Etapa inválida","OK")))</f>
        <v/>
      </c>
    </row>
    <row r="1467" spans="1:10">
      <c r="A1467" s="17"/>
      <c r="B1467" s="15"/>
      <c r="C1467" s="15"/>
      <c r="D1467" s="15"/>
      <c r="E1467" s="15"/>
      <c r="F1467" s="16"/>
      <c r="G1467" s="27"/>
      <c r="H1467" s="17"/>
      <c r="I1467" s="30">
        <f>IF($A1467="","",DATE(YEAR($A1467),MONTH($A1467),1))</f>
        <v/>
      </c>
      <c r="J1467" s="31">
        <f>IF($A1467="","",IF(OR($B1467="",$C1467="",$F1467="",$G1467=""),"Preencher tudo",IF(COUNTIF(EtapaLista,$B1467)=0,"Etapa inválida","OK")))</f>
        <v/>
      </c>
    </row>
    <row r="1468" spans="1:10">
      <c r="A1468" s="17"/>
      <c r="B1468" s="15"/>
      <c r="C1468" s="15"/>
      <c r="D1468" s="15"/>
      <c r="E1468" s="15"/>
      <c r="F1468" s="16"/>
      <c r="G1468" s="27"/>
      <c r="H1468" s="17"/>
      <c r="I1468" s="30">
        <f>IF($A1468="","",DATE(YEAR($A1468),MONTH($A1468),1))</f>
        <v/>
      </c>
      <c r="J1468" s="31">
        <f>IF($A1468="","",IF(OR($B1468="",$C1468="",$F1468="",$G1468=""),"Preencher tudo",IF(COUNTIF(EtapaLista,$B1468)=0,"Etapa inválida","OK")))</f>
        <v/>
      </c>
    </row>
    <row r="1469" spans="1:10">
      <c r="A1469" s="17"/>
      <c r="B1469" s="15"/>
      <c r="C1469" s="15"/>
      <c r="D1469" s="15"/>
      <c r="E1469" s="15"/>
      <c r="F1469" s="16"/>
      <c r="G1469" s="27"/>
      <c r="H1469" s="17"/>
      <c r="I1469" s="30">
        <f>IF($A1469="","",DATE(YEAR($A1469),MONTH($A1469),1))</f>
        <v/>
      </c>
      <c r="J1469" s="31">
        <f>IF($A1469="","",IF(OR($B1469="",$C1469="",$F1469="",$G1469=""),"Preencher tudo",IF(COUNTIF(EtapaLista,$B1469)=0,"Etapa inválida","OK")))</f>
        <v/>
      </c>
    </row>
    <row r="1470" spans="1:10">
      <c r="A1470" s="17"/>
      <c r="B1470" s="15"/>
      <c r="C1470" s="15"/>
      <c r="D1470" s="15"/>
      <c r="E1470" s="15"/>
      <c r="F1470" s="16"/>
      <c r="G1470" s="27"/>
      <c r="H1470" s="17"/>
      <c r="I1470" s="30">
        <f>IF($A1470="","",DATE(YEAR($A1470),MONTH($A1470),1))</f>
        <v/>
      </c>
      <c r="J1470" s="31">
        <f>IF($A1470="","",IF(OR($B1470="",$C1470="",$F1470="",$G1470=""),"Preencher tudo",IF(COUNTIF(EtapaLista,$B1470)=0,"Etapa inválida","OK")))</f>
        <v/>
      </c>
    </row>
    <row r="1471" spans="1:10">
      <c r="A1471" s="17"/>
      <c r="B1471" s="15"/>
      <c r="C1471" s="15"/>
      <c r="D1471" s="15"/>
      <c r="E1471" s="15"/>
      <c r="F1471" s="16"/>
      <c r="G1471" s="27"/>
      <c r="H1471" s="17"/>
      <c r="I1471" s="30">
        <f>IF($A1471="","",DATE(YEAR($A1471),MONTH($A1471),1))</f>
        <v/>
      </c>
      <c r="J1471" s="31">
        <f>IF($A1471="","",IF(OR($B1471="",$C1471="",$F1471="",$G1471=""),"Preencher tudo",IF(COUNTIF(EtapaLista,$B1471)=0,"Etapa inválida","OK")))</f>
        <v/>
      </c>
    </row>
    <row r="1472" spans="1:10">
      <c r="A1472" s="17"/>
      <c r="B1472" s="15"/>
      <c r="C1472" s="15"/>
      <c r="D1472" s="15"/>
      <c r="E1472" s="15"/>
      <c r="F1472" s="16"/>
      <c r="G1472" s="27"/>
      <c r="H1472" s="17"/>
      <c r="I1472" s="30">
        <f>IF($A1472="","",DATE(YEAR($A1472),MONTH($A1472),1))</f>
        <v/>
      </c>
      <c r="J1472" s="31">
        <f>IF($A1472="","",IF(OR($B1472="",$C1472="",$F1472="",$G1472=""),"Preencher tudo",IF(COUNTIF(EtapaLista,$B1472)=0,"Etapa inválida","OK")))</f>
        <v/>
      </c>
    </row>
    <row r="1473" spans="1:10">
      <c r="A1473" s="17"/>
      <c r="B1473" s="15"/>
      <c r="C1473" s="15"/>
      <c r="D1473" s="15"/>
      <c r="E1473" s="15"/>
      <c r="F1473" s="16"/>
      <c r="G1473" s="27"/>
      <c r="H1473" s="17"/>
      <c r="I1473" s="30">
        <f>IF($A1473="","",DATE(YEAR($A1473),MONTH($A1473),1))</f>
        <v/>
      </c>
      <c r="J1473" s="31">
        <f>IF($A1473="","",IF(OR($B1473="",$C1473="",$F1473="",$G1473=""),"Preencher tudo",IF(COUNTIF(EtapaLista,$B1473)=0,"Etapa inválida","OK")))</f>
        <v/>
      </c>
    </row>
    <row r="1474" spans="1:10">
      <c r="A1474" s="17"/>
      <c r="B1474" s="15"/>
      <c r="C1474" s="15"/>
      <c r="D1474" s="15"/>
      <c r="E1474" s="15"/>
      <c r="F1474" s="16"/>
      <c r="G1474" s="27"/>
      <c r="H1474" s="17"/>
      <c r="I1474" s="30">
        <f>IF($A1474="","",DATE(YEAR($A1474),MONTH($A1474),1))</f>
        <v/>
      </c>
      <c r="J1474" s="31">
        <f>IF($A1474="","",IF(OR($B1474="",$C1474="",$F1474="",$G1474=""),"Preencher tudo",IF(COUNTIF(EtapaLista,$B1474)=0,"Etapa inválida","OK")))</f>
        <v/>
      </c>
    </row>
    <row r="1475" spans="1:10">
      <c r="A1475" s="17"/>
      <c r="B1475" s="15"/>
      <c r="C1475" s="15"/>
      <c r="D1475" s="15"/>
      <c r="E1475" s="15"/>
      <c r="F1475" s="16"/>
      <c r="G1475" s="27"/>
      <c r="H1475" s="17"/>
      <c r="I1475" s="30">
        <f>IF($A1475="","",DATE(YEAR($A1475),MONTH($A1475),1))</f>
        <v/>
      </c>
      <c r="J1475" s="31">
        <f>IF($A1475="","",IF(OR($B1475="",$C1475="",$F1475="",$G1475=""),"Preencher tudo",IF(COUNTIF(EtapaLista,$B1475)=0,"Etapa inválida","OK")))</f>
        <v/>
      </c>
    </row>
    <row r="1476" spans="1:10">
      <c r="A1476" s="17"/>
      <c r="B1476" s="15"/>
      <c r="C1476" s="15"/>
      <c r="D1476" s="15"/>
      <c r="E1476" s="15"/>
      <c r="F1476" s="16"/>
      <c r="G1476" s="27"/>
      <c r="H1476" s="17"/>
      <c r="I1476" s="30">
        <f>IF($A1476="","",DATE(YEAR($A1476),MONTH($A1476),1))</f>
        <v/>
      </c>
      <c r="J1476" s="31">
        <f>IF($A1476="","",IF(OR($B1476="",$C1476="",$F1476="",$G1476=""),"Preencher tudo",IF(COUNTIF(EtapaLista,$B1476)=0,"Etapa inválida","OK")))</f>
        <v/>
      </c>
    </row>
    <row r="1477" spans="1:10">
      <c r="A1477" s="17"/>
      <c r="B1477" s="15"/>
      <c r="C1477" s="15"/>
      <c r="D1477" s="15"/>
      <c r="E1477" s="15"/>
      <c r="F1477" s="16"/>
      <c r="G1477" s="27"/>
      <c r="H1477" s="17"/>
      <c r="I1477" s="30">
        <f>IF($A1477="","",DATE(YEAR($A1477),MONTH($A1477),1))</f>
        <v/>
      </c>
      <c r="J1477" s="31">
        <f>IF($A1477="","",IF(OR($B1477="",$C1477="",$F1477="",$G1477=""),"Preencher tudo",IF(COUNTIF(EtapaLista,$B1477)=0,"Etapa inválida","OK")))</f>
        <v/>
      </c>
    </row>
    <row r="1478" spans="1:10">
      <c r="A1478" s="17"/>
      <c r="B1478" s="15"/>
      <c r="C1478" s="15"/>
      <c r="D1478" s="15"/>
      <c r="E1478" s="15"/>
      <c r="F1478" s="16"/>
      <c r="G1478" s="27"/>
      <c r="H1478" s="17"/>
      <c r="I1478" s="30">
        <f>IF($A1478="","",DATE(YEAR($A1478),MONTH($A1478),1))</f>
        <v/>
      </c>
      <c r="J1478" s="31">
        <f>IF($A1478="","",IF(OR($B1478="",$C1478="",$F1478="",$G1478=""),"Preencher tudo",IF(COUNTIF(EtapaLista,$B1478)=0,"Etapa inválida","OK")))</f>
        <v/>
      </c>
    </row>
    <row r="1479" spans="1:10">
      <c r="A1479" s="17"/>
      <c r="B1479" s="15"/>
      <c r="C1479" s="15"/>
      <c r="D1479" s="15"/>
      <c r="E1479" s="15"/>
      <c r="F1479" s="16"/>
      <c r="G1479" s="27"/>
      <c r="H1479" s="17"/>
      <c r="I1479" s="30">
        <f>IF($A1479="","",DATE(YEAR($A1479),MONTH($A1479),1))</f>
        <v/>
      </c>
      <c r="J1479" s="31">
        <f>IF($A1479="","",IF(OR($B1479="",$C1479="",$F1479="",$G1479=""),"Preencher tudo",IF(COUNTIF(EtapaLista,$B1479)=0,"Etapa inválida","OK")))</f>
        <v/>
      </c>
    </row>
    <row r="1480" spans="1:10">
      <c r="A1480" s="17"/>
      <c r="B1480" s="15"/>
      <c r="C1480" s="15"/>
      <c r="D1480" s="15"/>
      <c r="E1480" s="15"/>
      <c r="F1480" s="16"/>
      <c r="G1480" s="27"/>
      <c r="H1480" s="17"/>
      <c r="I1480" s="30">
        <f>IF($A1480="","",DATE(YEAR($A1480),MONTH($A1480),1))</f>
        <v/>
      </c>
      <c r="J1480" s="31">
        <f>IF($A1480="","",IF(OR($B1480="",$C1480="",$F1480="",$G1480=""),"Preencher tudo",IF(COUNTIF(EtapaLista,$B1480)=0,"Etapa inválida","OK")))</f>
        <v/>
      </c>
    </row>
    <row r="1481" spans="1:10">
      <c r="A1481" s="17"/>
      <c r="B1481" s="15"/>
      <c r="C1481" s="15"/>
      <c r="D1481" s="15"/>
      <c r="E1481" s="15"/>
      <c r="F1481" s="16"/>
      <c r="G1481" s="27"/>
      <c r="H1481" s="17"/>
      <c r="I1481" s="30">
        <f>IF($A1481="","",DATE(YEAR($A1481),MONTH($A1481),1))</f>
        <v/>
      </c>
      <c r="J1481" s="31">
        <f>IF($A1481="","",IF(OR($B1481="",$C1481="",$F1481="",$G1481=""),"Preencher tudo",IF(COUNTIF(EtapaLista,$B1481)=0,"Etapa inválida","OK")))</f>
        <v/>
      </c>
    </row>
    <row r="1482" spans="1:10">
      <c r="A1482" s="17"/>
      <c r="B1482" s="15"/>
      <c r="C1482" s="15"/>
      <c r="D1482" s="15"/>
      <c r="E1482" s="15"/>
      <c r="F1482" s="16"/>
      <c r="G1482" s="27"/>
      <c r="H1482" s="17"/>
      <c r="I1482" s="30">
        <f>IF($A1482="","",DATE(YEAR($A1482),MONTH($A1482),1))</f>
        <v/>
      </c>
      <c r="J1482" s="31">
        <f>IF($A1482="","",IF(OR($B1482="",$C1482="",$F1482="",$G1482=""),"Preencher tudo",IF(COUNTIF(EtapaLista,$B1482)=0,"Etapa inválida","OK")))</f>
        <v/>
      </c>
    </row>
    <row r="1483" spans="1:10">
      <c r="A1483" s="17"/>
      <c r="B1483" s="15"/>
      <c r="C1483" s="15"/>
      <c r="D1483" s="15"/>
      <c r="E1483" s="15"/>
      <c r="F1483" s="16"/>
      <c r="G1483" s="27"/>
      <c r="H1483" s="17"/>
      <c r="I1483" s="30">
        <f>IF($A1483="","",DATE(YEAR($A1483),MONTH($A1483),1))</f>
        <v/>
      </c>
      <c r="J1483" s="31">
        <f>IF($A1483="","",IF(OR($B1483="",$C1483="",$F1483="",$G1483=""),"Preencher tudo",IF(COUNTIF(EtapaLista,$B1483)=0,"Etapa inválida","OK")))</f>
        <v/>
      </c>
    </row>
    <row r="1484" spans="1:10">
      <c r="A1484" s="17"/>
      <c r="B1484" s="15"/>
      <c r="C1484" s="15"/>
      <c r="D1484" s="15"/>
      <c r="E1484" s="15"/>
      <c r="F1484" s="16"/>
      <c r="G1484" s="27"/>
      <c r="H1484" s="17"/>
      <c r="I1484" s="30">
        <f>IF($A1484="","",DATE(YEAR($A1484),MONTH($A1484),1))</f>
        <v/>
      </c>
      <c r="J1484" s="31">
        <f>IF($A1484="","",IF(OR($B1484="",$C1484="",$F1484="",$G1484=""),"Preencher tudo",IF(COUNTIF(EtapaLista,$B1484)=0,"Etapa inválida","OK")))</f>
        <v/>
      </c>
    </row>
    <row r="1485" spans="1:10">
      <c r="A1485" s="17"/>
      <c r="B1485" s="15"/>
      <c r="C1485" s="15"/>
      <c r="D1485" s="15"/>
      <c r="E1485" s="15"/>
      <c r="F1485" s="16"/>
      <c r="G1485" s="27"/>
      <c r="H1485" s="17"/>
      <c r="I1485" s="30">
        <f>IF($A1485="","",DATE(YEAR($A1485),MONTH($A1485),1))</f>
        <v/>
      </c>
      <c r="J1485" s="31">
        <f>IF($A1485="","",IF(OR($B1485="",$C1485="",$F1485="",$G1485=""),"Preencher tudo",IF(COUNTIF(EtapaLista,$B1485)=0,"Etapa inválida","OK")))</f>
        <v/>
      </c>
    </row>
    <row r="1486" spans="1:10">
      <c r="A1486" s="17"/>
      <c r="B1486" s="15"/>
      <c r="C1486" s="15"/>
      <c r="D1486" s="15"/>
      <c r="E1486" s="15"/>
      <c r="F1486" s="16"/>
      <c r="G1486" s="27"/>
      <c r="H1486" s="17"/>
      <c r="I1486" s="30">
        <f>IF($A1486="","",DATE(YEAR($A1486),MONTH($A1486),1))</f>
        <v/>
      </c>
      <c r="J1486" s="31">
        <f>IF($A1486="","",IF(OR($B1486="",$C1486="",$F1486="",$G1486=""),"Preencher tudo",IF(COUNTIF(EtapaLista,$B1486)=0,"Etapa inválida","OK")))</f>
        <v/>
      </c>
    </row>
    <row r="1487" spans="1:10">
      <c r="A1487" s="17"/>
      <c r="B1487" s="15"/>
      <c r="C1487" s="15"/>
      <c r="D1487" s="15"/>
      <c r="E1487" s="15"/>
      <c r="F1487" s="16"/>
      <c r="G1487" s="27"/>
      <c r="H1487" s="17"/>
      <c r="I1487" s="30">
        <f>IF($A1487="","",DATE(YEAR($A1487),MONTH($A1487),1))</f>
        <v/>
      </c>
      <c r="J1487" s="31">
        <f>IF($A1487="","",IF(OR($B1487="",$C1487="",$F1487="",$G1487=""),"Preencher tudo",IF(COUNTIF(EtapaLista,$B1487)=0,"Etapa inválida","OK")))</f>
        <v/>
      </c>
    </row>
    <row r="1488" spans="1:10">
      <c r="A1488" s="17"/>
      <c r="B1488" s="15"/>
      <c r="C1488" s="15"/>
      <c r="D1488" s="15"/>
      <c r="E1488" s="15"/>
      <c r="F1488" s="16"/>
      <c r="G1488" s="27"/>
      <c r="H1488" s="17"/>
      <c r="I1488" s="30">
        <f>IF($A1488="","",DATE(YEAR($A1488),MONTH($A1488),1))</f>
        <v/>
      </c>
      <c r="J1488" s="31">
        <f>IF($A1488="","",IF(OR($B1488="",$C1488="",$F1488="",$G1488=""),"Preencher tudo",IF(COUNTIF(EtapaLista,$B1488)=0,"Etapa inválida","OK")))</f>
        <v/>
      </c>
    </row>
    <row r="1489" spans="1:10">
      <c r="A1489" s="17"/>
      <c r="B1489" s="15"/>
      <c r="C1489" s="15"/>
      <c r="D1489" s="15"/>
      <c r="E1489" s="15"/>
      <c r="F1489" s="16"/>
      <c r="G1489" s="27"/>
      <c r="H1489" s="17"/>
      <c r="I1489" s="30">
        <f>IF($A1489="","",DATE(YEAR($A1489),MONTH($A1489),1))</f>
        <v/>
      </c>
      <c r="J1489" s="31">
        <f>IF($A1489="","",IF(OR($B1489="",$C1489="",$F1489="",$G1489=""),"Preencher tudo",IF(COUNTIF(EtapaLista,$B1489)=0,"Etapa inválida","OK")))</f>
        <v/>
      </c>
    </row>
    <row r="1490" spans="1:10">
      <c r="A1490" s="17"/>
      <c r="B1490" s="15"/>
      <c r="C1490" s="15"/>
      <c r="D1490" s="15"/>
      <c r="E1490" s="15"/>
      <c r="F1490" s="16"/>
      <c r="G1490" s="27"/>
      <c r="H1490" s="17"/>
      <c r="I1490" s="30">
        <f>IF($A1490="","",DATE(YEAR($A1490),MONTH($A1490),1))</f>
        <v/>
      </c>
      <c r="J1490" s="31">
        <f>IF($A1490="","",IF(OR($B1490="",$C1490="",$F1490="",$G1490=""),"Preencher tudo",IF(COUNTIF(EtapaLista,$B1490)=0,"Etapa inválida","OK")))</f>
        <v/>
      </c>
    </row>
    <row r="1491" spans="1:10">
      <c r="A1491" s="17"/>
      <c r="B1491" s="15"/>
      <c r="C1491" s="15"/>
      <c r="D1491" s="15"/>
      <c r="E1491" s="15"/>
      <c r="F1491" s="16"/>
      <c r="G1491" s="27"/>
      <c r="H1491" s="17"/>
      <c r="I1491" s="30">
        <f>IF($A1491="","",DATE(YEAR($A1491),MONTH($A1491),1))</f>
        <v/>
      </c>
      <c r="J1491" s="31">
        <f>IF($A1491="","",IF(OR($B1491="",$C1491="",$F1491="",$G1491=""),"Preencher tudo",IF(COUNTIF(EtapaLista,$B1491)=0,"Etapa inválida","OK")))</f>
        <v/>
      </c>
    </row>
    <row r="1492" spans="1:10">
      <c r="A1492" s="17"/>
      <c r="B1492" s="15"/>
      <c r="C1492" s="15"/>
      <c r="D1492" s="15"/>
      <c r="E1492" s="15"/>
      <c r="F1492" s="16"/>
      <c r="G1492" s="27"/>
      <c r="H1492" s="17"/>
      <c r="I1492" s="30">
        <f>IF($A1492="","",DATE(YEAR($A1492),MONTH($A1492),1))</f>
        <v/>
      </c>
      <c r="J1492" s="31">
        <f>IF($A1492="","",IF(OR($B1492="",$C1492="",$F1492="",$G1492=""),"Preencher tudo",IF(COUNTIF(EtapaLista,$B1492)=0,"Etapa inválida","OK")))</f>
        <v/>
      </c>
    </row>
    <row r="1493" spans="1:10">
      <c r="A1493" s="17"/>
      <c r="B1493" s="15"/>
      <c r="C1493" s="15"/>
      <c r="D1493" s="15"/>
      <c r="E1493" s="15"/>
      <c r="F1493" s="16"/>
      <c r="G1493" s="27"/>
      <c r="H1493" s="17"/>
      <c r="I1493" s="30">
        <f>IF($A1493="","",DATE(YEAR($A1493),MONTH($A1493),1))</f>
        <v/>
      </c>
      <c r="J1493" s="31">
        <f>IF($A1493="","",IF(OR($B1493="",$C1493="",$F1493="",$G1493=""),"Preencher tudo",IF(COUNTIF(EtapaLista,$B1493)=0,"Etapa inválida","OK")))</f>
        <v/>
      </c>
    </row>
    <row r="1494" spans="1:10">
      <c r="A1494" s="17"/>
      <c r="B1494" s="15"/>
      <c r="C1494" s="15"/>
      <c r="D1494" s="15"/>
      <c r="E1494" s="15"/>
      <c r="F1494" s="16"/>
      <c r="G1494" s="27"/>
      <c r="H1494" s="17"/>
      <c r="I1494" s="30">
        <f>IF($A1494="","",DATE(YEAR($A1494),MONTH($A1494),1))</f>
        <v/>
      </c>
      <c r="J1494" s="31">
        <f>IF($A1494="","",IF(OR($B1494="",$C1494="",$F1494="",$G1494=""),"Preencher tudo",IF(COUNTIF(EtapaLista,$B1494)=0,"Etapa inválida","OK")))</f>
        <v/>
      </c>
    </row>
    <row r="1495" spans="1:10">
      <c r="A1495" s="17"/>
      <c r="B1495" s="15"/>
      <c r="C1495" s="15"/>
      <c r="D1495" s="15"/>
      <c r="E1495" s="15"/>
      <c r="F1495" s="16"/>
      <c r="G1495" s="27"/>
      <c r="H1495" s="17"/>
      <c r="I1495" s="30">
        <f>IF($A1495="","",DATE(YEAR($A1495),MONTH($A1495),1))</f>
        <v/>
      </c>
      <c r="J1495" s="31">
        <f>IF($A1495="","",IF(OR($B1495="",$C1495="",$F1495="",$G1495=""),"Preencher tudo",IF(COUNTIF(EtapaLista,$B1495)=0,"Etapa inválida","OK")))</f>
        <v/>
      </c>
    </row>
    <row r="1496" spans="1:10">
      <c r="A1496" s="17"/>
      <c r="B1496" s="15"/>
      <c r="C1496" s="15"/>
      <c r="D1496" s="15"/>
      <c r="E1496" s="15"/>
      <c r="F1496" s="16"/>
      <c r="G1496" s="27"/>
      <c r="H1496" s="17"/>
      <c r="I1496" s="30">
        <f>IF($A1496="","",DATE(YEAR($A1496),MONTH($A1496),1))</f>
        <v/>
      </c>
      <c r="J1496" s="31">
        <f>IF($A1496="","",IF(OR($B1496="",$C1496="",$F1496="",$G1496=""),"Preencher tudo",IF(COUNTIF(EtapaLista,$B1496)=0,"Etapa inválida","OK")))</f>
        <v/>
      </c>
    </row>
    <row r="1497" spans="1:10">
      <c r="A1497" s="17"/>
      <c r="B1497" s="15"/>
      <c r="C1497" s="15"/>
      <c r="D1497" s="15"/>
      <c r="E1497" s="15"/>
      <c r="F1497" s="16"/>
      <c r="G1497" s="27"/>
      <c r="H1497" s="17"/>
      <c r="I1497" s="30">
        <f>IF($A1497="","",DATE(YEAR($A1497),MONTH($A1497),1))</f>
        <v/>
      </c>
      <c r="J1497" s="31">
        <f>IF($A1497="","",IF(OR($B1497="",$C1497="",$F1497="",$G1497=""),"Preencher tudo",IF(COUNTIF(EtapaLista,$B1497)=0,"Etapa inválida","OK")))</f>
        <v/>
      </c>
    </row>
    <row r="1498" spans="1:10">
      <c r="A1498" s="17"/>
      <c r="B1498" s="15"/>
      <c r="C1498" s="15"/>
      <c r="D1498" s="15"/>
      <c r="E1498" s="15"/>
      <c r="F1498" s="16"/>
      <c r="G1498" s="27"/>
      <c r="H1498" s="17"/>
      <c r="I1498" s="30">
        <f>IF($A1498="","",DATE(YEAR($A1498),MONTH($A1498),1))</f>
        <v/>
      </c>
      <c r="J1498" s="31">
        <f>IF($A1498="","",IF(OR($B1498="",$C1498="",$F1498="",$G1498=""),"Preencher tudo",IF(COUNTIF(EtapaLista,$B1498)=0,"Etapa inválida","OK")))</f>
        <v/>
      </c>
    </row>
    <row r="1499" spans="1:10">
      <c r="A1499" s="17"/>
      <c r="B1499" s="15"/>
      <c r="C1499" s="15"/>
      <c r="D1499" s="15"/>
      <c r="E1499" s="15"/>
      <c r="F1499" s="16"/>
      <c r="G1499" s="27"/>
      <c r="H1499" s="17"/>
      <c r="I1499" s="30">
        <f>IF($A1499="","",DATE(YEAR($A1499),MONTH($A1499),1))</f>
        <v/>
      </c>
      <c r="J1499" s="31">
        <f>IF($A1499="","",IF(OR($B1499="",$C1499="",$F1499="",$G1499=""),"Preencher tudo",IF(COUNTIF(EtapaLista,$B1499)=0,"Etapa inválida","OK")))</f>
        <v/>
      </c>
    </row>
    <row r="1500" spans="1:10">
      <c r="A1500" s="17"/>
      <c r="B1500" s="15"/>
      <c r="C1500" s="15"/>
      <c r="D1500" s="15"/>
      <c r="E1500" s="15"/>
      <c r="F1500" s="16"/>
      <c r="G1500" s="27"/>
      <c r="H1500" s="17"/>
      <c r="I1500" s="30">
        <f>IF($A1500="","",DATE(YEAR($A1500),MONTH($A1500),1))</f>
        <v/>
      </c>
      <c r="J1500" s="31">
        <f>IF($A1500="","",IF(OR($B1500="",$C1500="",$F1500="",$G1500=""),"Preencher tudo",IF(COUNTIF(EtapaLista,$B1500)=0,"Etapa inválida","OK")))</f>
        <v/>
      </c>
    </row>
    <row r="1501" spans="1:10">
      <c r="A1501" s="17"/>
      <c r="B1501" s="15"/>
      <c r="C1501" s="15"/>
      <c r="D1501" s="15"/>
      <c r="E1501" s="15"/>
      <c r="F1501" s="16"/>
      <c r="G1501" s="27"/>
      <c r="H1501" s="17"/>
      <c r="I1501" s="30">
        <f>IF($A1501="","",DATE(YEAR($A1501),MONTH($A1501),1))</f>
        <v/>
      </c>
      <c r="J1501" s="31">
        <f>IF($A1501="","",IF(OR($B1501="",$C1501="",$F1501="",$G1501=""),"Preencher tudo",IF(COUNTIF(EtapaLista,$B1501)=0,"Etapa inválida","OK")))</f>
        <v/>
      </c>
    </row>
    <row r="1502" spans="1:10">
      <c r="A1502" s="17"/>
      <c r="B1502" s="15"/>
      <c r="C1502" s="15"/>
      <c r="D1502" s="15"/>
      <c r="E1502" s="15"/>
      <c r="F1502" s="16"/>
      <c r="G1502" s="27"/>
      <c r="H1502" s="17"/>
      <c r="I1502" s="30">
        <f>IF($A1502="","",DATE(YEAR($A1502),MONTH($A1502),1))</f>
        <v/>
      </c>
      <c r="J1502" s="31">
        <f>IF($A1502="","",IF(OR($B1502="",$C1502="",$F1502="",$G1502=""),"Preencher tudo",IF(COUNTIF(EtapaLista,$B1502)=0,"Etapa inválida","OK")))</f>
        <v/>
      </c>
    </row>
    <row r="1503" spans="1:10">
      <c r="A1503" s="17"/>
      <c r="B1503" s="15"/>
      <c r="C1503" s="15"/>
      <c r="D1503" s="15"/>
      <c r="E1503" s="15"/>
      <c r="F1503" s="16"/>
      <c r="G1503" s="27"/>
      <c r="H1503" s="17"/>
      <c r="I1503" s="30">
        <f>IF($A1503="","",DATE(YEAR($A1503),MONTH($A1503),1))</f>
        <v/>
      </c>
      <c r="J1503" s="31">
        <f>IF($A1503="","",IF(OR($B1503="",$C1503="",$F1503="",$G1503=""),"Preencher tudo",IF(COUNTIF(EtapaLista,$B1503)=0,"Etapa inválida","OK")))</f>
        <v/>
      </c>
    </row>
    <row r="1504" spans="1:10">
      <c r="A1504" s="17"/>
      <c r="B1504" s="15"/>
      <c r="C1504" s="15"/>
      <c r="D1504" s="15"/>
      <c r="E1504" s="15"/>
      <c r="F1504" s="16"/>
      <c r="G1504" s="27"/>
      <c r="H1504" s="17"/>
      <c r="I1504" s="30">
        <f>IF($A1504="","",DATE(YEAR($A1504),MONTH($A1504),1))</f>
        <v/>
      </c>
      <c r="J1504" s="31">
        <f>IF($A1504="","",IF(OR($B1504="",$C1504="",$F1504="",$G1504=""),"Preencher tudo",IF(COUNTIF(EtapaLista,$B1504)=0,"Etapa inválida","OK")))</f>
        <v/>
      </c>
    </row>
  </sheetData>
  <autoFilter ref="A4:J1504"/>
  <mergeCells count="2">
    <mergeCell ref="A1:J1"/>
    <mergeCell ref="A2:J2"/>
  </mergeCells>
  <conditionalFormatting sqref="G5:G1504">
    <cfRule type="cellIs" dxfId="8" priority="2" operator="equal">
      <formula>"A pagar"</formula>
    </cfRule>
  </conditionalFormatting>
  <conditionalFormatting sqref="J5:J1504">
    <cfRule type="cellIs" dxfId="7" priority="1" operator="notEqual">
      <formula>"OK"</formula>
    </cfRule>
  </conditionalFormatting>
  <dataValidations count="7">
    <dataValidation type="date" operator="greaterThanOrEqual" allowBlank="1" showInputMessage="1" showErrorMessage="1" errorTitle="Data inválida" error="Digite uma data válida (dd/mm/aaaa)." promptTitle="Data" prompt="Digite a data no formato dd/mm/aaaa" sqref="A5:A1504">
      <formula1>36526</formula1>
    </dataValidation>
    <dataValidation type="list" allowBlank="1" showInputMessage="1" showErrorMessage="1" errorTitle="Valor inválido" error="Escolha um item da lista." sqref="B5:B1504">
      <formula1>EtapaLista</formula1>
    </dataValidation>
    <dataValidation type="list" allowBlank="1" showInputMessage="1" showErrorMessage="1" errorTitle="Valor inválido" error="Escolha um item da lista." sqref="C5:C1504">
      <formula1>CatCusto</formula1>
    </dataValidation>
    <dataValidation type="list" allowBlank="1" showInputMessage="1" showErrorMessage="1" errorTitle="Valor inválido" error="Escolha um item da lista." sqref="D5:D1504">
      <formula1>Forn</formula1>
    </dataValidation>
    <dataValidation type="decimal" operator="greaterThanOrEqual" allowBlank="1" showInputMessage="1" showErrorMessage="1" errorTitle="Valor inválido" error="Digite um número maior ou igual a 0." sqref="F5:F1504">
      <formula1>0</formula1>
    </dataValidation>
    <dataValidation type="list" allowBlank="1" showInputMessage="1" showErrorMessage="1" errorTitle="Valor inválido" error="Escolha um item da lista." sqref="G5:G1504">
      <formula1>"Pago,A pagar"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H5:H1504">
      <formula1>36526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6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3" width="46.7109375" customWidth="1"/>
    <col min="4" max="4" width="15.7109375" customWidth="1"/>
    <col min="5" max="6" width="12.7109375" customWidth="1"/>
    <col min="7" max="8" width="15.7109375" customWidth="1"/>
    <col min="9" max="9" width="13.7109375" customWidth="1"/>
  </cols>
  <sheetData>
    <row r="1" spans="1:9" ht="36" customHeight="1">
      <c r="A1" s="1" t="s">
        <v>187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188</v>
      </c>
      <c r="B2" s="2"/>
      <c r="C2" s="2"/>
      <c r="D2" s="2"/>
      <c r="E2" s="2"/>
      <c r="F2" s="2"/>
      <c r="G2" s="2"/>
      <c r="H2" s="2"/>
      <c r="I2" s="13" t="s">
        <v>43</v>
      </c>
    </row>
    <row r="4" spans="1:9" ht="36" customHeight="1">
      <c r="A4" s="11" t="s">
        <v>189</v>
      </c>
      <c r="B4" s="11" t="s">
        <v>190</v>
      </c>
      <c r="C4" s="11" t="s">
        <v>141</v>
      </c>
      <c r="D4" s="11" t="s">
        <v>191</v>
      </c>
      <c r="E4" s="11" t="s">
        <v>144</v>
      </c>
      <c r="F4" s="11" t="s">
        <v>192</v>
      </c>
      <c r="G4" s="11" t="s">
        <v>193</v>
      </c>
      <c r="H4" s="11" t="s">
        <v>194</v>
      </c>
      <c r="I4" s="11" t="s">
        <v>195</v>
      </c>
    </row>
    <row r="5" spans="1:9">
      <c r="A5" s="32">
        <v>1</v>
      </c>
      <c r="B5" s="17">
        <v>46171</v>
      </c>
      <c r="C5" s="15" t="s">
        <v>196</v>
      </c>
      <c r="D5" s="16">
        <v>48000</v>
      </c>
      <c r="E5" s="17">
        <v>46188</v>
      </c>
      <c r="F5" s="17">
        <v>46188</v>
      </c>
      <c r="G5" s="16">
        <v>48000</v>
      </c>
      <c r="H5" s="33">
        <f>IF($D5="","",MAX(0,$D5-N($G5)))</f>
        <v>0</v>
      </c>
      <c r="I5" s="22" t="str">
        <f>IF($D5="","",IF($H5&lt;=0.005,"Recebida",IF(AND($E5&lt;&gt;"",$E5&lt;Hoje),"ATRASADA","A receber")))</f>
        <v>Recebida</v>
      </c>
    </row>
    <row r="6" spans="1:9">
      <c r="A6" s="32">
        <v>2</v>
      </c>
      <c r="B6" s="17">
        <v>46203</v>
      </c>
      <c r="C6" s="15" t="s">
        <v>197</v>
      </c>
      <c r="D6" s="16">
        <v>72000</v>
      </c>
      <c r="E6" s="17">
        <v>46218</v>
      </c>
      <c r="F6" s="17">
        <v>46219</v>
      </c>
      <c r="G6" s="16">
        <v>72000</v>
      </c>
      <c r="H6" s="33">
        <f>IF($D6="","",MAX(0,$D6-N($G6)))</f>
        <v>0</v>
      </c>
      <c r="I6" s="22" t="str">
        <f>IF($D6="","",IF($H6&lt;=0.005,"Recebida",IF(AND($E6&lt;&gt;"",$E6&lt;Hoje),"ATRASADA","A receber")))</f>
        <v>Recebida</v>
      </c>
    </row>
    <row r="7" spans="1:9">
      <c r="A7" s="32">
        <v>3</v>
      </c>
      <c r="B7" s="17">
        <v>46234</v>
      </c>
      <c r="C7" s="15" t="s">
        <v>198</v>
      </c>
      <c r="D7" s="16">
        <v>90000</v>
      </c>
      <c r="E7" s="17">
        <v>46248</v>
      </c>
      <c r="F7" s="17">
        <v>46248</v>
      </c>
      <c r="G7" s="16">
        <v>90000</v>
      </c>
      <c r="H7" s="33">
        <f>IF($D7="","",MAX(0,$D7-N($G7)))</f>
        <v>0</v>
      </c>
      <c r="I7" s="22" t="str">
        <f>IF($D7="","",IF($H7&lt;=0.005,"Recebida",IF(AND($E7&lt;&gt;"",$E7&lt;Hoje),"ATRASADA","A receber")))</f>
        <v>Recebida</v>
      </c>
    </row>
    <row r="8" spans="1:9">
      <c r="A8" s="32">
        <v>4</v>
      </c>
      <c r="B8" s="17">
        <v>46265</v>
      </c>
      <c r="C8" s="15" t="s">
        <v>199</v>
      </c>
      <c r="D8" s="16">
        <v>78000</v>
      </c>
      <c r="E8" s="17">
        <v>46280</v>
      </c>
      <c r="F8" s="17">
        <v>46283</v>
      </c>
      <c r="G8" s="16">
        <v>78000</v>
      </c>
      <c r="H8" s="33">
        <f>IF($D8="","",MAX(0,$D8-N($G8)))</f>
        <v>0</v>
      </c>
      <c r="I8" s="22" t="str">
        <f>IF($D8="","",IF($H8&lt;=0.005,"Recebida",IF(AND($E8&lt;&gt;"",$E8&lt;Hoje),"ATRASADA","A receber")))</f>
        <v>Recebida</v>
      </c>
    </row>
    <row r="9" spans="1:9">
      <c r="A9" s="32">
        <v>5</v>
      </c>
      <c r="B9" s="17">
        <v>46295</v>
      </c>
      <c r="C9" s="15" t="s">
        <v>200</v>
      </c>
      <c r="D9" s="16">
        <v>82000</v>
      </c>
      <c r="E9" s="17">
        <v>46302</v>
      </c>
      <c r="F9" s="17"/>
      <c r="G9" s="16"/>
      <c r="H9" s="33">
        <f>IF($D9="","",MAX(0,$D9-N($G9)))</f>
        <v>82000</v>
      </c>
      <c r="I9" s="22" t="str">
        <f>IF($D9="","",IF($H9&lt;=0.005,"Recebida",IF(AND($E9&lt;&gt;"",$E9&lt;Hoje),"ATRASADA","A receber")))</f>
        <v>ATRASADA</v>
      </c>
    </row>
    <row r="10" spans="1:9">
      <c r="A10" s="32">
        <v>6</v>
      </c>
      <c r="B10" s="17">
        <v>46325</v>
      </c>
      <c r="C10" s="15" t="s">
        <v>201</v>
      </c>
      <c r="D10" s="16">
        <v>60000</v>
      </c>
      <c r="E10" s="17">
        <v>46339</v>
      </c>
      <c r="F10" s="17"/>
      <c r="G10" s="16"/>
      <c r="H10" s="33">
        <f>IF($D10="","",MAX(0,$D10-N($G10)))</f>
        <v>60000</v>
      </c>
      <c r="I10" s="22" t="str">
        <f>IF($D10="","",IF($H10&lt;=0.005,"Recebida",IF(AND($E10&lt;&gt;"",$E10&lt;Hoje),"ATRASADA","A receber")))</f>
        <v>A receber</v>
      </c>
    </row>
    <row r="11" spans="1:9">
      <c r="A11" s="32"/>
      <c r="B11" s="17"/>
      <c r="C11" s="15"/>
      <c r="D11" s="16"/>
      <c r="E11" s="17"/>
      <c r="F11" s="17"/>
      <c r="G11" s="16"/>
      <c r="H11" s="33">
        <f>IF($D11="","",MAX(0,$D11-N($G11)))</f>
        <v/>
      </c>
      <c r="I11" s="22">
        <f>IF($D11="","",IF($H11&lt;=0.005,"Recebida",IF(AND($E11&lt;&gt;"",$E11&lt;Hoje),"ATRASADA","A receber")))</f>
        <v/>
      </c>
    </row>
    <row r="12" spans="1:9">
      <c r="A12" s="32"/>
      <c r="B12" s="17"/>
      <c r="C12" s="15"/>
      <c r="D12" s="16"/>
      <c r="E12" s="17"/>
      <c r="F12" s="17"/>
      <c r="G12" s="16"/>
      <c r="H12" s="33">
        <f>IF($D12="","",MAX(0,$D12-N($G12)))</f>
        <v/>
      </c>
      <c r="I12" s="22">
        <f>IF($D12="","",IF($H12&lt;=0.005,"Recebida",IF(AND($E12&lt;&gt;"",$E12&lt;Hoje),"ATRASADA","A receber")))</f>
        <v/>
      </c>
    </row>
    <row r="13" spans="1:9">
      <c r="A13" s="32"/>
      <c r="B13" s="17"/>
      <c r="C13" s="15"/>
      <c r="D13" s="16"/>
      <c r="E13" s="17"/>
      <c r="F13" s="17"/>
      <c r="G13" s="16"/>
      <c r="H13" s="33">
        <f>IF($D13="","",MAX(0,$D13-N($G13)))</f>
        <v/>
      </c>
      <c r="I13" s="22">
        <f>IF($D13="","",IF($H13&lt;=0.005,"Recebida",IF(AND($E13&lt;&gt;"",$E13&lt;Hoje),"ATRASADA","A receber")))</f>
        <v/>
      </c>
    </row>
    <row r="14" spans="1:9">
      <c r="A14" s="32"/>
      <c r="B14" s="17"/>
      <c r="C14" s="15"/>
      <c r="D14" s="16"/>
      <c r="E14" s="17"/>
      <c r="F14" s="17"/>
      <c r="G14" s="16"/>
      <c r="H14" s="33">
        <f>IF($D14="","",MAX(0,$D14-N($G14)))</f>
        <v/>
      </c>
      <c r="I14" s="22">
        <f>IF($D14="","",IF($H14&lt;=0.005,"Recebida",IF(AND($E14&lt;&gt;"",$E14&lt;Hoje),"ATRASADA","A receber")))</f>
        <v/>
      </c>
    </row>
    <row r="15" spans="1:9">
      <c r="A15" s="32"/>
      <c r="B15" s="17"/>
      <c r="C15" s="15"/>
      <c r="D15" s="16"/>
      <c r="E15" s="17"/>
      <c r="F15" s="17"/>
      <c r="G15" s="16"/>
      <c r="H15" s="33">
        <f>IF($D15="","",MAX(0,$D15-N($G15)))</f>
        <v/>
      </c>
      <c r="I15" s="22">
        <f>IF($D15="","",IF($H15&lt;=0.005,"Recebida",IF(AND($E15&lt;&gt;"",$E15&lt;Hoje),"ATRASADA","A receber")))</f>
        <v/>
      </c>
    </row>
    <row r="16" spans="1:9">
      <c r="A16" s="32"/>
      <c r="B16" s="17"/>
      <c r="C16" s="15"/>
      <c r="D16" s="16"/>
      <c r="E16" s="17"/>
      <c r="F16" s="17"/>
      <c r="G16" s="16"/>
      <c r="H16" s="33">
        <f>IF($D16="","",MAX(0,$D16-N($G16)))</f>
        <v/>
      </c>
      <c r="I16" s="22">
        <f>IF($D16="","",IF($H16&lt;=0.005,"Recebida",IF(AND($E16&lt;&gt;"",$E16&lt;Hoje),"ATRASADA","A receber")))</f>
        <v/>
      </c>
    </row>
    <row r="17" spans="1:9">
      <c r="A17" s="32"/>
      <c r="B17" s="17"/>
      <c r="C17" s="15"/>
      <c r="D17" s="16"/>
      <c r="E17" s="17"/>
      <c r="F17" s="17"/>
      <c r="G17" s="16"/>
      <c r="H17" s="33">
        <f>IF($D17="","",MAX(0,$D17-N($G17)))</f>
        <v/>
      </c>
      <c r="I17" s="22">
        <f>IF($D17="","",IF($H17&lt;=0.005,"Recebida",IF(AND($E17&lt;&gt;"",$E17&lt;Hoje),"ATRASADA","A receber")))</f>
        <v/>
      </c>
    </row>
    <row r="18" spans="1:9">
      <c r="A18" s="32"/>
      <c r="B18" s="17"/>
      <c r="C18" s="15"/>
      <c r="D18" s="16"/>
      <c r="E18" s="17"/>
      <c r="F18" s="17"/>
      <c r="G18" s="16"/>
      <c r="H18" s="33">
        <f>IF($D18="","",MAX(0,$D18-N($G18)))</f>
        <v/>
      </c>
      <c r="I18" s="22">
        <f>IF($D18="","",IF($H18&lt;=0.005,"Recebida",IF(AND($E18&lt;&gt;"",$E18&lt;Hoje),"ATRASADA","A receber")))</f>
        <v/>
      </c>
    </row>
    <row r="19" spans="1:9">
      <c r="A19" s="32"/>
      <c r="B19" s="17"/>
      <c r="C19" s="15"/>
      <c r="D19" s="16"/>
      <c r="E19" s="17"/>
      <c r="F19" s="17"/>
      <c r="G19" s="16"/>
      <c r="H19" s="33">
        <f>IF($D19="","",MAX(0,$D19-N($G19)))</f>
        <v/>
      </c>
      <c r="I19" s="22">
        <f>IF($D19="","",IF($H19&lt;=0.005,"Recebida",IF(AND($E19&lt;&gt;"",$E19&lt;Hoje),"ATRASADA","A receber")))</f>
        <v/>
      </c>
    </row>
    <row r="20" spans="1:9">
      <c r="A20" s="32"/>
      <c r="B20" s="17"/>
      <c r="C20" s="15"/>
      <c r="D20" s="16"/>
      <c r="E20" s="17"/>
      <c r="F20" s="17"/>
      <c r="G20" s="16"/>
      <c r="H20" s="33">
        <f>IF($D20="","",MAX(0,$D20-N($G20)))</f>
        <v/>
      </c>
      <c r="I20" s="22">
        <f>IF($D20="","",IF($H20&lt;=0.005,"Recebida",IF(AND($E20&lt;&gt;"",$E20&lt;Hoje),"ATRASADA","A receber")))</f>
        <v/>
      </c>
    </row>
    <row r="21" spans="1:9">
      <c r="A21" s="32"/>
      <c r="B21" s="17"/>
      <c r="C21" s="15"/>
      <c r="D21" s="16"/>
      <c r="E21" s="17"/>
      <c r="F21" s="17"/>
      <c r="G21" s="16"/>
      <c r="H21" s="33">
        <f>IF($D21="","",MAX(0,$D21-N($G21)))</f>
        <v/>
      </c>
      <c r="I21" s="22">
        <f>IF($D21="","",IF($H21&lt;=0.005,"Recebida",IF(AND($E21&lt;&gt;"",$E21&lt;Hoje),"ATRASADA","A receber")))</f>
        <v/>
      </c>
    </row>
    <row r="22" spans="1:9">
      <c r="A22" s="32"/>
      <c r="B22" s="17"/>
      <c r="C22" s="15"/>
      <c r="D22" s="16"/>
      <c r="E22" s="17"/>
      <c r="F22" s="17"/>
      <c r="G22" s="16"/>
      <c r="H22" s="33">
        <f>IF($D22="","",MAX(0,$D22-N($G22)))</f>
        <v/>
      </c>
      <c r="I22" s="22">
        <f>IF($D22="","",IF($H22&lt;=0.005,"Recebida",IF(AND($E22&lt;&gt;"",$E22&lt;Hoje),"ATRASADA","A receber")))</f>
        <v/>
      </c>
    </row>
    <row r="23" spans="1:9">
      <c r="A23" s="32"/>
      <c r="B23" s="17"/>
      <c r="C23" s="15"/>
      <c r="D23" s="16"/>
      <c r="E23" s="17"/>
      <c r="F23" s="17"/>
      <c r="G23" s="16"/>
      <c r="H23" s="33">
        <f>IF($D23="","",MAX(0,$D23-N($G23)))</f>
        <v/>
      </c>
      <c r="I23" s="22">
        <f>IF($D23="","",IF($H23&lt;=0.005,"Recebida",IF(AND($E23&lt;&gt;"",$E23&lt;Hoje),"ATRASADA","A receber")))</f>
        <v/>
      </c>
    </row>
    <row r="24" spans="1:9">
      <c r="A24" s="32"/>
      <c r="B24" s="17"/>
      <c r="C24" s="15"/>
      <c r="D24" s="16"/>
      <c r="E24" s="17"/>
      <c r="F24" s="17"/>
      <c r="G24" s="16"/>
      <c r="H24" s="33">
        <f>IF($D24="","",MAX(0,$D24-N($G24)))</f>
        <v/>
      </c>
      <c r="I24" s="22">
        <f>IF($D24="","",IF($H24&lt;=0.005,"Recebida",IF(AND($E24&lt;&gt;"",$E24&lt;Hoje),"ATRASADA","A receber")))</f>
        <v/>
      </c>
    </row>
    <row r="25" spans="1:9">
      <c r="A25" s="32"/>
      <c r="B25" s="17"/>
      <c r="C25" s="15"/>
      <c r="D25" s="16"/>
      <c r="E25" s="17"/>
      <c r="F25" s="17"/>
      <c r="G25" s="16"/>
      <c r="H25" s="33">
        <f>IF($D25="","",MAX(0,$D25-N($G25)))</f>
        <v/>
      </c>
      <c r="I25" s="22">
        <f>IF($D25="","",IF($H25&lt;=0.005,"Recebida",IF(AND($E25&lt;&gt;"",$E25&lt;Hoje),"ATRASADA","A receber")))</f>
        <v/>
      </c>
    </row>
    <row r="26" spans="1:9">
      <c r="A26" s="32"/>
      <c r="B26" s="17"/>
      <c r="C26" s="15"/>
      <c r="D26" s="16"/>
      <c r="E26" s="17"/>
      <c r="F26" s="17"/>
      <c r="G26" s="16"/>
      <c r="H26" s="33">
        <f>IF($D26="","",MAX(0,$D26-N($G26)))</f>
        <v/>
      </c>
      <c r="I26" s="22">
        <f>IF($D26="","",IF($H26&lt;=0.005,"Recebida",IF(AND($E26&lt;&gt;"",$E26&lt;Hoje),"ATRASADA","A receber")))</f>
        <v/>
      </c>
    </row>
    <row r="27" spans="1:9">
      <c r="A27" s="32"/>
      <c r="B27" s="17"/>
      <c r="C27" s="15"/>
      <c r="D27" s="16"/>
      <c r="E27" s="17"/>
      <c r="F27" s="17"/>
      <c r="G27" s="16"/>
      <c r="H27" s="33">
        <f>IF($D27="","",MAX(0,$D27-N($G27)))</f>
        <v/>
      </c>
      <c r="I27" s="22">
        <f>IF($D27="","",IF($H27&lt;=0.005,"Recebida",IF(AND($E27&lt;&gt;"",$E27&lt;Hoje),"ATRASADA","A receber")))</f>
        <v/>
      </c>
    </row>
    <row r="28" spans="1:9">
      <c r="A28" s="32"/>
      <c r="B28" s="17"/>
      <c r="C28" s="15"/>
      <c r="D28" s="16"/>
      <c r="E28" s="17"/>
      <c r="F28" s="17"/>
      <c r="G28" s="16"/>
      <c r="H28" s="33">
        <f>IF($D28="","",MAX(0,$D28-N($G28)))</f>
        <v/>
      </c>
      <c r="I28" s="22">
        <f>IF($D28="","",IF($H28&lt;=0.005,"Recebida",IF(AND($E28&lt;&gt;"",$E28&lt;Hoje),"ATRASADA","A receber")))</f>
        <v/>
      </c>
    </row>
    <row r="29" spans="1:9">
      <c r="A29" s="32"/>
      <c r="B29" s="17"/>
      <c r="C29" s="15"/>
      <c r="D29" s="16"/>
      <c r="E29" s="17"/>
      <c r="F29" s="17"/>
      <c r="G29" s="16"/>
      <c r="H29" s="33">
        <f>IF($D29="","",MAX(0,$D29-N($G29)))</f>
        <v/>
      </c>
      <c r="I29" s="22">
        <f>IF($D29="","",IF($H29&lt;=0.005,"Recebida",IF(AND($E29&lt;&gt;"",$E29&lt;Hoje),"ATRASADA","A receber")))</f>
        <v/>
      </c>
    </row>
    <row r="30" spans="1:9">
      <c r="A30" s="32"/>
      <c r="B30" s="17"/>
      <c r="C30" s="15"/>
      <c r="D30" s="16"/>
      <c r="E30" s="17"/>
      <c r="F30" s="17"/>
      <c r="G30" s="16"/>
      <c r="H30" s="33">
        <f>IF($D30="","",MAX(0,$D30-N($G30)))</f>
        <v/>
      </c>
      <c r="I30" s="22">
        <f>IF($D30="","",IF($H30&lt;=0.005,"Recebida",IF(AND($E30&lt;&gt;"",$E30&lt;Hoje),"ATRASADA","A receber")))</f>
        <v/>
      </c>
    </row>
    <row r="31" spans="1:9">
      <c r="A31" s="32"/>
      <c r="B31" s="17"/>
      <c r="C31" s="15"/>
      <c r="D31" s="16"/>
      <c r="E31" s="17"/>
      <c r="F31" s="17"/>
      <c r="G31" s="16"/>
      <c r="H31" s="33">
        <f>IF($D31="","",MAX(0,$D31-N($G31)))</f>
        <v/>
      </c>
      <c r="I31" s="22">
        <f>IF($D31="","",IF($H31&lt;=0.005,"Recebida",IF(AND($E31&lt;&gt;"",$E31&lt;Hoje),"ATRASADA","A receber")))</f>
        <v/>
      </c>
    </row>
    <row r="32" spans="1:9">
      <c r="A32" s="32"/>
      <c r="B32" s="17"/>
      <c r="C32" s="15"/>
      <c r="D32" s="16"/>
      <c r="E32" s="17"/>
      <c r="F32" s="17"/>
      <c r="G32" s="16"/>
      <c r="H32" s="33">
        <f>IF($D32="","",MAX(0,$D32-N($G32)))</f>
        <v/>
      </c>
      <c r="I32" s="22">
        <f>IF($D32="","",IF($H32&lt;=0.005,"Recebida",IF(AND($E32&lt;&gt;"",$E32&lt;Hoje),"ATRASADA","A receber")))</f>
        <v/>
      </c>
    </row>
    <row r="33" spans="1:9">
      <c r="A33" s="32"/>
      <c r="B33" s="17"/>
      <c r="C33" s="15"/>
      <c r="D33" s="16"/>
      <c r="E33" s="17"/>
      <c r="F33" s="17"/>
      <c r="G33" s="16"/>
      <c r="H33" s="33">
        <f>IF($D33="","",MAX(0,$D33-N($G33)))</f>
        <v/>
      </c>
      <c r="I33" s="22">
        <f>IF($D33="","",IF($H33&lt;=0.005,"Recebida",IF(AND($E33&lt;&gt;"",$E33&lt;Hoje),"ATRASADA","A receber")))</f>
        <v/>
      </c>
    </row>
    <row r="34" spans="1:9">
      <c r="A34" s="32"/>
      <c r="B34" s="17"/>
      <c r="C34" s="15"/>
      <c r="D34" s="16"/>
      <c r="E34" s="17"/>
      <c r="F34" s="17"/>
      <c r="G34" s="16"/>
      <c r="H34" s="33">
        <f>IF($D34="","",MAX(0,$D34-N($G34)))</f>
        <v/>
      </c>
      <c r="I34" s="22">
        <f>IF($D34="","",IF($H34&lt;=0.005,"Recebida",IF(AND($E34&lt;&gt;"",$E34&lt;Hoje),"ATRASADA","A receber")))</f>
        <v/>
      </c>
    </row>
    <row r="35" spans="1:9">
      <c r="A35" s="32"/>
      <c r="B35" s="17"/>
      <c r="C35" s="15"/>
      <c r="D35" s="16"/>
      <c r="E35" s="17"/>
      <c r="F35" s="17"/>
      <c r="G35" s="16"/>
      <c r="H35" s="33">
        <f>IF($D35="","",MAX(0,$D35-N($G35)))</f>
        <v/>
      </c>
      <c r="I35" s="22">
        <f>IF($D35="","",IF($H35&lt;=0.005,"Recebida",IF(AND($E35&lt;&gt;"",$E35&lt;Hoje),"ATRASADA","A receber")))</f>
        <v/>
      </c>
    </row>
    <row r="36" spans="1:9">
      <c r="A36" s="32"/>
      <c r="B36" s="17"/>
      <c r="C36" s="15"/>
      <c r="D36" s="16"/>
      <c r="E36" s="17"/>
      <c r="F36" s="17"/>
      <c r="G36" s="16"/>
      <c r="H36" s="33">
        <f>IF($D36="","",MAX(0,$D36-N($G36)))</f>
        <v/>
      </c>
      <c r="I36" s="22">
        <f>IF($D36="","",IF($H36&lt;=0.005,"Recebida",IF(AND($E36&lt;&gt;"",$E36&lt;Hoje),"ATRASADA","A receber")))</f>
        <v/>
      </c>
    </row>
    <row r="37" spans="1:9">
      <c r="A37" s="32"/>
      <c r="B37" s="17"/>
      <c r="C37" s="15"/>
      <c r="D37" s="16"/>
      <c r="E37" s="17"/>
      <c r="F37" s="17"/>
      <c r="G37" s="16"/>
      <c r="H37" s="33">
        <f>IF($D37="","",MAX(0,$D37-N($G37)))</f>
        <v/>
      </c>
      <c r="I37" s="22">
        <f>IF($D37="","",IF($H37&lt;=0.005,"Recebida",IF(AND($E37&lt;&gt;"",$E37&lt;Hoje),"ATRASADA","A receber")))</f>
        <v/>
      </c>
    </row>
    <row r="38" spans="1:9">
      <c r="A38" s="32"/>
      <c r="B38" s="17"/>
      <c r="C38" s="15"/>
      <c r="D38" s="16"/>
      <c r="E38" s="17"/>
      <c r="F38" s="17"/>
      <c r="G38" s="16"/>
      <c r="H38" s="33">
        <f>IF($D38="","",MAX(0,$D38-N($G38)))</f>
        <v/>
      </c>
      <c r="I38" s="22">
        <f>IF($D38="","",IF($H38&lt;=0.005,"Recebida",IF(AND($E38&lt;&gt;"",$E38&lt;Hoje),"ATRASADA","A receber")))</f>
        <v/>
      </c>
    </row>
    <row r="39" spans="1:9">
      <c r="A39" s="32"/>
      <c r="B39" s="17"/>
      <c r="C39" s="15"/>
      <c r="D39" s="16"/>
      <c r="E39" s="17"/>
      <c r="F39" s="17"/>
      <c r="G39" s="16"/>
      <c r="H39" s="33">
        <f>IF($D39="","",MAX(0,$D39-N($G39)))</f>
        <v/>
      </c>
      <c r="I39" s="22">
        <f>IF($D39="","",IF($H39&lt;=0.005,"Recebida",IF(AND($E39&lt;&gt;"",$E39&lt;Hoje),"ATRASADA","A receber")))</f>
        <v/>
      </c>
    </row>
    <row r="40" spans="1:9">
      <c r="A40" s="32"/>
      <c r="B40" s="17"/>
      <c r="C40" s="15"/>
      <c r="D40" s="16"/>
      <c r="E40" s="17"/>
      <c r="F40" s="17"/>
      <c r="G40" s="16"/>
      <c r="H40" s="33">
        <f>IF($D40="","",MAX(0,$D40-N($G40)))</f>
        <v/>
      </c>
      <c r="I40" s="22">
        <f>IF($D40="","",IF($H40&lt;=0.005,"Recebida",IF(AND($E40&lt;&gt;"",$E40&lt;Hoje),"ATRASADA","A receber")))</f>
        <v/>
      </c>
    </row>
    <row r="41" spans="1:9">
      <c r="A41" s="32"/>
      <c r="B41" s="17"/>
      <c r="C41" s="15"/>
      <c r="D41" s="16"/>
      <c r="E41" s="17"/>
      <c r="F41" s="17"/>
      <c r="G41" s="16"/>
      <c r="H41" s="33">
        <f>IF($D41="","",MAX(0,$D41-N($G41)))</f>
        <v/>
      </c>
      <c r="I41" s="22">
        <f>IF($D41="","",IF($H41&lt;=0.005,"Recebida",IF(AND($E41&lt;&gt;"",$E41&lt;Hoje),"ATRASADA","A receber")))</f>
        <v/>
      </c>
    </row>
    <row r="42" spans="1:9">
      <c r="A42" s="32"/>
      <c r="B42" s="17"/>
      <c r="C42" s="15"/>
      <c r="D42" s="16"/>
      <c r="E42" s="17"/>
      <c r="F42" s="17"/>
      <c r="G42" s="16"/>
      <c r="H42" s="33">
        <f>IF($D42="","",MAX(0,$D42-N($G42)))</f>
        <v/>
      </c>
      <c r="I42" s="22">
        <f>IF($D42="","",IF($H42&lt;=0.005,"Recebida",IF(AND($E42&lt;&gt;"",$E42&lt;Hoje),"ATRASADA","A receber")))</f>
        <v/>
      </c>
    </row>
    <row r="43" spans="1:9">
      <c r="A43" s="32"/>
      <c r="B43" s="17"/>
      <c r="C43" s="15"/>
      <c r="D43" s="16"/>
      <c r="E43" s="17"/>
      <c r="F43" s="17"/>
      <c r="G43" s="16"/>
      <c r="H43" s="33">
        <f>IF($D43="","",MAX(0,$D43-N($G43)))</f>
        <v/>
      </c>
      <c r="I43" s="22">
        <f>IF($D43="","",IF($H43&lt;=0.005,"Recebida",IF(AND($E43&lt;&gt;"",$E43&lt;Hoje),"ATRASADA","A receber")))</f>
        <v/>
      </c>
    </row>
    <row r="44" spans="1:9">
      <c r="A44" s="32"/>
      <c r="B44" s="17"/>
      <c r="C44" s="15"/>
      <c r="D44" s="16"/>
      <c r="E44" s="17"/>
      <c r="F44" s="17"/>
      <c r="G44" s="16"/>
      <c r="H44" s="33">
        <f>IF($D44="","",MAX(0,$D44-N($G44)))</f>
        <v/>
      </c>
      <c r="I44" s="22">
        <f>IF($D44="","",IF($H44&lt;=0.005,"Recebida",IF(AND($E44&lt;&gt;"",$E44&lt;Hoje),"ATRASADA","A receber")))</f>
        <v/>
      </c>
    </row>
    <row r="45" spans="1:9">
      <c r="A45" s="32"/>
      <c r="B45" s="17"/>
      <c r="C45" s="15"/>
      <c r="D45" s="16"/>
      <c r="E45" s="17"/>
      <c r="F45" s="17"/>
      <c r="G45" s="16"/>
      <c r="H45" s="33">
        <f>IF($D45="","",MAX(0,$D45-N($G45)))</f>
        <v/>
      </c>
      <c r="I45" s="22">
        <f>IF($D45="","",IF($H45&lt;=0.005,"Recebida",IF(AND($E45&lt;&gt;"",$E45&lt;Hoje),"ATRASADA","A receber")))</f>
        <v/>
      </c>
    </row>
    <row r="46" spans="1:9">
      <c r="A46" s="32"/>
      <c r="B46" s="17"/>
      <c r="C46" s="15"/>
      <c r="D46" s="16"/>
      <c r="E46" s="17"/>
      <c r="F46" s="17"/>
      <c r="G46" s="16"/>
      <c r="H46" s="33">
        <f>IF($D46="","",MAX(0,$D46-N($G46)))</f>
        <v/>
      </c>
      <c r="I46" s="22">
        <f>IF($D46="","",IF($H46&lt;=0.005,"Recebida",IF(AND($E46&lt;&gt;"",$E46&lt;Hoje),"ATRASADA","A receber")))</f>
        <v/>
      </c>
    </row>
    <row r="47" spans="1:9">
      <c r="A47" s="32"/>
      <c r="B47" s="17"/>
      <c r="C47" s="15"/>
      <c r="D47" s="16"/>
      <c r="E47" s="17"/>
      <c r="F47" s="17"/>
      <c r="G47" s="16"/>
      <c r="H47" s="33">
        <f>IF($D47="","",MAX(0,$D47-N($G47)))</f>
        <v/>
      </c>
      <c r="I47" s="22">
        <f>IF($D47="","",IF($H47&lt;=0.005,"Recebida",IF(AND($E47&lt;&gt;"",$E47&lt;Hoje),"ATRASADA","A receber")))</f>
        <v/>
      </c>
    </row>
    <row r="48" spans="1:9">
      <c r="A48" s="32"/>
      <c r="B48" s="17"/>
      <c r="C48" s="15"/>
      <c r="D48" s="16"/>
      <c r="E48" s="17"/>
      <c r="F48" s="17"/>
      <c r="G48" s="16"/>
      <c r="H48" s="33">
        <f>IF($D48="","",MAX(0,$D48-N($G48)))</f>
        <v/>
      </c>
      <c r="I48" s="22">
        <f>IF($D48="","",IF($H48&lt;=0.005,"Recebida",IF(AND($E48&lt;&gt;"",$E48&lt;Hoje),"ATRASADA","A receber")))</f>
        <v/>
      </c>
    </row>
    <row r="49" spans="1:9">
      <c r="A49" s="32"/>
      <c r="B49" s="17"/>
      <c r="C49" s="15"/>
      <c r="D49" s="16"/>
      <c r="E49" s="17"/>
      <c r="F49" s="17"/>
      <c r="G49" s="16"/>
      <c r="H49" s="33">
        <f>IF($D49="","",MAX(0,$D49-N($G49)))</f>
        <v/>
      </c>
      <c r="I49" s="22">
        <f>IF($D49="","",IF($H49&lt;=0.005,"Recebida",IF(AND($E49&lt;&gt;"",$E49&lt;Hoje),"ATRASADA","A receber")))</f>
        <v/>
      </c>
    </row>
    <row r="50" spans="1:9">
      <c r="A50" s="32"/>
      <c r="B50" s="17"/>
      <c r="C50" s="15"/>
      <c r="D50" s="16"/>
      <c r="E50" s="17"/>
      <c r="F50" s="17"/>
      <c r="G50" s="16"/>
      <c r="H50" s="33">
        <f>IF($D50="","",MAX(0,$D50-N($G50)))</f>
        <v/>
      </c>
      <c r="I50" s="22">
        <f>IF($D50="","",IF($H50&lt;=0.005,"Recebida",IF(AND($E50&lt;&gt;"",$E50&lt;Hoje),"ATRASADA","A receber")))</f>
        <v/>
      </c>
    </row>
    <row r="51" spans="1:9">
      <c r="A51" s="32"/>
      <c r="B51" s="17"/>
      <c r="C51" s="15"/>
      <c r="D51" s="16"/>
      <c r="E51" s="17"/>
      <c r="F51" s="17"/>
      <c r="G51" s="16"/>
      <c r="H51" s="33">
        <f>IF($D51="","",MAX(0,$D51-N($G51)))</f>
        <v/>
      </c>
      <c r="I51" s="22">
        <f>IF($D51="","",IF($H51&lt;=0.005,"Recebida",IF(AND($E51&lt;&gt;"",$E51&lt;Hoje),"ATRASADA","A receber")))</f>
        <v/>
      </c>
    </row>
    <row r="52" spans="1:9">
      <c r="A52" s="32"/>
      <c r="B52" s="17"/>
      <c r="C52" s="15"/>
      <c r="D52" s="16"/>
      <c r="E52" s="17"/>
      <c r="F52" s="17"/>
      <c r="G52" s="16"/>
      <c r="H52" s="33">
        <f>IF($D52="","",MAX(0,$D52-N($G52)))</f>
        <v/>
      </c>
      <c r="I52" s="22">
        <f>IF($D52="","",IF($H52&lt;=0.005,"Recebida",IF(AND($E52&lt;&gt;"",$E52&lt;Hoje),"ATRASADA","A receber")))</f>
        <v/>
      </c>
    </row>
    <row r="53" spans="1:9">
      <c r="A53" s="32"/>
      <c r="B53" s="17"/>
      <c r="C53" s="15"/>
      <c r="D53" s="16"/>
      <c r="E53" s="17"/>
      <c r="F53" s="17"/>
      <c r="G53" s="16"/>
      <c r="H53" s="33">
        <f>IF($D53="","",MAX(0,$D53-N($G53)))</f>
        <v/>
      </c>
      <c r="I53" s="22">
        <f>IF($D53="","",IF($H53&lt;=0.005,"Recebida",IF(AND($E53&lt;&gt;"",$E53&lt;Hoje),"ATRASADA","A receber")))</f>
        <v/>
      </c>
    </row>
    <row r="54" spans="1:9">
      <c r="A54" s="32"/>
      <c r="B54" s="17"/>
      <c r="C54" s="15"/>
      <c r="D54" s="16"/>
      <c r="E54" s="17"/>
      <c r="F54" s="17"/>
      <c r="G54" s="16"/>
      <c r="H54" s="33">
        <f>IF($D54="","",MAX(0,$D54-N($G54)))</f>
        <v/>
      </c>
      <c r="I54" s="22">
        <f>IF($D54="","",IF($H54&lt;=0.005,"Recebida",IF(AND($E54&lt;&gt;"",$E54&lt;Hoje),"ATRASADA","A receber")))</f>
        <v/>
      </c>
    </row>
    <row r="55" spans="1:9">
      <c r="A55" s="32"/>
      <c r="B55" s="17"/>
      <c r="C55" s="15"/>
      <c r="D55" s="16"/>
      <c r="E55" s="17"/>
      <c r="F55" s="17"/>
      <c r="G55" s="16"/>
      <c r="H55" s="33">
        <f>IF($D55="","",MAX(0,$D55-N($G55)))</f>
        <v/>
      </c>
      <c r="I55" s="22">
        <f>IF($D55="","",IF($H55&lt;=0.005,"Recebida",IF(AND($E55&lt;&gt;"",$E55&lt;Hoje),"ATRASADA","A receber")))</f>
        <v/>
      </c>
    </row>
    <row r="56" spans="1:9">
      <c r="A56" s="32"/>
      <c r="B56" s="17"/>
      <c r="C56" s="15"/>
      <c r="D56" s="16"/>
      <c r="E56" s="17"/>
      <c r="F56" s="17"/>
      <c r="G56" s="16"/>
      <c r="H56" s="33">
        <f>IF($D56="","",MAX(0,$D56-N($G56)))</f>
        <v/>
      </c>
      <c r="I56" s="22">
        <f>IF($D56="","",IF($H56&lt;=0.005,"Recebida",IF(AND($E56&lt;&gt;"",$E56&lt;Hoje),"ATRASADA","A receber")))</f>
        <v/>
      </c>
    </row>
    <row r="57" spans="1:9">
      <c r="A57" s="32"/>
      <c r="B57" s="17"/>
      <c r="C57" s="15"/>
      <c r="D57" s="16"/>
      <c r="E57" s="17"/>
      <c r="F57" s="17"/>
      <c r="G57" s="16"/>
      <c r="H57" s="33">
        <f>IF($D57="","",MAX(0,$D57-N($G57)))</f>
        <v/>
      </c>
      <c r="I57" s="22">
        <f>IF($D57="","",IF($H57&lt;=0.005,"Recebida",IF(AND($E57&lt;&gt;"",$E57&lt;Hoje),"ATRASADA","A receber")))</f>
        <v/>
      </c>
    </row>
    <row r="58" spans="1:9">
      <c r="A58" s="32"/>
      <c r="B58" s="17"/>
      <c r="C58" s="15"/>
      <c r="D58" s="16"/>
      <c r="E58" s="17"/>
      <c r="F58" s="17"/>
      <c r="G58" s="16"/>
      <c r="H58" s="33">
        <f>IF($D58="","",MAX(0,$D58-N($G58)))</f>
        <v/>
      </c>
      <c r="I58" s="22">
        <f>IF($D58="","",IF($H58&lt;=0.005,"Recebida",IF(AND($E58&lt;&gt;"",$E58&lt;Hoje),"ATRASADA","A receber")))</f>
        <v/>
      </c>
    </row>
    <row r="59" spans="1:9">
      <c r="A59" s="32"/>
      <c r="B59" s="17"/>
      <c r="C59" s="15"/>
      <c r="D59" s="16"/>
      <c r="E59" s="17"/>
      <c r="F59" s="17"/>
      <c r="G59" s="16"/>
      <c r="H59" s="33">
        <f>IF($D59="","",MAX(0,$D59-N($G59)))</f>
        <v/>
      </c>
      <c r="I59" s="22">
        <f>IF($D59="","",IF($H59&lt;=0.005,"Recebida",IF(AND($E59&lt;&gt;"",$E59&lt;Hoje),"ATRASADA","A receber")))</f>
        <v/>
      </c>
    </row>
    <row r="60" spans="1:9">
      <c r="A60" s="32"/>
      <c r="B60" s="17"/>
      <c r="C60" s="15"/>
      <c r="D60" s="16"/>
      <c r="E60" s="17"/>
      <c r="F60" s="17"/>
      <c r="G60" s="16"/>
      <c r="H60" s="33">
        <f>IF($D60="","",MAX(0,$D60-N($G60)))</f>
        <v/>
      </c>
      <c r="I60" s="22">
        <f>IF($D60="","",IF($H60&lt;=0.005,"Recebida",IF(AND($E60&lt;&gt;"",$E60&lt;Hoje),"ATRASADA","A receber")))</f>
        <v/>
      </c>
    </row>
    <row r="61" spans="1:9">
      <c r="A61" s="32"/>
      <c r="B61" s="17"/>
      <c r="C61" s="15"/>
      <c r="D61" s="16"/>
      <c r="E61" s="17"/>
      <c r="F61" s="17"/>
      <c r="G61" s="16"/>
      <c r="H61" s="33">
        <f>IF($D61="","",MAX(0,$D61-N($G61)))</f>
        <v/>
      </c>
      <c r="I61" s="22">
        <f>IF($D61="","",IF($H61&lt;=0.005,"Recebida",IF(AND($E61&lt;&gt;"",$E61&lt;Hoje),"ATRASADA","A receber")))</f>
        <v/>
      </c>
    </row>
    <row r="62" spans="1:9">
      <c r="A62" s="32"/>
      <c r="B62" s="17"/>
      <c r="C62" s="15"/>
      <c r="D62" s="16"/>
      <c r="E62" s="17"/>
      <c r="F62" s="17"/>
      <c r="G62" s="16"/>
      <c r="H62" s="33">
        <f>IF($D62="","",MAX(0,$D62-N($G62)))</f>
        <v/>
      </c>
      <c r="I62" s="22">
        <f>IF($D62="","",IF($H62&lt;=0.005,"Recebida",IF(AND($E62&lt;&gt;"",$E62&lt;Hoje),"ATRASADA","A receber")))</f>
        <v/>
      </c>
    </row>
    <row r="63" spans="1:9">
      <c r="A63" s="32"/>
      <c r="B63" s="17"/>
      <c r="C63" s="15"/>
      <c r="D63" s="16"/>
      <c r="E63" s="17"/>
      <c r="F63" s="17"/>
      <c r="G63" s="16"/>
      <c r="H63" s="33">
        <f>IF($D63="","",MAX(0,$D63-N($G63)))</f>
        <v/>
      </c>
      <c r="I63" s="22">
        <f>IF($D63="","",IF($H63&lt;=0.005,"Recebida",IF(AND($E63&lt;&gt;"",$E63&lt;Hoje),"ATRASADA","A receber")))</f>
        <v/>
      </c>
    </row>
    <row r="64" spans="1:9">
      <c r="A64" s="32"/>
      <c r="B64" s="17"/>
      <c r="C64" s="15"/>
      <c r="D64" s="16"/>
      <c r="E64" s="17"/>
      <c r="F64" s="17"/>
      <c r="G64" s="16"/>
      <c r="H64" s="33">
        <f>IF($D64="","",MAX(0,$D64-N($G64)))</f>
        <v/>
      </c>
      <c r="I64" s="22">
        <f>IF($D64="","",IF($H64&lt;=0.005,"Recebida",IF(AND($E64&lt;&gt;"",$E64&lt;Hoje),"ATRASADA","A receber")))</f>
        <v/>
      </c>
    </row>
  </sheetData>
  <mergeCells count="2">
    <mergeCell ref="A1:I1"/>
    <mergeCell ref="A2:I2"/>
  </mergeCells>
  <conditionalFormatting sqref="I5:I64">
    <cfRule type="cellIs" dxfId="2" priority="1" operator="equal">
      <formula>"Recebida"</formula>
    </cfRule>
    <cfRule type="cellIs" dxfId="0" priority="2" operator="equal">
      <formula>"ATRASADA"</formula>
    </cfRule>
    <cfRule type="cellIs" dxfId="9" priority="3" operator="equal">
      <formula>"A receber"</formula>
    </cfRule>
  </conditionalFormatting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B5:B64">
      <formula1>36526</formula1>
    </dataValidation>
    <dataValidation type="date" operator="greaterThanOrEqual" allowBlank="1" showInputMessage="1" showErrorMessage="1" errorTitle="Data inválida" error="Digite uma data válida (dd/mm/aaaa)." promptTitle="Data" prompt="Digite a data no formato dd/mm/aaaa" sqref="E5:F64">
      <formula1>36526</formula1>
    </dataValidation>
    <dataValidation type="decimal" operator="greaterThanOrEqual" allowBlank="1" showInputMessage="1" showErrorMessage="1" errorTitle="Valor inválido" error="Digite um número maior ou igual a 0." sqref="D5:D64">
      <formula1>0</formula1>
    </dataValidation>
    <dataValidation type="decimal" operator="greaterThanOrEqual" allowBlank="1" showInputMessage="1" showErrorMessage="1" errorTitle="Valor inválido" error="Digite um número maior ou igual a 0." sqref="G5:G6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Controle de Obras (Orçado x Realizado)&amp;R&amp;8Página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J45"/>
  <sheetViews>
    <sheetView showGridLines="0" workbookViewId="0"/>
  </sheetViews>
  <sheetFormatPr defaultRowHeight="15"/>
  <cols>
    <col min="1" max="1" width="30.7109375" customWidth="1"/>
    <col min="2" max="10" width="14.7109375" customWidth="1"/>
  </cols>
  <sheetData>
    <row r="1" spans="1:10" ht="36" customHeight="1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203</v>
      </c>
      <c r="B2" s="2"/>
      <c r="C2" s="2"/>
      <c r="D2" s="2"/>
      <c r="E2" s="2"/>
      <c r="F2" s="2"/>
      <c r="G2" s="2"/>
      <c r="H2" s="2"/>
      <c r="I2" s="2"/>
      <c r="J2" s="13" t="s">
        <v>43</v>
      </c>
    </row>
    <row r="4" spans="1:10" ht="24" customHeight="1">
      <c r="A4" s="34" t="s">
        <v>212</v>
      </c>
      <c r="B4" s="34" t="s">
        <v>213</v>
      </c>
      <c r="C4" s="34"/>
      <c r="D4" s="34" t="s">
        <v>214</v>
      </c>
      <c r="E4" s="34"/>
      <c r="F4" s="34" t="s">
        <v>215</v>
      </c>
      <c r="G4" s="34"/>
      <c r="H4" s="34" t="s">
        <v>216</v>
      </c>
      <c r="I4" s="34"/>
    </row>
    <row r="5" spans="1:10" ht="32" customHeight="1">
      <c r="A5" s="35">
        <f>Contrato</f>
        <v>480000</v>
      </c>
      <c r="B5" s="35">
        <f>B35</f>
        <v>392000.04</v>
      </c>
      <c r="C5" s="35"/>
      <c r="D5" s="35">
        <f>C35</f>
        <v>295103.98</v>
      </c>
      <c r="E5" s="35"/>
      <c r="F5" s="36">
        <f>IFERROR(C35/B35,0)</f>
        <v>0.752816198692225</v>
      </c>
      <c r="G5" s="36"/>
      <c r="H5" s="36">
        <f>D35</f>
        <v>0.692857010932958</v>
      </c>
      <c r="I5" s="36"/>
    </row>
    <row r="7" spans="1:10" ht="24" customHeight="1">
      <c r="A7" s="34" t="s">
        <v>217</v>
      </c>
      <c r="B7" s="34" t="s">
        <v>218</v>
      </c>
      <c r="C7" s="34"/>
      <c r="D7" s="34" t="s">
        <v>219</v>
      </c>
      <c r="E7" s="34"/>
      <c r="F7" s="34" t="s">
        <v>220</v>
      </c>
      <c r="G7" s="34"/>
      <c r="H7" s="34" t="s">
        <v>221</v>
      </c>
      <c r="I7" s="34"/>
    </row>
    <row r="8" spans="1:10" ht="36" customHeight="1">
      <c r="A8" s="35">
        <f>E35</f>
        <v>425600.06</v>
      </c>
      <c r="B8" s="37">
        <f>A5-A8</f>
        <v>54399.94</v>
      </c>
      <c r="C8" s="37"/>
      <c r="D8" s="36">
        <f>IF(A5=0,0,B8/A5)</f>
        <v>0.113333208333333</v>
      </c>
      <c r="E8" s="36"/>
      <c r="F8" s="36">
        <f>IF(A5=0,0,(A5-B5)/A5)</f>
        <v>0.18333325</v>
      </c>
      <c r="G8" s="36"/>
      <c r="H8" s="38" t="str">
        <f>IF(A5=0,"-",IF(B8&lt;0,"OBRA NO PREJUÍZO",IF(D8&lt;MargemAlvo,"Margem abaixo da meta","Margem dentro da meta")))</f>
        <v>Margem abaixo da meta</v>
      </c>
      <c r="I8" s="38"/>
    </row>
    <row r="10" spans="1:10" ht="24" customHeight="1">
      <c r="A10" s="34" t="s">
        <v>222</v>
      </c>
      <c r="B10" s="34" t="s">
        <v>223</v>
      </c>
      <c r="C10" s="34"/>
      <c r="D10" s="34" t="s">
        <v>224</v>
      </c>
      <c r="E10" s="34"/>
      <c r="F10" s="34" t="s">
        <v>225</v>
      </c>
      <c r="G10" s="34"/>
      <c r="H10" s="34" t="s">
        <v>226</v>
      </c>
      <c r="I10" s="34"/>
    </row>
    <row r="11" spans="1:10" ht="32" customHeight="1">
      <c r="A11" s="35">
        <f>SUM(Medições!$G$5:$G$64)</f>
        <v>288000</v>
      </c>
      <c r="B11" s="35">
        <f>SUMIFS(CustoValor,CustoStatus,"Pago")</f>
        <v>270451.04</v>
      </c>
      <c r="C11" s="35"/>
      <c r="D11" s="35">
        <f>A11-B11</f>
        <v>17548.96</v>
      </c>
      <c r="E11" s="35"/>
      <c r="F11" s="35">
        <f>SUM(Medições!$H$5:$H$64)</f>
        <v>142000</v>
      </c>
      <c r="G11" s="35"/>
      <c r="H11" s="39">
        <f>COUNTIF(Cronograma!$J$5:$J$24,"ATRASADA")</f>
        <v>1</v>
      </c>
      <c r="I11" s="39"/>
    </row>
    <row r="13" spans="1:10">
      <c r="A13" s="4" t="s">
        <v>204</v>
      </c>
      <c r="B13" s="4"/>
      <c r="C13" s="4"/>
      <c r="D13" s="4"/>
      <c r="E13" s="4"/>
      <c r="F13" s="4"/>
      <c r="G13" s="4"/>
      <c r="H13" s="4"/>
    </row>
    <row r="14" spans="1:10" ht="36" customHeight="1">
      <c r="A14" s="11" t="s">
        <v>73</v>
      </c>
      <c r="B14" s="11" t="s">
        <v>205</v>
      </c>
      <c r="C14" s="11" t="s">
        <v>206</v>
      </c>
      <c r="D14" s="11" t="s">
        <v>207</v>
      </c>
      <c r="E14" s="11" t="s">
        <v>208</v>
      </c>
      <c r="F14" s="11" t="s">
        <v>209</v>
      </c>
      <c r="G14" s="11" t="s">
        <v>210</v>
      </c>
      <c r="H14" s="11" t="s">
        <v>195</v>
      </c>
    </row>
    <row r="15" spans="1:10">
      <c r="A15" s="40" t="str">
        <f>IF(Cronograma!A5="","",Cronograma!A5)</f>
        <v>Serviços preliminares</v>
      </c>
      <c r="B15" s="33">
        <f>IF($A15="","",SUMIFS(OrcTotal,OrcEtapa,$A15))</f>
        <v>18000</v>
      </c>
      <c r="C15" s="33">
        <f>IF($A15="","",SUMIFS(CustoValor,CustoEtapa,$A15))</f>
        <v>18360</v>
      </c>
      <c r="D15" s="21">
        <f>IF($A15="","",N(Cronograma!D5))</f>
        <v>1</v>
      </c>
      <c r="E15" s="33">
        <f>IF($A15="","",IF($D15&gt;=0.05,$C15/$D15,$B15))</f>
        <v>18360</v>
      </c>
      <c r="F15" s="33">
        <f>IF($A15="","",$E15-$B15)</f>
        <v>360</v>
      </c>
      <c r="G15" s="23">
        <f>IF(OR($A15="",N($B15)=0),"",$F15/$B15)</f>
        <v>0.02</v>
      </c>
      <c r="H15" s="22" t="str">
        <f>IF($A15="","",Cronograma!J5)</f>
        <v>Concluída</v>
      </c>
    </row>
    <row r="16" spans="1:10">
      <c r="A16" s="40" t="str">
        <f>IF(Cronograma!A6="","",Cronograma!A6)</f>
        <v>Fundação</v>
      </c>
      <c r="B16" s="33">
        <f>IF($A16="","",SUMIFS(OrcTotal,OrcEtapa,$A16))</f>
        <v>52000</v>
      </c>
      <c r="C16" s="33">
        <f>IF($A16="","",SUMIFS(CustoValor,CustoEtapa,$A16))</f>
        <v>55120</v>
      </c>
      <c r="D16" s="21">
        <f>IF($A16="","",N(Cronograma!D6))</f>
        <v>1</v>
      </c>
      <c r="E16" s="33">
        <f>IF($A16="","",IF($D16&gt;=0.05,$C16/$D16,$B16))</f>
        <v>55120</v>
      </c>
      <c r="F16" s="33">
        <f>IF($A16="","",$E16-$B16)</f>
        <v>3120</v>
      </c>
      <c r="G16" s="23">
        <f>IF(OR($A16="",N($B16)=0),"",$F16/$B16)</f>
        <v>0.06</v>
      </c>
      <c r="H16" s="22" t="str">
        <f>IF($A16="","",Cronograma!J6)</f>
        <v>Concluída</v>
      </c>
    </row>
    <row r="17" spans="1:8">
      <c r="A17" s="40" t="str">
        <f>IF(Cronograma!A7="","",Cronograma!A7)</f>
        <v>Estrutura</v>
      </c>
      <c r="B17" s="33">
        <f>IF($A17="","",SUMIFS(OrcTotal,OrcEtapa,$A17))</f>
        <v>78000</v>
      </c>
      <c r="C17" s="33">
        <f>IF($A17="","",SUMIFS(CustoValor,CustoEtapa,$A17))</f>
        <v>85020</v>
      </c>
      <c r="D17" s="21">
        <f>IF($A17="","",N(Cronograma!D7))</f>
        <v>1</v>
      </c>
      <c r="E17" s="33">
        <f>IF($A17="","",IF($D17&gt;=0.05,$C17/$D17,$B17))</f>
        <v>85020</v>
      </c>
      <c r="F17" s="33">
        <f>IF($A17="","",$E17-$B17)</f>
        <v>7020</v>
      </c>
      <c r="G17" s="23">
        <f>IF(OR($A17="",N($B17)=0),"",$F17/$B17)</f>
        <v>0.09</v>
      </c>
      <c r="H17" s="22" t="str">
        <f>IF($A17="","",Cronograma!J7)</f>
        <v>Concluída</v>
      </c>
    </row>
    <row r="18" spans="1:8">
      <c r="A18" s="40" t="str">
        <f>IF(Cronograma!A8="","",Cronograma!A8)</f>
        <v>Alvenaria</v>
      </c>
      <c r="B18" s="33">
        <f>IF($A18="","",SUMIFS(OrcTotal,OrcEtapa,$A18))</f>
        <v>46000.08</v>
      </c>
      <c r="C18" s="33">
        <f>IF($A18="","",SUMIFS(CustoValor,CustoEtapa,$A18))</f>
        <v>51520.09</v>
      </c>
      <c r="D18" s="21">
        <f>IF($A18="","",N(Cronograma!D8))</f>
        <v>1</v>
      </c>
      <c r="E18" s="33">
        <f>IF($A18="","",IF($D18&gt;=0.05,$C18/$D18,$B18))</f>
        <v>51520.09</v>
      </c>
      <c r="F18" s="33">
        <f>IF($A18="","",$E18-$B18)</f>
        <v>5520.01</v>
      </c>
      <c r="G18" s="23">
        <f>IF(OR($A18="",N($B18)=0),"",$F18/$B18)</f>
        <v>0.120000008695637</v>
      </c>
      <c r="H18" s="22" t="str">
        <f>IF($A18="","",Cronograma!J8)</f>
        <v>Concluída</v>
      </c>
    </row>
    <row r="19" spans="1:8">
      <c r="A19" s="40" t="str">
        <f>IF(Cronograma!A9="","",Cronograma!A9)</f>
        <v>Instalações elétricas</v>
      </c>
      <c r="B19" s="33">
        <f>IF($A19="","",SUMIFS(OrcTotal,OrcEtapa,$A19))</f>
        <v>30999.96</v>
      </c>
      <c r="C19" s="33">
        <f>IF($A19="","",SUMIFS(CustoValor,CustoEtapa,$A19))</f>
        <v>29263.96</v>
      </c>
      <c r="D19" s="21">
        <f>IF($A19="","",N(Cronograma!D9))</f>
        <v>0.8</v>
      </c>
      <c r="E19" s="33">
        <f>IF($A19="","",IF($D19&gt;=0.05,$C19/$D19,$B19))</f>
        <v>36579.95</v>
      </c>
      <c r="F19" s="33">
        <f>IF($A19="","",$E19-$B19)</f>
        <v>5579.99</v>
      </c>
      <c r="G19" s="23">
        <f>IF(OR($A19="",N($B19)=0),"",$F19/$B19)</f>
        <v>0.179999909677303</v>
      </c>
      <c r="H19" s="22" t="str">
        <f>IF($A19="","",Cronograma!J9)</f>
        <v>ATRASADA</v>
      </c>
    </row>
    <row r="20" spans="1:8">
      <c r="A20" s="40" t="str">
        <f>IF(Cronograma!A10="","",Cronograma!A10)</f>
        <v>Instalações hidráulicas</v>
      </c>
      <c r="B20" s="33">
        <f>IF($A20="","",SUMIFS(OrcTotal,OrcEtapa,$A20))</f>
        <v>25999.92</v>
      </c>
      <c r="C20" s="33">
        <f>IF($A20="","",SUMIFS(CustoValor,CustoEtapa,$A20))</f>
        <v>25999.92</v>
      </c>
      <c r="D20" s="21">
        <f>IF($A20="","",N(Cronograma!D10))</f>
        <v>1</v>
      </c>
      <c r="E20" s="33">
        <f>IF($A20="","",IF($D20&gt;=0.05,$C20/$D20,$B20))</f>
        <v>25999.92</v>
      </c>
      <c r="F20" s="33">
        <f>IF($A20="","",$E20-$B20)</f>
        <v>0</v>
      </c>
      <c r="G20" s="23">
        <f>IF(OR($A20="",N($B20)=0),"",$F20/$B20)</f>
        <v>0</v>
      </c>
      <c r="H20" s="22" t="str">
        <f>IF($A20="","",Cronograma!J10)</f>
        <v>Concluída</v>
      </c>
    </row>
    <row r="21" spans="1:8">
      <c r="A21" s="40" t="str">
        <f>IF(Cronograma!A11="","",Cronograma!A11)</f>
        <v>Revestimentos</v>
      </c>
      <c r="B21" s="33">
        <f>IF($A21="","",SUMIFS(OrcTotal,OrcEtapa,$A21))</f>
        <v>52000</v>
      </c>
      <c r="C21" s="33">
        <f>IF($A21="","",SUMIFS(CustoValor,CustoEtapa,$A21))</f>
        <v>25740</v>
      </c>
      <c r="D21" s="21">
        <f>IF($A21="","",N(Cronograma!D11))</f>
        <v>0.45</v>
      </c>
      <c r="E21" s="33">
        <f>IF($A21="","",IF($D21&gt;=0.05,$C21/$D21,$B21))</f>
        <v>57200</v>
      </c>
      <c r="F21" s="33">
        <f>IF($A21="","",$E21-$B21)</f>
        <v>5200</v>
      </c>
      <c r="G21" s="23">
        <f>IF(OR($A21="",N($B21)=0),"",$F21/$B21)</f>
        <v>0.1</v>
      </c>
      <c r="H21" s="22" t="str">
        <f>IF($A21="","",Cronograma!J11)</f>
        <v>Em dia</v>
      </c>
    </row>
    <row r="22" spans="1:8">
      <c r="A22" s="40" t="str">
        <f>IF(Cronograma!A12="","",Cronograma!A12)</f>
        <v>Esquadrias</v>
      </c>
      <c r="B22" s="33">
        <f>IF($A22="","",SUMIFS(OrcTotal,OrcEtapa,$A22))</f>
        <v>34000.08</v>
      </c>
      <c r="C22" s="33">
        <f>IF($A22="","",SUMIFS(CustoValor,CustoEtapa,$A22))</f>
        <v>4080.01</v>
      </c>
      <c r="D22" s="21">
        <f>IF($A22="","",N(Cronograma!D12))</f>
        <v>0.1</v>
      </c>
      <c r="E22" s="33">
        <f>IF($A22="","",IF($D22&gt;=0.05,$C22/$D22,$B22))</f>
        <v>40800.1</v>
      </c>
      <c r="F22" s="33">
        <f>IF($A22="","",$E22-$B22)</f>
        <v>6800.02</v>
      </c>
      <c r="G22" s="23">
        <f>IF(OR($A22="",N($B22)=0),"",$F22/$B22)</f>
        <v>0.200000117646782</v>
      </c>
      <c r="H22" s="22" t="str">
        <f>IF($A22="","",Cronograma!J12)</f>
        <v>Em dia</v>
      </c>
    </row>
    <row r="23" spans="1:8">
      <c r="A23" s="40" t="str">
        <f>IF(Cronograma!A13="","",Cronograma!A13)</f>
        <v>Pintura</v>
      </c>
      <c r="B23" s="33">
        <f>IF($A23="","",SUMIFS(OrcTotal,OrcEtapa,$A23))</f>
        <v>24000</v>
      </c>
      <c r="C23" s="33">
        <f>IF($A23="","",SUMIFS(CustoValor,CustoEtapa,$A23))</f>
        <v>0</v>
      </c>
      <c r="D23" s="21">
        <f>IF($A23="","",N(Cronograma!D13))</f>
        <v>0</v>
      </c>
      <c r="E23" s="33">
        <f>IF($A23="","",IF($D23&gt;=0.05,$C23/$D23,$B23))</f>
        <v>24000</v>
      </c>
      <c r="F23" s="33">
        <f>IF($A23="","",$E23-$B23)</f>
        <v>0</v>
      </c>
      <c r="G23" s="23">
        <f>IF(OR($A23="",N($B23)=0),"",$F23/$B23)</f>
        <v>0</v>
      </c>
      <c r="H23" s="22" t="str">
        <f>IF($A23="","",Cronograma!J13)</f>
        <v>A iniciar</v>
      </c>
    </row>
    <row r="24" spans="1:8">
      <c r="A24" s="40" t="str">
        <f>IF(Cronograma!A14="","",Cronograma!A14)</f>
        <v>Acabamentos e limpeza</v>
      </c>
      <c r="B24" s="33">
        <f>IF($A24="","",SUMIFS(OrcTotal,OrcEtapa,$A24))</f>
        <v>31000</v>
      </c>
      <c r="C24" s="33">
        <f>IF($A24="","",SUMIFS(CustoValor,CustoEtapa,$A24))</f>
        <v>0</v>
      </c>
      <c r="D24" s="21">
        <f>IF($A24="","",N(Cronograma!D14))</f>
        <v>0</v>
      </c>
      <c r="E24" s="33">
        <f>IF($A24="","",IF($D24&gt;=0.05,$C24/$D24,$B24))</f>
        <v>31000</v>
      </c>
      <c r="F24" s="33">
        <f>IF($A24="","",$E24-$B24)</f>
        <v>0</v>
      </c>
      <c r="G24" s="23">
        <f>IF(OR($A24="",N($B24)=0),"",$F24/$B24)</f>
        <v>0</v>
      </c>
      <c r="H24" s="22" t="str">
        <f>IF($A24="","",Cronograma!J14)</f>
        <v>A iniciar</v>
      </c>
    </row>
    <row r="25" spans="1:8">
      <c r="A25" s="40">
        <f>IF(Cronograma!A15="","",Cronograma!A15)</f>
        <v/>
      </c>
      <c r="B25" s="33">
        <f>IF($A25="","",SUMIFS(OrcTotal,OrcEtapa,$A25))</f>
        <v/>
      </c>
      <c r="C25" s="33">
        <f>IF($A25="","",SUMIFS(CustoValor,CustoEtapa,$A25))</f>
        <v/>
      </c>
      <c r="D25" s="21">
        <f>IF($A25="","",N(Cronograma!D15))</f>
        <v/>
      </c>
      <c r="E25" s="33">
        <f>IF($A25="","",IF($D25&gt;=0.05,$C25/$D25,$B25))</f>
        <v/>
      </c>
      <c r="F25" s="33">
        <f>IF($A25="","",$E25-$B25)</f>
        <v/>
      </c>
      <c r="G25" s="23">
        <f>IF(OR($A25="",N($B25)=0),"",$F25/$B25)</f>
        <v/>
      </c>
      <c r="H25" s="22">
        <f>IF($A25="","",Cronograma!J15)</f>
        <v/>
      </c>
    </row>
    <row r="26" spans="1:8">
      <c r="A26" s="40">
        <f>IF(Cronograma!A16="","",Cronograma!A16)</f>
        <v/>
      </c>
      <c r="B26" s="33">
        <f>IF($A26="","",SUMIFS(OrcTotal,OrcEtapa,$A26))</f>
        <v/>
      </c>
      <c r="C26" s="33">
        <f>IF($A26="","",SUMIFS(CustoValor,CustoEtapa,$A26))</f>
        <v/>
      </c>
      <c r="D26" s="21">
        <f>IF($A26="","",N(Cronograma!D16))</f>
        <v/>
      </c>
      <c r="E26" s="33">
        <f>IF($A26="","",IF($D26&gt;=0.05,$C26/$D26,$B26))</f>
        <v/>
      </c>
      <c r="F26" s="33">
        <f>IF($A26="","",$E26-$B26)</f>
        <v/>
      </c>
      <c r="G26" s="23">
        <f>IF(OR($A26="",N($B26)=0),"",$F26/$B26)</f>
        <v/>
      </c>
      <c r="H26" s="22">
        <f>IF($A26="","",Cronograma!J16)</f>
        <v/>
      </c>
    </row>
    <row r="27" spans="1:8">
      <c r="A27" s="40">
        <f>IF(Cronograma!A17="","",Cronograma!A17)</f>
        <v/>
      </c>
      <c r="B27" s="33">
        <f>IF($A27="","",SUMIFS(OrcTotal,OrcEtapa,$A27))</f>
        <v/>
      </c>
      <c r="C27" s="33">
        <f>IF($A27="","",SUMIFS(CustoValor,CustoEtapa,$A27))</f>
        <v/>
      </c>
      <c r="D27" s="21">
        <f>IF($A27="","",N(Cronograma!D17))</f>
        <v/>
      </c>
      <c r="E27" s="33">
        <f>IF($A27="","",IF($D27&gt;=0.05,$C27/$D27,$B27))</f>
        <v/>
      </c>
      <c r="F27" s="33">
        <f>IF($A27="","",$E27-$B27)</f>
        <v/>
      </c>
      <c r="G27" s="23">
        <f>IF(OR($A27="",N($B27)=0),"",$F27/$B27)</f>
        <v/>
      </c>
      <c r="H27" s="22">
        <f>IF($A27="","",Cronograma!J17)</f>
        <v/>
      </c>
    </row>
    <row r="28" spans="1:8">
      <c r="A28" s="40">
        <f>IF(Cronograma!A18="","",Cronograma!A18)</f>
        <v/>
      </c>
      <c r="B28" s="33">
        <f>IF($A28="","",SUMIFS(OrcTotal,OrcEtapa,$A28))</f>
        <v/>
      </c>
      <c r="C28" s="33">
        <f>IF($A28="","",SUMIFS(CustoValor,CustoEtapa,$A28))</f>
        <v/>
      </c>
      <c r="D28" s="21">
        <f>IF($A28="","",N(Cronograma!D18))</f>
        <v/>
      </c>
      <c r="E28" s="33">
        <f>IF($A28="","",IF($D28&gt;=0.05,$C28/$D28,$B28))</f>
        <v/>
      </c>
      <c r="F28" s="33">
        <f>IF($A28="","",$E28-$B28)</f>
        <v/>
      </c>
      <c r="G28" s="23">
        <f>IF(OR($A28="",N($B28)=0),"",$F28/$B28)</f>
        <v/>
      </c>
      <c r="H28" s="22">
        <f>IF($A28="","",Cronograma!J18)</f>
        <v/>
      </c>
    </row>
    <row r="29" spans="1:8">
      <c r="A29" s="40">
        <f>IF(Cronograma!A19="","",Cronograma!A19)</f>
        <v/>
      </c>
      <c r="B29" s="33">
        <f>IF($A29="","",SUMIFS(OrcTotal,OrcEtapa,$A29))</f>
        <v/>
      </c>
      <c r="C29" s="33">
        <f>IF($A29="","",SUMIFS(CustoValor,CustoEtapa,$A29))</f>
        <v/>
      </c>
      <c r="D29" s="21">
        <f>IF($A29="","",N(Cronograma!D19))</f>
        <v/>
      </c>
      <c r="E29" s="33">
        <f>IF($A29="","",IF($D29&gt;=0.05,$C29/$D29,$B29))</f>
        <v/>
      </c>
      <c r="F29" s="33">
        <f>IF($A29="","",$E29-$B29)</f>
        <v/>
      </c>
      <c r="G29" s="23">
        <f>IF(OR($A29="",N($B29)=0),"",$F29/$B29)</f>
        <v/>
      </c>
      <c r="H29" s="22">
        <f>IF($A29="","",Cronograma!J19)</f>
        <v/>
      </c>
    </row>
    <row r="30" spans="1:8">
      <c r="A30" s="40">
        <f>IF(Cronograma!A20="","",Cronograma!A20)</f>
        <v/>
      </c>
      <c r="B30" s="33">
        <f>IF($A30="","",SUMIFS(OrcTotal,OrcEtapa,$A30))</f>
        <v/>
      </c>
      <c r="C30" s="33">
        <f>IF($A30="","",SUMIFS(CustoValor,CustoEtapa,$A30))</f>
        <v/>
      </c>
      <c r="D30" s="21">
        <f>IF($A30="","",N(Cronograma!D20))</f>
        <v/>
      </c>
      <c r="E30" s="33">
        <f>IF($A30="","",IF($D30&gt;=0.05,$C30/$D30,$B30))</f>
        <v/>
      </c>
      <c r="F30" s="33">
        <f>IF($A30="","",$E30-$B30)</f>
        <v/>
      </c>
      <c r="G30" s="23">
        <f>IF(OR($A30="",N($B30)=0),"",$F30/$B30)</f>
        <v/>
      </c>
      <c r="H30" s="22">
        <f>IF($A30="","",Cronograma!J20)</f>
        <v/>
      </c>
    </row>
    <row r="31" spans="1:8">
      <c r="A31" s="40">
        <f>IF(Cronograma!A21="","",Cronograma!A21)</f>
        <v/>
      </c>
      <c r="B31" s="33">
        <f>IF($A31="","",SUMIFS(OrcTotal,OrcEtapa,$A31))</f>
        <v/>
      </c>
      <c r="C31" s="33">
        <f>IF($A31="","",SUMIFS(CustoValor,CustoEtapa,$A31))</f>
        <v/>
      </c>
      <c r="D31" s="21">
        <f>IF($A31="","",N(Cronograma!D21))</f>
        <v/>
      </c>
      <c r="E31" s="33">
        <f>IF($A31="","",IF($D31&gt;=0.05,$C31/$D31,$B31))</f>
        <v/>
      </c>
      <c r="F31" s="33">
        <f>IF($A31="","",$E31-$B31)</f>
        <v/>
      </c>
      <c r="G31" s="23">
        <f>IF(OR($A31="",N($B31)=0),"",$F31/$B31)</f>
        <v/>
      </c>
      <c r="H31" s="22">
        <f>IF($A31="","",Cronograma!J21)</f>
        <v/>
      </c>
    </row>
    <row r="32" spans="1:8">
      <c r="A32" s="40">
        <f>IF(Cronograma!A22="","",Cronograma!A22)</f>
        <v/>
      </c>
      <c r="B32" s="33">
        <f>IF($A32="","",SUMIFS(OrcTotal,OrcEtapa,$A32))</f>
        <v/>
      </c>
      <c r="C32" s="33">
        <f>IF($A32="","",SUMIFS(CustoValor,CustoEtapa,$A32))</f>
        <v/>
      </c>
      <c r="D32" s="21">
        <f>IF($A32="","",N(Cronograma!D22))</f>
        <v/>
      </c>
      <c r="E32" s="33">
        <f>IF($A32="","",IF($D32&gt;=0.05,$C32/$D32,$B32))</f>
        <v/>
      </c>
      <c r="F32" s="33">
        <f>IF($A32="","",$E32-$B32)</f>
        <v/>
      </c>
      <c r="G32" s="23">
        <f>IF(OR($A32="",N($B32)=0),"",$F32/$B32)</f>
        <v/>
      </c>
      <c r="H32" s="22">
        <f>IF($A32="","",Cronograma!J22)</f>
        <v/>
      </c>
    </row>
    <row r="33" spans="1:8">
      <c r="A33" s="40">
        <f>IF(Cronograma!A23="","",Cronograma!A23)</f>
        <v/>
      </c>
      <c r="B33" s="33">
        <f>IF($A33="","",SUMIFS(OrcTotal,OrcEtapa,$A33))</f>
        <v/>
      </c>
      <c r="C33" s="33">
        <f>IF($A33="","",SUMIFS(CustoValor,CustoEtapa,$A33))</f>
        <v/>
      </c>
      <c r="D33" s="21">
        <f>IF($A33="","",N(Cronograma!D23))</f>
        <v/>
      </c>
      <c r="E33" s="33">
        <f>IF($A33="","",IF($D33&gt;=0.05,$C33/$D33,$B33))</f>
        <v/>
      </c>
      <c r="F33" s="33">
        <f>IF($A33="","",$E33-$B33)</f>
        <v/>
      </c>
      <c r="G33" s="23">
        <f>IF(OR($A33="",N($B33)=0),"",$F33/$B33)</f>
        <v/>
      </c>
      <c r="H33" s="22">
        <f>IF($A33="","",Cronograma!J23)</f>
        <v/>
      </c>
    </row>
    <row r="34" spans="1:8">
      <c r="A34" s="40">
        <f>IF(Cronograma!A24="","",Cronograma!A24)</f>
        <v/>
      </c>
      <c r="B34" s="33">
        <f>IF($A34="","",SUMIFS(OrcTotal,OrcEtapa,$A34))</f>
        <v/>
      </c>
      <c r="C34" s="33">
        <f>IF($A34="","",SUMIFS(CustoValor,CustoEtapa,$A34))</f>
        <v/>
      </c>
      <c r="D34" s="21">
        <f>IF($A34="","",N(Cronograma!D24))</f>
        <v/>
      </c>
      <c r="E34" s="33">
        <f>IF($A34="","",IF($D34&gt;=0.05,$C34/$D34,$B34))</f>
        <v/>
      </c>
      <c r="F34" s="33">
        <f>IF($A34="","",$E34-$B34)</f>
        <v/>
      </c>
      <c r="G34" s="23">
        <f>IF(OR($A34="",N($B34)=0),"",$F34/$B34)</f>
        <v/>
      </c>
      <c r="H34" s="22">
        <f>IF($A34="","",Cronograma!J24)</f>
        <v/>
      </c>
    </row>
    <row r="35" spans="1:8">
      <c r="A35" s="41" t="s">
        <v>211</v>
      </c>
      <c r="B35" s="26">
        <f>SUM(OrcTotal)</f>
        <v>392000.04</v>
      </c>
      <c r="C35" s="26">
        <f>SUM(CustoValor)</f>
        <v>295103.98</v>
      </c>
      <c r="D35" s="42">
        <f>IFERROR(SUMPRODUCT(B15:B34,D15:D34)/SUM(B15:B34),0)</f>
        <v>0.692857010932958</v>
      </c>
      <c r="E35" s="26">
        <f>SUM(E15:E34)+(C35-SUM(C15:C34))</f>
        <v>425600.06</v>
      </c>
      <c r="F35" s="26">
        <f>E35-B35</f>
        <v>33600.02</v>
      </c>
      <c r="G35" s="42">
        <f>IF(B35=0,0,F35/B35)</f>
        <v>0.0857143279883339</v>
      </c>
      <c r="H35" s="41"/>
    </row>
    <row r="38" spans="1:8">
      <c r="A38" s="4" t="s">
        <v>227</v>
      </c>
      <c r="B38" s="4"/>
      <c r="C38" s="4"/>
      <c r="D38" s="4"/>
      <c r="E38" s="4"/>
    </row>
    <row r="39" spans="1:8" ht="22" customHeight="1">
      <c r="A39" s="11" t="s">
        <v>95</v>
      </c>
      <c r="B39" s="11" t="s">
        <v>205</v>
      </c>
      <c r="C39" s="11" t="s">
        <v>206</v>
      </c>
      <c r="D39" s="11" t="s">
        <v>228</v>
      </c>
    </row>
    <row r="40" spans="1:8">
      <c r="A40" s="40" t="str">
        <f>IF(INDEX(CatCusto,1)="","",INDEX(CatCusto,1))</f>
        <v>Material</v>
      </c>
      <c r="B40" s="33">
        <f>IF($A40="","",SUMIFS(OrcTotal,OrcCat,$A40))</f>
        <v>116050.08</v>
      </c>
      <c r="C40" s="33">
        <f>IF($A40="","",SUMIFS(CustoValor,CustoCat,$A40))</f>
        <v>81276.09</v>
      </c>
      <c r="D40" s="23">
        <f>IF(OR($A40="",$C$35=0),"",C40/$C$35)</f>
        <v>0.275415092673437</v>
      </c>
    </row>
    <row r="41" spans="1:8">
      <c r="A41" s="40" t="str">
        <f>IF(INDEX(CatCusto,2)="","",INDEX(CatCusto,2))</f>
        <v>Mão de obra</v>
      </c>
      <c r="B41" s="33">
        <f>IF($A41="","",SUMIFS(OrcTotal,OrcCat,$A41))</f>
        <v>85800</v>
      </c>
      <c r="C41" s="33">
        <f>IF($A41="","",SUMIFS(CustoValor,CustoCat,$A41))</f>
        <v>76821.13</v>
      </c>
      <c r="D41" s="23">
        <f>IF(OR($A41="",$C$35=0),"",C41/$C$35)</f>
        <v>0.260318854391594</v>
      </c>
    </row>
    <row r="42" spans="1:8">
      <c r="A42" s="40" t="str">
        <f>IF(INDEX(CatCusto,3)="","",INDEX(CatCusto,3))</f>
        <v>Equipamentos</v>
      </c>
      <c r="B42" s="33">
        <f>IF($A42="","",SUMIFS(OrcTotal,OrcCat,$A42))</f>
        <v>86100</v>
      </c>
      <c r="C42" s="33">
        <f>IF($A42="","",SUMIFS(CustoValor,CustoCat,$A42))</f>
        <v>63533.85</v>
      </c>
      <c r="D42" s="23">
        <f>IF(OR($A42="",$C$35=0),"",C42/$C$35)</f>
        <v>0.215293097707459</v>
      </c>
    </row>
    <row r="43" spans="1:8">
      <c r="A43" s="40" t="str">
        <f>IF(INDEX(CatCusto,4)="","",INDEX(CatCusto,4))</f>
        <v>Subempreitada</v>
      </c>
      <c r="B43" s="33">
        <f>IF($A43="","",SUMIFS(OrcTotal,OrcCat,$A43))</f>
        <v>104049.96</v>
      </c>
      <c r="C43" s="33">
        <f>IF($A43="","",SUMIFS(CustoValor,CustoCat,$A43))</f>
        <v>73472.91</v>
      </c>
      <c r="D43" s="23">
        <f>IF(OR($A43="",$C$35=0),"",C43/$C$35)</f>
        <v>0.24897295522751</v>
      </c>
    </row>
    <row r="44" spans="1:8">
      <c r="A44" s="40" t="str">
        <f>IF(INDEX(CatCusto,5)="","",INDEX(CatCusto,5))</f>
        <v>Projetos e taxas</v>
      </c>
      <c r="B44" s="33">
        <f>IF($A44="","",SUMIFS(OrcTotal,OrcCat,$A44))</f>
        <v>0</v>
      </c>
      <c r="C44" s="33">
        <f>IF($A44="","",SUMIFS(CustoValor,CustoCat,$A44))</f>
        <v>0</v>
      </c>
      <c r="D44" s="23">
        <f>IF(OR($A44="",$C$35=0),"",C44/$C$35)</f>
        <v>0</v>
      </c>
    </row>
    <row r="45" spans="1:8">
      <c r="A45" s="40" t="str">
        <f>IF(INDEX(CatCusto,6)="","",INDEX(CatCusto,6))</f>
        <v>Outros</v>
      </c>
      <c r="B45" s="33">
        <f>IF($A45="","",SUMIFS(OrcTotal,OrcCat,$A45))</f>
        <v>0</v>
      </c>
      <c r="C45" s="33">
        <f>IF($A45="","",SUMIFS(CustoValor,CustoCat,$A45))</f>
        <v>0</v>
      </c>
      <c r="D45" s="23">
        <f>IF(OR($A45="",$C$35=0),"",C45/$C$35)</f>
        <v>0</v>
      </c>
    </row>
  </sheetData>
  <sheetProtection sheet="1" objects="1" scenarios="1"/>
  <mergeCells count="28">
    <mergeCell ref="A1:J1"/>
    <mergeCell ref="A2:J2"/>
    <mergeCell ref="A13:H13"/>
    <mergeCell ref="B4:C4"/>
    <mergeCell ref="B5:C5"/>
    <mergeCell ref="D4:E4"/>
    <mergeCell ref="D5:E5"/>
    <mergeCell ref="F4:G4"/>
    <mergeCell ref="F5:G5"/>
    <mergeCell ref="H4:I4"/>
    <mergeCell ref="H5:I5"/>
    <mergeCell ref="B7:C7"/>
    <mergeCell ref="B8:C8"/>
    <mergeCell ref="D7:E7"/>
    <mergeCell ref="D8:E8"/>
    <mergeCell ref="F7:G7"/>
    <mergeCell ref="F8:G8"/>
    <mergeCell ref="H7:I7"/>
    <mergeCell ref="H8:I8"/>
    <mergeCell ref="B10:C10"/>
    <mergeCell ref="B11:C11"/>
    <mergeCell ref="D10:E10"/>
    <mergeCell ref="D11:E11"/>
    <mergeCell ref="F10:G10"/>
    <mergeCell ref="F11:G11"/>
    <mergeCell ref="H10:I10"/>
    <mergeCell ref="H11:I11"/>
    <mergeCell ref="A38:E38"/>
  </mergeCells>
  <conditionalFormatting sqref="F15:F35">
    <cfRule type="cellIs" dxfId="7" priority="4" operator="greaterThan">
      <formula>0</formula>
    </cfRule>
  </conditionalFormatting>
  <conditionalFormatting sqref="H15:H34">
    <cfRule type="cellIs" dxfId="0" priority="1" operator="equal">
      <formula>"ATRASADA"</formula>
    </cfRule>
    <cfRule type="cellIs" dxfId="1" priority="2" operator="equal">
      <formula>"Concluída"</formula>
    </cfRule>
    <cfRule type="cellIs" dxfId="2" priority="3" operator="equal">
      <formula>"Em dia"</formula>
    </cfRule>
  </conditionalFormatting>
  <pageMargins left="0.7" right="0.7" top="0.75" bottom="0.75" header="0.3" footer="0.3"/>
  <pageSetup paperSize="9" orientation="landscape"/>
  <headerFooter>
    <oddFooter>&amp;L&amp;8Carvex XLS - Controle de Obras (Orçado x Realizado)&amp;R&amp;8Página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Início</vt:lpstr>
      <vt:lpstr>Config</vt:lpstr>
      <vt:lpstr>Cronograma</vt:lpstr>
      <vt:lpstr>Orçamento</vt:lpstr>
      <vt:lpstr>Custos</vt:lpstr>
      <vt:lpstr>Medições</vt:lpstr>
      <vt:lpstr>Resumo</vt:lpstr>
      <vt:lpstr>CatCusto</vt:lpstr>
      <vt:lpstr>Contrato</vt:lpstr>
      <vt:lpstr>CustoCat</vt:lpstr>
      <vt:lpstr>CustoData</vt:lpstr>
      <vt:lpstr>CustoEtapa</vt:lpstr>
      <vt:lpstr>CustoMes</vt:lpstr>
      <vt:lpstr>CustoStatus</vt:lpstr>
      <vt:lpstr>CustoValor</vt:lpstr>
      <vt:lpstr>DataFim</vt:lpstr>
      <vt:lpstr>DataIni</vt:lpstr>
      <vt:lpstr>EtapaLista</vt:lpstr>
      <vt:lpstr>Forn</vt:lpstr>
      <vt:lpstr>Hoje</vt:lpstr>
      <vt:lpstr>MargemAlvo</vt:lpstr>
      <vt:lpstr>OrcCat</vt:lpstr>
      <vt:lpstr>OrcEtapa</vt:lpstr>
      <vt:lpstr>OrcTotal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de Obras (Orçado x Realizado)</dc:title>
  <dc:creator>Carvex XLS</dc:creator>
  <dc:description>Planilha empresarial Carvex XLS (EXEMPLO com dados fictícios)</dc:description>
  <cp:lastModifiedBy>Carvex XLS</cp:lastModifiedBy>
  <dcterms:created xsi:type="dcterms:W3CDTF">2026-10-08T12:55:51Z</dcterms:created>
  <dcterms:modified xsi:type="dcterms:W3CDTF">2026-10-08T12:55:51Z</dcterms:modified>
</cp:coreProperties>
</file>