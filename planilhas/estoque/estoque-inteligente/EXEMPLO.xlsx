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Produtos" sheetId="3" r:id="rId3"/>
    <sheet name="Movimentações" sheetId="4" r:id="rId4"/>
    <sheet name="Posição" sheetId="5" r:id="rId5"/>
    <sheet name="Curva ABC" sheetId="6" r:id="rId6"/>
    <sheet name="Compras" sheetId="7" r:id="rId7"/>
    <sheet name="Dashboard" sheetId="8" r:id="rId8"/>
  </sheets>
  <definedNames>
    <definedName name="_xlnm._FilterDatabase" localSheetId="3" hidden="1">Movimentações!$A$4:$H$3004</definedName>
    <definedName name="_xlnm._FilterDatabase" localSheetId="4" hidden="1">Posição!$A$4:$X$304</definedName>
    <definedName name="_xlnm._FilterDatabase" localSheetId="2" hidden="1">Produtos!$A$4:$J$304</definedName>
    <definedName name="Categorias">Config!$E$5:$E$34</definedName>
    <definedName name="CorteA">Config!$C$9</definedName>
    <definedName name="CorteB">Config!$C$10</definedName>
    <definedName name="DiasAn">Config!$C$6</definedName>
    <definedName name="DiasParado">Config!$C$7</definedName>
    <definedName name="FatMax">Config!$C$8</definedName>
    <definedName name="Fornecedores">Config!$G$5:$G$34</definedName>
    <definedName name="Hoje">Config!$C$5</definedName>
    <definedName name="MovCod">'Movimentações'!$B$5:$B$3004</definedName>
    <definedName name="MovData">'Movimentações'!$A$5:$A$3004</definedName>
    <definedName name="MovQtd">'Movimentações'!$D$5:$D$3004</definedName>
    <definedName name="MovTipo">'Movimentações'!$C$5:$C$3004</definedName>
    <definedName name="ProdCod">Produtos!$A$5:$A$304</definedName>
    <definedName name="ProdCusto">Produtos!$F$5:$F$304</definedName>
    <definedName name="ProdNome">Produtos!$B$5:$B$304</definedName>
    <definedName name="Unidades">Config!$F$5:$F$34</definedName>
  </definedNames>
  <calcPr calcId="124519" fullCalcOnLoad="1"/>
</workbook>
</file>

<file path=xl/sharedStrings.xml><?xml version="1.0" encoding="utf-8"?>
<sst xmlns="http://schemas.openxmlformats.org/spreadsheetml/2006/main" count="2465" uniqueCount="444">
  <si>
    <t>Estoque Inteligente com Curva ABC</t>
  </si>
  <si>
    <t>Carvex XLS · Nunca mais falte o que vende, nunca mais sobre o que não vende</t>
  </si>
  <si>
    <t>ESTE É O ARQUIVO DE EXEMPLO: todos os dados são fictícios. Use-o para entender como a planilha funciona e comece a sua pela PLANILHA-LIMPA.xlsx.</t>
  </si>
  <si>
    <t>O que esta planilha faz</t>
  </si>
  <si>
    <t>Registre as entradas e saídas e a planilha calcula o estoque atual de cada item, avisa o que precisa repor, o que está em excesso, o que está parado, monta a lista de compras e classifica seus produtos na Curva ABC (o que realmente paga as contas).</t>
  </si>
  <si>
    <t>Como começar (5 minutos)</t>
  </si>
  <si>
    <t>1. Config</t>
  </si>
  <si>
    <t>Informe os períodos de análise (padrão: 90 dias), o fator de estoque máximo e os cortes da Curva ABC. Cadastre fornecedores e categorias.</t>
  </si>
  <si>
    <t>2. Cadastre os produtos</t>
  </si>
  <si>
    <t>Em Produtos: código único, nome, custo, preço de venda, estoque inicial (contagem de hoje) e estoque mínimo.</t>
  </si>
  <si>
    <t>3. Lance as movimentações</t>
  </si>
  <si>
    <t>Em Movimentações: data, código, Entrada ou Saída e quantidade. Compras e devoluções de venda = Entrada; vendas e perdas = Saída.</t>
  </si>
  <si>
    <t>4. Veja a Posição</t>
  </si>
  <si>
    <t>Na aba Posição, o Status mostra RUPTURA, REPOR, OK ou EXCESSO de cada item, e se está Parado.</t>
  </si>
  <si>
    <t>5. Use a lista de compras</t>
  </si>
  <si>
    <t>Na aba Compras, veja o que comprar, de qual fornecedor e quanto vai custar.</t>
  </si>
  <si>
    <t>Mapa das abas (clique para ir)</t>
  </si>
  <si>
    <t>Config</t>
  </si>
  <si>
    <t>Parâmetros gerais, categorias, unidades e fornecedores.</t>
  </si>
  <si>
    <t>Produtos</t>
  </si>
  <si>
    <t>Cadastro (até 300 itens).</t>
  </si>
  <si>
    <t>Movimentações</t>
  </si>
  <si>
    <t>Todas as entradas e saídas (até 3.000 linhas).</t>
  </si>
  <si>
    <t>Posição</t>
  </si>
  <si>
    <t>Estoque atual, status, cobertura, itens parados e sugestão de compra.</t>
  </si>
  <si>
    <t>Curva ABC</t>
  </si>
  <si>
    <t>Ranking automático por faturamento e classes A/B/C com gráfico de Pareto.</t>
  </si>
  <si>
    <t>Compras</t>
  </si>
  <si>
    <t>Lista de compras pronta com valores por fornecedor.</t>
  </si>
  <si>
    <t>Dashboard</t>
  </si>
  <si>
    <t>Indicadores e gráficos.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</si>
  <si>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</si>
  <si>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</si>
  <si>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</si>
  <si>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</si>
  <si>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</si>
  <si>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</si>
  <si>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</si>
  <si>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</si>
  <si>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O estoque inicial é a contagem física do dia em que você começou a usar a planilha. Depois disso, só lance movimentações.</t>
  </si>
  <si>
    <t>• O Código do produto deve ser único e igual nas abas Produtos e Movimentações.</t>
  </si>
  <si>
    <t>• Para corrigir um erro, edite a linha da movimentação (não crie uma saída para 'desfazer').</t>
  </si>
  <si>
    <t>Carvex XLS · Estoque Inteligente com Curva ABC · versão 1.0 · Dúvidas: consulte o TUTORIAL.md e o MANUAL.md que acompanham o produto.</t>
  </si>
  <si>
    <t>Configurações</t>
  </si>
  <si>
    <t>Preencha as células amarelas.</t>
  </si>
  <si>
    <t>EXEMPLO - dados fictícios</t>
  </si>
  <si>
    <t>Empresa</t>
  </si>
  <si>
    <t>Papelaria Exemplo</t>
  </si>
  <si>
    <t>Data de hoje (referência)</t>
  </si>
  <si>
    <t>Período para medir vendas (dias)</t>
  </si>
  <si>
    <t>Dias sem saída para considerar 'Parado'</t>
  </si>
  <si>
    <t>Estoque máximo = mínimo x (fator)</t>
  </si>
  <si>
    <t>Curva ABC: limite da classe A (% acumulado)</t>
  </si>
  <si>
    <t>Curva ABC: limite da classe B (% acumulado)</t>
  </si>
  <si>
    <t>Dica: Estoque máximo (fator 2) = 2 x o mínimo. Acima disso o item aparece como EXCESSO.</t>
  </si>
  <si>
    <t>Categorias</t>
  </si>
  <si>
    <t>Unidades</t>
  </si>
  <si>
    <t>Fornecedores</t>
  </si>
  <si>
    <t>Papelaria</t>
  </si>
  <si>
    <t>un</t>
  </si>
  <si>
    <t>Distribuidora Alfa</t>
  </si>
  <si>
    <t>Escritório</t>
  </si>
  <si>
    <t>cx</t>
  </si>
  <si>
    <t>Atacado Beta</t>
  </si>
  <si>
    <t>Informática</t>
  </si>
  <si>
    <t>pct</t>
  </si>
  <si>
    <t>Importadora Gama</t>
  </si>
  <si>
    <t>Escolar</t>
  </si>
  <si>
    <t>kg</t>
  </si>
  <si>
    <t>Fábrica Delta</t>
  </si>
  <si>
    <t>Embalagens</t>
  </si>
  <si>
    <t>L</t>
  </si>
  <si>
    <t>Papelaria Central</t>
  </si>
  <si>
    <t>Limpeza</t>
  </si>
  <si>
    <t>m</t>
  </si>
  <si>
    <t>Presentes</t>
  </si>
  <si>
    <t>par</t>
  </si>
  <si>
    <t>Cadastro de produtos</t>
  </si>
  <si>
    <t>Um produto por linha. O código não pode repetir.</t>
  </si>
  <si>
    <t>Código</t>
  </si>
  <si>
    <t>Produto</t>
  </si>
  <si>
    <t>Categoria</t>
  </si>
  <si>
    <t>Unidade</t>
  </si>
  <si>
    <t>Fornecedor principal</t>
  </si>
  <si>
    <t>Custo unitário (R$)</t>
  </si>
  <si>
    <t>Preço de venda (R$)</t>
  </si>
  <si>
    <t>Estoque inicial</t>
  </si>
  <si>
    <t>Estoque mínimo</t>
  </si>
  <si>
    <t>Prazo de reposição (dias)</t>
  </si>
  <si>
    <t>E001</t>
  </si>
  <si>
    <t>Caderno universitário 10 matérias</t>
  </si>
  <si>
    <t>E002</t>
  </si>
  <si>
    <t>Caneta esferográfica azul (cx 50)</t>
  </si>
  <si>
    <t>E003</t>
  </si>
  <si>
    <t>Papel A4 75g (resma)</t>
  </si>
  <si>
    <t>E004</t>
  </si>
  <si>
    <t>Pasta suspensa (pct 25)</t>
  </si>
  <si>
    <t>E005</t>
  </si>
  <si>
    <t>Grampeador médio</t>
  </si>
  <si>
    <t>E006</t>
  </si>
  <si>
    <t>Mouse óptico USB</t>
  </si>
  <si>
    <t>E007</t>
  </si>
  <si>
    <t>Pen drive 32GB</t>
  </si>
  <si>
    <t>E008</t>
  </si>
  <si>
    <t>Cabo USB-C 1m</t>
  </si>
  <si>
    <t>E009</t>
  </si>
  <si>
    <t>Mochila escolar 20L</t>
  </si>
  <si>
    <t>E010</t>
  </si>
  <si>
    <t>Estojo duplo</t>
  </si>
  <si>
    <t>E011</t>
  </si>
  <si>
    <t>Lápis de cor (cx 24)</t>
  </si>
  <si>
    <t>E012</t>
  </si>
  <si>
    <t>Cola branca 90g</t>
  </si>
  <si>
    <t>E013</t>
  </si>
  <si>
    <t>Tesoura escolar</t>
  </si>
  <si>
    <t>E014</t>
  </si>
  <si>
    <t>Fita adesiva transparente</t>
  </si>
  <si>
    <t>E015</t>
  </si>
  <si>
    <t>Caixa de papelão M (pct 10)</t>
  </si>
  <si>
    <t>E016</t>
  </si>
  <si>
    <t>Plástico bolha (rolo 50m)</t>
  </si>
  <si>
    <t>E017</t>
  </si>
  <si>
    <t>Sacola kraft G (pct 50)</t>
  </si>
  <si>
    <t>E018</t>
  </si>
  <si>
    <t>Álcool 70% 1L</t>
  </si>
  <si>
    <t>E019</t>
  </si>
  <si>
    <t>Papel toalha (pct 2)</t>
  </si>
  <si>
    <t>E020</t>
  </si>
  <si>
    <t>Pilha AA (cartela 4)</t>
  </si>
  <si>
    <t>E021</t>
  </si>
  <si>
    <t>Caneca branca para sublimação</t>
  </si>
  <si>
    <t>E022</t>
  </si>
  <si>
    <t>Garrafa squeeze 600ml</t>
  </si>
  <si>
    <t>E023</t>
  </si>
  <si>
    <t>Agenda 2027</t>
  </si>
  <si>
    <t>E024</t>
  </si>
  <si>
    <t>Marca-texto (cx 6)</t>
  </si>
  <si>
    <t>E025</t>
  </si>
  <si>
    <t>Bloco de notas adesivas</t>
  </si>
  <si>
    <t>E026</t>
  </si>
  <si>
    <t>Calculadora de mesa</t>
  </si>
  <si>
    <t>E027</t>
  </si>
  <si>
    <t>Fichário argolado</t>
  </si>
  <si>
    <t>E028</t>
  </si>
  <si>
    <t>Régua 30cm</t>
  </si>
  <si>
    <t>E029</t>
  </si>
  <si>
    <t>Etiqueta adesiva (pct 100)</t>
  </si>
  <si>
    <t>E030</t>
  </si>
  <si>
    <t>Toner genérico preto</t>
  </si>
  <si>
    <t>E031</t>
  </si>
  <si>
    <t>Mouse pad</t>
  </si>
  <si>
    <t>E032</t>
  </si>
  <si>
    <t>Clips 2/0 (cx 100)</t>
  </si>
  <si>
    <t>E033</t>
  </si>
  <si>
    <t>Envelope A4 (pct 50)</t>
  </si>
  <si>
    <t>E034</t>
  </si>
  <si>
    <t>Tinta guache (kit 6)</t>
  </si>
  <si>
    <t>E035</t>
  </si>
  <si>
    <t>Papel fotográfico A4 (pct 20)</t>
  </si>
  <si>
    <t>E036</t>
  </si>
  <si>
    <t>Luva descartável (cx 100)</t>
  </si>
  <si>
    <t>E037</t>
  </si>
  <si>
    <t>Pote plástico 500ml (pct 12)</t>
  </si>
  <si>
    <t>E038</t>
  </si>
  <si>
    <t>Caixa organizadora</t>
  </si>
  <si>
    <t>E039</t>
  </si>
  <si>
    <t>Apontador com depósito</t>
  </si>
  <si>
    <t>E040</t>
  </si>
  <si>
    <t>Porta-retrato 10x15</t>
  </si>
  <si>
    <t>Movimentações de estoque</t>
  </si>
  <si>
    <t>Entrada = compra/devolução de cliente. Saída = venda/perda/consumo.</t>
  </si>
  <si>
    <t>Data</t>
  </si>
  <si>
    <t>Tipo</t>
  </si>
  <si>
    <t>Quantidade</t>
  </si>
  <si>
    <t>Observação (NF, pedido...)</t>
  </si>
  <si>
    <t>Valor (qtd x custo)</t>
  </si>
  <si>
    <t>Alerta</t>
  </si>
  <si>
    <t>Saída</t>
  </si>
  <si>
    <t>Venda balcão</t>
  </si>
  <si>
    <t>Entrada</t>
  </si>
  <si>
    <t>NF 5247</t>
  </si>
  <si>
    <t>NF 9761</t>
  </si>
  <si>
    <t>NF 6442</t>
  </si>
  <si>
    <t>NF 2089</t>
  </si>
  <si>
    <t>NF 8580</t>
  </si>
  <si>
    <t>NF 4570</t>
  </si>
  <si>
    <t>NF 3361</t>
  </si>
  <si>
    <t>NF 7954</t>
  </si>
  <si>
    <t>NF 6329</t>
  </si>
  <si>
    <t>NF 3412</t>
  </si>
  <si>
    <t>NF 6982</t>
  </si>
  <si>
    <t>NF 3967</t>
  </si>
  <si>
    <t>NF 3029</t>
  </si>
  <si>
    <t>NF 2353</t>
  </si>
  <si>
    <t>NF 9213</t>
  </si>
  <si>
    <t>NF 6082</t>
  </si>
  <si>
    <t>NF 6909</t>
  </si>
  <si>
    <t>NF 6482</t>
  </si>
  <si>
    <t>NF 9640</t>
  </si>
  <si>
    <t>NF 6143</t>
  </si>
  <si>
    <t>NF 2587</t>
  </si>
  <si>
    <t>NF 3217</t>
  </si>
  <si>
    <t>NF 4285</t>
  </si>
  <si>
    <t>NF 8305</t>
  </si>
  <si>
    <t>NF 5069</t>
  </si>
  <si>
    <t>NF 8487</t>
  </si>
  <si>
    <t>NF 3132</t>
  </si>
  <si>
    <t>NF 3218</t>
  </si>
  <si>
    <t>NF 6078</t>
  </si>
  <si>
    <t>NF 1077</t>
  </si>
  <si>
    <t>NF 6672</t>
  </si>
  <si>
    <t>NF 6429</t>
  </si>
  <si>
    <t>NF 2566</t>
  </si>
  <si>
    <t>NF 8989</t>
  </si>
  <si>
    <t>NF 8895</t>
  </si>
  <si>
    <t>NF 3814</t>
  </si>
  <si>
    <t>NF 2164</t>
  </si>
  <si>
    <t>NF 6218</t>
  </si>
  <si>
    <t>NF 3062</t>
  </si>
  <si>
    <t>NF 7734</t>
  </si>
  <si>
    <t>NF 9247</t>
  </si>
  <si>
    <t>NF 4665</t>
  </si>
  <si>
    <t>NF 3480</t>
  </si>
  <si>
    <t>NF 6616</t>
  </si>
  <si>
    <t>NF 1943</t>
  </si>
  <si>
    <t>NF 6040</t>
  </si>
  <si>
    <t>NF 5057</t>
  </si>
  <si>
    <t>NF 8216</t>
  </si>
  <si>
    <t>NF 9171</t>
  </si>
  <si>
    <t>NF 9008</t>
  </si>
  <si>
    <t>NF 6187</t>
  </si>
  <si>
    <t>NF 7199</t>
  </si>
  <si>
    <t>NF 2255</t>
  </si>
  <si>
    <t>NF 1627</t>
  </si>
  <si>
    <t>NF 7389</t>
  </si>
  <si>
    <t>NF 8880</t>
  </si>
  <si>
    <t>NF 4368</t>
  </si>
  <si>
    <t>NF 5612</t>
  </si>
  <si>
    <t>NF 1726</t>
  </si>
  <si>
    <t>NF 2123</t>
  </si>
  <si>
    <t>NF 4161</t>
  </si>
  <si>
    <t>NF 1201</t>
  </si>
  <si>
    <t>NF 9270</t>
  </si>
  <si>
    <t>NF 4263</t>
  </si>
  <si>
    <t>NF 3746</t>
  </si>
  <si>
    <t>NF 7103</t>
  </si>
  <si>
    <t>NF 6289</t>
  </si>
  <si>
    <t>NF 5498</t>
  </si>
  <si>
    <t>NF 9202</t>
  </si>
  <si>
    <t>NF 6072</t>
  </si>
  <si>
    <t>NF 7731</t>
  </si>
  <si>
    <t>NF 4944</t>
  </si>
  <si>
    <t>NF 6481</t>
  </si>
  <si>
    <t>NF 8958</t>
  </si>
  <si>
    <t>NF 2852</t>
  </si>
  <si>
    <t>NF 5398</t>
  </si>
  <si>
    <t>NF 8630</t>
  </si>
  <si>
    <t>NF 4608</t>
  </si>
  <si>
    <t>NF 7779</t>
  </si>
  <si>
    <t>NF 2540</t>
  </si>
  <si>
    <t>NF 3773</t>
  </si>
  <si>
    <t>NF 6441</t>
  </si>
  <si>
    <t>NF 5623</t>
  </si>
  <si>
    <t>NF 6451</t>
  </si>
  <si>
    <t>NF 9786</t>
  </si>
  <si>
    <t>NF 7365</t>
  </si>
  <si>
    <t>NF 6238</t>
  </si>
  <si>
    <t>NF 3115</t>
  </si>
  <si>
    <t>NF 6380</t>
  </si>
  <si>
    <t>NF 7601</t>
  </si>
  <si>
    <t>NF 6077</t>
  </si>
  <si>
    <t>NF 1929</t>
  </si>
  <si>
    <t>NF 6117</t>
  </si>
  <si>
    <t>NF 9633</t>
  </si>
  <si>
    <t>NF 6345</t>
  </si>
  <si>
    <t>NF 7196</t>
  </si>
  <si>
    <t>NF 3825</t>
  </si>
  <si>
    <t>NF 1018</t>
  </si>
  <si>
    <t>NF 7554</t>
  </si>
  <si>
    <t>NF 7416</t>
  </si>
  <si>
    <t>NF 2277</t>
  </si>
  <si>
    <t>NF 9801</t>
  </si>
  <si>
    <t>NF 7424</t>
  </si>
  <si>
    <t>NF 9156</t>
  </si>
  <si>
    <t>NF 8232</t>
  </si>
  <si>
    <t>NF 4000</t>
  </si>
  <si>
    <t>NF 9703</t>
  </si>
  <si>
    <t>NF 3797</t>
  </si>
  <si>
    <t>NF 7552</t>
  </si>
  <si>
    <t>NF 8443</t>
  </si>
  <si>
    <t>NF 6046</t>
  </si>
  <si>
    <t>NF 8110</t>
  </si>
  <si>
    <t>NF 1904</t>
  </si>
  <si>
    <t>NF 2453</t>
  </si>
  <si>
    <t>NF 7981</t>
  </si>
  <si>
    <t>NF 6796</t>
  </si>
  <si>
    <t>NF 5715</t>
  </si>
  <si>
    <t>NF 1302</t>
  </si>
  <si>
    <t>NF 3821</t>
  </si>
  <si>
    <t>NF 7140</t>
  </si>
  <si>
    <t>NF 5236</t>
  </si>
  <si>
    <t>NF 1483</t>
  </si>
  <si>
    <t>NF 5897</t>
  </si>
  <si>
    <t>NF 9379</t>
  </si>
  <si>
    <t>NF 7551</t>
  </si>
  <si>
    <t>NF 6631</t>
  </si>
  <si>
    <t>NF 1241</t>
  </si>
  <si>
    <t>NF 5024</t>
  </si>
  <si>
    <t>NF 1268</t>
  </si>
  <si>
    <t>NF 6239</t>
  </si>
  <si>
    <t>NF 9459</t>
  </si>
  <si>
    <t>NF 6467</t>
  </si>
  <si>
    <t>NF 3858</t>
  </si>
  <si>
    <t>NF 7135</t>
  </si>
  <si>
    <t>NF 7048</t>
  </si>
  <si>
    <t>NF 7625</t>
  </si>
  <si>
    <t>NF 6654</t>
  </si>
  <si>
    <t>NF 8396</t>
  </si>
  <si>
    <t>NF 5660</t>
  </si>
  <si>
    <t>NF 2818</t>
  </si>
  <si>
    <t>NF 3061</t>
  </si>
  <si>
    <t>NF 7514</t>
  </si>
  <si>
    <t>NF 7235</t>
  </si>
  <si>
    <t>NF 9782</t>
  </si>
  <si>
    <t>NF 9539</t>
  </si>
  <si>
    <t>NF 1210</t>
  </si>
  <si>
    <t>NF 5652</t>
  </si>
  <si>
    <t>NF 8090</t>
  </si>
  <si>
    <t>NF 8064</t>
  </si>
  <si>
    <t>NF 3630</t>
  </si>
  <si>
    <t>NF 6994</t>
  </si>
  <si>
    <t>NF 9884</t>
  </si>
  <si>
    <t>NF 1933</t>
  </si>
  <si>
    <t>NF 6762</t>
  </si>
  <si>
    <t>NF 5016</t>
  </si>
  <si>
    <t>NF 2315</t>
  </si>
  <si>
    <t>NF 4693</t>
  </si>
  <si>
    <t>NF 5791</t>
  </si>
  <si>
    <t>NF 1346</t>
  </si>
  <si>
    <t>NF 2983</t>
  </si>
  <si>
    <t>NF 2923</t>
  </si>
  <si>
    <t>NF 7202</t>
  </si>
  <si>
    <t>NF 7451</t>
  </si>
  <si>
    <t>NF 4744</t>
  </si>
  <si>
    <t>NF 8643</t>
  </si>
  <si>
    <t>NF 2022</t>
  </si>
  <si>
    <t>NF 7257</t>
  </si>
  <si>
    <t>NF 9809</t>
  </si>
  <si>
    <t>NF 1229</t>
  </si>
  <si>
    <t>NF 2445</t>
  </si>
  <si>
    <t>NF 5263</t>
  </si>
  <si>
    <t>NF 6447</t>
  </si>
  <si>
    <t>NF 3702</t>
  </si>
  <si>
    <t>NF 5979</t>
  </si>
  <si>
    <t>NF 2665</t>
  </si>
  <si>
    <t>NF 4013</t>
  </si>
  <si>
    <t>NF 3018</t>
  </si>
  <si>
    <t>NF 2171</t>
  </si>
  <si>
    <t>NF 7756</t>
  </si>
  <si>
    <t>NF 7417</t>
  </si>
  <si>
    <t>NF 5396</t>
  </si>
  <si>
    <t>NF 3135</t>
  </si>
  <si>
    <t>NF 1104</t>
  </si>
  <si>
    <t>NF 4045</t>
  </si>
  <si>
    <t>NF 2039</t>
  </si>
  <si>
    <t>NF 3507</t>
  </si>
  <si>
    <t>NF 3674</t>
  </si>
  <si>
    <t>NF 3524</t>
  </si>
  <si>
    <t>NF 9635</t>
  </si>
  <si>
    <t>NF 9080</t>
  </si>
  <si>
    <t>NF 8123</t>
  </si>
  <si>
    <t>NF 6075</t>
  </si>
  <si>
    <t>NF 2136</t>
  </si>
  <si>
    <t>NF 1548</t>
  </si>
  <si>
    <t>NF 8221</t>
  </si>
  <si>
    <t>NF 3024</t>
  </si>
  <si>
    <t>NF 4956</t>
  </si>
  <si>
    <t>NF 7141</t>
  </si>
  <si>
    <t>NF 7953</t>
  </si>
  <si>
    <t>NF 7696</t>
  </si>
  <si>
    <t>Posição de estoque</t>
  </si>
  <si>
    <t>Tudo calculado automaticamente. Filtre a coluna Status para ver o que precisa de ação.</t>
  </si>
  <si>
    <t>Unid.</t>
  </si>
  <si>
    <t>Entradas</t>
  </si>
  <si>
    <t>Saídas</t>
  </si>
  <si>
    <t>ESTOQUE ATUAL</t>
  </si>
  <si>
    <t>Mínimo</t>
  </si>
  <si>
    <t>Máximo</t>
  </si>
  <si>
    <t>Custo unit.</t>
  </si>
  <si>
    <t>Valor em estoque</t>
  </si>
  <si>
    <t>Saídas no período</t>
  </si>
  <si>
    <t>Média diária</t>
  </si>
  <si>
    <t>Cobertura (dias)</t>
  </si>
  <si>
    <t>Última saída</t>
  </si>
  <si>
    <t>STATUS</t>
  </si>
  <si>
    <t>Parado?</t>
  </si>
  <si>
    <t>Sugestão de compra (qtd)</t>
  </si>
  <si>
    <t>Faturamento no período</t>
  </si>
  <si>
    <t>Chave ABC</t>
  </si>
  <si>
    <t>Classe ABC</t>
  </si>
  <si>
    <t>Valor parado</t>
  </si>
  <si>
    <t>Seq. compra</t>
  </si>
  <si>
    <t>Ranking automático pelo faturamento do período (saídas x preço de venda). A = poucos itens que dão a maior parte do dinheiro.</t>
  </si>
  <si>
    <t>Ranking</t>
  </si>
  <si>
    <t>Chave</t>
  </si>
  <si>
    <t>Faturamento (R$)</t>
  </si>
  <si>
    <t>% do total</t>
  </si>
  <si>
    <t>% acumulado</t>
  </si>
  <si>
    <t>Classe</t>
  </si>
  <si>
    <t>Resumo por classe</t>
  </si>
  <si>
    <t>Itens</t>
  </si>
  <si>
    <t>% dos itens</t>
  </si>
  <si>
    <t>% do faturamento</t>
  </si>
  <si>
    <t>A</t>
  </si>
  <si>
    <t>B</t>
  </si>
  <si>
    <t>C</t>
  </si>
  <si>
    <t>Como ler: itens A merecem estoque de segurança e reposição frequente. Itens C (a maioria) vendem pouco: compre em pequena quantidade e evite estoque parado.</t>
  </si>
  <si>
    <t>Lista de compras sugerida</t>
  </si>
  <si>
    <t>Itens em RUPTURA ou REPOR. Quantidade sugerida = estoque máximo - estoque atual.</t>
  </si>
  <si>
    <t>#</t>
  </si>
  <si>
    <t>Fornecedor</t>
  </si>
  <si>
    <t>Status</t>
  </si>
  <si>
    <t>Estoque atual</t>
  </si>
  <si>
    <t>Comprar (qtd)</t>
  </si>
  <si>
    <t>Total (R$)</t>
  </si>
  <si>
    <t>Prazo (dias)</t>
  </si>
  <si>
    <t>TOTAL:</t>
  </si>
  <si>
    <t>Dashboard de estoque</t>
  </si>
  <si>
    <t>Visão geral do estoque. Atualiza sozinho.</t>
  </si>
  <si>
    <t>PRODUTOS CADASTRADOS</t>
  </si>
  <si>
    <t>VALOR EM ESTOQUE (custo)</t>
  </si>
  <si>
    <t>EM RUPTURA</t>
  </si>
  <si>
    <t>PARA REPOR</t>
  </si>
  <si>
    <t>EM EXCESSO</t>
  </si>
  <si>
    <t>ITENS PARADOS</t>
  </si>
  <si>
    <t>DINHEIRO PARADO</t>
  </si>
  <si>
    <t>% DO ESTOQUE PARADO</t>
  </si>
  <si>
    <t>ITENS CLASSE A</t>
  </si>
  <si>
    <t>COMPRA SUGERIDA (R$)</t>
  </si>
  <si>
    <t>Situação dos itens</t>
  </si>
  <si>
    <t>RUPTURA</t>
  </si>
  <si>
    <t>REPOR</t>
  </si>
  <si>
    <t>OK</t>
  </si>
  <si>
    <t>EXCESSO</t>
  </si>
</sst>
</file>

<file path=xl/styles.xml><?xml version="1.0" encoding="utf-8"?>
<styleSheet xmlns="http://schemas.openxmlformats.org/spreadsheetml/2006/main">
  <numFmts count="8">
    <numFmt numFmtId="164" formatCode="dd/mm/yyyy"/>
    <numFmt numFmtId="165" formatCode="0.0"/>
    <numFmt numFmtId="166" formatCode="0%"/>
    <numFmt numFmtId="167" formatCode="&quot;R$&quot; #,##0.00;[Red]-&quot;R$&quot; #,##0.00"/>
    <numFmt numFmtId="168" formatCode="#,##0"/>
    <numFmt numFmtId="169" formatCode="0.00"/>
    <numFmt numFmtId="170" formatCode="dd/mm/yyyy;;&quot;sem saída&quot;"/>
    <numFmt numFmtId="171" formatCode="0.0%"/>
  </numFmts>
  <fonts count="2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6"/>
      <color rgb="FFB45309"/>
      <name val="Calibri"/>
      <family val="2"/>
      <scheme val="minor"/>
    </font>
    <font>
      <b/>
      <sz val="16"/>
      <color rgb="FF2563E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7" fillId="4" borderId="1" xfId="0" applyNumberFormat="1" applyFont="1" applyFill="1" applyBorder="1" applyAlignment="1" applyProtection="1">
      <alignment horizontal="center" vertical="center"/>
      <protection locked="0"/>
    </xf>
    <xf numFmtId="166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167" fontId="7" fillId="4" borderId="1" xfId="0" applyNumberFormat="1" applyFont="1" applyFill="1" applyBorder="1" applyAlignment="1" applyProtection="1">
      <alignment vertical="center"/>
      <protection locked="0"/>
    </xf>
    <xf numFmtId="168" fontId="7" fillId="4" borderId="1" xfId="0" applyNumberFormat="1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>
      <alignment vertical="center"/>
    </xf>
    <xf numFmtId="167" fontId="13" fillId="5" borderId="1" xfId="0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168" fontId="13" fillId="5" borderId="1" xfId="0" applyNumberFormat="1" applyFont="1" applyFill="1" applyBorder="1" applyAlignment="1">
      <alignment horizontal="center" vertical="center"/>
    </xf>
    <xf numFmtId="168" fontId="10" fillId="5" borderId="1" xfId="0" applyNumberFormat="1" applyFont="1" applyFill="1" applyBorder="1" applyAlignment="1">
      <alignment horizontal="center" vertical="center"/>
    </xf>
    <xf numFmtId="169" fontId="13" fillId="5" borderId="1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70" fontId="13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9" fontId="14" fillId="5" borderId="1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71" fontId="13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7" fontId="6" fillId="6" borderId="1" xfId="0" applyNumberFormat="1" applyFont="1" applyFill="1" applyBorder="1" applyAlignment="1">
      <alignment vertical="center"/>
    </xf>
    <xf numFmtId="0" fontId="15" fillId="7" borderId="4" xfId="0" applyFont="1" applyFill="1" applyBorder="1" applyAlignment="1">
      <alignment horizontal="center" vertical="center" wrapText="1"/>
    </xf>
    <xf numFmtId="168" fontId="16" fillId="7" borderId="5" xfId="0" applyNumberFormat="1" applyFont="1" applyFill="1" applyBorder="1" applyAlignment="1">
      <alignment horizontal="center" vertical="center"/>
    </xf>
    <xf numFmtId="167" fontId="16" fillId="7" borderId="5" xfId="0" applyNumberFormat="1" applyFont="1" applyFill="1" applyBorder="1" applyAlignment="1">
      <alignment horizontal="center" vertical="center"/>
    </xf>
    <xf numFmtId="168" fontId="17" fillId="7" borderId="5" xfId="0" applyNumberFormat="1" applyFont="1" applyFill="1" applyBorder="1" applyAlignment="1">
      <alignment horizontal="center" vertical="center"/>
    </xf>
    <xf numFmtId="168" fontId="18" fillId="7" borderId="5" xfId="0" applyNumberFormat="1" applyFont="1" applyFill="1" applyBorder="1" applyAlignment="1">
      <alignment horizontal="center" vertical="center"/>
    </xf>
    <xf numFmtId="168" fontId="19" fillId="7" borderId="5" xfId="0" applyNumberFormat="1" applyFont="1" applyFill="1" applyBorder="1" applyAlignment="1">
      <alignment horizontal="center" vertical="center"/>
    </xf>
    <xf numFmtId="167" fontId="17" fillId="7" borderId="5" xfId="0" applyNumberFormat="1" applyFont="1" applyFill="1" applyBorder="1" applyAlignment="1">
      <alignment horizontal="center" vertical="center"/>
    </xf>
    <xf numFmtId="171" fontId="16" fillId="7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color rgb="FF15803D"/>
      </font>
    </dxf>
    <dxf>
      <font>
        <b/>
        <color rgb="FFDC2626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FFFFFF"/>
      </font>
      <fill>
        <patternFill>
          <bgColor rgb="FFDC2626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FFFFFF"/>
      </font>
      <fill>
        <patternFill>
          <bgColor rgb="FF3B82F6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color rgb="FF15803D"/>
      </font>
      <fill>
        <patternFill>
          <bgColor rgb="FFDCFCE7"/>
        </patternFill>
      </fill>
    </dxf>
    <dxf>
      <font>
        <b/>
        <color rgb="FF052E16"/>
      </font>
      <fill>
        <patternFill>
          <bgColor rgb="FF22C55E"/>
        </patternFill>
      </fill>
    </dxf>
    <dxf>
      <font>
        <b/>
        <color rgb="FF78350F"/>
      </font>
      <fill>
        <patternFill>
          <bgColor rgb="FFFDE68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Pareto: 25 itens que mais faturam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16A34A"/>
            </a:solidFill>
          </c:spPr>
          <c:cat>
            <c:strRef>
              <c:f>'Curva ABC'!$D$5:$D$29</c:f>
              <c:strCache>
                <c:ptCount val="25"/>
                <c:pt idx="0">
                  <c:v>Papel A4 75g (resma)</c:v>
                </c:pt>
                <c:pt idx="1">
                  <c:v>Caderno universitário 10 matérias</c:v>
                </c:pt>
                <c:pt idx="2">
                  <c:v>Mochila escolar 20L</c:v>
                </c:pt>
                <c:pt idx="3">
                  <c:v>Caneta esferográfica azul (cx 50)</c:v>
                </c:pt>
                <c:pt idx="4">
                  <c:v>Pen drive 32GB</c:v>
                </c:pt>
                <c:pt idx="5">
                  <c:v>Cabo USB-C 1m</c:v>
                </c:pt>
                <c:pt idx="6">
                  <c:v>Toner genérico preto</c:v>
                </c:pt>
                <c:pt idx="7">
                  <c:v>Caneca branca para sublimação</c:v>
                </c:pt>
                <c:pt idx="8">
                  <c:v>Papel toalha (pct 2)</c:v>
                </c:pt>
                <c:pt idx="9">
                  <c:v>Fita adesiva transparente</c:v>
                </c:pt>
                <c:pt idx="10">
                  <c:v>Plástico bolha (rolo 50m)</c:v>
                </c:pt>
                <c:pt idx="11">
                  <c:v>Fichário argolado</c:v>
                </c:pt>
                <c:pt idx="12">
                  <c:v>Sacola kraft G (pct 50)</c:v>
                </c:pt>
                <c:pt idx="13">
                  <c:v>Pasta suspensa (pct 25)</c:v>
                </c:pt>
                <c:pt idx="14">
                  <c:v>Estojo duplo</c:v>
                </c:pt>
                <c:pt idx="15">
                  <c:v>Mouse óptico USB</c:v>
                </c:pt>
                <c:pt idx="16">
                  <c:v>Caixa organizadora</c:v>
                </c:pt>
                <c:pt idx="17">
                  <c:v>Garrafa squeeze 600ml</c:v>
                </c:pt>
                <c:pt idx="18">
                  <c:v>Cola branca 90g</c:v>
                </c:pt>
                <c:pt idx="19">
                  <c:v>Luva descartável (cx 100)</c:v>
                </c:pt>
                <c:pt idx="20">
                  <c:v>Calculadora de mesa</c:v>
                </c:pt>
                <c:pt idx="21">
                  <c:v>Tesoura escolar</c:v>
                </c:pt>
                <c:pt idx="22">
                  <c:v>Marca-texto (cx 6)</c:v>
                </c:pt>
                <c:pt idx="23">
                  <c:v>Tinta guache (kit 6)</c:v>
                </c:pt>
                <c:pt idx="24">
                  <c:v>Agenda 2027</c:v>
                </c:pt>
              </c:strCache>
            </c:strRef>
          </c:cat>
          <c:val>
            <c:numRef>
              <c:f>'Curva ABC'!$E$5:$E$29</c:f>
              <c:numCache>
                <c:formatCode>General</c:formatCode>
                <c:ptCount val="25"/>
                <c:pt idx="0">
                  <c:v>19707.1</c:v>
                </c:pt>
                <c:pt idx="1">
                  <c:v>8994.8</c:v>
                </c:pt>
                <c:pt idx="2">
                  <c:v>7092.9</c:v>
                </c:pt>
                <c:pt idx="3">
                  <c:v>5657.4</c:v>
                </c:pt>
                <c:pt idx="4">
                  <c:v>4534.9</c:v>
                </c:pt>
                <c:pt idx="5">
                  <c:v>2447.7</c:v>
                </c:pt>
                <c:pt idx="6">
                  <c:v>1079.1</c:v>
                </c:pt>
                <c:pt idx="7">
                  <c:v>786.9</c:v>
                </c:pt>
                <c:pt idx="8">
                  <c:v>773.5</c:v>
                </c:pt>
                <c:pt idx="9">
                  <c:v>747</c:v>
                </c:pt>
                <c:pt idx="10">
                  <c:v>718.8</c:v>
                </c:pt>
                <c:pt idx="11">
                  <c:v>718.4</c:v>
                </c:pt>
                <c:pt idx="12">
                  <c:v>670.6</c:v>
                </c:pt>
                <c:pt idx="13">
                  <c:v>658.8</c:v>
                </c:pt>
                <c:pt idx="14">
                  <c:v>635.1</c:v>
                </c:pt>
                <c:pt idx="15">
                  <c:v>622.5</c:v>
                </c:pt>
                <c:pt idx="16">
                  <c:v>600.6</c:v>
                </c:pt>
                <c:pt idx="17">
                  <c:v>597.6</c:v>
                </c:pt>
                <c:pt idx="18">
                  <c:v>573.3</c:v>
                </c:pt>
                <c:pt idx="19">
                  <c:v>518.7</c:v>
                </c:pt>
                <c:pt idx="20">
                  <c:v>518.7</c:v>
                </c:pt>
                <c:pt idx="21">
                  <c:v>505.6</c:v>
                </c:pt>
                <c:pt idx="22">
                  <c:v>503.8</c:v>
                </c:pt>
                <c:pt idx="23">
                  <c:v>457.7</c:v>
                </c:pt>
                <c:pt idx="24">
                  <c:v>453.7</c:v>
                </c:pt>
              </c:numCache>
            </c:numRef>
          </c:val>
        </c:ser>
        <c:gapWidth val="40"/>
        <c:axId val="50010001"/>
        <c:axId val="50010002"/>
      </c:barChart>
      <c:lineChart>
        <c:grouping val="standard"/>
        <c:ser>
          <c:idx val="1"/>
          <c:order val="1"/>
          <c:tx>
            <c:v>% acumulado</c:v>
          </c:tx>
          <c:spPr>
            <a:ln w="28575">
              <a:solidFill>
                <a:srgbClr val="0B3B24"/>
              </a:solidFill>
            </a:ln>
          </c:spPr>
          <c:marker>
            <c:symbol val="circle"/>
            <c:size val="4"/>
          </c:marker>
          <c:cat>
            <c:strRef>
              <c:f>'Curva ABC'!$D$5:$D$29</c:f>
              <c:strCache>
                <c:ptCount val="25"/>
                <c:pt idx="0">
                  <c:v>Papel A4 75g (resma)</c:v>
                </c:pt>
                <c:pt idx="1">
                  <c:v>Caderno universitário 10 matérias</c:v>
                </c:pt>
                <c:pt idx="2">
                  <c:v>Mochila escolar 20L</c:v>
                </c:pt>
                <c:pt idx="3">
                  <c:v>Caneta esferográfica azul (cx 50)</c:v>
                </c:pt>
                <c:pt idx="4">
                  <c:v>Pen drive 32GB</c:v>
                </c:pt>
                <c:pt idx="5">
                  <c:v>Cabo USB-C 1m</c:v>
                </c:pt>
                <c:pt idx="6">
                  <c:v>Toner genérico preto</c:v>
                </c:pt>
                <c:pt idx="7">
                  <c:v>Caneca branca para sublimação</c:v>
                </c:pt>
                <c:pt idx="8">
                  <c:v>Papel toalha (pct 2)</c:v>
                </c:pt>
                <c:pt idx="9">
                  <c:v>Fita adesiva transparente</c:v>
                </c:pt>
                <c:pt idx="10">
                  <c:v>Plástico bolha (rolo 50m)</c:v>
                </c:pt>
                <c:pt idx="11">
                  <c:v>Fichário argolado</c:v>
                </c:pt>
                <c:pt idx="12">
                  <c:v>Sacola kraft G (pct 50)</c:v>
                </c:pt>
                <c:pt idx="13">
                  <c:v>Pasta suspensa (pct 25)</c:v>
                </c:pt>
                <c:pt idx="14">
                  <c:v>Estojo duplo</c:v>
                </c:pt>
                <c:pt idx="15">
                  <c:v>Mouse óptico USB</c:v>
                </c:pt>
                <c:pt idx="16">
                  <c:v>Caixa organizadora</c:v>
                </c:pt>
                <c:pt idx="17">
                  <c:v>Garrafa squeeze 600ml</c:v>
                </c:pt>
                <c:pt idx="18">
                  <c:v>Cola branca 90g</c:v>
                </c:pt>
                <c:pt idx="19">
                  <c:v>Luva descartável (cx 100)</c:v>
                </c:pt>
                <c:pt idx="20">
                  <c:v>Calculadora de mesa</c:v>
                </c:pt>
                <c:pt idx="21">
                  <c:v>Tesoura escolar</c:v>
                </c:pt>
                <c:pt idx="22">
                  <c:v>Marca-texto (cx 6)</c:v>
                </c:pt>
                <c:pt idx="23">
                  <c:v>Tinta guache (kit 6)</c:v>
                </c:pt>
                <c:pt idx="24">
                  <c:v>Agenda 2027</c:v>
                </c:pt>
              </c:strCache>
            </c:strRef>
          </c:cat>
          <c:val>
            <c:numRef>
              <c:f>'Curva ABC'!$G$5:$G$29</c:f>
              <c:numCache>
                <c:formatCode>General</c:formatCode>
                <c:ptCount val="25"/>
                <c:pt idx="0">
                  <c:v>0.304453617676048</c:v>
                </c:pt>
                <c:pt idx="1">
                  <c:v>0.443413657472493</c:v>
                </c:pt>
                <c:pt idx="2">
                  <c:v>0.552991376407011</c:v>
                </c:pt>
                <c:pt idx="3">
                  <c:v>0.640392155651064</c:v>
                </c:pt>
                <c:pt idx="4">
                  <c:v>0.710451510441932</c:v>
                </c:pt>
                <c:pt idx="5">
                  <c:v>0.748265857554681</c:v>
                </c:pt>
                <c:pt idx="6">
                  <c:v>0.764936798425445</c:v>
                </c:pt>
                <c:pt idx="7">
                  <c:v>0.777093561812716</c:v>
                </c:pt>
                <c:pt idx="8">
                  <c:v>0.789043309531681</c:v>
                </c:pt>
                <c:pt idx="9">
                  <c:v>0.800583660593177</c:v>
                </c:pt>
                <c:pt idx="10">
                  <c:v>0.811688351815404</c:v>
                </c:pt>
                <c:pt idx="11">
                  <c:v>0.822786863465442</c:v>
                </c:pt>
                <c:pt idx="12">
                  <c:v>0.833146916238989</c:v>
                </c:pt>
                <c:pt idx="13">
                  <c:v>0.843324671632983</c:v>
                </c:pt>
                <c:pt idx="14">
                  <c:v>0.853136287374825</c:v>
                </c:pt>
                <c:pt idx="15">
                  <c:v>0.862753246592738</c:v>
                </c:pt>
                <c:pt idx="16">
                  <c:v>0.872031874233347</c:v>
                </c:pt>
                <c:pt idx="17">
                  <c:v>0.881264155082544</c:v>
                </c:pt>
                <c:pt idx="18">
                  <c:v>0.890121026921306</c:v>
                </c:pt>
                <c:pt idx="19">
                  <c:v>0.898134387156377</c:v>
                </c:pt>
                <c:pt idx="20">
                  <c:v>0.906147747391448</c:v>
                </c:pt>
                <c:pt idx="21">
                  <c:v>0.913958726637355</c:v>
                </c:pt>
                <c:pt idx="22">
                  <c:v>0.921741897808415</c:v>
                </c:pt>
                <c:pt idx="23">
                  <c:v>0.928812873284783</c:v>
                </c:pt>
                <c:pt idx="24">
                  <c:v>0.935822053039268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3600000" vert="horz"/>
          <a:lstStyle/>
          <a:p>
            <a:pPr>
              <a:defRPr sz="7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  <c:max val="1"/>
          <c:min val="0"/>
        </c:scaling>
        <c:axPos val="r"/>
        <c:numFmt formatCode="0%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Situação do estoque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Situação</c:v>
          </c:tx>
          <c:dPt>
            <c:idx val="0"/>
            <c:spPr>
              <a:solidFill>
                <a:srgbClr val="DC2626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16A34A"/>
              </a:solidFill>
            </c:spPr>
          </c:dPt>
          <c:dPt>
            <c:idx val="3"/>
            <c:spPr>
              <a:solidFill>
                <a:srgbClr val="3B82F6"/>
              </a:solidFill>
            </c:spPr>
          </c:dPt>
          <c:dLbls>
            <c:showVal val="1"/>
          </c:dLbls>
          <c:cat>
            <c:strRef>
              <c:f>Dashboard!$A$12:$A$15</c:f>
              <c:strCache>
                <c:ptCount val="4"/>
                <c:pt idx="0">
                  <c:v>RUPTURA</c:v>
                </c:pt>
                <c:pt idx="1">
                  <c:v>REPOR</c:v>
                </c:pt>
                <c:pt idx="2">
                  <c:v>OK</c:v>
                </c:pt>
                <c:pt idx="3">
                  <c:v>EXCESSO</c:v>
                </c:pt>
              </c:strCache>
            </c:strRef>
          </c:cat>
          <c:val>
            <c:numRef>
              <c:f>Dashboard!$B$12:$B$15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25</c:v>
                </c:pt>
                <c:pt idx="3">
                  <c:v>3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Top 15 produtos por faturamento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16A34A"/>
            </a:solidFill>
          </c:spPr>
          <c:cat>
            <c:strRef>
              <c:f>'Curva ABC'!$D$5:$D$19</c:f>
              <c:strCache>
                <c:ptCount val="15"/>
                <c:pt idx="0">
                  <c:v>Papel A4 75g (resma)</c:v>
                </c:pt>
                <c:pt idx="1">
                  <c:v>Caderno universitário 10 matérias</c:v>
                </c:pt>
                <c:pt idx="2">
                  <c:v>Mochila escolar 20L</c:v>
                </c:pt>
                <c:pt idx="3">
                  <c:v>Caneta esferográfica azul (cx 50)</c:v>
                </c:pt>
                <c:pt idx="4">
                  <c:v>Pen drive 32GB</c:v>
                </c:pt>
                <c:pt idx="5">
                  <c:v>Cabo USB-C 1m</c:v>
                </c:pt>
                <c:pt idx="6">
                  <c:v>Toner genérico preto</c:v>
                </c:pt>
                <c:pt idx="7">
                  <c:v>Caneca branca para sublimação</c:v>
                </c:pt>
                <c:pt idx="8">
                  <c:v>Papel toalha (pct 2)</c:v>
                </c:pt>
                <c:pt idx="9">
                  <c:v>Fita adesiva transparente</c:v>
                </c:pt>
                <c:pt idx="10">
                  <c:v>Plástico bolha (rolo 50m)</c:v>
                </c:pt>
                <c:pt idx="11">
                  <c:v>Fichário argolado</c:v>
                </c:pt>
                <c:pt idx="12">
                  <c:v>Sacola kraft G (pct 50)</c:v>
                </c:pt>
                <c:pt idx="13">
                  <c:v>Pasta suspensa (pct 25)</c:v>
                </c:pt>
                <c:pt idx="14">
                  <c:v>Estojo duplo</c:v>
                </c:pt>
              </c:strCache>
            </c:strRef>
          </c:cat>
          <c:val>
            <c:numRef>
              <c:f>'Curva ABC'!$E$5:$E$19</c:f>
              <c:numCache>
                <c:formatCode>General</c:formatCode>
                <c:ptCount val="15"/>
                <c:pt idx="0">
                  <c:v>19707.1</c:v>
                </c:pt>
                <c:pt idx="1">
                  <c:v>8994.8</c:v>
                </c:pt>
                <c:pt idx="2">
                  <c:v>7092.9</c:v>
                </c:pt>
                <c:pt idx="3">
                  <c:v>5657.4</c:v>
                </c:pt>
                <c:pt idx="4">
                  <c:v>4534.9</c:v>
                </c:pt>
                <c:pt idx="5">
                  <c:v>2447.7</c:v>
                </c:pt>
                <c:pt idx="6">
                  <c:v>1079.1</c:v>
                </c:pt>
                <c:pt idx="7">
                  <c:v>786.9</c:v>
                </c:pt>
                <c:pt idx="8">
                  <c:v>773.5</c:v>
                </c:pt>
                <c:pt idx="9">
                  <c:v>747</c:v>
                </c:pt>
                <c:pt idx="10">
                  <c:v>718.8</c:v>
                </c:pt>
                <c:pt idx="11">
                  <c:v>718.4</c:v>
                </c:pt>
                <c:pt idx="12">
                  <c:v>670.6</c:v>
                </c:pt>
                <c:pt idx="13">
                  <c:v>658.8</c:v>
                </c:pt>
                <c:pt idx="14">
                  <c:v>635.1</c:v>
                </c:pt>
              </c:numCache>
            </c:numRef>
          </c:val>
        </c:ser>
        <c:gapWidth val="5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 rot="-3600000" vert="horz"/>
          <a:lstStyle/>
          <a:p>
            <a:pPr>
              <a:defRPr sz="7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14</xdr:row>
      <xdr:rowOff>0</xdr:rowOff>
    </xdr:from>
    <xdr:to>
      <xdr:col>16</xdr:col>
      <xdr:colOff>152400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7</xdr:col>
      <xdr:colOff>152400</xdr:colOff>
      <xdr:row>22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304800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5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30" customHeight="1">
      <c r="B12" s="6" t="s">
        <v>10</v>
      </c>
      <c r="C12" s="7" t="s">
        <v>11</v>
      </c>
    </row>
    <row r="13" spans="1:3" ht="30" customHeight="1">
      <c r="B13" s="6" t="s">
        <v>12</v>
      </c>
      <c r="C13" s="7" t="s">
        <v>13</v>
      </c>
    </row>
    <row r="14" spans="1:3" ht="2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1" spans="2:3" ht="18" customHeight="1">
      <c r="B21" s="8" t="s">
        <v>25</v>
      </c>
      <c r="C21" s="7" t="s">
        <v>26</v>
      </c>
    </row>
    <row r="22" spans="2:3" ht="18" customHeight="1">
      <c r="B22" s="8" t="s">
        <v>27</v>
      </c>
      <c r="C22" s="7" t="s">
        <v>28</v>
      </c>
    </row>
    <row r="23" spans="2:3" ht="18" customHeight="1">
      <c r="B23" s="8" t="s">
        <v>29</v>
      </c>
      <c r="C23" s="7" t="s">
        <v>30</v>
      </c>
    </row>
    <row r="25" spans="2:3">
      <c r="B25" s="4" t="s">
        <v>31</v>
      </c>
      <c r="C25" s="4"/>
    </row>
    <row r="26" spans="2:3">
      <c r="B26" s="9" t="s">
        <v>32</v>
      </c>
      <c r="C26" s="7" t="s">
        <v>33</v>
      </c>
    </row>
    <row r="27" spans="2:3">
      <c r="B27" s="10" t="s">
        <v>34</v>
      </c>
      <c r="C27" s="7" t="s">
        <v>35</v>
      </c>
    </row>
    <row r="28" spans="2:3">
      <c r="B28" s="11" t="s">
        <v>36</v>
      </c>
      <c r="C28" s="7" t="s">
        <v>37</v>
      </c>
    </row>
    <row r="30" spans="2:3">
      <c r="B30" s="4" t="s">
        <v>38</v>
      </c>
      <c r="C30" s="4"/>
    </row>
    <row r="31" spans="2:3" ht="30" customHeight="1">
      <c r="B31" s="7" t="s">
        <v>39</v>
      </c>
      <c r="C31" s="7"/>
    </row>
    <row r="32" spans="2:3" ht="18" customHeight="1">
      <c r="B32" s="7" t="s">
        <v>40</v>
      </c>
      <c r="C32" s="7"/>
    </row>
    <row r="33" spans="2:3" ht="18" customHeight="1">
      <c r="B33" s="7" t="s">
        <v>41</v>
      </c>
      <c r="C33" s="7"/>
    </row>
    <row r="35" spans="2:3">
      <c r="B35" s="12" t="s">
        <v>42</v>
      </c>
      <c r="C35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5:C25"/>
    <mergeCell ref="B30:C30"/>
    <mergeCell ref="B31:C31"/>
    <mergeCell ref="B32:C32"/>
    <mergeCell ref="B33:C33"/>
    <mergeCell ref="B35:C35"/>
  </mergeCells>
  <hyperlinks>
    <hyperlink ref="B17" location="'Config'!A1" display="Config"/>
    <hyperlink ref="B18" location="'Produtos'!A1" display="Produtos"/>
    <hyperlink ref="B19" location="'Movimentações'!A1" display="Movimentações"/>
    <hyperlink ref="B20" location="'Posição'!A1" display="Posição"/>
    <hyperlink ref="B21" location="'Curva ABC'!A1" display="Curva ABC"/>
    <hyperlink ref="B22" location="'Compras'!A1" display="Compras"/>
    <hyperlink ref="B23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34"/>
  <sheetViews>
    <sheetView showGridLines="0" workbookViewId="0"/>
  </sheetViews>
  <sheetFormatPr defaultRowHeight="15"/>
  <cols>
    <col min="1" max="1" width="3.7109375" customWidth="1"/>
    <col min="2" max="2" width="44.7109375" customWidth="1"/>
    <col min="3" max="3" width="16.7109375" customWidth="1"/>
    <col min="4" max="4" width="4.7109375" customWidth="1"/>
    <col min="5" max="5" width="18.7109375" customWidth="1"/>
    <col min="6" max="6" width="14.7109375" customWidth="1"/>
    <col min="7" max="7" width="26.7109375" customWidth="1"/>
  </cols>
  <sheetData>
    <row r="1" spans="1:8" ht="36" customHeight="1">
      <c r="A1" s="1" t="s">
        <v>43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44</v>
      </c>
      <c r="B2" s="2"/>
      <c r="C2" s="2"/>
      <c r="D2" s="2"/>
      <c r="E2" s="2"/>
      <c r="F2" s="2"/>
      <c r="G2" s="2"/>
      <c r="H2" s="13" t="s">
        <v>45</v>
      </c>
    </row>
    <row r="4" spans="1:8">
      <c r="B4" s="14" t="s">
        <v>46</v>
      </c>
      <c r="C4" s="15" t="s">
        <v>47</v>
      </c>
      <c r="E4" s="11" t="s">
        <v>55</v>
      </c>
      <c r="F4" s="11" t="s">
        <v>56</v>
      </c>
      <c r="G4" s="11" t="s">
        <v>57</v>
      </c>
    </row>
    <row r="5" spans="1:8">
      <c r="B5" s="14" t="s">
        <v>48</v>
      </c>
      <c r="C5" s="16">
        <v>46303</v>
      </c>
      <c r="E5" s="15" t="s">
        <v>58</v>
      </c>
      <c r="F5" s="15" t="s">
        <v>59</v>
      </c>
      <c r="G5" s="15" t="s">
        <v>60</v>
      </c>
    </row>
    <row r="6" spans="1:8">
      <c r="B6" s="14" t="s">
        <v>49</v>
      </c>
      <c r="C6" s="17">
        <v>90</v>
      </c>
      <c r="E6" s="15" t="s">
        <v>61</v>
      </c>
      <c r="F6" s="15" t="s">
        <v>62</v>
      </c>
      <c r="G6" s="15" t="s">
        <v>63</v>
      </c>
    </row>
    <row r="7" spans="1:8">
      <c r="B7" s="14" t="s">
        <v>50</v>
      </c>
      <c r="C7" s="17">
        <v>90</v>
      </c>
      <c r="E7" s="15" t="s">
        <v>64</v>
      </c>
      <c r="F7" s="15" t="s">
        <v>65</v>
      </c>
      <c r="G7" s="15" t="s">
        <v>66</v>
      </c>
    </row>
    <row r="8" spans="1:8">
      <c r="B8" s="14" t="s">
        <v>51</v>
      </c>
      <c r="C8" s="18">
        <v>2</v>
      </c>
      <c r="E8" s="15" t="s">
        <v>67</v>
      </c>
      <c r="F8" s="15" t="s">
        <v>68</v>
      </c>
      <c r="G8" s="15" t="s">
        <v>69</v>
      </c>
    </row>
    <row r="9" spans="1:8">
      <c r="B9" s="14" t="s">
        <v>52</v>
      </c>
      <c r="C9" s="19">
        <v>0.8</v>
      </c>
      <c r="E9" s="15" t="s">
        <v>70</v>
      </c>
      <c r="F9" s="15" t="s">
        <v>71</v>
      </c>
      <c r="G9" s="15" t="s">
        <v>72</v>
      </c>
    </row>
    <row r="10" spans="1:8">
      <c r="B10" s="14" t="s">
        <v>53</v>
      </c>
      <c r="C10" s="19">
        <v>0.95</v>
      </c>
      <c r="E10" s="15" t="s">
        <v>73</v>
      </c>
      <c r="F10" s="15" t="s">
        <v>74</v>
      </c>
      <c r="G10" s="15"/>
    </row>
    <row r="11" spans="1:8">
      <c r="E11" s="15" t="s">
        <v>75</v>
      </c>
      <c r="F11" s="15" t="s">
        <v>76</v>
      </c>
      <c r="G11" s="15"/>
    </row>
    <row r="12" spans="1:8">
      <c r="B12" s="12" t="s">
        <v>54</v>
      </c>
      <c r="E12" s="15"/>
      <c r="F12" s="15"/>
      <c r="G12" s="15"/>
    </row>
    <row r="13" spans="1:8">
      <c r="E13" s="15"/>
      <c r="F13" s="15"/>
      <c r="G13" s="15"/>
    </row>
    <row r="14" spans="1:8">
      <c r="E14" s="15"/>
      <c r="F14" s="15"/>
      <c r="G14" s="15"/>
    </row>
    <row r="15" spans="1:8">
      <c r="E15" s="15"/>
      <c r="F15" s="15"/>
      <c r="G15" s="15"/>
    </row>
    <row r="16" spans="1:8">
      <c r="E16" s="15"/>
      <c r="F16" s="15"/>
      <c r="G16" s="15"/>
    </row>
    <row r="17" spans="5:7">
      <c r="E17" s="15"/>
      <c r="F17" s="15"/>
      <c r="G17" s="15"/>
    </row>
    <row r="18" spans="5:7">
      <c r="E18" s="15"/>
      <c r="F18" s="15"/>
      <c r="G18" s="15"/>
    </row>
    <row r="19" spans="5:7">
      <c r="E19" s="15"/>
      <c r="F19" s="15"/>
      <c r="G19" s="15"/>
    </row>
    <row r="20" spans="5:7">
      <c r="E20" s="15"/>
      <c r="F20" s="15"/>
      <c r="G20" s="15"/>
    </row>
    <row r="21" spans="5:7">
      <c r="E21" s="15"/>
      <c r="F21" s="15"/>
      <c r="G21" s="15"/>
    </row>
    <row r="22" spans="5:7">
      <c r="E22" s="15"/>
      <c r="F22" s="15"/>
      <c r="G22" s="15"/>
    </row>
    <row r="23" spans="5:7">
      <c r="E23" s="15"/>
      <c r="F23" s="15"/>
      <c r="G23" s="15"/>
    </row>
    <row r="24" spans="5:7">
      <c r="E24" s="15"/>
      <c r="F24" s="15"/>
      <c r="G24" s="15"/>
    </row>
    <row r="25" spans="5:7">
      <c r="E25" s="15"/>
      <c r="F25" s="15"/>
      <c r="G25" s="15"/>
    </row>
    <row r="26" spans="5:7">
      <c r="E26" s="15"/>
      <c r="F26" s="15"/>
      <c r="G26" s="15"/>
    </row>
    <row r="27" spans="5:7">
      <c r="E27" s="15"/>
      <c r="F27" s="15"/>
      <c r="G27" s="15"/>
    </row>
    <row r="28" spans="5:7">
      <c r="E28" s="15"/>
      <c r="F28" s="15"/>
      <c r="G28" s="15"/>
    </row>
    <row r="29" spans="5:7">
      <c r="E29" s="15"/>
      <c r="F29" s="15"/>
      <c r="G29" s="15"/>
    </row>
    <row r="30" spans="5:7">
      <c r="E30" s="15"/>
      <c r="F30" s="15"/>
      <c r="G30" s="15"/>
    </row>
    <row r="31" spans="5:7">
      <c r="E31" s="15"/>
      <c r="F31" s="15"/>
      <c r="G31" s="15"/>
    </row>
    <row r="32" spans="5:7">
      <c r="E32" s="15"/>
      <c r="F32" s="15"/>
      <c r="G32" s="15"/>
    </row>
    <row r="33" spans="5:7">
      <c r="E33" s="15"/>
      <c r="F33" s="15"/>
      <c r="G33" s="15"/>
    </row>
    <row r="34" spans="5:7">
      <c r="E34" s="15"/>
      <c r="F34" s="15"/>
      <c r="G34" s="15"/>
    </row>
  </sheetData>
  <mergeCells count="2">
    <mergeCell ref="A1:H1"/>
    <mergeCell ref="A2:H2"/>
  </mergeCells>
  <dataValidations count="5">
    <dataValidation type="whole" allowBlank="1" showInputMessage="1" showErrorMessage="1" errorTitle="Valor inválido" error="Digite um número entre 7 e 365." sqref="C6">
      <formula1>7</formula1>
      <formula2>365</formula2>
    </dataValidation>
    <dataValidation type="whole" allowBlank="1" showInputMessage="1" showErrorMessage="1" errorTitle="Valor inválido" error="Digite um número entre 7 e 730." sqref="C7">
      <formula1>7</formula1>
      <formula2>730</formula2>
    </dataValidation>
    <dataValidation type="decimal" allowBlank="1" showInputMessage="1" showErrorMessage="1" errorTitle="Valor inválido" error="Digite um número entre 1 e 10." sqref="C8">
      <formula1>1</formula1>
      <formula2>10</formula2>
    </dataValidation>
    <dataValidation type="decimal" allowBlank="1" showInputMessage="1" showErrorMessage="1" errorTitle="Valor inválido" error="Digite um número entre 0.5 e 0.95." sqref="C9">
      <formula1>0.5</formula1>
      <formula2>0.95</formula2>
    </dataValidation>
    <dataValidation type="decimal" allowBlank="1" showInputMessage="1" showErrorMessage="1" errorTitle="Valor inválido" error="Digite um número entre 0.8 e 0.99." sqref="C10">
      <formula1>0.8</formula1>
      <formula2>0.99</formula2>
    </dataValidation>
  </dataValidations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J3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36.7109375" customWidth="1"/>
    <col min="3" max="3" width="14.7109375" customWidth="1"/>
    <col min="4" max="4" width="9.7109375" customWidth="1"/>
    <col min="5" max="5" width="22.7109375" customWidth="1"/>
    <col min="6" max="7" width="13.7109375" customWidth="1"/>
    <col min="8" max="9" width="11.7109375" customWidth="1"/>
    <col min="10" max="10" width="12.7109375" customWidth="1"/>
  </cols>
  <sheetData>
    <row r="1" spans="1:10" ht="36" customHeight="1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78</v>
      </c>
      <c r="B2" s="2"/>
      <c r="C2" s="2"/>
      <c r="D2" s="2"/>
      <c r="E2" s="2"/>
      <c r="F2" s="2"/>
      <c r="G2" s="2"/>
      <c r="H2" s="2"/>
      <c r="I2" s="2"/>
      <c r="J2" s="13" t="s">
        <v>45</v>
      </c>
    </row>
    <row r="4" spans="1:10" ht="44" customHeight="1">
      <c r="A4" s="11" t="s">
        <v>79</v>
      </c>
      <c r="B4" s="11" t="s">
        <v>80</v>
      </c>
      <c r="C4" s="11" t="s">
        <v>81</v>
      </c>
      <c r="D4" s="11" t="s">
        <v>82</v>
      </c>
      <c r="E4" s="11" t="s">
        <v>83</v>
      </c>
      <c r="F4" s="11" t="s">
        <v>84</v>
      </c>
      <c r="G4" s="11" t="s">
        <v>85</v>
      </c>
      <c r="H4" s="11" t="s">
        <v>86</v>
      </c>
      <c r="I4" s="11" t="s">
        <v>87</v>
      </c>
      <c r="J4" s="11" t="s">
        <v>88</v>
      </c>
    </row>
    <row r="5" spans="1:10">
      <c r="A5" s="15" t="s">
        <v>89</v>
      </c>
      <c r="B5" s="15" t="s">
        <v>90</v>
      </c>
      <c r="C5" s="15" t="s">
        <v>67</v>
      </c>
      <c r="D5" s="20" t="s">
        <v>59</v>
      </c>
      <c r="E5" s="15" t="s">
        <v>72</v>
      </c>
      <c r="F5" s="21">
        <v>9.5</v>
      </c>
      <c r="G5" s="21">
        <v>19.9</v>
      </c>
      <c r="H5" s="22">
        <v>72</v>
      </c>
      <c r="I5" s="22">
        <v>36</v>
      </c>
      <c r="J5" s="22">
        <v>5</v>
      </c>
    </row>
    <row r="6" spans="1:10">
      <c r="A6" s="15" t="s">
        <v>91</v>
      </c>
      <c r="B6" s="15" t="s">
        <v>92</v>
      </c>
      <c r="C6" s="15" t="s">
        <v>58</v>
      </c>
      <c r="D6" s="20" t="s">
        <v>62</v>
      </c>
      <c r="E6" s="15" t="s">
        <v>63</v>
      </c>
      <c r="F6" s="21">
        <v>22</v>
      </c>
      <c r="G6" s="21">
        <v>44.9</v>
      </c>
      <c r="H6" s="22">
        <v>24</v>
      </c>
      <c r="I6" s="22">
        <v>12</v>
      </c>
      <c r="J6" s="22">
        <v>10</v>
      </c>
    </row>
    <row r="7" spans="1:10">
      <c r="A7" s="15" t="s">
        <v>93</v>
      </c>
      <c r="B7" s="15" t="s">
        <v>94</v>
      </c>
      <c r="C7" s="15" t="s">
        <v>61</v>
      </c>
      <c r="D7" s="20" t="s">
        <v>65</v>
      </c>
      <c r="E7" s="15" t="s">
        <v>60</v>
      </c>
      <c r="F7" s="21">
        <v>21.5</v>
      </c>
      <c r="G7" s="21">
        <v>32.9</v>
      </c>
      <c r="H7" s="22">
        <v>96</v>
      </c>
      <c r="I7" s="22">
        <v>48</v>
      </c>
      <c r="J7" s="22">
        <v>3</v>
      </c>
    </row>
    <row r="8" spans="1:10">
      <c r="A8" s="15" t="s">
        <v>95</v>
      </c>
      <c r="B8" s="15" t="s">
        <v>96</v>
      </c>
      <c r="C8" s="15" t="s">
        <v>61</v>
      </c>
      <c r="D8" s="20" t="s">
        <v>65</v>
      </c>
      <c r="E8" s="15" t="s">
        <v>60</v>
      </c>
      <c r="F8" s="21">
        <v>28</v>
      </c>
      <c r="G8" s="21">
        <v>54.9</v>
      </c>
      <c r="H8" s="22">
        <v>6</v>
      </c>
      <c r="I8" s="22">
        <v>3</v>
      </c>
      <c r="J8" s="22">
        <v>7</v>
      </c>
    </row>
    <row r="9" spans="1:10">
      <c r="A9" s="15" t="s">
        <v>97</v>
      </c>
      <c r="B9" s="15" t="s">
        <v>98</v>
      </c>
      <c r="C9" s="15" t="s">
        <v>61</v>
      </c>
      <c r="D9" s="20" t="s">
        <v>59</v>
      </c>
      <c r="E9" s="15" t="s">
        <v>69</v>
      </c>
      <c r="F9" s="21">
        <v>14</v>
      </c>
      <c r="G9" s="21">
        <v>29.9</v>
      </c>
      <c r="H9" s="22">
        <v>6</v>
      </c>
      <c r="I9" s="22">
        <v>3</v>
      </c>
      <c r="J9" s="22">
        <v>5</v>
      </c>
    </row>
    <row r="10" spans="1:10">
      <c r="A10" s="15" t="s">
        <v>99</v>
      </c>
      <c r="B10" s="15" t="s">
        <v>100</v>
      </c>
      <c r="C10" s="15" t="s">
        <v>64</v>
      </c>
      <c r="D10" s="20" t="s">
        <v>59</v>
      </c>
      <c r="E10" s="15" t="s">
        <v>66</v>
      </c>
      <c r="F10" s="21">
        <v>11</v>
      </c>
      <c r="G10" s="21">
        <v>24.9</v>
      </c>
      <c r="H10" s="22">
        <v>6</v>
      </c>
      <c r="I10" s="22">
        <v>3</v>
      </c>
      <c r="J10" s="22">
        <v>5</v>
      </c>
    </row>
    <row r="11" spans="1:10">
      <c r="A11" s="15" t="s">
        <v>101</v>
      </c>
      <c r="B11" s="15" t="s">
        <v>102</v>
      </c>
      <c r="C11" s="15" t="s">
        <v>64</v>
      </c>
      <c r="D11" s="20" t="s">
        <v>59</v>
      </c>
      <c r="E11" s="15" t="s">
        <v>66</v>
      </c>
      <c r="F11" s="21">
        <v>22</v>
      </c>
      <c r="G11" s="21">
        <v>44.9</v>
      </c>
      <c r="H11" s="22">
        <v>20</v>
      </c>
      <c r="I11" s="22">
        <v>10</v>
      </c>
      <c r="J11" s="22">
        <v>3</v>
      </c>
    </row>
    <row r="12" spans="1:10">
      <c r="A12" s="15" t="s">
        <v>103</v>
      </c>
      <c r="B12" s="15" t="s">
        <v>104</v>
      </c>
      <c r="C12" s="15" t="s">
        <v>64</v>
      </c>
      <c r="D12" s="20" t="s">
        <v>59</v>
      </c>
      <c r="E12" s="15" t="s">
        <v>66</v>
      </c>
      <c r="F12" s="21">
        <v>6.5</v>
      </c>
      <c r="G12" s="21">
        <v>19.9</v>
      </c>
      <c r="H12" s="22">
        <v>32</v>
      </c>
      <c r="I12" s="22">
        <v>16</v>
      </c>
      <c r="J12" s="22">
        <v>5</v>
      </c>
    </row>
    <row r="13" spans="1:10">
      <c r="A13" s="15" t="s">
        <v>105</v>
      </c>
      <c r="B13" s="15" t="s">
        <v>106</v>
      </c>
      <c r="C13" s="15" t="s">
        <v>67</v>
      </c>
      <c r="D13" s="20" t="s">
        <v>59</v>
      </c>
      <c r="E13" s="15" t="s">
        <v>69</v>
      </c>
      <c r="F13" s="21">
        <v>46</v>
      </c>
      <c r="G13" s="21">
        <v>99.90000000000001</v>
      </c>
      <c r="H13" s="22">
        <v>12</v>
      </c>
      <c r="I13" s="22">
        <v>6</v>
      </c>
      <c r="J13" s="22">
        <v>10</v>
      </c>
    </row>
    <row r="14" spans="1:10">
      <c r="A14" s="15" t="s">
        <v>107</v>
      </c>
      <c r="B14" s="15" t="s">
        <v>108</v>
      </c>
      <c r="C14" s="15" t="s">
        <v>67</v>
      </c>
      <c r="D14" s="20" t="s">
        <v>59</v>
      </c>
      <c r="E14" s="15" t="s">
        <v>72</v>
      </c>
      <c r="F14" s="21">
        <v>8.5</v>
      </c>
      <c r="G14" s="21">
        <v>21.9</v>
      </c>
      <c r="H14" s="22">
        <v>6</v>
      </c>
      <c r="I14" s="22">
        <v>3</v>
      </c>
      <c r="J14" s="22">
        <v>5</v>
      </c>
    </row>
    <row r="15" spans="1:10">
      <c r="A15" s="15" t="s">
        <v>109</v>
      </c>
      <c r="B15" s="15" t="s">
        <v>110</v>
      </c>
      <c r="C15" s="15" t="s">
        <v>67</v>
      </c>
      <c r="D15" s="20" t="s">
        <v>62</v>
      </c>
      <c r="E15" s="15" t="s">
        <v>72</v>
      </c>
      <c r="F15" s="21">
        <v>7.9</v>
      </c>
      <c r="G15" s="21">
        <v>18.9</v>
      </c>
      <c r="H15" s="22">
        <v>10</v>
      </c>
      <c r="I15" s="22">
        <v>5</v>
      </c>
      <c r="J15" s="22">
        <v>7</v>
      </c>
    </row>
    <row r="16" spans="1:10">
      <c r="A16" s="15" t="s">
        <v>111</v>
      </c>
      <c r="B16" s="15" t="s">
        <v>112</v>
      </c>
      <c r="C16" s="15" t="s">
        <v>67</v>
      </c>
      <c r="D16" s="20" t="s">
        <v>59</v>
      </c>
      <c r="E16" s="15" t="s">
        <v>63</v>
      </c>
      <c r="F16" s="21">
        <v>1.9</v>
      </c>
      <c r="G16" s="21">
        <v>4.9</v>
      </c>
      <c r="H16" s="22">
        <v>22</v>
      </c>
      <c r="I16" s="22">
        <v>11</v>
      </c>
      <c r="J16" s="22">
        <v>7</v>
      </c>
    </row>
    <row r="17" spans="1:10">
      <c r="A17" s="15" t="s">
        <v>113</v>
      </c>
      <c r="B17" s="15" t="s">
        <v>114</v>
      </c>
      <c r="C17" s="15" t="s">
        <v>67</v>
      </c>
      <c r="D17" s="20" t="s">
        <v>59</v>
      </c>
      <c r="E17" s="15" t="s">
        <v>63</v>
      </c>
      <c r="F17" s="21">
        <v>2.8</v>
      </c>
      <c r="G17" s="21">
        <v>7.9</v>
      </c>
      <c r="H17" s="22">
        <v>12</v>
      </c>
      <c r="I17" s="22">
        <v>6</v>
      </c>
      <c r="J17" s="22">
        <v>7</v>
      </c>
    </row>
    <row r="18" spans="1:10">
      <c r="A18" s="15" t="s">
        <v>115</v>
      </c>
      <c r="B18" s="15" t="s">
        <v>116</v>
      </c>
      <c r="C18" s="15" t="s">
        <v>70</v>
      </c>
      <c r="D18" s="20" t="s">
        <v>59</v>
      </c>
      <c r="E18" s="15" t="s">
        <v>60</v>
      </c>
      <c r="F18" s="21">
        <v>1.6</v>
      </c>
      <c r="G18" s="21">
        <v>4.5</v>
      </c>
      <c r="H18" s="22">
        <v>30</v>
      </c>
      <c r="I18" s="22">
        <v>15</v>
      </c>
      <c r="J18" s="22">
        <v>3</v>
      </c>
    </row>
    <row r="19" spans="1:10">
      <c r="A19" s="15" t="s">
        <v>117</v>
      </c>
      <c r="B19" s="15" t="s">
        <v>118</v>
      </c>
      <c r="C19" s="15" t="s">
        <v>70</v>
      </c>
      <c r="D19" s="20" t="s">
        <v>65</v>
      </c>
      <c r="E19" s="15" t="s">
        <v>69</v>
      </c>
      <c r="F19" s="21">
        <v>15</v>
      </c>
      <c r="G19" s="21">
        <v>29.9</v>
      </c>
      <c r="H19" s="22">
        <v>18</v>
      </c>
      <c r="I19" s="22">
        <v>3</v>
      </c>
      <c r="J19" s="22">
        <v>3</v>
      </c>
    </row>
    <row r="20" spans="1:10">
      <c r="A20" s="15" t="s">
        <v>119</v>
      </c>
      <c r="B20" s="15" t="s">
        <v>120</v>
      </c>
      <c r="C20" s="15" t="s">
        <v>70</v>
      </c>
      <c r="D20" s="20" t="s">
        <v>59</v>
      </c>
      <c r="E20" s="15" t="s">
        <v>69</v>
      </c>
      <c r="F20" s="21">
        <v>32</v>
      </c>
      <c r="G20" s="21">
        <v>59.9</v>
      </c>
      <c r="H20" s="22">
        <v>6</v>
      </c>
      <c r="I20" s="22">
        <v>3</v>
      </c>
      <c r="J20" s="22">
        <v>10</v>
      </c>
    </row>
    <row r="21" spans="1:10">
      <c r="A21" s="15" t="s">
        <v>121</v>
      </c>
      <c r="B21" s="15" t="s">
        <v>122</v>
      </c>
      <c r="C21" s="15" t="s">
        <v>70</v>
      </c>
      <c r="D21" s="20" t="s">
        <v>65</v>
      </c>
      <c r="E21" s="15" t="s">
        <v>69</v>
      </c>
      <c r="F21" s="21">
        <v>24</v>
      </c>
      <c r="G21" s="21">
        <v>47.9</v>
      </c>
      <c r="H21" s="22">
        <v>6</v>
      </c>
      <c r="I21" s="22">
        <v>3</v>
      </c>
      <c r="J21" s="22">
        <v>7</v>
      </c>
    </row>
    <row r="22" spans="1:10">
      <c r="A22" s="15" t="s">
        <v>123</v>
      </c>
      <c r="B22" s="15" t="s">
        <v>124</v>
      </c>
      <c r="C22" s="15" t="s">
        <v>73</v>
      </c>
      <c r="D22" s="20" t="s">
        <v>71</v>
      </c>
      <c r="E22" s="15" t="s">
        <v>60</v>
      </c>
      <c r="F22" s="21">
        <v>6.2</v>
      </c>
      <c r="G22" s="21">
        <v>12.9</v>
      </c>
      <c r="H22" s="22">
        <v>10</v>
      </c>
      <c r="I22" s="22">
        <v>5</v>
      </c>
      <c r="J22" s="22">
        <v>7</v>
      </c>
    </row>
    <row r="23" spans="1:10">
      <c r="A23" s="15" t="s">
        <v>125</v>
      </c>
      <c r="B23" s="15" t="s">
        <v>126</v>
      </c>
      <c r="C23" s="15" t="s">
        <v>73</v>
      </c>
      <c r="D23" s="20" t="s">
        <v>65</v>
      </c>
      <c r="E23" s="15" t="s">
        <v>60</v>
      </c>
      <c r="F23" s="21">
        <v>5.9</v>
      </c>
      <c r="G23" s="21">
        <v>11.9</v>
      </c>
      <c r="H23" s="22">
        <v>12</v>
      </c>
      <c r="I23" s="22">
        <v>6</v>
      </c>
      <c r="J23" s="22">
        <v>7</v>
      </c>
    </row>
    <row r="24" spans="1:10">
      <c r="A24" s="15" t="s">
        <v>127</v>
      </c>
      <c r="B24" s="15" t="s">
        <v>128</v>
      </c>
      <c r="C24" s="15" t="s">
        <v>75</v>
      </c>
      <c r="D24" s="20" t="s">
        <v>59</v>
      </c>
      <c r="E24" s="15" t="s">
        <v>66</v>
      </c>
      <c r="F24" s="21">
        <v>7.5</v>
      </c>
      <c r="G24" s="21">
        <v>16.9</v>
      </c>
      <c r="H24" s="22">
        <v>8</v>
      </c>
      <c r="I24" s="22">
        <v>4</v>
      </c>
      <c r="J24" s="22">
        <v>10</v>
      </c>
    </row>
    <row r="25" spans="1:10">
      <c r="A25" s="15" t="s">
        <v>129</v>
      </c>
      <c r="B25" s="15" t="s">
        <v>130</v>
      </c>
      <c r="C25" s="15" t="s">
        <v>75</v>
      </c>
      <c r="D25" s="20" t="s">
        <v>59</v>
      </c>
      <c r="E25" s="15" t="s">
        <v>66</v>
      </c>
      <c r="F25" s="21">
        <v>4.2</v>
      </c>
      <c r="G25" s="21">
        <v>12.9</v>
      </c>
      <c r="H25" s="22">
        <v>12</v>
      </c>
      <c r="I25" s="22">
        <v>6</v>
      </c>
      <c r="J25" s="22">
        <v>5</v>
      </c>
    </row>
    <row r="26" spans="1:10">
      <c r="A26" s="15" t="s">
        <v>131</v>
      </c>
      <c r="B26" s="15" t="s">
        <v>132</v>
      </c>
      <c r="C26" s="15" t="s">
        <v>75</v>
      </c>
      <c r="D26" s="20" t="s">
        <v>59</v>
      </c>
      <c r="E26" s="15" t="s">
        <v>66</v>
      </c>
      <c r="F26" s="21">
        <v>9.9</v>
      </c>
      <c r="G26" s="21">
        <v>24.9</v>
      </c>
      <c r="H26" s="22">
        <v>6</v>
      </c>
      <c r="I26" s="22">
        <v>3</v>
      </c>
      <c r="J26" s="22">
        <v>10</v>
      </c>
    </row>
    <row r="27" spans="1:10">
      <c r="A27" s="15" t="s">
        <v>133</v>
      </c>
      <c r="B27" s="15" t="s">
        <v>134</v>
      </c>
      <c r="C27" s="15" t="s">
        <v>58</v>
      </c>
      <c r="D27" s="20" t="s">
        <v>59</v>
      </c>
      <c r="E27" s="15" t="s">
        <v>72</v>
      </c>
      <c r="F27" s="21">
        <v>14</v>
      </c>
      <c r="G27" s="21">
        <v>34.9</v>
      </c>
      <c r="H27" s="22">
        <v>18</v>
      </c>
      <c r="I27" s="22">
        <v>3</v>
      </c>
      <c r="J27" s="22">
        <v>7</v>
      </c>
    </row>
    <row r="28" spans="1:10">
      <c r="A28" s="15" t="s">
        <v>135</v>
      </c>
      <c r="B28" s="15" t="s">
        <v>136</v>
      </c>
      <c r="C28" s="15" t="s">
        <v>58</v>
      </c>
      <c r="D28" s="20" t="s">
        <v>62</v>
      </c>
      <c r="E28" s="15" t="s">
        <v>63</v>
      </c>
      <c r="F28" s="21">
        <v>9.800000000000001</v>
      </c>
      <c r="G28" s="21">
        <v>22.9</v>
      </c>
      <c r="H28" s="22">
        <v>6</v>
      </c>
      <c r="I28" s="22">
        <v>3</v>
      </c>
      <c r="J28" s="22">
        <v>3</v>
      </c>
    </row>
    <row r="29" spans="1:10">
      <c r="A29" s="15" t="s">
        <v>137</v>
      </c>
      <c r="B29" s="15" t="s">
        <v>138</v>
      </c>
      <c r="C29" s="15" t="s">
        <v>58</v>
      </c>
      <c r="D29" s="20" t="s">
        <v>65</v>
      </c>
      <c r="E29" s="15" t="s">
        <v>63</v>
      </c>
      <c r="F29" s="21">
        <v>3.4</v>
      </c>
      <c r="G29" s="21">
        <v>8.9</v>
      </c>
      <c r="H29" s="22">
        <v>16</v>
      </c>
      <c r="I29" s="22">
        <v>8</v>
      </c>
      <c r="J29" s="22">
        <v>10</v>
      </c>
    </row>
    <row r="30" spans="1:10">
      <c r="A30" s="15" t="s">
        <v>139</v>
      </c>
      <c r="B30" s="15" t="s">
        <v>140</v>
      </c>
      <c r="C30" s="15" t="s">
        <v>61</v>
      </c>
      <c r="D30" s="20" t="s">
        <v>59</v>
      </c>
      <c r="E30" s="15" t="s">
        <v>66</v>
      </c>
      <c r="F30" s="21">
        <v>17</v>
      </c>
      <c r="G30" s="21">
        <v>39.9</v>
      </c>
      <c r="H30" s="22">
        <v>6</v>
      </c>
      <c r="I30" s="22">
        <v>3</v>
      </c>
      <c r="J30" s="22">
        <v>10</v>
      </c>
    </row>
    <row r="31" spans="1:10">
      <c r="A31" s="15" t="s">
        <v>141</v>
      </c>
      <c r="B31" s="15" t="s">
        <v>142</v>
      </c>
      <c r="C31" s="15" t="s">
        <v>67</v>
      </c>
      <c r="D31" s="20" t="s">
        <v>59</v>
      </c>
      <c r="E31" s="15" t="s">
        <v>72</v>
      </c>
      <c r="F31" s="21">
        <v>21</v>
      </c>
      <c r="G31" s="21">
        <v>44.9</v>
      </c>
      <c r="H31" s="22">
        <v>6</v>
      </c>
      <c r="I31" s="22">
        <v>3</v>
      </c>
      <c r="J31" s="22">
        <v>7</v>
      </c>
    </row>
    <row r="32" spans="1:10">
      <c r="A32" s="15" t="s">
        <v>143</v>
      </c>
      <c r="B32" s="15" t="s">
        <v>144</v>
      </c>
      <c r="C32" s="15" t="s">
        <v>67</v>
      </c>
      <c r="D32" s="20" t="s">
        <v>59</v>
      </c>
      <c r="E32" s="15" t="s">
        <v>63</v>
      </c>
      <c r="F32" s="21">
        <v>0.9</v>
      </c>
      <c r="G32" s="21">
        <v>3.5</v>
      </c>
      <c r="H32" s="22">
        <v>18</v>
      </c>
      <c r="I32" s="22">
        <v>9</v>
      </c>
      <c r="J32" s="22">
        <v>10</v>
      </c>
    </row>
    <row r="33" spans="1:10">
      <c r="A33" s="15" t="s">
        <v>145</v>
      </c>
      <c r="B33" s="15" t="s">
        <v>146</v>
      </c>
      <c r="C33" s="15" t="s">
        <v>61</v>
      </c>
      <c r="D33" s="20" t="s">
        <v>65</v>
      </c>
      <c r="E33" s="15" t="s">
        <v>60</v>
      </c>
      <c r="F33" s="21">
        <v>6.4</v>
      </c>
      <c r="G33" s="21">
        <v>14.9</v>
      </c>
      <c r="H33" s="22">
        <v>9</v>
      </c>
      <c r="I33" s="22">
        <v>3</v>
      </c>
      <c r="J33" s="22">
        <v>3</v>
      </c>
    </row>
    <row r="34" spans="1:10">
      <c r="A34" s="15" t="s">
        <v>147</v>
      </c>
      <c r="B34" s="15" t="s">
        <v>148</v>
      </c>
      <c r="C34" s="15" t="s">
        <v>64</v>
      </c>
      <c r="D34" s="20" t="s">
        <v>59</v>
      </c>
      <c r="E34" s="15" t="s">
        <v>66</v>
      </c>
      <c r="F34" s="21">
        <v>62</v>
      </c>
      <c r="G34" s="21">
        <v>119.9</v>
      </c>
      <c r="H34" s="22">
        <v>6</v>
      </c>
      <c r="I34" s="22">
        <v>3</v>
      </c>
      <c r="J34" s="22">
        <v>10</v>
      </c>
    </row>
    <row r="35" spans="1:10">
      <c r="A35" s="15" t="s">
        <v>149</v>
      </c>
      <c r="B35" s="15" t="s">
        <v>150</v>
      </c>
      <c r="C35" s="15" t="s">
        <v>64</v>
      </c>
      <c r="D35" s="20" t="s">
        <v>59</v>
      </c>
      <c r="E35" s="15" t="s">
        <v>66</v>
      </c>
      <c r="F35" s="21">
        <v>4.9</v>
      </c>
      <c r="G35" s="21">
        <v>14.9</v>
      </c>
      <c r="H35" s="22">
        <v>6</v>
      </c>
      <c r="I35" s="22">
        <v>3</v>
      </c>
      <c r="J35" s="22">
        <v>3</v>
      </c>
    </row>
    <row r="36" spans="1:10">
      <c r="A36" s="15" t="s">
        <v>151</v>
      </c>
      <c r="B36" s="15" t="s">
        <v>152</v>
      </c>
      <c r="C36" s="15" t="s">
        <v>61</v>
      </c>
      <c r="D36" s="20" t="s">
        <v>62</v>
      </c>
      <c r="E36" s="15" t="s">
        <v>63</v>
      </c>
      <c r="F36" s="21">
        <v>1.8</v>
      </c>
      <c r="G36" s="21">
        <v>4.9</v>
      </c>
      <c r="H36" s="22">
        <v>18</v>
      </c>
      <c r="I36" s="22">
        <v>6</v>
      </c>
      <c r="J36" s="22">
        <v>10</v>
      </c>
    </row>
    <row r="37" spans="1:10">
      <c r="A37" s="15" t="s">
        <v>153</v>
      </c>
      <c r="B37" s="15" t="s">
        <v>154</v>
      </c>
      <c r="C37" s="15" t="s">
        <v>61</v>
      </c>
      <c r="D37" s="20" t="s">
        <v>65</v>
      </c>
      <c r="E37" s="15" t="s">
        <v>60</v>
      </c>
      <c r="F37" s="21">
        <v>14</v>
      </c>
      <c r="G37" s="21">
        <v>29.9</v>
      </c>
      <c r="H37" s="22">
        <v>6</v>
      </c>
      <c r="I37" s="22">
        <v>3</v>
      </c>
      <c r="J37" s="22">
        <v>10</v>
      </c>
    </row>
    <row r="38" spans="1:10">
      <c r="A38" s="15" t="s">
        <v>155</v>
      </c>
      <c r="B38" s="15" t="s">
        <v>156</v>
      </c>
      <c r="C38" s="15" t="s">
        <v>67</v>
      </c>
      <c r="D38" s="20" t="s">
        <v>62</v>
      </c>
      <c r="E38" s="15" t="s">
        <v>72</v>
      </c>
      <c r="F38" s="21">
        <v>8.699999999999999</v>
      </c>
      <c r="G38" s="21">
        <v>19.9</v>
      </c>
      <c r="H38" s="22">
        <v>6</v>
      </c>
      <c r="I38" s="22">
        <v>3</v>
      </c>
      <c r="J38" s="22">
        <v>7</v>
      </c>
    </row>
    <row r="39" spans="1:10">
      <c r="A39" s="15" t="s">
        <v>157</v>
      </c>
      <c r="B39" s="15" t="s">
        <v>158</v>
      </c>
      <c r="C39" s="15" t="s">
        <v>64</v>
      </c>
      <c r="D39" s="20" t="s">
        <v>65</v>
      </c>
      <c r="E39" s="15" t="s">
        <v>66</v>
      </c>
      <c r="F39" s="21">
        <v>12.5</v>
      </c>
      <c r="G39" s="21">
        <v>27.9</v>
      </c>
      <c r="H39" s="22">
        <v>6</v>
      </c>
      <c r="I39" s="22">
        <v>3</v>
      </c>
      <c r="J39" s="22">
        <v>5</v>
      </c>
    </row>
    <row r="40" spans="1:10">
      <c r="A40" s="15" t="s">
        <v>159</v>
      </c>
      <c r="B40" s="15" t="s">
        <v>160</v>
      </c>
      <c r="C40" s="15" t="s">
        <v>73</v>
      </c>
      <c r="D40" s="20" t="s">
        <v>62</v>
      </c>
      <c r="E40" s="15" t="s">
        <v>60</v>
      </c>
      <c r="F40" s="21">
        <v>21</v>
      </c>
      <c r="G40" s="21">
        <v>39.9</v>
      </c>
      <c r="H40" s="22">
        <v>6</v>
      </c>
      <c r="I40" s="22">
        <v>3</v>
      </c>
      <c r="J40" s="22">
        <v>5</v>
      </c>
    </row>
    <row r="41" spans="1:10">
      <c r="A41" s="15" t="s">
        <v>161</v>
      </c>
      <c r="B41" s="15" t="s">
        <v>162</v>
      </c>
      <c r="C41" s="15" t="s">
        <v>70</v>
      </c>
      <c r="D41" s="20" t="s">
        <v>65</v>
      </c>
      <c r="E41" s="15" t="s">
        <v>69</v>
      </c>
      <c r="F41" s="21">
        <v>11</v>
      </c>
      <c r="G41" s="21">
        <v>24.9</v>
      </c>
      <c r="H41" s="22">
        <v>18</v>
      </c>
      <c r="I41" s="22">
        <v>3</v>
      </c>
      <c r="J41" s="22">
        <v>3</v>
      </c>
    </row>
    <row r="42" spans="1:10">
      <c r="A42" s="15" t="s">
        <v>163</v>
      </c>
      <c r="B42" s="15" t="s">
        <v>164</v>
      </c>
      <c r="C42" s="15" t="s">
        <v>75</v>
      </c>
      <c r="D42" s="20" t="s">
        <v>59</v>
      </c>
      <c r="E42" s="15" t="s">
        <v>69</v>
      </c>
      <c r="F42" s="21">
        <v>18</v>
      </c>
      <c r="G42" s="21">
        <v>42.9</v>
      </c>
      <c r="H42" s="22">
        <v>6</v>
      </c>
      <c r="I42" s="22">
        <v>3</v>
      </c>
      <c r="J42" s="22">
        <v>7</v>
      </c>
    </row>
    <row r="43" spans="1:10">
      <c r="A43" s="15" t="s">
        <v>165</v>
      </c>
      <c r="B43" s="15" t="s">
        <v>166</v>
      </c>
      <c r="C43" s="15" t="s">
        <v>67</v>
      </c>
      <c r="D43" s="20" t="s">
        <v>59</v>
      </c>
      <c r="E43" s="15" t="s">
        <v>63</v>
      </c>
      <c r="F43" s="21">
        <v>1.4</v>
      </c>
      <c r="G43" s="21">
        <v>4.9</v>
      </c>
      <c r="H43" s="22">
        <v>27</v>
      </c>
      <c r="I43" s="22">
        <v>9</v>
      </c>
      <c r="J43" s="22">
        <v>10</v>
      </c>
    </row>
    <row r="44" spans="1:10">
      <c r="A44" s="15" t="s">
        <v>167</v>
      </c>
      <c r="B44" s="15" t="s">
        <v>168</v>
      </c>
      <c r="C44" s="15" t="s">
        <v>75</v>
      </c>
      <c r="D44" s="20" t="s">
        <v>59</v>
      </c>
      <c r="E44" s="15" t="s">
        <v>66</v>
      </c>
      <c r="F44" s="21">
        <v>6.2</v>
      </c>
      <c r="G44" s="21">
        <v>17.9</v>
      </c>
      <c r="H44" s="22">
        <v>6</v>
      </c>
      <c r="I44" s="22">
        <v>3</v>
      </c>
      <c r="J44" s="22">
        <v>3</v>
      </c>
    </row>
    <row r="45" spans="1:10">
      <c r="A45" s="15"/>
      <c r="B45" s="15"/>
      <c r="C45" s="15"/>
      <c r="D45" s="20"/>
      <c r="E45" s="15"/>
      <c r="F45" s="21"/>
      <c r="G45" s="21"/>
      <c r="H45" s="22"/>
      <c r="I45" s="22"/>
      <c r="J45" s="22"/>
    </row>
    <row r="46" spans="1:10">
      <c r="A46" s="15"/>
      <c r="B46" s="15"/>
      <c r="C46" s="15"/>
      <c r="D46" s="20"/>
      <c r="E46" s="15"/>
      <c r="F46" s="21"/>
      <c r="G46" s="21"/>
      <c r="H46" s="22"/>
      <c r="I46" s="22"/>
      <c r="J46" s="22"/>
    </row>
    <row r="47" spans="1:10">
      <c r="A47" s="15"/>
      <c r="B47" s="15"/>
      <c r="C47" s="15"/>
      <c r="D47" s="20"/>
      <c r="E47" s="15"/>
      <c r="F47" s="21"/>
      <c r="G47" s="21"/>
      <c r="H47" s="22"/>
      <c r="I47" s="22"/>
      <c r="J47" s="22"/>
    </row>
    <row r="48" spans="1:10">
      <c r="A48" s="15"/>
      <c r="B48" s="15"/>
      <c r="C48" s="15"/>
      <c r="D48" s="20"/>
      <c r="E48" s="15"/>
      <c r="F48" s="21"/>
      <c r="G48" s="21"/>
      <c r="H48" s="22"/>
      <c r="I48" s="22"/>
      <c r="J48" s="22"/>
    </row>
    <row r="49" spans="1:10">
      <c r="A49" s="15"/>
      <c r="B49" s="15"/>
      <c r="C49" s="15"/>
      <c r="D49" s="20"/>
      <c r="E49" s="15"/>
      <c r="F49" s="21"/>
      <c r="G49" s="21"/>
      <c r="H49" s="22"/>
      <c r="I49" s="22"/>
      <c r="J49" s="22"/>
    </row>
    <row r="50" spans="1:10">
      <c r="A50" s="15"/>
      <c r="B50" s="15"/>
      <c r="C50" s="15"/>
      <c r="D50" s="20"/>
      <c r="E50" s="15"/>
      <c r="F50" s="21"/>
      <c r="G50" s="21"/>
      <c r="H50" s="22"/>
      <c r="I50" s="22"/>
      <c r="J50" s="22"/>
    </row>
    <row r="51" spans="1:10">
      <c r="A51" s="15"/>
      <c r="B51" s="15"/>
      <c r="C51" s="15"/>
      <c r="D51" s="20"/>
      <c r="E51" s="15"/>
      <c r="F51" s="21"/>
      <c r="G51" s="21"/>
      <c r="H51" s="22"/>
      <c r="I51" s="22"/>
      <c r="J51" s="22"/>
    </row>
    <row r="52" spans="1:10">
      <c r="A52" s="15"/>
      <c r="B52" s="15"/>
      <c r="C52" s="15"/>
      <c r="D52" s="20"/>
      <c r="E52" s="15"/>
      <c r="F52" s="21"/>
      <c r="G52" s="21"/>
      <c r="H52" s="22"/>
      <c r="I52" s="22"/>
      <c r="J52" s="22"/>
    </row>
    <row r="53" spans="1:10">
      <c r="A53" s="15"/>
      <c r="B53" s="15"/>
      <c r="C53" s="15"/>
      <c r="D53" s="20"/>
      <c r="E53" s="15"/>
      <c r="F53" s="21"/>
      <c r="G53" s="21"/>
      <c r="H53" s="22"/>
      <c r="I53" s="22"/>
      <c r="J53" s="22"/>
    </row>
    <row r="54" spans="1:10">
      <c r="A54" s="15"/>
      <c r="B54" s="15"/>
      <c r="C54" s="15"/>
      <c r="D54" s="20"/>
      <c r="E54" s="15"/>
      <c r="F54" s="21"/>
      <c r="G54" s="21"/>
      <c r="H54" s="22"/>
      <c r="I54" s="22"/>
      <c r="J54" s="22"/>
    </row>
    <row r="55" spans="1:10">
      <c r="A55" s="15"/>
      <c r="B55" s="15"/>
      <c r="C55" s="15"/>
      <c r="D55" s="20"/>
      <c r="E55" s="15"/>
      <c r="F55" s="21"/>
      <c r="G55" s="21"/>
      <c r="H55" s="22"/>
      <c r="I55" s="22"/>
      <c r="J55" s="22"/>
    </row>
    <row r="56" spans="1:10">
      <c r="A56" s="15"/>
      <c r="B56" s="15"/>
      <c r="C56" s="15"/>
      <c r="D56" s="20"/>
      <c r="E56" s="15"/>
      <c r="F56" s="21"/>
      <c r="G56" s="21"/>
      <c r="H56" s="22"/>
      <c r="I56" s="22"/>
      <c r="J56" s="22"/>
    </row>
    <row r="57" spans="1:10">
      <c r="A57" s="15"/>
      <c r="B57" s="15"/>
      <c r="C57" s="15"/>
      <c r="D57" s="20"/>
      <c r="E57" s="15"/>
      <c r="F57" s="21"/>
      <c r="G57" s="21"/>
      <c r="H57" s="22"/>
      <c r="I57" s="22"/>
      <c r="J57" s="22"/>
    </row>
    <row r="58" spans="1:10">
      <c r="A58" s="15"/>
      <c r="B58" s="15"/>
      <c r="C58" s="15"/>
      <c r="D58" s="20"/>
      <c r="E58" s="15"/>
      <c r="F58" s="21"/>
      <c r="G58" s="21"/>
      <c r="H58" s="22"/>
      <c r="I58" s="22"/>
      <c r="J58" s="22"/>
    </row>
    <row r="59" spans="1:10">
      <c r="A59" s="15"/>
      <c r="B59" s="15"/>
      <c r="C59" s="15"/>
      <c r="D59" s="20"/>
      <c r="E59" s="15"/>
      <c r="F59" s="21"/>
      <c r="G59" s="21"/>
      <c r="H59" s="22"/>
      <c r="I59" s="22"/>
      <c r="J59" s="22"/>
    </row>
    <row r="60" spans="1:10">
      <c r="A60" s="15"/>
      <c r="B60" s="15"/>
      <c r="C60" s="15"/>
      <c r="D60" s="20"/>
      <c r="E60" s="15"/>
      <c r="F60" s="21"/>
      <c r="G60" s="21"/>
      <c r="H60" s="22"/>
      <c r="I60" s="22"/>
      <c r="J60" s="22"/>
    </row>
    <row r="61" spans="1:10">
      <c r="A61" s="15"/>
      <c r="B61" s="15"/>
      <c r="C61" s="15"/>
      <c r="D61" s="20"/>
      <c r="E61" s="15"/>
      <c r="F61" s="21"/>
      <c r="G61" s="21"/>
      <c r="H61" s="22"/>
      <c r="I61" s="22"/>
      <c r="J61" s="22"/>
    </row>
    <row r="62" spans="1:10">
      <c r="A62" s="15"/>
      <c r="B62" s="15"/>
      <c r="C62" s="15"/>
      <c r="D62" s="20"/>
      <c r="E62" s="15"/>
      <c r="F62" s="21"/>
      <c r="G62" s="21"/>
      <c r="H62" s="22"/>
      <c r="I62" s="22"/>
      <c r="J62" s="22"/>
    </row>
    <row r="63" spans="1:10">
      <c r="A63" s="15"/>
      <c r="B63" s="15"/>
      <c r="C63" s="15"/>
      <c r="D63" s="20"/>
      <c r="E63" s="15"/>
      <c r="F63" s="21"/>
      <c r="G63" s="21"/>
      <c r="H63" s="22"/>
      <c r="I63" s="22"/>
      <c r="J63" s="22"/>
    </row>
    <row r="64" spans="1:10">
      <c r="A64" s="15"/>
      <c r="B64" s="15"/>
      <c r="C64" s="15"/>
      <c r="D64" s="20"/>
      <c r="E64" s="15"/>
      <c r="F64" s="21"/>
      <c r="G64" s="21"/>
      <c r="H64" s="22"/>
      <c r="I64" s="22"/>
      <c r="J64" s="22"/>
    </row>
    <row r="65" spans="1:10">
      <c r="A65" s="15"/>
      <c r="B65" s="15"/>
      <c r="C65" s="15"/>
      <c r="D65" s="20"/>
      <c r="E65" s="15"/>
      <c r="F65" s="21"/>
      <c r="G65" s="21"/>
      <c r="H65" s="22"/>
      <c r="I65" s="22"/>
      <c r="J65" s="22"/>
    </row>
    <row r="66" spans="1:10">
      <c r="A66" s="15"/>
      <c r="B66" s="15"/>
      <c r="C66" s="15"/>
      <c r="D66" s="20"/>
      <c r="E66" s="15"/>
      <c r="F66" s="21"/>
      <c r="G66" s="21"/>
      <c r="H66" s="22"/>
      <c r="I66" s="22"/>
      <c r="J66" s="22"/>
    </row>
    <row r="67" spans="1:10">
      <c r="A67" s="15"/>
      <c r="B67" s="15"/>
      <c r="C67" s="15"/>
      <c r="D67" s="20"/>
      <c r="E67" s="15"/>
      <c r="F67" s="21"/>
      <c r="G67" s="21"/>
      <c r="H67" s="22"/>
      <c r="I67" s="22"/>
      <c r="J67" s="22"/>
    </row>
    <row r="68" spans="1:10">
      <c r="A68" s="15"/>
      <c r="B68" s="15"/>
      <c r="C68" s="15"/>
      <c r="D68" s="20"/>
      <c r="E68" s="15"/>
      <c r="F68" s="21"/>
      <c r="G68" s="21"/>
      <c r="H68" s="22"/>
      <c r="I68" s="22"/>
      <c r="J68" s="22"/>
    </row>
    <row r="69" spans="1:10">
      <c r="A69" s="15"/>
      <c r="B69" s="15"/>
      <c r="C69" s="15"/>
      <c r="D69" s="20"/>
      <c r="E69" s="15"/>
      <c r="F69" s="21"/>
      <c r="G69" s="21"/>
      <c r="H69" s="22"/>
      <c r="I69" s="22"/>
      <c r="J69" s="22"/>
    </row>
    <row r="70" spans="1:10">
      <c r="A70" s="15"/>
      <c r="B70" s="15"/>
      <c r="C70" s="15"/>
      <c r="D70" s="20"/>
      <c r="E70" s="15"/>
      <c r="F70" s="21"/>
      <c r="G70" s="21"/>
      <c r="H70" s="22"/>
      <c r="I70" s="22"/>
      <c r="J70" s="22"/>
    </row>
    <row r="71" spans="1:10">
      <c r="A71" s="15"/>
      <c r="B71" s="15"/>
      <c r="C71" s="15"/>
      <c r="D71" s="20"/>
      <c r="E71" s="15"/>
      <c r="F71" s="21"/>
      <c r="G71" s="21"/>
      <c r="H71" s="22"/>
      <c r="I71" s="22"/>
      <c r="J71" s="22"/>
    </row>
    <row r="72" spans="1:10">
      <c r="A72" s="15"/>
      <c r="B72" s="15"/>
      <c r="C72" s="15"/>
      <c r="D72" s="20"/>
      <c r="E72" s="15"/>
      <c r="F72" s="21"/>
      <c r="G72" s="21"/>
      <c r="H72" s="22"/>
      <c r="I72" s="22"/>
      <c r="J72" s="22"/>
    </row>
    <row r="73" spans="1:10">
      <c r="A73" s="15"/>
      <c r="B73" s="15"/>
      <c r="C73" s="15"/>
      <c r="D73" s="20"/>
      <c r="E73" s="15"/>
      <c r="F73" s="21"/>
      <c r="G73" s="21"/>
      <c r="H73" s="22"/>
      <c r="I73" s="22"/>
      <c r="J73" s="22"/>
    </row>
    <row r="74" spans="1:10">
      <c r="A74" s="15"/>
      <c r="B74" s="15"/>
      <c r="C74" s="15"/>
      <c r="D74" s="20"/>
      <c r="E74" s="15"/>
      <c r="F74" s="21"/>
      <c r="G74" s="21"/>
      <c r="H74" s="22"/>
      <c r="I74" s="22"/>
      <c r="J74" s="22"/>
    </row>
    <row r="75" spans="1:10">
      <c r="A75" s="15"/>
      <c r="B75" s="15"/>
      <c r="C75" s="15"/>
      <c r="D75" s="20"/>
      <c r="E75" s="15"/>
      <c r="F75" s="21"/>
      <c r="G75" s="21"/>
      <c r="H75" s="22"/>
      <c r="I75" s="22"/>
      <c r="J75" s="22"/>
    </row>
    <row r="76" spans="1:10">
      <c r="A76" s="15"/>
      <c r="B76" s="15"/>
      <c r="C76" s="15"/>
      <c r="D76" s="20"/>
      <c r="E76" s="15"/>
      <c r="F76" s="21"/>
      <c r="G76" s="21"/>
      <c r="H76" s="22"/>
      <c r="I76" s="22"/>
      <c r="J76" s="22"/>
    </row>
    <row r="77" spans="1:10">
      <c r="A77" s="15"/>
      <c r="B77" s="15"/>
      <c r="C77" s="15"/>
      <c r="D77" s="20"/>
      <c r="E77" s="15"/>
      <c r="F77" s="21"/>
      <c r="G77" s="21"/>
      <c r="H77" s="22"/>
      <c r="I77" s="22"/>
      <c r="J77" s="22"/>
    </row>
    <row r="78" spans="1:10">
      <c r="A78" s="15"/>
      <c r="B78" s="15"/>
      <c r="C78" s="15"/>
      <c r="D78" s="20"/>
      <c r="E78" s="15"/>
      <c r="F78" s="21"/>
      <c r="G78" s="21"/>
      <c r="H78" s="22"/>
      <c r="I78" s="22"/>
      <c r="J78" s="22"/>
    </row>
    <row r="79" spans="1:10">
      <c r="A79" s="15"/>
      <c r="B79" s="15"/>
      <c r="C79" s="15"/>
      <c r="D79" s="20"/>
      <c r="E79" s="15"/>
      <c r="F79" s="21"/>
      <c r="G79" s="21"/>
      <c r="H79" s="22"/>
      <c r="I79" s="22"/>
      <c r="J79" s="22"/>
    </row>
    <row r="80" spans="1:10">
      <c r="A80" s="15"/>
      <c r="B80" s="15"/>
      <c r="C80" s="15"/>
      <c r="D80" s="20"/>
      <c r="E80" s="15"/>
      <c r="F80" s="21"/>
      <c r="G80" s="21"/>
      <c r="H80" s="22"/>
      <c r="I80" s="22"/>
      <c r="J80" s="22"/>
    </row>
    <row r="81" spans="1:10">
      <c r="A81" s="15"/>
      <c r="B81" s="15"/>
      <c r="C81" s="15"/>
      <c r="D81" s="20"/>
      <c r="E81" s="15"/>
      <c r="F81" s="21"/>
      <c r="G81" s="21"/>
      <c r="H81" s="22"/>
      <c r="I81" s="22"/>
      <c r="J81" s="22"/>
    </row>
    <row r="82" spans="1:10">
      <c r="A82" s="15"/>
      <c r="B82" s="15"/>
      <c r="C82" s="15"/>
      <c r="D82" s="20"/>
      <c r="E82" s="15"/>
      <c r="F82" s="21"/>
      <c r="G82" s="21"/>
      <c r="H82" s="22"/>
      <c r="I82" s="22"/>
      <c r="J82" s="22"/>
    </row>
    <row r="83" spans="1:10">
      <c r="A83" s="15"/>
      <c r="B83" s="15"/>
      <c r="C83" s="15"/>
      <c r="D83" s="20"/>
      <c r="E83" s="15"/>
      <c r="F83" s="21"/>
      <c r="G83" s="21"/>
      <c r="H83" s="22"/>
      <c r="I83" s="22"/>
      <c r="J83" s="22"/>
    </row>
    <row r="84" spans="1:10">
      <c r="A84" s="15"/>
      <c r="B84" s="15"/>
      <c r="C84" s="15"/>
      <c r="D84" s="20"/>
      <c r="E84" s="15"/>
      <c r="F84" s="21"/>
      <c r="G84" s="21"/>
      <c r="H84" s="22"/>
      <c r="I84" s="22"/>
      <c r="J84" s="22"/>
    </row>
    <row r="85" spans="1:10">
      <c r="A85" s="15"/>
      <c r="B85" s="15"/>
      <c r="C85" s="15"/>
      <c r="D85" s="20"/>
      <c r="E85" s="15"/>
      <c r="F85" s="21"/>
      <c r="G85" s="21"/>
      <c r="H85" s="22"/>
      <c r="I85" s="22"/>
      <c r="J85" s="22"/>
    </row>
    <row r="86" spans="1:10">
      <c r="A86" s="15"/>
      <c r="B86" s="15"/>
      <c r="C86" s="15"/>
      <c r="D86" s="20"/>
      <c r="E86" s="15"/>
      <c r="F86" s="21"/>
      <c r="G86" s="21"/>
      <c r="H86" s="22"/>
      <c r="I86" s="22"/>
      <c r="J86" s="22"/>
    </row>
    <row r="87" spans="1:10">
      <c r="A87" s="15"/>
      <c r="B87" s="15"/>
      <c r="C87" s="15"/>
      <c r="D87" s="20"/>
      <c r="E87" s="15"/>
      <c r="F87" s="21"/>
      <c r="G87" s="21"/>
      <c r="H87" s="22"/>
      <c r="I87" s="22"/>
      <c r="J87" s="22"/>
    </row>
    <row r="88" spans="1:10">
      <c r="A88" s="15"/>
      <c r="B88" s="15"/>
      <c r="C88" s="15"/>
      <c r="D88" s="20"/>
      <c r="E88" s="15"/>
      <c r="F88" s="21"/>
      <c r="G88" s="21"/>
      <c r="H88" s="22"/>
      <c r="I88" s="22"/>
      <c r="J88" s="22"/>
    </row>
    <row r="89" spans="1:10">
      <c r="A89" s="15"/>
      <c r="B89" s="15"/>
      <c r="C89" s="15"/>
      <c r="D89" s="20"/>
      <c r="E89" s="15"/>
      <c r="F89" s="21"/>
      <c r="G89" s="21"/>
      <c r="H89" s="22"/>
      <c r="I89" s="22"/>
      <c r="J89" s="22"/>
    </row>
    <row r="90" spans="1:10">
      <c r="A90" s="15"/>
      <c r="B90" s="15"/>
      <c r="C90" s="15"/>
      <c r="D90" s="20"/>
      <c r="E90" s="15"/>
      <c r="F90" s="21"/>
      <c r="G90" s="21"/>
      <c r="H90" s="22"/>
      <c r="I90" s="22"/>
      <c r="J90" s="22"/>
    </row>
    <row r="91" spans="1:10">
      <c r="A91" s="15"/>
      <c r="B91" s="15"/>
      <c r="C91" s="15"/>
      <c r="D91" s="20"/>
      <c r="E91" s="15"/>
      <c r="F91" s="21"/>
      <c r="G91" s="21"/>
      <c r="H91" s="22"/>
      <c r="I91" s="22"/>
      <c r="J91" s="22"/>
    </row>
    <row r="92" spans="1:10">
      <c r="A92" s="15"/>
      <c r="B92" s="15"/>
      <c r="C92" s="15"/>
      <c r="D92" s="20"/>
      <c r="E92" s="15"/>
      <c r="F92" s="21"/>
      <c r="G92" s="21"/>
      <c r="H92" s="22"/>
      <c r="I92" s="22"/>
      <c r="J92" s="22"/>
    </row>
    <row r="93" spans="1:10">
      <c r="A93" s="15"/>
      <c r="B93" s="15"/>
      <c r="C93" s="15"/>
      <c r="D93" s="20"/>
      <c r="E93" s="15"/>
      <c r="F93" s="21"/>
      <c r="G93" s="21"/>
      <c r="H93" s="22"/>
      <c r="I93" s="22"/>
      <c r="J93" s="22"/>
    </row>
    <row r="94" spans="1:10">
      <c r="A94" s="15"/>
      <c r="B94" s="15"/>
      <c r="C94" s="15"/>
      <c r="D94" s="20"/>
      <c r="E94" s="15"/>
      <c r="F94" s="21"/>
      <c r="G94" s="21"/>
      <c r="H94" s="22"/>
      <c r="I94" s="22"/>
      <c r="J94" s="22"/>
    </row>
    <row r="95" spans="1:10">
      <c r="A95" s="15"/>
      <c r="B95" s="15"/>
      <c r="C95" s="15"/>
      <c r="D95" s="20"/>
      <c r="E95" s="15"/>
      <c r="F95" s="21"/>
      <c r="G95" s="21"/>
      <c r="H95" s="22"/>
      <c r="I95" s="22"/>
      <c r="J95" s="22"/>
    </row>
    <row r="96" spans="1:10">
      <c r="A96" s="15"/>
      <c r="B96" s="15"/>
      <c r="C96" s="15"/>
      <c r="D96" s="20"/>
      <c r="E96" s="15"/>
      <c r="F96" s="21"/>
      <c r="G96" s="21"/>
      <c r="H96" s="22"/>
      <c r="I96" s="22"/>
      <c r="J96" s="22"/>
    </row>
    <row r="97" spans="1:10">
      <c r="A97" s="15"/>
      <c r="B97" s="15"/>
      <c r="C97" s="15"/>
      <c r="D97" s="20"/>
      <c r="E97" s="15"/>
      <c r="F97" s="21"/>
      <c r="G97" s="21"/>
      <c r="H97" s="22"/>
      <c r="I97" s="22"/>
      <c r="J97" s="22"/>
    </row>
    <row r="98" spans="1:10">
      <c r="A98" s="15"/>
      <c r="B98" s="15"/>
      <c r="C98" s="15"/>
      <c r="D98" s="20"/>
      <c r="E98" s="15"/>
      <c r="F98" s="21"/>
      <c r="G98" s="21"/>
      <c r="H98" s="22"/>
      <c r="I98" s="22"/>
      <c r="J98" s="22"/>
    </row>
    <row r="99" spans="1:10">
      <c r="A99" s="15"/>
      <c r="B99" s="15"/>
      <c r="C99" s="15"/>
      <c r="D99" s="20"/>
      <c r="E99" s="15"/>
      <c r="F99" s="21"/>
      <c r="G99" s="21"/>
      <c r="H99" s="22"/>
      <c r="I99" s="22"/>
      <c r="J99" s="22"/>
    </row>
    <row r="100" spans="1:10">
      <c r="A100" s="15"/>
      <c r="B100" s="15"/>
      <c r="C100" s="15"/>
      <c r="D100" s="20"/>
      <c r="E100" s="15"/>
      <c r="F100" s="21"/>
      <c r="G100" s="21"/>
      <c r="H100" s="22"/>
      <c r="I100" s="22"/>
      <c r="J100" s="22"/>
    </row>
    <row r="101" spans="1:10">
      <c r="A101" s="15"/>
      <c r="B101" s="15"/>
      <c r="C101" s="15"/>
      <c r="D101" s="20"/>
      <c r="E101" s="15"/>
      <c r="F101" s="21"/>
      <c r="G101" s="21"/>
      <c r="H101" s="22"/>
      <c r="I101" s="22"/>
      <c r="J101" s="22"/>
    </row>
    <row r="102" spans="1:10">
      <c r="A102" s="15"/>
      <c r="B102" s="15"/>
      <c r="C102" s="15"/>
      <c r="D102" s="20"/>
      <c r="E102" s="15"/>
      <c r="F102" s="21"/>
      <c r="G102" s="21"/>
      <c r="H102" s="22"/>
      <c r="I102" s="22"/>
      <c r="J102" s="22"/>
    </row>
    <row r="103" spans="1:10">
      <c r="A103" s="15"/>
      <c r="B103" s="15"/>
      <c r="C103" s="15"/>
      <c r="D103" s="20"/>
      <c r="E103" s="15"/>
      <c r="F103" s="21"/>
      <c r="G103" s="21"/>
      <c r="H103" s="22"/>
      <c r="I103" s="22"/>
      <c r="J103" s="22"/>
    </row>
    <row r="104" spans="1:10">
      <c r="A104" s="15"/>
      <c r="B104" s="15"/>
      <c r="C104" s="15"/>
      <c r="D104" s="20"/>
      <c r="E104" s="15"/>
      <c r="F104" s="21"/>
      <c r="G104" s="21"/>
      <c r="H104" s="22"/>
      <c r="I104" s="22"/>
      <c r="J104" s="22"/>
    </row>
    <row r="105" spans="1:10">
      <c r="A105" s="15"/>
      <c r="B105" s="15"/>
      <c r="C105" s="15"/>
      <c r="D105" s="20"/>
      <c r="E105" s="15"/>
      <c r="F105" s="21"/>
      <c r="G105" s="21"/>
      <c r="H105" s="22"/>
      <c r="I105" s="22"/>
      <c r="J105" s="22"/>
    </row>
    <row r="106" spans="1:10">
      <c r="A106" s="15"/>
      <c r="B106" s="15"/>
      <c r="C106" s="15"/>
      <c r="D106" s="20"/>
      <c r="E106" s="15"/>
      <c r="F106" s="21"/>
      <c r="G106" s="21"/>
      <c r="H106" s="22"/>
      <c r="I106" s="22"/>
      <c r="J106" s="22"/>
    </row>
    <row r="107" spans="1:10">
      <c r="A107" s="15"/>
      <c r="B107" s="15"/>
      <c r="C107" s="15"/>
      <c r="D107" s="20"/>
      <c r="E107" s="15"/>
      <c r="F107" s="21"/>
      <c r="G107" s="21"/>
      <c r="H107" s="22"/>
      <c r="I107" s="22"/>
      <c r="J107" s="22"/>
    </row>
    <row r="108" spans="1:10">
      <c r="A108" s="15"/>
      <c r="B108" s="15"/>
      <c r="C108" s="15"/>
      <c r="D108" s="20"/>
      <c r="E108" s="15"/>
      <c r="F108" s="21"/>
      <c r="G108" s="21"/>
      <c r="H108" s="22"/>
      <c r="I108" s="22"/>
      <c r="J108" s="22"/>
    </row>
    <row r="109" spans="1:10">
      <c r="A109" s="15"/>
      <c r="B109" s="15"/>
      <c r="C109" s="15"/>
      <c r="D109" s="20"/>
      <c r="E109" s="15"/>
      <c r="F109" s="21"/>
      <c r="G109" s="21"/>
      <c r="H109" s="22"/>
      <c r="I109" s="22"/>
      <c r="J109" s="22"/>
    </row>
    <row r="110" spans="1:10">
      <c r="A110" s="15"/>
      <c r="B110" s="15"/>
      <c r="C110" s="15"/>
      <c r="D110" s="20"/>
      <c r="E110" s="15"/>
      <c r="F110" s="21"/>
      <c r="G110" s="21"/>
      <c r="H110" s="22"/>
      <c r="I110" s="22"/>
      <c r="J110" s="22"/>
    </row>
    <row r="111" spans="1:10">
      <c r="A111" s="15"/>
      <c r="B111" s="15"/>
      <c r="C111" s="15"/>
      <c r="D111" s="20"/>
      <c r="E111" s="15"/>
      <c r="F111" s="21"/>
      <c r="G111" s="21"/>
      <c r="H111" s="22"/>
      <c r="I111" s="22"/>
      <c r="J111" s="22"/>
    </row>
    <row r="112" spans="1:10">
      <c r="A112" s="15"/>
      <c r="B112" s="15"/>
      <c r="C112" s="15"/>
      <c r="D112" s="20"/>
      <c r="E112" s="15"/>
      <c r="F112" s="21"/>
      <c r="G112" s="21"/>
      <c r="H112" s="22"/>
      <c r="I112" s="22"/>
      <c r="J112" s="22"/>
    </row>
    <row r="113" spans="1:10">
      <c r="A113" s="15"/>
      <c r="B113" s="15"/>
      <c r="C113" s="15"/>
      <c r="D113" s="20"/>
      <c r="E113" s="15"/>
      <c r="F113" s="21"/>
      <c r="G113" s="21"/>
      <c r="H113" s="22"/>
      <c r="I113" s="22"/>
      <c r="J113" s="22"/>
    </row>
    <row r="114" spans="1:10">
      <c r="A114" s="15"/>
      <c r="B114" s="15"/>
      <c r="C114" s="15"/>
      <c r="D114" s="20"/>
      <c r="E114" s="15"/>
      <c r="F114" s="21"/>
      <c r="G114" s="21"/>
      <c r="H114" s="22"/>
      <c r="I114" s="22"/>
      <c r="J114" s="22"/>
    </row>
    <row r="115" spans="1:10">
      <c r="A115" s="15"/>
      <c r="B115" s="15"/>
      <c r="C115" s="15"/>
      <c r="D115" s="20"/>
      <c r="E115" s="15"/>
      <c r="F115" s="21"/>
      <c r="G115" s="21"/>
      <c r="H115" s="22"/>
      <c r="I115" s="22"/>
      <c r="J115" s="22"/>
    </row>
    <row r="116" spans="1:10">
      <c r="A116" s="15"/>
      <c r="B116" s="15"/>
      <c r="C116" s="15"/>
      <c r="D116" s="20"/>
      <c r="E116" s="15"/>
      <c r="F116" s="21"/>
      <c r="G116" s="21"/>
      <c r="H116" s="22"/>
      <c r="I116" s="22"/>
      <c r="J116" s="22"/>
    </row>
    <row r="117" spans="1:10">
      <c r="A117" s="15"/>
      <c r="B117" s="15"/>
      <c r="C117" s="15"/>
      <c r="D117" s="20"/>
      <c r="E117" s="15"/>
      <c r="F117" s="21"/>
      <c r="G117" s="21"/>
      <c r="H117" s="22"/>
      <c r="I117" s="22"/>
      <c r="J117" s="22"/>
    </row>
    <row r="118" spans="1:10">
      <c r="A118" s="15"/>
      <c r="B118" s="15"/>
      <c r="C118" s="15"/>
      <c r="D118" s="20"/>
      <c r="E118" s="15"/>
      <c r="F118" s="21"/>
      <c r="G118" s="21"/>
      <c r="H118" s="22"/>
      <c r="I118" s="22"/>
      <c r="J118" s="22"/>
    </row>
    <row r="119" spans="1:10">
      <c r="A119" s="15"/>
      <c r="B119" s="15"/>
      <c r="C119" s="15"/>
      <c r="D119" s="20"/>
      <c r="E119" s="15"/>
      <c r="F119" s="21"/>
      <c r="G119" s="21"/>
      <c r="H119" s="22"/>
      <c r="I119" s="22"/>
      <c r="J119" s="22"/>
    </row>
    <row r="120" spans="1:10">
      <c r="A120" s="15"/>
      <c r="B120" s="15"/>
      <c r="C120" s="15"/>
      <c r="D120" s="20"/>
      <c r="E120" s="15"/>
      <c r="F120" s="21"/>
      <c r="G120" s="21"/>
      <c r="H120" s="22"/>
      <c r="I120" s="22"/>
      <c r="J120" s="22"/>
    </row>
    <row r="121" spans="1:10">
      <c r="A121" s="15"/>
      <c r="B121" s="15"/>
      <c r="C121" s="15"/>
      <c r="D121" s="20"/>
      <c r="E121" s="15"/>
      <c r="F121" s="21"/>
      <c r="G121" s="21"/>
      <c r="H121" s="22"/>
      <c r="I121" s="22"/>
      <c r="J121" s="22"/>
    </row>
    <row r="122" spans="1:10">
      <c r="A122" s="15"/>
      <c r="B122" s="15"/>
      <c r="C122" s="15"/>
      <c r="D122" s="20"/>
      <c r="E122" s="15"/>
      <c r="F122" s="21"/>
      <c r="G122" s="21"/>
      <c r="H122" s="22"/>
      <c r="I122" s="22"/>
      <c r="J122" s="22"/>
    </row>
    <row r="123" spans="1:10">
      <c r="A123" s="15"/>
      <c r="B123" s="15"/>
      <c r="C123" s="15"/>
      <c r="D123" s="20"/>
      <c r="E123" s="15"/>
      <c r="F123" s="21"/>
      <c r="G123" s="21"/>
      <c r="H123" s="22"/>
      <c r="I123" s="22"/>
      <c r="J123" s="22"/>
    </row>
    <row r="124" spans="1:10">
      <c r="A124" s="15"/>
      <c r="B124" s="15"/>
      <c r="C124" s="15"/>
      <c r="D124" s="20"/>
      <c r="E124" s="15"/>
      <c r="F124" s="21"/>
      <c r="G124" s="21"/>
      <c r="H124" s="22"/>
      <c r="I124" s="22"/>
      <c r="J124" s="22"/>
    </row>
    <row r="125" spans="1:10">
      <c r="A125" s="15"/>
      <c r="B125" s="15"/>
      <c r="C125" s="15"/>
      <c r="D125" s="20"/>
      <c r="E125" s="15"/>
      <c r="F125" s="21"/>
      <c r="G125" s="21"/>
      <c r="H125" s="22"/>
      <c r="I125" s="22"/>
      <c r="J125" s="22"/>
    </row>
    <row r="126" spans="1:10">
      <c r="A126" s="15"/>
      <c r="B126" s="15"/>
      <c r="C126" s="15"/>
      <c r="D126" s="20"/>
      <c r="E126" s="15"/>
      <c r="F126" s="21"/>
      <c r="G126" s="21"/>
      <c r="H126" s="22"/>
      <c r="I126" s="22"/>
      <c r="J126" s="22"/>
    </row>
    <row r="127" spans="1:10">
      <c r="A127" s="15"/>
      <c r="B127" s="15"/>
      <c r="C127" s="15"/>
      <c r="D127" s="20"/>
      <c r="E127" s="15"/>
      <c r="F127" s="21"/>
      <c r="G127" s="21"/>
      <c r="H127" s="22"/>
      <c r="I127" s="22"/>
      <c r="J127" s="22"/>
    </row>
    <row r="128" spans="1:10">
      <c r="A128" s="15"/>
      <c r="B128" s="15"/>
      <c r="C128" s="15"/>
      <c r="D128" s="20"/>
      <c r="E128" s="15"/>
      <c r="F128" s="21"/>
      <c r="G128" s="21"/>
      <c r="H128" s="22"/>
      <c r="I128" s="22"/>
      <c r="J128" s="22"/>
    </row>
    <row r="129" spans="1:10">
      <c r="A129" s="15"/>
      <c r="B129" s="15"/>
      <c r="C129" s="15"/>
      <c r="D129" s="20"/>
      <c r="E129" s="15"/>
      <c r="F129" s="21"/>
      <c r="G129" s="21"/>
      <c r="H129" s="22"/>
      <c r="I129" s="22"/>
      <c r="J129" s="22"/>
    </row>
    <row r="130" spans="1:10">
      <c r="A130" s="15"/>
      <c r="B130" s="15"/>
      <c r="C130" s="15"/>
      <c r="D130" s="20"/>
      <c r="E130" s="15"/>
      <c r="F130" s="21"/>
      <c r="G130" s="21"/>
      <c r="H130" s="22"/>
      <c r="I130" s="22"/>
      <c r="J130" s="22"/>
    </row>
    <row r="131" spans="1:10">
      <c r="A131" s="15"/>
      <c r="B131" s="15"/>
      <c r="C131" s="15"/>
      <c r="D131" s="20"/>
      <c r="E131" s="15"/>
      <c r="F131" s="21"/>
      <c r="G131" s="21"/>
      <c r="H131" s="22"/>
      <c r="I131" s="22"/>
      <c r="J131" s="22"/>
    </row>
    <row r="132" spans="1:10">
      <c r="A132" s="15"/>
      <c r="B132" s="15"/>
      <c r="C132" s="15"/>
      <c r="D132" s="20"/>
      <c r="E132" s="15"/>
      <c r="F132" s="21"/>
      <c r="G132" s="21"/>
      <c r="H132" s="22"/>
      <c r="I132" s="22"/>
      <c r="J132" s="22"/>
    </row>
    <row r="133" spans="1:10">
      <c r="A133" s="15"/>
      <c r="B133" s="15"/>
      <c r="C133" s="15"/>
      <c r="D133" s="20"/>
      <c r="E133" s="15"/>
      <c r="F133" s="21"/>
      <c r="G133" s="21"/>
      <c r="H133" s="22"/>
      <c r="I133" s="22"/>
      <c r="J133" s="22"/>
    </row>
    <row r="134" spans="1:10">
      <c r="A134" s="15"/>
      <c r="B134" s="15"/>
      <c r="C134" s="15"/>
      <c r="D134" s="20"/>
      <c r="E134" s="15"/>
      <c r="F134" s="21"/>
      <c r="G134" s="21"/>
      <c r="H134" s="22"/>
      <c r="I134" s="22"/>
      <c r="J134" s="22"/>
    </row>
    <row r="135" spans="1:10">
      <c r="A135" s="15"/>
      <c r="B135" s="15"/>
      <c r="C135" s="15"/>
      <c r="D135" s="20"/>
      <c r="E135" s="15"/>
      <c r="F135" s="21"/>
      <c r="G135" s="21"/>
      <c r="H135" s="22"/>
      <c r="I135" s="22"/>
      <c r="J135" s="22"/>
    </row>
    <row r="136" spans="1:10">
      <c r="A136" s="15"/>
      <c r="B136" s="15"/>
      <c r="C136" s="15"/>
      <c r="D136" s="20"/>
      <c r="E136" s="15"/>
      <c r="F136" s="21"/>
      <c r="G136" s="21"/>
      <c r="H136" s="22"/>
      <c r="I136" s="22"/>
      <c r="J136" s="22"/>
    </row>
    <row r="137" spans="1:10">
      <c r="A137" s="15"/>
      <c r="B137" s="15"/>
      <c r="C137" s="15"/>
      <c r="D137" s="20"/>
      <c r="E137" s="15"/>
      <c r="F137" s="21"/>
      <c r="G137" s="21"/>
      <c r="H137" s="22"/>
      <c r="I137" s="22"/>
      <c r="J137" s="22"/>
    </row>
    <row r="138" spans="1:10">
      <c r="A138" s="15"/>
      <c r="B138" s="15"/>
      <c r="C138" s="15"/>
      <c r="D138" s="20"/>
      <c r="E138" s="15"/>
      <c r="F138" s="21"/>
      <c r="G138" s="21"/>
      <c r="H138" s="22"/>
      <c r="I138" s="22"/>
      <c r="J138" s="22"/>
    </row>
    <row r="139" spans="1:10">
      <c r="A139" s="15"/>
      <c r="B139" s="15"/>
      <c r="C139" s="15"/>
      <c r="D139" s="20"/>
      <c r="E139" s="15"/>
      <c r="F139" s="21"/>
      <c r="G139" s="21"/>
      <c r="H139" s="22"/>
      <c r="I139" s="22"/>
      <c r="J139" s="22"/>
    </row>
    <row r="140" spans="1:10">
      <c r="A140" s="15"/>
      <c r="B140" s="15"/>
      <c r="C140" s="15"/>
      <c r="D140" s="20"/>
      <c r="E140" s="15"/>
      <c r="F140" s="21"/>
      <c r="G140" s="21"/>
      <c r="H140" s="22"/>
      <c r="I140" s="22"/>
      <c r="J140" s="22"/>
    </row>
    <row r="141" spans="1:10">
      <c r="A141" s="15"/>
      <c r="B141" s="15"/>
      <c r="C141" s="15"/>
      <c r="D141" s="20"/>
      <c r="E141" s="15"/>
      <c r="F141" s="21"/>
      <c r="G141" s="21"/>
      <c r="H141" s="22"/>
      <c r="I141" s="22"/>
      <c r="J141" s="22"/>
    </row>
    <row r="142" spans="1:10">
      <c r="A142" s="15"/>
      <c r="B142" s="15"/>
      <c r="C142" s="15"/>
      <c r="D142" s="20"/>
      <c r="E142" s="15"/>
      <c r="F142" s="21"/>
      <c r="G142" s="21"/>
      <c r="H142" s="22"/>
      <c r="I142" s="22"/>
      <c r="J142" s="22"/>
    </row>
    <row r="143" spans="1:10">
      <c r="A143" s="15"/>
      <c r="B143" s="15"/>
      <c r="C143" s="15"/>
      <c r="D143" s="20"/>
      <c r="E143" s="15"/>
      <c r="F143" s="21"/>
      <c r="G143" s="21"/>
      <c r="H143" s="22"/>
      <c r="I143" s="22"/>
      <c r="J143" s="22"/>
    </row>
    <row r="144" spans="1:10">
      <c r="A144" s="15"/>
      <c r="B144" s="15"/>
      <c r="C144" s="15"/>
      <c r="D144" s="20"/>
      <c r="E144" s="15"/>
      <c r="F144" s="21"/>
      <c r="G144" s="21"/>
      <c r="H144" s="22"/>
      <c r="I144" s="22"/>
      <c r="J144" s="22"/>
    </row>
    <row r="145" spans="1:10">
      <c r="A145" s="15"/>
      <c r="B145" s="15"/>
      <c r="C145" s="15"/>
      <c r="D145" s="20"/>
      <c r="E145" s="15"/>
      <c r="F145" s="21"/>
      <c r="G145" s="21"/>
      <c r="H145" s="22"/>
      <c r="I145" s="22"/>
      <c r="J145" s="22"/>
    </row>
    <row r="146" spans="1:10">
      <c r="A146" s="15"/>
      <c r="B146" s="15"/>
      <c r="C146" s="15"/>
      <c r="D146" s="20"/>
      <c r="E146" s="15"/>
      <c r="F146" s="21"/>
      <c r="G146" s="21"/>
      <c r="H146" s="22"/>
      <c r="I146" s="22"/>
      <c r="J146" s="22"/>
    </row>
    <row r="147" spans="1:10">
      <c r="A147" s="15"/>
      <c r="B147" s="15"/>
      <c r="C147" s="15"/>
      <c r="D147" s="20"/>
      <c r="E147" s="15"/>
      <c r="F147" s="21"/>
      <c r="G147" s="21"/>
      <c r="H147" s="22"/>
      <c r="I147" s="22"/>
      <c r="J147" s="22"/>
    </row>
    <row r="148" spans="1:10">
      <c r="A148" s="15"/>
      <c r="B148" s="15"/>
      <c r="C148" s="15"/>
      <c r="D148" s="20"/>
      <c r="E148" s="15"/>
      <c r="F148" s="21"/>
      <c r="G148" s="21"/>
      <c r="H148" s="22"/>
      <c r="I148" s="22"/>
      <c r="J148" s="22"/>
    </row>
    <row r="149" spans="1:10">
      <c r="A149" s="15"/>
      <c r="B149" s="15"/>
      <c r="C149" s="15"/>
      <c r="D149" s="20"/>
      <c r="E149" s="15"/>
      <c r="F149" s="21"/>
      <c r="G149" s="21"/>
      <c r="H149" s="22"/>
      <c r="I149" s="22"/>
      <c r="J149" s="22"/>
    </row>
    <row r="150" spans="1:10">
      <c r="A150" s="15"/>
      <c r="B150" s="15"/>
      <c r="C150" s="15"/>
      <c r="D150" s="20"/>
      <c r="E150" s="15"/>
      <c r="F150" s="21"/>
      <c r="G150" s="21"/>
      <c r="H150" s="22"/>
      <c r="I150" s="22"/>
      <c r="J150" s="22"/>
    </row>
    <row r="151" spans="1:10">
      <c r="A151" s="15"/>
      <c r="B151" s="15"/>
      <c r="C151" s="15"/>
      <c r="D151" s="20"/>
      <c r="E151" s="15"/>
      <c r="F151" s="21"/>
      <c r="G151" s="21"/>
      <c r="H151" s="22"/>
      <c r="I151" s="22"/>
      <c r="J151" s="22"/>
    </row>
    <row r="152" spans="1:10">
      <c r="A152" s="15"/>
      <c r="B152" s="15"/>
      <c r="C152" s="15"/>
      <c r="D152" s="20"/>
      <c r="E152" s="15"/>
      <c r="F152" s="21"/>
      <c r="G152" s="21"/>
      <c r="H152" s="22"/>
      <c r="I152" s="22"/>
      <c r="J152" s="22"/>
    </row>
    <row r="153" spans="1:10">
      <c r="A153" s="15"/>
      <c r="B153" s="15"/>
      <c r="C153" s="15"/>
      <c r="D153" s="20"/>
      <c r="E153" s="15"/>
      <c r="F153" s="21"/>
      <c r="G153" s="21"/>
      <c r="H153" s="22"/>
      <c r="I153" s="22"/>
      <c r="J153" s="22"/>
    </row>
    <row r="154" spans="1:10">
      <c r="A154" s="15"/>
      <c r="B154" s="15"/>
      <c r="C154" s="15"/>
      <c r="D154" s="20"/>
      <c r="E154" s="15"/>
      <c r="F154" s="21"/>
      <c r="G154" s="21"/>
      <c r="H154" s="22"/>
      <c r="I154" s="22"/>
      <c r="J154" s="22"/>
    </row>
    <row r="155" spans="1:10">
      <c r="A155" s="15"/>
      <c r="B155" s="15"/>
      <c r="C155" s="15"/>
      <c r="D155" s="20"/>
      <c r="E155" s="15"/>
      <c r="F155" s="21"/>
      <c r="G155" s="21"/>
      <c r="H155" s="22"/>
      <c r="I155" s="22"/>
      <c r="J155" s="22"/>
    </row>
    <row r="156" spans="1:10">
      <c r="A156" s="15"/>
      <c r="B156" s="15"/>
      <c r="C156" s="15"/>
      <c r="D156" s="20"/>
      <c r="E156" s="15"/>
      <c r="F156" s="21"/>
      <c r="G156" s="21"/>
      <c r="H156" s="22"/>
      <c r="I156" s="22"/>
      <c r="J156" s="22"/>
    </row>
    <row r="157" spans="1:10">
      <c r="A157" s="15"/>
      <c r="B157" s="15"/>
      <c r="C157" s="15"/>
      <c r="D157" s="20"/>
      <c r="E157" s="15"/>
      <c r="F157" s="21"/>
      <c r="G157" s="21"/>
      <c r="H157" s="22"/>
      <c r="I157" s="22"/>
      <c r="J157" s="22"/>
    </row>
    <row r="158" spans="1:10">
      <c r="A158" s="15"/>
      <c r="B158" s="15"/>
      <c r="C158" s="15"/>
      <c r="D158" s="20"/>
      <c r="E158" s="15"/>
      <c r="F158" s="21"/>
      <c r="G158" s="21"/>
      <c r="H158" s="22"/>
      <c r="I158" s="22"/>
      <c r="J158" s="22"/>
    </row>
    <row r="159" spans="1:10">
      <c r="A159" s="15"/>
      <c r="B159" s="15"/>
      <c r="C159" s="15"/>
      <c r="D159" s="20"/>
      <c r="E159" s="15"/>
      <c r="F159" s="21"/>
      <c r="G159" s="21"/>
      <c r="H159" s="22"/>
      <c r="I159" s="22"/>
      <c r="J159" s="22"/>
    </row>
    <row r="160" spans="1:10">
      <c r="A160" s="15"/>
      <c r="B160" s="15"/>
      <c r="C160" s="15"/>
      <c r="D160" s="20"/>
      <c r="E160" s="15"/>
      <c r="F160" s="21"/>
      <c r="G160" s="21"/>
      <c r="H160" s="22"/>
      <c r="I160" s="22"/>
      <c r="J160" s="22"/>
    </row>
    <row r="161" spans="1:10">
      <c r="A161" s="15"/>
      <c r="B161" s="15"/>
      <c r="C161" s="15"/>
      <c r="D161" s="20"/>
      <c r="E161" s="15"/>
      <c r="F161" s="21"/>
      <c r="G161" s="21"/>
      <c r="H161" s="22"/>
      <c r="I161" s="22"/>
      <c r="J161" s="22"/>
    </row>
    <row r="162" spans="1:10">
      <c r="A162" s="15"/>
      <c r="B162" s="15"/>
      <c r="C162" s="15"/>
      <c r="D162" s="20"/>
      <c r="E162" s="15"/>
      <c r="F162" s="21"/>
      <c r="G162" s="21"/>
      <c r="H162" s="22"/>
      <c r="I162" s="22"/>
      <c r="J162" s="22"/>
    </row>
    <row r="163" spans="1:10">
      <c r="A163" s="15"/>
      <c r="B163" s="15"/>
      <c r="C163" s="15"/>
      <c r="D163" s="20"/>
      <c r="E163" s="15"/>
      <c r="F163" s="21"/>
      <c r="G163" s="21"/>
      <c r="H163" s="22"/>
      <c r="I163" s="22"/>
      <c r="J163" s="22"/>
    </row>
    <row r="164" spans="1:10">
      <c r="A164" s="15"/>
      <c r="B164" s="15"/>
      <c r="C164" s="15"/>
      <c r="D164" s="20"/>
      <c r="E164" s="15"/>
      <c r="F164" s="21"/>
      <c r="G164" s="21"/>
      <c r="H164" s="22"/>
      <c r="I164" s="22"/>
      <c r="J164" s="22"/>
    </row>
    <row r="165" spans="1:10">
      <c r="A165" s="15"/>
      <c r="B165" s="15"/>
      <c r="C165" s="15"/>
      <c r="D165" s="20"/>
      <c r="E165" s="15"/>
      <c r="F165" s="21"/>
      <c r="G165" s="21"/>
      <c r="H165" s="22"/>
      <c r="I165" s="22"/>
      <c r="J165" s="22"/>
    </row>
    <row r="166" spans="1:10">
      <c r="A166" s="15"/>
      <c r="B166" s="15"/>
      <c r="C166" s="15"/>
      <c r="D166" s="20"/>
      <c r="E166" s="15"/>
      <c r="F166" s="21"/>
      <c r="G166" s="21"/>
      <c r="H166" s="22"/>
      <c r="I166" s="22"/>
      <c r="J166" s="22"/>
    </row>
    <row r="167" spans="1:10">
      <c r="A167" s="15"/>
      <c r="B167" s="15"/>
      <c r="C167" s="15"/>
      <c r="D167" s="20"/>
      <c r="E167" s="15"/>
      <c r="F167" s="21"/>
      <c r="G167" s="21"/>
      <c r="H167" s="22"/>
      <c r="I167" s="22"/>
      <c r="J167" s="22"/>
    </row>
    <row r="168" spans="1:10">
      <c r="A168" s="15"/>
      <c r="B168" s="15"/>
      <c r="C168" s="15"/>
      <c r="D168" s="20"/>
      <c r="E168" s="15"/>
      <c r="F168" s="21"/>
      <c r="G168" s="21"/>
      <c r="H168" s="22"/>
      <c r="I168" s="22"/>
      <c r="J168" s="22"/>
    </row>
    <row r="169" spans="1:10">
      <c r="A169" s="15"/>
      <c r="B169" s="15"/>
      <c r="C169" s="15"/>
      <c r="D169" s="20"/>
      <c r="E169" s="15"/>
      <c r="F169" s="21"/>
      <c r="G169" s="21"/>
      <c r="H169" s="22"/>
      <c r="I169" s="22"/>
      <c r="J169" s="22"/>
    </row>
    <row r="170" spans="1:10">
      <c r="A170" s="15"/>
      <c r="B170" s="15"/>
      <c r="C170" s="15"/>
      <c r="D170" s="20"/>
      <c r="E170" s="15"/>
      <c r="F170" s="21"/>
      <c r="G170" s="21"/>
      <c r="H170" s="22"/>
      <c r="I170" s="22"/>
      <c r="J170" s="22"/>
    </row>
    <row r="171" spans="1:10">
      <c r="A171" s="15"/>
      <c r="B171" s="15"/>
      <c r="C171" s="15"/>
      <c r="D171" s="20"/>
      <c r="E171" s="15"/>
      <c r="F171" s="21"/>
      <c r="G171" s="21"/>
      <c r="H171" s="22"/>
      <c r="I171" s="22"/>
      <c r="J171" s="22"/>
    </row>
    <row r="172" spans="1:10">
      <c r="A172" s="15"/>
      <c r="B172" s="15"/>
      <c r="C172" s="15"/>
      <c r="D172" s="20"/>
      <c r="E172" s="15"/>
      <c r="F172" s="21"/>
      <c r="G172" s="21"/>
      <c r="H172" s="22"/>
      <c r="I172" s="22"/>
      <c r="J172" s="22"/>
    </row>
    <row r="173" spans="1:10">
      <c r="A173" s="15"/>
      <c r="B173" s="15"/>
      <c r="C173" s="15"/>
      <c r="D173" s="20"/>
      <c r="E173" s="15"/>
      <c r="F173" s="21"/>
      <c r="G173" s="21"/>
      <c r="H173" s="22"/>
      <c r="I173" s="22"/>
      <c r="J173" s="22"/>
    </row>
    <row r="174" spans="1:10">
      <c r="A174" s="15"/>
      <c r="B174" s="15"/>
      <c r="C174" s="15"/>
      <c r="D174" s="20"/>
      <c r="E174" s="15"/>
      <c r="F174" s="21"/>
      <c r="G174" s="21"/>
      <c r="H174" s="22"/>
      <c r="I174" s="22"/>
      <c r="J174" s="22"/>
    </row>
    <row r="175" spans="1:10">
      <c r="A175" s="15"/>
      <c r="B175" s="15"/>
      <c r="C175" s="15"/>
      <c r="D175" s="20"/>
      <c r="E175" s="15"/>
      <c r="F175" s="21"/>
      <c r="G175" s="21"/>
      <c r="H175" s="22"/>
      <c r="I175" s="22"/>
      <c r="J175" s="22"/>
    </row>
    <row r="176" spans="1:10">
      <c r="A176" s="15"/>
      <c r="B176" s="15"/>
      <c r="C176" s="15"/>
      <c r="D176" s="20"/>
      <c r="E176" s="15"/>
      <c r="F176" s="21"/>
      <c r="G176" s="21"/>
      <c r="H176" s="22"/>
      <c r="I176" s="22"/>
      <c r="J176" s="22"/>
    </row>
    <row r="177" spans="1:10">
      <c r="A177" s="15"/>
      <c r="B177" s="15"/>
      <c r="C177" s="15"/>
      <c r="D177" s="20"/>
      <c r="E177" s="15"/>
      <c r="F177" s="21"/>
      <c r="G177" s="21"/>
      <c r="H177" s="22"/>
      <c r="I177" s="22"/>
      <c r="J177" s="22"/>
    </row>
    <row r="178" spans="1:10">
      <c r="A178" s="15"/>
      <c r="B178" s="15"/>
      <c r="C178" s="15"/>
      <c r="D178" s="20"/>
      <c r="E178" s="15"/>
      <c r="F178" s="21"/>
      <c r="G178" s="21"/>
      <c r="H178" s="22"/>
      <c r="I178" s="22"/>
      <c r="J178" s="22"/>
    </row>
    <row r="179" spans="1:10">
      <c r="A179" s="15"/>
      <c r="B179" s="15"/>
      <c r="C179" s="15"/>
      <c r="D179" s="20"/>
      <c r="E179" s="15"/>
      <c r="F179" s="21"/>
      <c r="G179" s="21"/>
      <c r="H179" s="22"/>
      <c r="I179" s="22"/>
      <c r="J179" s="22"/>
    </row>
    <row r="180" spans="1:10">
      <c r="A180" s="15"/>
      <c r="B180" s="15"/>
      <c r="C180" s="15"/>
      <c r="D180" s="20"/>
      <c r="E180" s="15"/>
      <c r="F180" s="21"/>
      <c r="G180" s="21"/>
      <c r="H180" s="22"/>
      <c r="I180" s="22"/>
      <c r="J180" s="22"/>
    </row>
    <row r="181" spans="1:10">
      <c r="A181" s="15"/>
      <c r="B181" s="15"/>
      <c r="C181" s="15"/>
      <c r="D181" s="20"/>
      <c r="E181" s="15"/>
      <c r="F181" s="21"/>
      <c r="G181" s="21"/>
      <c r="H181" s="22"/>
      <c r="I181" s="22"/>
      <c r="J181" s="22"/>
    </row>
    <row r="182" spans="1:10">
      <c r="A182" s="15"/>
      <c r="B182" s="15"/>
      <c r="C182" s="15"/>
      <c r="D182" s="20"/>
      <c r="E182" s="15"/>
      <c r="F182" s="21"/>
      <c r="G182" s="21"/>
      <c r="H182" s="22"/>
      <c r="I182" s="22"/>
      <c r="J182" s="22"/>
    </row>
    <row r="183" spans="1:10">
      <c r="A183" s="15"/>
      <c r="B183" s="15"/>
      <c r="C183" s="15"/>
      <c r="D183" s="20"/>
      <c r="E183" s="15"/>
      <c r="F183" s="21"/>
      <c r="G183" s="21"/>
      <c r="H183" s="22"/>
      <c r="I183" s="22"/>
      <c r="J183" s="22"/>
    </row>
    <row r="184" spans="1:10">
      <c r="A184" s="15"/>
      <c r="B184" s="15"/>
      <c r="C184" s="15"/>
      <c r="D184" s="20"/>
      <c r="E184" s="15"/>
      <c r="F184" s="21"/>
      <c r="G184" s="21"/>
      <c r="H184" s="22"/>
      <c r="I184" s="22"/>
      <c r="J184" s="22"/>
    </row>
    <row r="185" spans="1:10">
      <c r="A185" s="15"/>
      <c r="B185" s="15"/>
      <c r="C185" s="15"/>
      <c r="D185" s="20"/>
      <c r="E185" s="15"/>
      <c r="F185" s="21"/>
      <c r="G185" s="21"/>
      <c r="H185" s="22"/>
      <c r="I185" s="22"/>
      <c r="J185" s="22"/>
    </row>
    <row r="186" spans="1:10">
      <c r="A186" s="15"/>
      <c r="B186" s="15"/>
      <c r="C186" s="15"/>
      <c r="D186" s="20"/>
      <c r="E186" s="15"/>
      <c r="F186" s="21"/>
      <c r="G186" s="21"/>
      <c r="H186" s="22"/>
      <c r="I186" s="22"/>
      <c r="J186" s="22"/>
    </row>
    <row r="187" spans="1:10">
      <c r="A187" s="15"/>
      <c r="B187" s="15"/>
      <c r="C187" s="15"/>
      <c r="D187" s="20"/>
      <c r="E187" s="15"/>
      <c r="F187" s="21"/>
      <c r="G187" s="21"/>
      <c r="H187" s="22"/>
      <c r="I187" s="22"/>
      <c r="J187" s="22"/>
    </row>
    <row r="188" spans="1:10">
      <c r="A188" s="15"/>
      <c r="B188" s="15"/>
      <c r="C188" s="15"/>
      <c r="D188" s="20"/>
      <c r="E188" s="15"/>
      <c r="F188" s="21"/>
      <c r="G188" s="21"/>
      <c r="H188" s="22"/>
      <c r="I188" s="22"/>
      <c r="J188" s="22"/>
    </row>
    <row r="189" spans="1:10">
      <c r="A189" s="15"/>
      <c r="B189" s="15"/>
      <c r="C189" s="15"/>
      <c r="D189" s="20"/>
      <c r="E189" s="15"/>
      <c r="F189" s="21"/>
      <c r="G189" s="21"/>
      <c r="H189" s="22"/>
      <c r="I189" s="22"/>
      <c r="J189" s="22"/>
    </row>
    <row r="190" spans="1:10">
      <c r="A190" s="15"/>
      <c r="B190" s="15"/>
      <c r="C190" s="15"/>
      <c r="D190" s="20"/>
      <c r="E190" s="15"/>
      <c r="F190" s="21"/>
      <c r="G190" s="21"/>
      <c r="H190" s="22"/>
      <c r="I190" s="22"/>
      <c r="J190" s="22"/>
    </row>
    <row r="191" spans="1:10">
      <c r="A191" s="15"/>
      <c r="B191" s="15"/>
      <c r="C191" s="15"/>
      <c r="D191" s="20"/>
      <c r="E191" s="15"/>
      <c r="F191" s="21"/>
      <c r="G191" s="21"/>
      <c r="H191" s="22"/>
      <c r="I191" s="22"/>
      <c r="J191" s="22"/>
    </row>
    <row r="192" spans="1:10">
      <c r="A192" s="15"/>
      <c r="B192" s="15"/>
      <c r="C192" s="15"/>
      <c r="D192" s="20"/>
      <c r="E192" s="15"/>
      <c r="F192" s="21"/>
      <c r="G192" s="21"/>
      <c r="H192" s="22"/>
      <c r="I192" s="22"/>
      <c r="J192" s="22"/>
    </row>
    <row r="193" spans="1:10">
      <c r="A193" s="15"/>
      <c r="B193" s="15"/>
      <c r="C193" s="15"/>
      <c r="D193" s="20"/>
      <c r="E193" s="15"/>
      <c r="F193" s="21"/>
      <c r="G193" s="21"/>
      <c r="H193" s="22"/>
      <c r="I193" s="22"/>
      <c r="J193" s="22"/>
    </row>
    <row r="194" spans="1:10">
      <c r="A194" s="15"/>
      <c r="B194" s="15"/>
      <c r="C194" s="15"/>
      <c r="D194" s="20"/>
      <c r="E194" s="15"/>
      <c r="F194" s="21"/>
      <c r="G194" s="21"/>
      <c r="H194" s="22"/>
      <c r="I194" s="22"/>
      <c r="J194" s="22"/>
    </row>
    <row r="195" spans="1:10">
      <c r="A195" s="15"/>
      <c r="B195" s="15"/>
      <c r="C195" s="15"/>
      <c r="D195" s="20"/>
      <c r="E195" s="15"/>
      <c r="F195" s="21"/>
      <c r="G195" s="21"/>
      <c r="H195" s="22"/>
      <c r="I195" s="22"/>
      <c r="J195" s="22"/>
    </row>
    <row r="196" spans="1:10">
      <c r="A196" s="15"/>
      <c r="B196" s="15"/>
      <c r="C196" s="15"/>
      <c r="D196" s="20"/>
      <c r="E196" s="15"/>
      <c r="F196" s="21"/>
      <c r="G196" s="21"/>
      <c r="H196" s="22"/>
      <c r="I196" s="22"/>
      <c r="J196" s="22"/>
    </row>
    <row r="197" spans="1:10">
      <c r="A197" s="15"/>
      <c r="B197" s="15"/>
      <c r="C197" s="15"/>
      <c r="D197" s="20"/>
      <c r="E197" s="15"/>
      <c r="F197" s="21"/>
      <c r="G197" s="21"/>
      <c r="H197" s="22"/>
      <c r="I197" s="22"/>
      <c r="J197" s="22"/>
    </row>
    <row r="198" spans="1:10">
      <c r="A198" s="15"/>
      <c r="B198" s="15"/>
      <c r="C198" s="15"/>
      <c r="D198" s="20"/>
      <c r="E198" s="15"/>
      <c r="F198" s="21"/>
      <c r="G198" s="21"/>
      <c r="H198" s="22"/>
      <c r="I198" s="22"/>
      <c r="J198" s="22"/>
    </row>
    <row r="199" spans="1:10">
      <c r="A199" s="15"/>
      <c r="B199" s="15"/>
      <c r="C199" s="15"/>
      <c r="D199" s="20"/>
      <c r="E199" s="15"/>
      <c r="F199" s="21"/>
      <c r="G199" s="21"/>
      <c r="H199" s="22"/>
      <c r="I199" s="22"/>
      <c r="J199" s="22"/>
    </row>
    <row r="200" spans="1:10">
      <c r="A200" s="15"/>
      <c r="B200" s="15"/>
      <c r="C200" s="15"/>
      <c r="D200" s="20"/>
      <c r="E200" s="15"/>
      <c r="F200" s="21"/>
      <c r="G200" s="21"/>
      <c r="H200" s="22"/>
      <c r="I200" s="22"/>
      <c r="J200" s="22"/>
    </row>
    <row r="201" spans="1:10">
      <c r="A201" s="15"/>
      <c r="B201" s="15"/>
      <c r="C201" s="15"/>
      <c r="D201" s="20"/>
      <c r="E201" s="15"/>
      <c r="F201" s="21"/>
      <c r="G201" s="21"/>
      <c r="H201" s="22"/>
      <c r="I201" s="22"/>
      <c r="J201" s="22"/>
    </row>
    <row r="202" spans="1:10">
      <c r="A202" s="15"/>
      <c r="B202" s="15"/>
      <c r="C202" s="15"/>
      <c r="D202" s="20"/>
      <c r="E202" s="15"/>
      <c r="F202" s="21"/>
      <c r="G202" s="21"/>
      <c r="H202" s="22"/>
      <c r="I202" s="22"/>
      <c r="J202" s="22"/>
    </row>
    <row r="203" spans="1:10">
      <c r="A203" s="15"/>
      <c r="B203" s="15"/>
      <c r="C203" s="15"/>
      <c r="D203" s="20"/>
      <c r="E203" s="15"/>
      <c r="F203" s="21"/>
      <c r="G203" s="21"/>
      <c r="H203" s="22"/>
      <c r="I203" s="22"/>
      <c r="J203" s="22"/>
    </row>
    <row r="204" spans="1:10">
      <c r="A204" s="15"/>
      <c r="B204" s="15"/>
      <c r="C204" s="15"/>
      <c r="D204" s="20"/>
      <c r="E204" s="15"/>
      <c r="F204" s="21"/>
      <c r="G204" s="21"/>
      <c r="H204" s="22"/>
      <c r="I204" s="22"/>
      <c r="J204" s="22"/>
    </row>
    <row r="205" spans="1:10">
      <c r="A205" s="15"/>
      <c r="B205" s="15"/>
      <c r="C205" s="15"/>
      <c r="D205" s="20"/>
      <c r="E205" s="15"/>
      <c r="F205" s="21"/>
      <c r="G205" s="21"/>
      <c r="H205" s="22"/>
      <c r="I205" s="22"/>
      <c r="J205" s="22"/>
    </row>
    <row r="206" spans="1:10">
      <c r="A206" s="15"/>
      <c r="B206" s="15"/>
      <c r="C206" s="15"/>
      <c r="D206" s="20"/>
      <c r="E206" s="15"/>
      <c r="F206" s="21"/>
      <c r="G206" s="21"/>
      <c r="H206" s="22"/>
      <c r="I206" s="22"/>
      <c r="J206" s="22"/>
    </row>
    <row r="207" spans="1:10">
      <c r="A207" s="15"/>
      <c r="B207" s="15"/>
      <c r="C207" s="15"/>
      <c r="D207" s="20"/>
      <c r="E207" s="15"/>
      <c r="F207" s="21"/>
      <c r="G207" s="21"/>
      <c r="H207" s="22"/>
      <c r="I207" s="22"/>
      <c r="J207" s="22"/>
    </row>
    <row r="208" spans="1:10">
      <c r="A208" s="15"/>
      <c r="B208" s="15"/>
      <c r="C208" s="15"/>
      <c r="D208" s="20"/>
      <c r="E208" s="15"/>
      <c r="F208" s="21"/>
      <c r="G208" s="21"/>
      <c r="H208" s="22"/>
      <c r="I208" s="22"/>
      <c r="J208" s="22"/>
    </row>
    <row r="209" spans="1:10">
      <c r="A209" s="15"/>
      <c r="B209" s="15"/>
      <c r="C209" s="15"/>
      <c r="D209" s="20"/>
      <c r="E209" s="15"/>
      <c r="F209" s="21"/>
      <c r="G209" s="21"/>
      <c r="H209" s="22"/>
      <c r="I209" s="22"/>
      <c r="J209" s="22"/>
    </row>
    <row r="210" spans="1:10">
      <c r="A210" s="15"/>
      <c r="B210" s="15"/>
      <c r="C210" s="15"/>
      <c r="D210" s="20"/>
      <c r="E210" s="15"/>
      <c r="F210" s="21"/>
      <c r="G210" s="21"/>
      <c r="H210" s="22"/>
      <c r="I210" s="22"/>
      <c r="J210" s="22"/>
    </row>
    <row r="211" spans="1:10">
      <c r="A211" s="15"/>
      <c r="B211" s="15"/>
      <c r="C211" s="15"/>
      <c r="D211" s="20"/>
      <c r="E211" s="15"/>
      <c r="F211" s="21"/>
      <c r="G211" s="21"/>
      <c r="H211" s="22"/>
      <c r="I211" s="22"/>
      <c r="J211" s="22"/>
    </row>
    <row r="212" spans="1:10">
      <c r="A212" s="15"/>
      <c r="B212" s="15"/>
      <c r="C212" s="15"/>
      <c r="D212" s="20"/>
      <c r="E212" s="15"/>
      <c r="F212" s="21"/>
      <c r="G212" s="21"/>
      <c r="H212" s="22"/>
      <c r="I212" s="22"/>
      <c r="J212" s="22"/>
    </row>
    <row r="213" spans="1:10">
      <c r="A213" s="15"/>
      <c r="B213" s="15"/>
      <c r="C213" s="15"/>
      <c r="D213" s="20"/>
      <c r="E213" s="15"/>
      <c r="F213" s="21"/>
      <c r="G213" s="21"/>
      <c r="H213" s="22"/>
      <c r="I213" s="22"/>
      <c r="J213" s="22"/>
    </row>
    <row r="214" spans="1:10">
      <c r="A214" s="15"/>
      <c r="B214" s="15"/>
      <c r="C214" s="15"/>
      <c r="D214" s="20"/>
      <c r="E214" s="15"/>
      <c r="F214" s="21"/>
      <c r="G214" s="21"/>
      <c r="H214" s="22"/>
      <c r="I214" s="22"/>
      <c r="J214" s="22"/>
    </row>
    <row r="215" spans="1:10">
      <c r="A215" s="15"/>
      <c r="B215" s="15"/>
      <c r="C215" s="15"/>
      <c r="D215" s="20"/>
      <c r="E215" s="15"/>
      <c r="F215" s="21"/>
      <c r="G215" s="21"/>
      <c r="H215" s="22"/>
      <c r="I215" s="22"/>
      <c r="J215" s="22"/>
    </row>
    <row r="216" spans="1:10">
      <c r="A216" s="15"/>
      <c r="B216" s="15"/>
      <c r="C216" s="15"/>
      <c r="D216" s="20"/>
      <c r="E216" s="15"/>
      <c r="F216" s="21"/>
      <c r="G216" s="21"/>
      <c r="H216" s="22"/>
      <c r="I216" s="22"/>
      <c r="J216" s="22"/>
    </row>
    <row r="217" spans="1:10">
      <c r="A217" s="15"/>
      <c r="B217" s="15"/>
      <c r="C217" s="15"/>
      <c r="D217" s="20"/>
      <c r="E217" s="15"/>
      <c r="F217" s="21"/>
      <c r="G217" s="21"/>
      <c r="H217" s="22"/>
      <c r="I217" s="22"/>
      <c r="J217" s="22"/>
    </row>
    <row r="218" spans="1:10">
      <c r="A218" s="15"/>
      <c r="B218" s="15"/>
      <c r="C218" s="15"/>
      <c r="D218" s="20"/>
      <c r="E218" s="15"/>
      <c r="F218" s="21"/>
      <c r="G218" s="21"/>
      <c r="H218" s="22"/>
      <c r="I218" s="22"/>
      <c r="J218" s="22"/>
    </row>
    <row r="219" spans="1:10">
      <c r="A219" s="15"/>
      <c r="B219" s="15"/>
      <c r="C219" s="15"/>
      <c r="D219" s="20"/>
      <c r="E219" s="15"/>
      <c r="F219" s="21"/>
      <c r="G219" s="21"/>
      <c r="H219" s="22"/>
      <c r="I219" s="22"/>
      <c r="J219" s="22"/>
    </row>
    <row r="220" spans="1:10">
      <c r="A220" s="15"/>
      <c r="B220" s="15"/>
      <c r="C220" s="15"/>
      <c r="D220" s="20"/>
      <c r="E220" s="15"/>
      <c r="F220" s="21"/>
      <c r="G220" s="21"/>
      <c r="H220" s="22"/>
      <c r="I220" s="22"/>
      <c r="J220" s="22"/>
    </row>
    <row r="221" spans="1:10">
      <c r="A221" s="15"/>
      <c r="B221" s="15"/>
      <c r="C221" s="15"/>
      <c r="D221" s="20"/>
      <c r="E221" s="15"/>
      <c r="F221" s="21"/>
      <c r="G221" s="21"/>
      <c r="H221" s="22"/>
      <c r="I221" s="22"/>
      <c r="J221" s="22"/>
    </row>
    <row r="222" spans="1:10">
      <c r="A222" s="15"/>
      <c r="B222" s="15"/>
      <c r="C222" s="15"/>
      <c r="D222" s="20"/>
      <c r="E222" s="15"/>
      <c r="F222" s="21"/>
      <c r="G222" s="21"/>
      <c r="H222" s="22"/>
      <c r="I222" s="22"/>
      <c r="J222" s="22"/>
    </row>
    <row r="223" spans="1:10">
      <c r="A223" s="15"/>
      <c r="B223" s="15"/>
      <c r="C223" s="15"/>
      <c r="D223" s="20"/>
      <c r="E223" s="15"/>
      <c r="F223" s="21"/>
      <c r="G223" s="21"/>
      <c r="H223" s="22"/>
      <c r="I223" s="22"/>
      <c r="J223" s="22"/>
    </row>
    <row r="224" spans="1:10">
      <c r="A224" s="15"/>
      <c r="B224" s="15"/>
      <c r="C224" s="15"/>
      <c r="D224" s="20"/>
      <c r="E224" s="15"/>
      <c r="F224" s="21"/>
      <c r="G224" s="21"/>
      <c r="H224" s="22"/>
      <c r="I224" s="22"/>
      <c r="J224" s="22"/>
    </row>
    <row r="225" spans="1:10">
      <c r="A225" s="15"/>
      <c r="B225" s="15"/>
      <c r="C225" s="15"/>
      <c r="D225" s="20"/>
      <c r="E225" s="15"/>
      <c r="F225" s="21"/>
      <c r="G225" s="21"/>
      <c r="H225" s="22"/>
      <c r="I225" s="22"/>
      <c r="J225" s="22"/>
    </row>
    <row r="226" spans="1:10">
      <c r="A226" s="15"/>
      <c r="B226" s="15"/>
      <c r="C226" s="15"/>
      <c r="D226" s="20"/>
      <c r="E226" s="15"/>
      <c r="F226" s="21"/>
      <c r="G226" s="21"/>
      <c r="H226" s="22"/>
      <c r="I226" s="22"/>
      <c r="J226" s="22"/>
    </row>
    <row r="227" spans="1:10">
      <c r="A227" s="15"/>
      <c r="B227" s="15"/>
      <c r="C227" s="15"/>
      <c r="D227" s="20"/>
      <c r="E227" s="15"/>
      <c r="F227" s="21"/>
      <c r="G227" s="21"/>
      <c r="H227" s="22"/>
      <c r="I227" s="22"/>
      <c r="J227" s="22"/>
    </row>
    <row r="228" spans="1:10">
      <c r="A228" s="15"/>
      <c r="B228" s="15"/>
      <c r="C228" s="15"/>
      <c r="D228" s="20"/>
      <c r="E228" s="15"/>
      <c r="F228" s="21"/>
      <c r="G228" s="21"/>
      <c r="H228" s="22"/>
      <c r="I228" s="22"/>
      <c r="J228" s="22"/>
    </row>
    <row r="229" spans="1:10">
      <c r="A229" s="15"/>
      <c r="B229" s="15"/>
      <c r="C229" s="15"/>
      <c r="D229" s="20"/>
      <c r="E229" s="15"/>
      <c r="F229" s="21"/>
      <c r="G229" s="21"/>
      <c r="H229" s="22"/>
      <c r="I229" s="22"/>
      <c r="J229" s="22"/>
    </row>
    <row r="230" spans="1:10">
      <c r="A230" s="15"/>
      <c r="B230" s="15"/>
      <c r="C230" s="15"/>
      <c r="D230" s="20"/>
      <c r="E230" s="15"/>
      <c r="F230" s="21"/>
      <c r="G230" s="21"/>
      <c r="H230" s="22"/>
      <c r="I230" s="22"/>
      <c r="J230" s="22"/>
    </row>
    <row r="231" spans="1:10">
      <c r="A231" s="15"/>
      <c r="B231" s="15"/>
      <c r="C231" s="15"/>
      <c r="D231" s="20"/>
      <c r="E231" s="15"/>
      <c r="F231" s="21"/>
      <c r="G231" s="21"/>
      <c r="H231" s="22"/>
      <c r="I231" s="22"/>
      <c r="J231" s="22"/>
    </row>
    <row r="232" spans="1:10">
      <c r="A232" s="15"/>
      <c r="B232" s="15"/>
      <c r="C232" s="15"/>
      <c r="D232" s="20"/>
      <c r="E232" s="15"/>
      <c r="F232" s="21"/>
      <c r="G232" s="21"/>
      <c r="H232" s="22"/>
      <c r="I232" s="22"/>
      <c r="J232" s="22"/>
    </row>
    <row r="233" spans="1:10">
      <c r="A233" s="15"/>
      <c r="B233" s="15"/>
      <c r="C233" s="15"/>
      <c r="D233" s="20"/>
      <c r="E233" s="15"/>
      <c r="F233" s="21"/>
      <c r="G233" s="21"/>
      <c r="H233" s="22"/>
      <c r="I233" s="22"/>
      <c r="J233" s="22"/>
    </row>
    <row r="234" spans="1:10">
      <c r="A234" s="15"/>
      <c r="B234" s="15"/>
      <c r="C234" s="15"/>
      <c r="D234" s="20"/>
      <c r="E234" s="15"/>
      <c r="F234" s="21"/>
      <c r="G234" s="21"/>
      <c r="H234" s="22"/>
      <c r="I234" s="22"/>
      <c r="J234" s="22"/>
    </row>
    <row r="235" spans="1:10">
      <c r="A235" s="15"/>
      <c r="B235" s="15"/>
      <c r="C235" s="15"/>
      <c r="D235" s="20"/>
      <c r="E235" s="15"/>
      <c r="F235" s="21"/>
      <c r="G235" s="21"/>
      <c r="H235" s="22"/>
      <c r="I235" s="22"/>
      <c r="J235" s="22"/>
    </row>
    <row r="236" spans="1:10">
      <c r="A236" s="15"/>
      <c r="B236" s="15"/>
      <c r="C236" s="15"/>
      <c r="D236" s="20"/>
      <c r="E236" s="15"/>
      <c r="F236" s="21"/>
      <c r="G236" s="21"/>
      <c r="H236" s="22"/>
      <c r="I236" s="22"/>
      <c r="J236" s="22"/>
    </row>
    <row r="237" spans="1:10">
      <c r="A237" s="15"/>
      <c r="B237" s="15"/>
      <c r="C237" s="15"/>
      <c r="D237" s="20"/>
      <c r="E237" s="15"/>
      <c r="F237" s="21"/>
      <c r="G237" s="21"/>
      <c r="H237" s="22"/>
      <c r="I237" s="22"/>
      <c r="J237" s="22"/>
    </row>
    <row r="238" spans="1:10">
      <c r="A238" s="15"/>
      <c r="B238" s="15"/>
      <c r="C238" s="15"/>
      <c r="D238" s="20"/>
      <c r="E238" s="15"/>
      <c r="F238" s="21"/>
      <c r="G238" s="21"/>
      <c r="H238" s="22"/>
      <c r="I238" s="22"/>
      <c r="J238" s="22"/>
    </row>
    <row r="239" spans="1:10">
      <c r="A239" s="15"/>
      <c r="B239" s="15"/>
      <c r="C239" s="15"/>
      <c r="D239" s="20"/>
      <c r="E239" s="15"/>
      <c r="F239" s="21"/>
      <c r="G239" s="21"/>
      <c r="H239" s="22"/>
      <c r="I239" s="22"/>
      <c r="J239" s="22"/>
    </row>
    <row r="240" spans="1:10">
      <c r="A240" s="15"/>
      <c r="B240" s="15"/>
      <c r="C240" s="15"/>
      <c r="D240" s="20"/>
      <c r="E240" s="15"/>
      <c r="F240" s="21"/>
      <c r="G240" s="21"/>
      <c r="H240" s="22"/>
      <c r="I240" s="22"/>
      <c r="J240" s="22"/>
    </row>
    <row r="241" spans="1:10">
      <c r="A241" s="15"/>
      <c r="B241" s="15"/>
      <c r="C241" s="15"/>
      <c r="D241" s="20"/>
      <c r="E241" s="15"/>
      <c r="F241" s="21"/>
      <c r="G241" s="21"/>
      <c r="H241" s="22"/>
      <c r="I241" s="22"/>
      <c r="J241" s="22"/>
    </row>
    <row r="242" spans="1:10">
      <c r="A242" s="15"/>
      <c r="B242" s="15"/>
      <c r="C242" s="15"/>
      <c r="D242" s="20"/>
      <c r="E242" s="15"/>
      <c r="F242" s="21"/>
      <c r="G242" s="21"/>
      <c r="H242" s="22"/>
      <c r="I242" s="22"/>
      <c r="J242" s="22"/>
    </row>
    <row r="243" spans="1:10">
      <c r="A243" s="15"/>
      <c r="B243" s="15"/>
      <c r="C243" s="15"/>
      <c r="D243" s="20"/>
      <c r="E243" s="15"/>
      <c r="F243" s="21"/>
      <c r="G243" s="21"/>
      <c r="H243" s="22"/>
      <c r="I243" s="22"/>
      <c r="J243" s="22"/>
    </row>
    <row r="244" spans="1:10">
      <c r="A244" s="15"/>
      <c r="B244" s="15"/>
      <c r="C244" s="15"/>
      <c r="D244" s="20"/>
      <c r="E244" s="15"/>
      <c r="F244" s="21"/>
      <c r="G244" s="21"/>
      <c r="H244" s="22"/>
      <c r="I244" s="22"/>
      <c r="J244" s="22"/>
    </row>
    <row r="245" spans="1:10">
      <c r="A245" s="15"/>
      <c r="B245" s="15"/>
      <c r="C245" s="15"/>
      <c r="D245" s="20"/>
      <c r="E245" s="15"/>
      <c r="F245" s="21"/>
      <c r="G245" s="21"/>
      <c r="H245" s="22"/>
      <c r="I245" s="22"/>
      <c r="J245" s="22"/>
    </row>
    <row r="246" spans="1:10">
      <c r="A246" s="15"/>
      <c r="B246" s="15"/>
      <c r="C246" s="15"/>
      <c r="D246" s="20"/>
      <c r="E246" s="15"/>
      <c r="F246" s="21"/>
      <c r="G246" s="21"/>
      <c r="H246" s="22"/>
      <c r="I246" s="22"/>
      <c r="J246" s="22"/>
    </row>
    <row r="247" spans="1:10">
      <c r="A247" s="15"/>
      <c r="B247" s="15"/>
      <c r="C247" s="15"/>
      <c r="D247" s="20"/>
      <c r="E247" s="15"/>
      <c r="F247" s="21"/>
      <c r="G247" s="21"/>
      <c r="H247" s="22"/>
      <c r="I247" s="22"/>
      <c r="J247" s="22"/>
    </row>
    <row r="248" spans="1:10">
      <c r="A248" s="15"/>
      <c r="B248" s="15"/>
      <c r="C248" s="15"/>
      <c r="D248" s="20"/>
      <c r="E248" s="15"/>
      <c r="F248" s="21"/>
      <c r="G248" s="21"/>
      <c r="H248" s="22"/>
      <c r="I248" s="22"/>
      <c r="J248" s="22"/>
    </row>
    <row r="249" spans="1:10">
      <c r="A249" s="15"/>
      <c r="B249" s="15"/>
      <c r="C249" s="15"/>
      <c r="D249" s="20"/>
      <c r="E249" s="15"/>
      <c r="F249" s="21"/>
      <c r="G249" s="21"/>
      <c r="H249" s="22"/>
      <c r="I249" s="22"/>
      <c r="J249" s="22"/>
    </row>
    <row r="250" spans="1:10">
      <c r="A250" s="15"/>
      <c r="B250" s="15"/>
      <c r="C250" s="15"/>
      <c r="D250" s="20"/>
      <c r="E250" s="15"/>
      <c r="F250" s="21"/>
      <c r="G250" s="21"/>
      <c r="H250" s="22"/>
      <c r="I250" s="22"/>
      <c r="J250" s="22"/>
    </row>
    <row r="251" spans="1:10">
      <c r="A251" s="15"/>
      <c r="B251" s="15"/>
      <c r="C251" s="15"/>
      <c r="D251" s="20"/>
      <c r="E251" s="15"/>
      <c r="F251" s="21"/>
      <c r="G251" s="21"/>
      <c r="H251" s="22"/>
      <c r="I251" s="22"/>
      <c r="J251" s="22"/>
    </row>
    <row r="252" spans="1:10">
      <c r="A252" s="15"/>
      <c r="B252" s="15"/>
      <c r="C252" s="15"/>
      <c r="D252" s="20"/>
      <c r="E252" s="15"/>
      <c r="F252" s="21"/>
      <c r="G252" s="21"/>
      <c r="H252" s="22"/>
      <c r="I252" s="22"/>
      <c r="J252" s="22"/>
    </row>
    <row r="253" spans="1:10">
      <c r="A253" s="15"/>
      <c r="B253" s="15"/>
      <c r="C253" s="15"/>
      <c r="D253" s="20"/>
      <c r="E253" s="15"/>
      <c r="F253" s="21"/>
      <c r="G253" s="21"/>
      <c r="H253" s="22"/>
      <c r="I253" s="22"/>
      <c r="J253" s="22"/>
    </row>
    <row r="254" spans="1:10">
      <c r="A254" s="15"/>
      <c r="B254" s="15"/>
      <c r="C254" s="15"/>
      <c r="D254" s="20"/>
      <c r="E254" s="15"/>
      <c r="F254" s="21"/>
      <c r="G254" s="21"/>
      <c r="H254" s="22"/>
      <c r="I254" s="22"/>
      <c r="J254" s="22"/>
    </row>
    <row r="255" spans="1:10">
      <c r="A255" s="15"/>
      <c r="B255" s="15"/>
      <c r="C255" s="15"/>
      <c r="D255" s="20"/>
      <c r="E255" s="15"/>
      <c r="F255" s="21"/>
      <c r="G255" s="21"/>
      <c r="H255" s="22"/>
      <c r="I255" s="22"/>
      <c r="J255" s="22"/>
    </row>
    <row r="256" spans="1:10">
      <c r="A256" s="15"/>
      <c r="B256" s="15"/>
      <c r="C256" s="15"/>
      <c r="D256" s="20"/>
      <c r="E256" s="15"/>
      <c r="F256" s="21"/>
      <c r="G256" s="21"/>
      <c r="H256" s="22"/>
      <c r="I256" s="22"/>
      <c r="J256" s="22"/>
    </row>
    <row r="257" spans="1:10">
      <c r="A257" s="15"/>
      <c r="B257" s="15"/>
      <c r="C257" s="15"/>
      <c r="D257" s="20"/>
      <c r="E257" s="15"/>
      <c r="F257" s="21"/>
      <c r="G257" s="21"/>
      <c r="H257" s="22"/>
      <c r="I257" s="22"/>
      <c r="J257" s="22"/>
    </row>
    <row r="258" spans="1:10">
      <c r="A258" s="15"/>
      <c r="B258" s="15"/>
      <c r="C258" s="15"/>
      <c r="D258" s="20"/>
      <c r="E258" s="15"/>
      <c r="F258" s="21"/>
      <c r="G258" s="21"/>
      <c r="H258" s="22"/>
      <c r="I258" s="22"/>
      <c r="J258" s="22"/>
    </row>
    <row r="259" spans="1:10">
      <c r="A259" s="15"/>
      <c r="B259" s="15"/>
      <c r="C259" s="15"/>
      <c r="D259" s="20"/>
      <c r="E259" s="15"/>
      <c r="F259" s="21"/>
      <c r="G259" s="21"/>
      <c r="H259" s="22"/>
      <c r="I259" s="22"/>
      <c r="J259" s="22"/>
    </row>
    <row r="260" spans="1:10">
      <c r="A260" s="15"/>
      <c r="B260" s="15"/>
      <c r="C260" s="15"/>
      <c r="D260" s="20"/>
      <c r="E260" s="15"/>
      <c r="F260" s="21"/>
      <c r="G260" s="21"/>
      <c r="H260" s="22"/>
      <c r="I260" s="22"/>
      <c r="J260" s="22"/>
    </row>
    <row r="261" spans="1:10">
      <c r="A261" s="15"/>
      <c r="B261" s="15"/>
      <c r="C261" s="15"/>
      <c r="D261" s="20"/>
      <c r="E261" s="15"/>
      <c r="F261" s="21"/>
      <c r="G261" s="21"/>
      <c r="H261" s="22"/>
      <c r="I261" s="22"/>
      <c r="J261" s="22"/>
    </row>
    <row r="262" spans="1:10">
      <c r="A262" s="15"/>
      <c r="B262" s="15"/>
      <c r="C262" s="15"/>
      <c r="D262" s="20"/>
      <c r="E262" s="15"/>
      <c r="F262" s="21"/>
      <c r="G262" s="21"/>
      <c r="H262" s="22"/>
      <c r="I262" s="22"/>
      <c r="J262" s="22"/>
    </row>
    <row r="263" spans="1:10">
      <c r="A263" s="15"/>
      <c r="B263" s="15"/>
      <c r="C263" s="15"/>
      <c r="D263" s="20"/>
      <c r="E263" s="15"/>
      <c r="F263" s="21"/>
      <c r="G263" s="21"/>
      <c r="H263" s="22"/>
      <c r="I263" s="22"/>
      <c r="J263" s="22"/>
    </row>
    <row r="264" spans="1:10">
      <c r="A264" s="15"/>
      <c r="B264" s="15"/>
      <c r="C264" s="15"/>
      <c r="D264" s="20"/>
      <c r="E264" s="15"/>
      <c r="F264" s="21"/>
      <c r="G264" s="21"/>
      <c r="H264" s="22"/>
      <c r="I264" s="22"/>
      <c r="J264" s="22"/>
    </row>
    <row r="265" spans="1:10">
      <c r="A265" s="15"/>
      <c r="B265" s="15"/>
      <c r="C265" s="15"/>
      <c r="D265" s="20"/>
      <c r="E265" s="15"/>
      <c r="F265" s="21"/>
      <c r="G265" s="21"/>
      <c r="H265" s="22"/>
      <c r="I265" s="22"/>
      <c r="J265" s="22"/>
    </row>
    <row r="266" spans="1:10">
      <c r="A266" s="15"/>
      <c r="B266" s="15"/>
      <c r="C266" s="15"/>
      <c r="D266" s="20"/>
      <c r="E266" s="15"/>
      <c r="F266" s="21"/>
      <c r="G266" s="21"/>
      <c r="H266" s="22"/>
      <c r="I266" s="22"/>
      <c r="J266" s="22"/>
    </row>
    <row r="267" spans="1:10">
      <c r="A267" s="15"/>
      <c r="B267" s="15"/>
      <c r="C267" s="15"/>
      <c r="D267" s="20"/>
      <c r="E267" s="15"/>
      <c r="F267" s="21"/>
      <c r="G267" s="21"/>
      <c r="H267" s="22"/>
      <c r="I267" s="22"/>
      <c r="J267" s="22"/>
    </row>
    <row r="268" spans="1:10">
      <c r="A268" s="15"/>
      <c r="B268" s="15"/>
      <c r="C268" s="15"/>
      <c r="D268" s="20"/>
      <c r="E268" s="15"/>
      <c r="F268" s="21"/>
      <c r="G268" s="21"/>
      <c r="H268" s="22"/>
      <c r="I268" s="22"/>
      <c r="J268" s="22"/>
    </row>
    <row r="269" spans="1:10">
      <c r="A269" s="15"/>
      <c r="B269" s="15"/>
      <c r="C269" s="15"/>
      <c r="D269" s="20"/>
      <c r="E269" s="15"/>
      <c r="F269" s="21"/>
      <c r="G269" s="21"/>
      <c r="H269" s="22"/>
      <c r="I269" s="22"/>
      <c r="J269" s="22"/>
    </row>
    <row r="270" spans="1:10">
      <c r="A270" s="15"/>
      <c r="B270" s="15"/>
      <c r="C270" s="15"/>
      <c r="D270" s="20"/>
      <c r="E270" s="15"/>
      <c r="F270" s="21"/>
      <c r="G270" s="21"/>
      <c r="H270" s="22"/>
      <c r="I270" s="22"/>
      <c r="J270" s="22"/>
    </row>
    <row r="271" spans="1:10">
      <c r="A271" s="15"/>
      <c r="B271" s="15"/>
      <c r="C271" s="15"/>
      <c r="D271" s="20"/>
      <c r="E271" s="15"/>
      <c r="F271" s="21"/>
      <c r="G271" s="21"/>
      <c r="H271" s="22"/>
      <c r="I271" s="22"/>
      <c r="J271" s="22"/>
    </row>
    <row r="272" spans="1:10">
      <c r="A272" s="15"/>
      <c r="B272" s="15"/>
      <c r="C272" s="15"/>
      <c r="D272" s="20"/>
      <c r="E272" s="15"/>
      <c r="F272" s="21"/>
      <c r="G272" s="21"/>
      <c r="H272" s="22"/>
      <c r="I272" s="22"/>
      <c r="J272" s="22"/>
    </row>
    <row r="273" spans="1:10">
      <c r="A273" s="15"/>
      <c r="B273" s="15"/>
      <c r="C273" s="15"/>
      <c r="D273" s="20"/>
      <c r="E273" s="15"/>
      <c r="F273" s="21"/>
      <c r="G273" s="21"/>
      <c r="H273" s="22"/>
      <c r="I273" s="22"/>
      <c r="J273" s="22"/>
    </row>
    <row r="274" spans="1:10">
      <c r="A274" s="15"/>
      <c r="B274" s="15"/>
      <c r="C274" s="15"/>
      <c r="D274" s="20"/>
      <c r="E274" s="15"/>
      <c r="F274" s="21"/>
      <c r="G274" s="21"/>
      <c r="H274" s="22"/>
      <c r="I274" s="22"/>
      <c r="J274" s="22"/>
    </row>
    <row r="275" spans="1:10">
      <c r="A275" s="15"/>
      <c r="B275" s="15"/>
      <c r="C275" s="15"/>
      <c r="D275" s="20"/>
      <c r="E275" s="15"/>
      <c r="F275" s="21"/>
      <c r="G275" s="21"/>
      <c r="H275" s="22"/>
      <c r="I275" s="22"/>
      <c r="J275" s="22"/>
    </row>
    <row r="276" spans="1:10">
      <c r="A276" s="15"/>
      <c r="B276" s="15"/>
      <c r="C276" s="15"/>
      <c r="D276" s="20"/>
      <c r="E276" s="15"/>
      <c r="F276" s="21"/>
      <c r="G276" s="21"/>
      <c r="H276" s="22"/>
      <c r="I276" s="22"/>
      <c r="J276" s="22"/>
    </row>
    <row r="277" spans="1:10">
      <c r="A277" s="15"/>
      <c r="B277" s="15"/>
      <c r="C277" s="15"/>
      <c r="D277" s="20"/>
      <c r="E277" s="15"/>
      <c r="F277" s="21"/>
      <c r="G277" s="21"/>
      <c r="H277" s="22"/>
      <c r="I277" s="22"/>
      <c r="J277" s="22"/>
    </row>
    <row r="278" spans="1:10">
      <c r="A278" s="15"/>
      <c r="B278" s="15"/>
      <c r="C278" s="15"/>
      <c r="D278" s="20"/>
      <c r="E278" s="15"/>
      <c r="F278" s="21"/>
      <c r="G278" s="21"/>
      <c r="H278" s="22"/>
      <c r="I278" s="22"/>
      <c r="J278" s="22"/>
    </row>
    <row r="279" spans="1:10">
      <c r="A279" s="15"/>
      <c r="B279" s="15"/>
      <c r="C279" s="15"/>
      <c r="D279" s="20"/>
      <c r="E279" s="15"/>
      <c r="F279" s="21"/>
      <c r="G279" s="21"/>
      <c r="H279" s="22"/>
      <c r="I279" s="22"/>
      <c r="J279" s="22"/>
    </row>
    <row r="280" spans="1:10">
      <c r="A280" s="15"/>
      <c r="B280" s="15"/>
      <c r="C280" s="15"/>
      <c r="D280" s="20"/>
      <c r="E280" s="15"/>
      <c r="F280" s="21"/>
      <c r="G280" s="21"/>
      <c r="H280" s="22"/>
      <c r="I280" s="22"/>
      <c r="J280" s="22"/>
    </row>
    <row r="281" spans="1:10">
      <c r="A281" s="15"/>
      <c r="B281" s="15"/>
      <c r="C281" s="15"/>
      <c r="D281" s="20"/>
      <c r="E281" s="15"/>
      <c r="F281" s="21"/>
      <c r="G281" s="21"/>
      <c r="H281" s="22"/>
      <c r="I281" s="22"/>
      <c r="J281" s="22"/>
    </row>
    <row r="282" spans="1:10">
      <c r="A282" s="15"/>
      <c r="B282" s="15"/>
      <c r="C282" s="15"/>
      <c r="D282" s="20"/>
      <c r="E282" s="15"/>
      <c r="F282" s="21"/>
      <c r="G282" s="21"/>
      <c r="H282" s="22"/>
      <c r="I282" s="22"/>
      <c r="J282" s="22"/>
    </row>
    <row r="283" spans="1:10">
      <c r="A283" s="15"/>
      <c r="B283" s="15"/>
      <c r="C283" s="15"/>
      <c r="D283" s="20"/>
      <c r="E283" s="15"/>
      <c r="F283" s="21"/>
      <c r="G283" s="21"/>
      <c r="H283" s="22"/>
      <c r="I283" s="22"/>
      <c r="J283" s="22"/>
    </row>
    <row r="284" spans="1:10">
      <c r="A284" s="15"/>
      <c r="B284" s="15"/>
      <c r="C284" s="15"/>
      <c r="D284" s="20"/>
      <c r="E284" s="15"/>
      <c r="F284" s="21"/>
      <c r="G284" s="21"/>
      <c r="H284" s="22"/>
      <c r="I284" s="22"/>
      <c r="J284" s="22"/>
    </row>
    <row r="285" spans="1:10">
      <c r="A285" s="15"/>
      <c r="B285" s="15"/>
      <c r="C285" s="15"/>
      <c r="D285" s="20"/>
      <c r="E285" s="15"/>
      <c r="F285" s="21"/>
      <c r="G285" s="21"/>
      <c r="H285" s="22"/>
      <c r="I285" s="22"/>
      <c r="J285" s="22"/>
    </row>
    <row r="286" spans="1:10">
      <c r="A286" s="15"/>
      <c r="B286" s="15"/>
      <c r="C286" s="15"/>
      <c r="D286" s="20"/>
      <c r="E286" s="15"/>
      <c r="F286" s="21"/>
      <c r="G286" s="21"/>
      <c r="H286" s="22"/>
      <c r="I286" s="22"/>
      <c r="J286" s="22"/>
    </row>
    <row r="287" spans="1:10">
      <c r="A287" s="15"/>
      <c r="B287" s="15"/>
      <c r="C287" s="15"/>
      <c r="D287" s="20"/>
      <c r="E287" s="15"/>
      <c r="F287" s="21"/>
      <c r="G287" s="21"/>
      <c r="H287" s="22"/>
      <c r="I287" s="22"/>
      <c r="J287" s="22"/>
    </row>
    <row r="288" spans="1:10">
      <c r="A288" s="15"/>
      <c r="B288" s="15"/>
      <c r="C288" s="15"/>
      <c r="D288" s="20"/>
      <c r="E288" s="15"/>
      <c r="F288" s="21"/>
      <c r="G288" s="21"/>
      <c r="H288" s="22"/>
      <c r="I288" s="22"/>
      <c r="J288" s="22"/>
    </row>
    <row r="289" spans="1:10">
      <c r="A289" s="15"/>
      <c r="B289" s="15"/>
      <c r="C289" s="15"/>
      <c r="D289" s="20"/>
      <c r="E289" s="15"/>
      <c r="F289" s="21"/>
      <c r="G289" s="21"/>
      <c r="H289" s="22"/>
      <c r="I289" s="22"/>
      <c r="J289" s="22"/>
    </row>
    <row r="290" spans="1:10">
      <c r="A290" s="15"/>
      <c r="B290" s="15"/>
      <c r="C290" s="15"/>
      <c r="D290" s="20"/>
      <c r="E290" s="15"/>
      <c r="F290" s="21"/>
      <c r="G290" s="21"/>
      <c r="H290" s="22"/>
      <c r="I290" s="22"/>
      <c r="J290" s="22"/>
    </row>
    <row r="291" spans="1:10">
      <c r="A291" s="15"/>
      <c r="B291" s="15"/>
      <c r="C291" s="15"/>
      <c r="D291" s="20"/>
      <c r="E291" s="15"/>
      <c r="F291" s="21"/>
      <c r="G291" s="21"/>
      <c r="H291" s="22"/>
      <c r="I291" s="22"/>
      <c r="J291" s="22"/>
    </row>
    <row r="292" spans="1:10">
      <c r="A292" s="15"/>
      <c r="B292" s="15"/>
      <c r="C292" s="15"/>
      <c r="D292" s="20"/>
      <c r="E292" s="15"/>
      <c r="F292" s="21"/>
      <c r="G292" s="21"/>
      <c r="H292" s="22"/>
      <c r="I292" s="22"/>
      <c r="J292" s="22"/>
    </row>
    <row r="293" spans="1:10">
      <c r="A293" s="15"/>
      <c r="B293" s="15"/>
      <c r="C293" s="15"/>
      <c r="D293" s="20"/>
      <c r="E293" s="15"/>
      <c r="F293" s="21"/>
      <c r="G293" s="21"/>
      <c r="H293" s="22"/>
      <c r="I293" s="22"/>
      <c r="J293" s="22"/>
    </row>
    <row r="294" spans="1:10">
      <c r="A294" s="15"/>
      <c r="B294" s="15"/>
      <c r="C294" s="15"/>
      <c r="D294" s="20"/>
      <c r="E294" s="15"/>
      <c r="F294" s="21"/>
      <c r="G294" s="21"/>
      <c r="H294" s="22"/>
      <c r="I294" s="22"/>
      <c r="J294" s="22"/>
    </row>
    <row r="295" spans="1:10">
      <c r="A295" s="15"/>
      <c r="B295" s="15"/>
      <c r="C295" s="15"/>
      <c r="D295" s="20"/>
      <c r="E295" s="15"/>
      <c r="F295" s="21"/>
      <c r="G295" s="21"/>
      <c r="H295" s="22"/>
      <c r="I295" s="22"/>
      <c r="J295" s="22"/>
    </row>
    <row r="296" spans="1:10">
      <c r="A296" s="15"/>
      <c r="B296" s="15"/>
      <c r="C296" s="15"/>
      <c r="D296" s="20"/>
      <c r="E296" s="15"/>
      <c r="F296" s="21"/>
      <c r="G296" s="21"/>
      <c r="H296" s="22"/>
      <c r="I296" s="22"/>
      <c r="J296" s="22"/>
    </row>
    <row r="297" spans="1:10">
      <c r="A297" s="15"/>
      <c r="B297" s="15"/>
      <c r="C297" s="15"/>
      <c r="D297" s="20"/>
      <c r="E297" s="15"/>
      <c r="F297" s="21"/>
      <c r="G297" s="21"/>
      <c r="H297" s="22"/>
      <c r="I297" s="22"/>
      <c r="J297" s="22"/>
    </row>
    <row r="298" spans="1:10">
      <c r="A298" s="15"/>
      <c r="B298" s="15"/>
      <c r="C298" s="15"/>
      <c r="D298" s="20"/>
      <c r="E298" s="15"/>
      <c r="F298" s="21"/>
      <c r="G298" s="21"/>
      <c r="H298" s="22"/>
      <c r="I298" s="22"/>
      <c r="J298" s="22"/>
    </row>
    <row r="299" spans="1:10">
      <c r="A299" s="15"/>
      <c r="B299" s="15"/>
      <c r="C299" s="15"/>
      <c r="D299" s="20"/>
      <c r="E299" s="15"/>
      <c r="F299" s="21"/>
      <c r="G299" s="21"/>
      <c r="H299" s="22"/>
      <c r="I299" s="22"/>
      <c r="J299" s="22"/>
    </row>
    <row r="300" spans="1:10">
      <c r="A300" s="15"/>
      <c r="B300" s="15"/>
      <c r="C300" s="15"/>
      <c r="D300" s="20"/>
      <c r="E300" s="15"/>
      <c r="F300" s="21"/>
      <c r="G300" s="21"/>
      <c r="H300" s="22"/>
      <c r="I300" s="22"/>
      <c r="J300" s="22"/>
    </row>
    <row r="301" spans="1:10">
      <c r="A301" s="15"/>
      <c r="B301" s="15"/>
      <c r="C301" s="15"/>
      <c r="D301" s="20"/>
      <c r="E301" s="15"/>
      <c r="F301" s="21"/>
      <c r="G301" s="21"/>
      <c r="H301" s="22"/>
      <c r="I301" s="22"/>
      <c r="J301" s="22"/>
    </row>
    <row r="302" spans="1:10">
      <c r="A302" s="15"/>
      <c r="B302" s="15"/>
      <c r="C302" s="15"/>
      <c r="D302" s="20"/>
      <c r="E302" s="15"/>
      <c r="F302" s="21"/>
      <c r="G302" s="21"/>
      <c r="H302" s="22"/>
      <c r="I302" s="22"/>
      <c r="J302" s="22"/>
    </row>
    <row r="303" spans="1:10">
      <c r="A303" s="15"/>
      <c r="B303" s="15"/>
      <c r="C303" s="15"/>
      <c r="D303" s="20"/>
      <c r="E303" s="15"/>
      <c r="F303" s="21"/>
      <c r="G303" s="21"/>
      <c r="H303" s="22"/>
      <c r="I303" s="22"/>
      <c r="J303" s="22"/>
    </row>
    <row r="304" spans="1:10">
      <c r="A304" s="15"/>
      <c r="B304" s="15"/>
      <c r="C304" s="15"/>
      <c r="D304" s="20"/>
      <c r="E304" s="15"/>
      <c r="F304" s="21"/>
      <c r="G304" s="21"/>
      <c r="H304" s="22"/>
      <c r="I304" s="22"/>
      <c r="J304" s="22"/>
    </row>
  </sheetData>
  <autoFilter ref="A4:J304"/>
  <mergeCells count="2">
    <mergeCell ref="A1:J1"/>
    <mergeCell ref="A2:J2"/>
  </mergeCells>
  <dataValidations count="6">
    <dataValidation type="list" allowBlank="1" showInputMessage="1" showErrorMessage="1" errorTitle="Valor inválido" error="Escolha um item da lista." sqref="C5:C304">
      <formula1>Categorias</formula1>
    </dataValidation>
    <dataValidation type="list" allowBlank="1" showInputMessage="1" showErrorMessage="1" errorTitle="Valor inválido" error="Escolha um item da lista." sqref="D5:D304">
      <formula1>Unidades</formula1>
    </dataValidation>
    <dataValidation type="list" allowBlank="1" showInputMessage="1" showErrorMessage="1" errorTitle="Valor inválido" error="Escolha um item da lista." sqref="E5:E304">
      <formula1>Fornecedores</formula1>
    </dataValidation>
    <dataValidation type="decimal" operator="greaterThanOrEqual" allowBlank="1" showInputMessage="1" showErrorMessage="1" errorTitle="Valor inválido" error="Digite um número maior ou igual a 0." sqref="F5:G304">
      <formula1>0</formula1>
    </dataValidation>
    <dataValidation type="decimal" operator="greaterThanOrEqual" allowBlank="1" showInputMessage="1" showErrorMessage="1" errorTitle="Valor inválido" error="Digite um número maior ou igual a 0." sqref="H5:J304">
      <formula1>0</formula1>
    </dataValidation>
    <dataValidation type="custom" allowBlank="1" showInputMessage="1" showErrorMessage="1" errorTitle="Código repetido" error="Este código já existe. Use um código único." sqref="A5:A304">
      <formula1>COUNTIF($A$5:$A$304,A5)=1</formula1>
    </dataValidation>
  </dataValidations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30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0.7109375" customWidth="1"/>
    <col min="4" max="4" width="11.7109375" customWidth="1"/>
    <col min="5" max="5" width="30.7109375" customWidth="1"/>
    <col min="6" max="6" width="36.7109375" customWidth="1"/>
    <col min="7" max="7" width="15.7109375" customWidth="1"/>
    <col min="8" max="8" width="20.7109375" customWidth="1"/>
  </cols>
  <sheetData>
    <row r="1" spans="1:8" ht="36" customHeight="1">
      <c r="A1" s="1" t="s">
        <v>169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170</v>
      </c>
      <c r="B2" s="2"/>
      <c r="C2" s="2"/>
      <c r="D2" s="2"/>
      <c r="E2" s="2"/>
      <c r="F2" s="2"/>
      <c r="G2" s="2"/>
      <c r="H2" s="13" t="s">
        <v>45</v>
      </c>
    </row>
    <row r="4" spans="1:8" ht="36" customHeight="1">
      <c r="A4" s="11" t="s">
        <v>171</v>
      </c>
      <c r="B4" s="11" t="s">
        <v>79</v>
      </c>
      <c r="C4" s="11" t="s">
        <v>172</v>
      </c>
      <c r="D4" s="11" t="s">
        <v>173</v>
      </c>
      <c r="E4" s="11" t="s">
        <v>174</v>
      </c>
      <c r="F4" s="11" t="s">
        <v>80</v>
      </c>
      <c r="G4" s="11" t="s">
        <v>175</v>
      </c>
      <c r="H4" s="11" t="s">
        <v>176</v>
      </c>
    </row>
    <row r="5" spans="1:8">
      <c r="A5" s="16">
        <v>46204</v>
      </c>
      <c r="B5" s="15" t="s">
        <v>95</v>
      </c>
      <c r="C5" s="20" t="s">
        <v>177</v>
      </c>
      <c r="D5" s="22">
        <v>1</v>
      </c>
      <c r="E5" s="15" t="s">
        <v>178</v>
      </c>
      <c r="F5" s="23" t="str">
        <f>IF($B5="","",IFERROR(INDEX(ProdNome,MATCH($B5,ProdCod,0)),"Código não cadastrado"))</f>
        <v>Pasta suspensa (pct 25)</v>
      </c>
      <c r="G5" s="24">
        <f>IF(OR($B5="",$D5=""),"",$D5*IFERROR(INDEX(ProdCusto,MATCH($B5,ProdCod,0)),0))</f>
        <v>28</v>
      </c>
      <c r="H5" s="25" t="str">
        <f>IF($A5="","",IF(OR($B5="",$C5="",$D5=""),"Preencher tudo",IF($F5="Código não cadastrado","Código inválido","OK")))</f>
        <v>OK</v>
      </c>
    </row>
    <row r="6" spans="1:8">
      <c r="A6" s="16">
        <v>46204</v>
      </c>
      <c r="B6" s="15" t="s">
        <v>97</v>
      </c>
      <c r="C6" s="20" t="s">
        <v>177</v>
      </c>
      <c r="D6" s="22">
        <v>1</v>
      </c>
      <c r="E6" s="15" t="s">
        <v>178</v>
      </c>
      <c r="F6" s="23" t="str">
        <f>IF($B6="","",IFERROR(INDEX(ProdNome,MATCH($B6,ProdCod,0)),"Código não cadastrado"))</f>
        <v>Grampeador médio</v>
      </c>
      <c r="G6" s="24">
        <f>IF(OR($B6="",$D6=""),"",$D6*IFERROR(INDEX(ProdCusto,MATCH($B6,ProdCod,0)),0))</f>
        <v>14</v>
      </c>
      <c r="H6" s="25" t="str">
        <f>IF($A6="","",IF(OR($B6="",$C6="",$D6=""),"Preencher tudo",IF($F6="Código não cadastrado","Código inválido","OK")))</f>
        <v>OK</v>
      </c>
    </row>
    <row r="7" spans="1:8">
      <c r="A7" s="16">
        <v>46204</v>
      </c>
      <c r="B7" s="15" t="s">
        <v>99</v>
      </c>
      <c r="C7" s="20" t="s">
        <v>177</v>
      </c>
      <c r="D7" s="22">
        <v>1</v>
      </c>
      <c r="E7" s="15" t="s">
        <v>178</v>
      </c>
      <c r="F7" s="23" t="str">
        <f>IF($B7="","",IFERROR(INDEX(ProdNome,MATCH($B7,ProdCod,0)),"Código não cadastrado"))</f>
        <v>Mouse óptico USB</v>
      </c>
      <c r="G7" s="24">
        <f>IF(OR($B7="",$D7=""),"",$D7*IFERROR(INDEX(ProdCusto,MATCH($B7,ProdCod,0)),0))</f>
        <v>11</v>
      </c>
      <c r="H7" s="25" t="str">
        <f>IF($A7="","",IF(OR($B7="",$C7="",$D7=""),"Preencher tudo",IF($F7="Código não cadastrado","Código inválido","OK")))</f>
        <v>OK</v>
      </c>
    </row>
    <row r="8" spans="1:8">
      <c r="A8" s="16">
        <v>46204</v>
      </c>
      <c r="B8" s="15" t="s">
        <v>101</v>
      </c>
      <c r="C8" s="20" t="s">
        <v>177</v>
      </c>
      <c r="D8" s="22">
        <v>6</v>
      </c>
      <c r="E8" s="15" t="s">
        <v>178</v>
      </c>
      <c r="F8" s="23" t="str">
        <f>IF($B8="","",IFERROR(INDEX(ProdNome,MATCH($B8,ProdCod,0)),"Código não cadastrado"))</f>
        <v>Pen drive 32GB</v>
      </c>
      <c r="G8" s="24">
        <f>IF(OR($B8="",$D8=""),"",$D8*IFERROR(INDEX(ProdCusto,MATCH($B8,ProdCod,0)),0))</f>
        <v>132</v>
      </c>
      <c r="H8" s="25" t="str">
        <f>IF($A8="","",IF(OR($B8="",$C8="",$D8=""),"Preencher tudo",IF($F8="Código não cadastrado","Código inválido","OK")))</f>
        <v>OK</v>
      </c>
    </row>
    <row r="9" spans="1:8">
      <c r="A9" s="16">
        <v>46204</v>
      </c>
      <c r="B9" s="15" t="s">
        <v>113</v>
      </c>
      <c r="C9" s="20" t="s">
        <v>177</v>
      </c>
      <c r="D9" s="22">
        <v>6</v>
      </c>
      <c r="E9" s="15" t="s">
        <v>178</v>
      </c>
      <c r="F9" s="23" t="str">
        <f>IF($B9="","",IFERROR(INDEX(ProdNome,MATCH($B9,ProdCod,0)),"Código não cadastrado"))</f>
        <v>Tesoura escolar</v>
      </c>
      <c r="G9" s="24">
        <f>IF(OR($B9="",$D9=""),"",$D9*IFERROR(INDEX(ProdCusto,MATCH($B9,ProdCod,0)),0))</f>
        <v>16.8</v>
      </c>
      <c r="H9" s="25" t="str">
        <f>IF($A9="","",IF(OR($B9="",$C9="",$D9=""),"Preencher tudo",IF($F9="Código não cadastrado","Código inválido","OK")))</f>
        <v>OK</v>
      </c>
    </row>
    <row r="10" spans="1:8">
      <c r="A10" s="16">
        <v>46204</v>
      </c>
      <c r="B10" s="15" t="s">
        <v>125</v>
      </c>
      <c r="C10" s="20" t="s">
        <v>177</v>
      </c>
      <c r="D10" s="22">
        <v>3</v>
      </c>
      <c r="E10" s="15" t="s">
        <v>178</v>
      </c>
      <c r="F10" s="23" t="str">
        <f>IF($B10="","",IFERROR(INDEX(ProdNome,MATCH($B10,ProdCod,0)),"Código não cadastrado"))</f>
        <v>Papel toalha (pct 2)</v>
      </c>
      <c r="G10" s="24">
        <f>IF(OR($B10="",$D10=""),"",$D10*IFERROR(INDEX(ProdCusto,MATCH($B10,ProdCod,0)),0))</f>
        <v>17.7</v>
      </c>
      <c r="H10" s="25" t="str">
        <f>IF($A10="","",IF(OR($B10="",$C10="",$D10=""),"Preencher tudo",IF($F10="Código não cadastrado","Código inválido","OK")))</f>
        <v>OK</v>
      </c>
    </row>
    <row r="11" spans="1:8">
      <c r="A11" s="16">
        <v>46204</v>
      </c>
      <c r="B11" s="15" t="s">
        <v>131</v>
      </c>
      <c r="C11" s="20" t="s">
        <v>177</v>
      </c>
      <c r="D11" s="22">
        <v>1</v>
      </c>
      <c r="E11" s="15" t="s">
        <v>178</v>
      </c>
      <c r="F11" s="23" t="str">
        <f>IF($B11="","",IFERROR(INDEX(ProdNome,MATCH($B11,ProdCod,0)),"Código não cadastrado"))</f>
        <v>Garrafa squeeze 600ml</v>
      </c>
      <c r="G11" s="24">
        <f>IF(OR($B11="",$D11=""),"",$D11*IFERROR(INDEX(ProdCusto,MATCH($B11,ProdCod,0)),0))</f>
        <v>9.9</v>
      </c>
      <c r="H11" s="25" t="str">
        <f>IF($A11="","",IF(OR($B11="",$C11="",$D11=""),"Preencher tudo",IF($F11="Código não cadastrado","Código inválido","OK")))</f>
        <v>OK</v>
      </c>
    </row>
    <row r="12" spans="1:8">
      <c r="A12" s="16">
        <v>46204</v>
      </c>
      <c r="B12" s="15" t="s">
        <v>147</v>
      </c>
      <c r="C12" s="20" t="s">
        <v>177</v>
      </c>
      <c r="D12" s="22">
        <v>1</v>
      </c>
      <c r="E12" s="15" t="s">
        <v>178</v>
      </c>
      <c r="F12" s="23" t="str">
        <f>IF($B12="","",IFERROR(INDEX(ProdNome,MATCH($B12,ProdCod,0)),"Código não cadastrado"))</f>
        <v>Toner genérico preto</v>
      </c>
      <c r="G12" s="24">
        <f>IF(OR($B12="",$D12=""),"",$D12*IFERROR(INDEX(ProdCusto,MATCH($B12,ProdCod,0)),0))</f>
        <v>62</v>
      </c>
      <c r="H12" s="25" t="str">
        <f>IF($A12="","",IF(OR($B12="",$C12="",$D12=""),"Preencher tudo",IF($F12="Código não cadastrado","Código inválido","OK")))</f>
        <v>OK</v>
      </c>
    </row>
    <row r="13" spans="1:8">
      <c r="A13" s="16">
        <v>46204</v>
      </c>
      <c r="B13" s="15" t="s">
        <v>155</v>
      </c>
      <c r="C13" s="20" t="s">
        <v>177</v>
      </c>
      <c r="D13" s="22">
        <v>3</v>
      </c>
      <c r="E13" s="15" t="s">
        <v>178</v>
      </c>
      <c r="F13" s="23" t="str">
        <f>IF($B13="","",IFERROR(INDEX(ProdNome,MATCH($B13,ProdCod,0)),"Código não cadastrado"))</f>
        <v>Tinta guache (kit 6)</v>
      </c>
      <c r="G13" s="24">
        <f>IF(OR($B13="",$D13=""),"",$D13*IFERROR(INDEX(ProdCusto,MATCH($B13,ProdCod,0)),0))</f>
        <v>26.1</v>
      </c>
      <c r="H13" s="25" t="str">
        <f>IF($A13="","",IF(OR($B13="",$C13="",$D13=""),"Preencher tudo",IF($F13="Código não cadastrado","Código inválido","OK")))</f>
        <v>OK</v>
      </c>
    </row>
    <row r="14" spans="1:8">
      <c r="A14" s="16">
        <v>46204</v>
      </c>
      <c r="B14" s="15" t="s">
        <v>157</v>
      </c>
      <c r="C14" s="20" t="s">
        <v>177</v>
      </c>
      <c r="D14" s="22">
        <v>1</v>
      </c>
      <c r="E14" s="15" t="s">
        <v>178</v>
      </c>
      <c r="F14" s="23" t="str">
        <f>IF($B14="","",IFERROR(INDEX(ProdNome,MATCH($B14,ProdCod,0)),"Código não cadastrado"))</f>
        <v>Papel fotográfico A4 (pct 20)</v>
      </c>
      <c r="G14" s="24">
        <f>IF(OR($B14="",$D14=""),"",$D14*IFERROR(INDEX(ProdCusto,MATCH($B14,ProdCod,0)),0))</f>
        <v>12.5</v>
      </c>
      <c r="H14" s="25" t="str">
        <f>IF($A14="","",IF(OR($B14="",$C14="",$D14=""),"Preencher tudo",IF($F14="Código não cadastrado","Código inválido","OK")))</f>
        <v>OK</v>
      </c>
    </row>
    <row r="15" spans="1:8">
      <c r="A15" s="16">
        <v>46205</v>
      </c>
      <c r="B15" s="15" t="s">
        <v>105</v>
      </c>
      <c r="C15" s="20" t="s">
        <v>179</v>
      </c>
      <c r="D15" s="22">
        <v>6</v>
      </c>
      <c r="E15" s="15" t="s">
        <v>180</v>
      </c>
      <c r="F15" s="23" t="str">
        <f>IF($B15="","",IFERROR(INDEX(ProdNome,MATCH($B15,ProdCod,0)),"Código não cadastrado"))</f>
        <v>Mochila escolar 20L</v>
      </c>
      <c r="G15" s="24">
        <f>IF(OR($B15="",$D15=""),"",$D15*IFERROR(INDEX(ProdCusto,MATCH($B15,ProdCod,0)),0))</f>
        <v>276</v>
      </c>
      <c r="H15" s="25" t="str">
        <f>IF($A15="","",IF(OR($B15="",$C15="",$D15=""),"Preencher tudo",IF($F15="Código não cadastrado","Código inválido","OK")))</f>
        <v>OK</v>
      </c>
    </row>
    <row r="16" spans="1:8">
      <c r="A16" s="16">
        <v>46205</v>
      </c>
      <c r="B16" s="15" t="s">
        <v>107</v>
      </c>
      <c r="C16" s="20" t="s">
        <v>177</v>
      </c>
      <c r="D16" s="22">
        <v>2</v>
      </c>
      <c r="E16" s="15" t="s">
        <v>178</v>
      </c>
      <c r="F16" s="23" t="str">
        <f>IF($B16="","",IFERROR(INDEX(ProdNome,MATCH($B16,ProdCod,0)),"Código não cadastrado"))</f>
        <v>Estojo duplo</v>
      </c>
      <c r="G16" s="24">
        <f>IF(OR($B16="",$D16=""),"",$D16*IFERROR(INDEX(ProdCusto,MATCH($B16,ProdCod,0)),0))</f>
        <v>17</v>
      </c>
      <c r="H16" s="25" t="str">
        <f>IF($A16="","",IF(OR($B16="",$C16="",$D16=""),"Preencher tudo",IF($F16="Código não cadastrado","Código inválido","OK")))</f>
        <v>OK</v>
      </c>
    </row>
    <row r="17" spans="1:8">
      <c r="A17" s="16">
        <v>46205</v>
      </c>
      <c r="B17" s="15" t="s">
        <v>113</v>
      </c>
      <c r="C17" s="20" t="s">
        <v>179</v>
      </c>
      <c r="D17" s="22">
        <v>6</v>
      </c>
      <c r="E17" s="15" t="s">
        <v>181</v>
      </c>
      <c r="F17" s="23" t="str">
        <f>IF($B17="","",IFERROR(INDEX(ProdNome,MATCH($B17,ProdCod,0)),"Código não cadastrado"))</f>
        <v>Tesoura escolar</v>
      </c>
      <c r="G17" s="24">
        <f>IF(OR($B17="",$D17=""),"",$D17*IFERROR(INDEX(ProdCusto,MATCH($B17,ProdCod,0)),0))</f>
        <v>16.8</v>
      </c>
      <c r="H17" s="25" t="str">
        <f>IF($A17="","",IF(OR($B17="",$C17="",$D17=""),"Preencher tudo",IF($F17="Código não cadastrado","Código inválido","OK")))</f>
        <v>OK</v>
      </c>
    </row>
    <row r="18" spans="1:8">
      <c r="A18" s="16">
        <v>46205</v>
      </c>
      <c r="B18" s="15" t="s">
        <v>137</v>
      </c>
      <c r="C18" s="20" t="s">
        <v>179</v>
      </c>
      <c r="D18" s="22">
        <v>8</v>
      </c>
      <c r="E18" s="15" t="s">
        <v>182</v>
      </c>
      <c r="F18" s="23" t="str">
        <f>IF($B18="","",IFERROR(INDEX(ProdNome,MATCH($B18,ProdCod,0)),"Código não cadastrado"))</f>
        <v>Bloco de notas adesivas</v>
      </c>
      <c r="G18" s="24">
        <f>IF(OR($B18="",$D18=""),"",$D18*IFERROR(INDEX(ProdCusto,MATCH($B18,ProdCod,0)),0))</f>
        <v>27.2</v>
      </c>
      <c r="H18" s="25" t="str">
        <f>IF($A18="","",IF(OR($B18="",$C18="",$D18=""),"Preencher tudo",IF($F18="Código não cadastrado","Código inválido","OK")))</f>
        <v>OK</v>
      </c>
    </row>
    <row r="19" spans="1:8">
      <c r="A19" s="16">
        <v>46205</v>
      </c>
      <c r="B19" s="15" t="s">
        <v>143</v>
      </c>
      <c r="C19" s="20" t="s">
        <v>177</v>
      </c>
      <c r="D19" s="22">
        <v>8</v>
      </c>
      <c r="E19" s="15" t="s">
        <v>178</v>
      </c>
      <c r="F19" s="23" t="str">
        <f>IF($B19="","",IFERROR(INDEX(ProdNome,MATCH($B19,ProdCod,0)),"Código não cadastrado"))</f>
        <v>Régua 30cm</v>
      </c>
      <c r="G19" s="24">
        <f>IF(OR($B19="",$D19=""),"",$D19*IFERROR(INDEX(ProdCusto,MATCH($B19,ProdCod,0)),0))</f>
        <v>7.2</v>
      </c>
      <c r="H19" s="25" t="str">
        <f>IF($A19="","",IF(OR($B19="",$C19="",$D19=""),"Preencher tudo",IF($F19="Código não cadastrado","Código inválido","OK")))</f>
        <v>OK</v>
      </c>
    </row>
    <row r="20" spans="1:8">
      <c r="A20" s="16">
        <v>46205</v>
      </c>
      <c r="B20" s="15" t="s">
        <v>149</v>
      </c>
      <c r="C20" s="20" t="s">
        <v>179</v>
      </c>
      <c r="D20" s="22">
        <v>3</v>
      </c>
      <c r="E20" s="15" t="s">
        <v>183</v>
      </c>
      <c r="F20" s="23" t="str">
        <f>IF($B20="","",IFERROR(INDEX(ProdNome,MATCH($B20,ProdCod,0)),"Código não cadastrado"))</f>
        <v>Mouse pad</v>
      </c>
      <c r="G20" s="24">
        <f>IF(OR($B20="",$D20=""),"",$D20*IFERROR(INDEX(ProdCusto,MATCH($B20,ProdCod,0)),0))</f>
        <v>14.7</v>
      </c>
      <c r="H20" s="25" t="str">
        <f>IF($A20="","",IF(OR($B20="",$C20="",$D20=""),"Preencher tudo",IF($F20="Código não cadastrado","Código inválido","OK")))</f>
        <v>OK</v>
      </c>
    </row>
    <row r="21" spans="1:8">
      <c r="A21" s="16">
        <v>46205</v>
      </c>
      <c r="B21" s="15" t="s">
        <v>167</v>
      </c>
      <c r="C21" s="20" t="s">
        <v>177</v>
      </c>
      <c r="D21" s="22">
        <v>2</v>
      </c>
      <c r="E21" s="15" t="s">
        <v>178</v>
      </c>
      <c r="F21" s="23" t="str">
        <f>IF($B21="","",IFERROR(INDEX(ProdNome,MATCH($B21,ProdCod,0)),"Código não cadastrado"))</f>
        <v>Porta-retrato 10x15</v>
      </c>
      <c r="G21" s="24">
        <f>IF(OR($B21="",$D21=""),"",$D21*IFERROR(INDEX(ProdCusto,MATCH($B21,ProdCod,0)),0))</f>
        <v>12.4</v>
      </c>
      <c r="H21" s="25" t="str">
        <f>IF($A21="","",IF(OR($B21="",$C21="",$D21=""),"Preencher tudo",IF($F21="Código não cadastrado","Código inválido","OK")))</f>
        <v>OK</v>
      </c>
    </row>
    <row r="22" spans="1:8">
      <c r="A22" s="16">
        <v>46206</v>
      </c>
      <c r="B22" s="15" t="s">
        <v>93</v>
      </c>
      <c r="C22" s="20" t="s">
        <v>179</v>
      </c>
      <c r="D22" s="22">
        <v>54</v>
      </c>
      <c r="E22" s="15" t="s">
        <v>184</v>
      </c>
      <c r="F22" s="23" t="str">
        <f>IF($B22="","",IFERROR(INDEX(ProdNome,MATCH($B22,ProdCod,0)),"Código não cadastrado"))</f>
        <v>Papel A4 75g (resma)</v>
      </c>
      <c r="G22" s="24">
        <f>IF(OR($B22="",$D22=""),"",$D22*IFERROR(INDEX(ProdCusto,MATCH($B22,ProdCod,0)),0))</f>
        <v>1161</v>
      </c>
      <c r="H22" s="25" t="str">
        <f>IF($A22="","",IF(OR($B22="",$C22="",$D22=""),"Preencher tudo",IF($F22="Código não cadastrado","Código inválido","OK")))</f>
        <v>OK</v>
      </c>
    </row>
    <row r="23" spans="1:8">
      <c r="A23" s="16">
        <v>46206</v>
      </c>
      <c r="B23" s="15" t="s">
        <v>103</v>
      </c>
      <c r="C23" s="20" t="s">
        <v>177</v>
      </c>
      <c r="D23" s="22">
        <v>13</v>
      </c>
      <c r="E23" s="15" t="s">
        <v>178</v>
      </c>
      <c r="F23" s="23" t="str">
        <f>IF($B23="","",IFERROR(INDEX(ProdNome,MATCH($B23,ProdCod,0)),"Código não cadastrado"))</f>
        <v>Cabo USB-C 1m</v>
      </c>
      <c r="G23" s="24">
        <f>IF(OR($B23="",$D23=""),"",$D23*IFERROR(INDEX(ProdCusto,MATCH($B23,ProdCod,0)),0))</f>
        <v>84.5</v>
      </c>
      <c r="H23" s="25" t="str">
        <f>IF($A23="","",IF(OR($B23="",$C23="",$D23=""),"Preencher tudo",IF($F23="Código não cadastrado","Código inválido","OK")))</f>
        <v>OK</v>
      </c>
    </row>
    <row r="24" spans="1:8">
      <c r="A24" s="16">
        <v>46206</v>
      </c>
      <c r="B24" s="15" t="s">
        <v>109</v>
      </c>
      <c r="C24" s="20" t="s">
        <v>177</v>
      </c>
      <c r="D24" s="22">
        <v>4</v>
      </c>
      <c r="E24" s="15" t="s">
        <v>178</v>
      </c>
      <c r="F24" s="23" t="str">
        <f>IF($B24="","",IFERROR(INDEX(ProdNome,MATCH($B24,ProdCod,0)),"Código não cadastrado"))</f>
        <v>Lápis de cor (cx 24)</v>
      </c>
      <c r="G24" s="24">
        <f>IF(OR($B24="",$D24=""),"",$D24*IFERROR(INDEX(ProdCusto,MATCH($B24,ProdCod,0)),0))</f>
        <v>31.6</v>
      </c>
      <c r="H24" s="25" t="str">
        <f>IF($A24="","",IF(OR($B24="",$C24="",$D24=""),"Preencher tudo",IF($F24="Código não cadastrado","Código inválido","OK")))</f>
        <v>OK</v>
      </c>
    </row>
    <row r="25" spans="1:8">
      <c r="A25" s="16">
        <v>46206</v>
      </c>
      <c r="B25" s="15" t="s">
        <v>121</v>
      </c>
      <c r="C25" s="20" t="s">
        <v>177</v>
      </c>
      <c r="D25" s="22">
        <v>1</v>
      </c>
      <c r="E25" s="15" t="s">
        <v>178</v>
      </c>
      <c r="F25" s="23" t="str">
        <f>IF($B25="","",IFERROR(INDEX(ProdNome,MATCH($B25,ProdCod,0)),"Código não cadastrado"))</f>
        <v>Sacola kraft G (pct 50)</v>
      </c>
      <c r="G25" s="24">
        <f>IF(OR($B25="",$D25=""),"",$D25*IFERROR(INDEX(ProdCusto,MATCH($B25,ProdCod,0)),0))</f>
        <v>24</v>
      </c>
      <c r="H25" s="25" t="str">
        <f>IF($A25="","",IF(OR($B25="",$C25="",$D25=""),"Preencher tudo",IF($F25="Código não cadastrado","Código inválido","OK")))</f>
        <v>OK</v>
      </c>
    </row>
    <row r="26" spans="1:8">
      <c r="A26" s="16">
        <v>46206</v>
      </c>
      <c r="B26" s="15" t="s">
        <v>129</v>
      </c>
      <c r="C26" s="20" t="s">
        <v>179</v>
      </c>
      <c r="D26" s="22">
        <v>6</v>
      </c>
      <c r="E26" s="15" t="s">
        <v>185</v>
      </c>
      <c r="F26" s="23" t="str">
        <f>IF($B26="","",IFERROR(INDEX(ProdNome,MATCH($B26,ProdCod,0)),"Código não cadastrado"))</f>
        <v>Caneca branca para sublimação</v>
      </c>
      <c r="G26" s="24">
        <f>IF(OR($B26="",$D26=""),"",$D26*IFERROR(INDEX(ProdCusto,MATCH($B26,ProdCod,0)),0))</f>
        <v>25.2</v>
      </c>
      <c r="H26" s="25" t="str">
        <f>IF($A26="","",IF(OR($B26="",$C26="",$D26=""),"Preencher tudo",IF($F26="Código não cadastrado","Código inválido","OK")))</f>
        <v>OK</v>
      </c>
    </row>
    <row r="27" spans="1:8">
      <c r="A27" s="16">
        <v>46206</v>
      </c>
      <c r="B27" s="15" t="s">
        <v>137</v>
      </c>
      <c r="C27" s="20" t="s">
        <v>177</v>
      </c>
      <c r="D27" s="22">
        <v>8</v>
      </c>
      <c r="E27" s="15" t="s">
        <v>178</v>
      </c>
      <c r="F27" s="23" t="str">
        <f>IF($B27="","",IFERROR(INDEX(ProdNome,MATCH($B27,ProdCod,0)),"Código não cadastrado"))</f>
        <v>Bloco de notas adesivas</v>
      </c>
      <c r="G27" s="24">
        <f>IF(OR($B27="",$D27=""),"",$D27*IFERROR(INDEX(ProdCusto,MATCH($B27,ProdCod,0)),0))</f>
        <v>27.2</v>
      </c>
      <c r="H27" s="25" t="str">
        <f>IF($A27="","",IF(OR($B27="",$C27="",$D27=""),"Preencher tudo",IF($F27="Código não cadastrado","Código inválido","OK")))</f>
        <v>OK</v>
      </c>
    </row>
    <row r="28" spans="1:8">
      <c r="A28" s="16">
        <v>46206</v>
      </c>
      <c r="B28" s="15" t="s">
        <v>141</v>
      </c>
      <c r="C28" s="20" t="s">
        <v>177</v>
      </c>
      <c r="D28" s="22">
        <v>1</v>
      </c>
      <c r="E28" s="15" t="s">
        <v>178</v>
      </c>
      <c r="F28" s="23" t="str">
        <f>IF($B28="","",IFERROR(INDEX(ProdNome,MATCH($B28,ProdCod,0)),"Código não cadastrado"))</f>
        <v>Fichário argolado</v>
      </c>
      <c r="G28" s="24">
        <f>IF(OR($B28="",$D28=""),"",$D28*IFERROR(INDEX(ProdCusto,MATCH($B28,ProdCod,0)),0))</f>
        <v>21</v>
      </c>
      <c r="H28" s="25" t="str">
        <f>IF($A28="","",IF(OR($B28="",$C28="",$D28=""),"Preencher tudo",IF($F28="Código não cadastrado","Código inválido","OK")))</f>
        <v>OK</v>
      </c>
    </row>
    <row r="29" spans="1:8">
      <c r="A29" s="16">
        <v>46206</v>
      </c>
      <c r="B29" s="15" t="s">
        <v>145</v>
      </c>
      <c r="C29" s="20" t="s">
        <v>177</v>
      </c>
      <c r="D29" s="22">
        <v>2</v>
      </c>
      <c r="E29" s="15" t="s">
        <v>178</v>
      </c>
      <c r="F29" s="23" t="str">
        <f>IF($B29="","",IFERROR(INDEX(ProdNome,MATCH($B29,ProdCod,0)),"Código não cadastrado"))</f>
        <v>Etiqueta adesiva (pct 100)</v>
      </c>
      <c r="G29" s="24">
        <f>IF(OR($B29="",$D29=""),"",$D29*IFERROR(INDEX(ProdCusto,MATCH($B29,ProdCod,0)),0))</f>
        <v>12.8</v>
      </c>
      <c r="H29" s="25" t="str">
        <f>IF($A29="","",IF(OR($B29="",$C29="",$D29=""),"Preencher tudo",IF($F29="Código não cadastrado","Código inválido","OK")))</f>
        <v>OK</v>
      </c>
    </row>
    <row r="30" spans="1:8">
      <c r="A30" s="16">
        <v>46206</v>
      </c>
      <c r="B30" s="15" t="s">
        <v>149</v>
      </c>
      <c r="C30" s="20" t="s">
        <v>177</v>
      </c>
      <c r="D30" s="22">
        <v>3</v>
      </c>
      <c r="E30" s="15" t="s">
        <v>178</v>
      </c>
      <c r="F30" s="23" t="str">
        <f>IF($B30="","",IFERROR(INDEX(ProdNome,MATCH($B30,ProdCod,0)),"Código não cadastrado"))</f>
        <v>Mouse pad</v>
      </c>
      <c r="G30" s="24">
        <f>IF(OR($B30="",$D30=""),"",$D30*IFERROR(INDEX(ProdCusto,MATCH($B30,ProdCod,0)),0))</f>
        <v>14.7</v>
      </c>
      <c r="H30" s="25" t="str">
        <f>IF($A30="","",IF(OR($B30="",$C30="",$D30=""),"Preencher tudo",IF($F30="Código não cadastrado","Código inválido","OK")))</f>
        <v>OK</v>
      </c>
    </row>
    <row r="31" spans="1:8">
      <c r="A31" s="16">
        <v>46206</v>
      </c>
      <c r="B31" s="15" t="s">
        <v>151</v>
      </c>
      <c r="C31" s="20" t="s">
        <v>177</v>
      </c>
      <c r="D31" s="22">
        <v>2</v>
      </c>
      <c r="E31" s="15" t="s">
        <v>178</v>
      </c>
      <c r="F31" s="23" t="str">
        <f>IF($B31="","",IFERROR(INDEX(ProdNome,MATCH($B31,ProdCod,0)),"Código não cadastrado"))</f>
        <v>Clips 2/0 (cx 100)</v>
      </c>
      <c r="G31" s="24">
        <f>IF(OR($B31="",$D31=""),"",$D31*IFERROR(INDEX(ProdCusto,MATCH($B31,ProdCod,0)),0))</f>
        <v>3.6</v>
      </c>
      <c r="H31" s="25" t="str">
        <f>IF($A31="","",IF(OR($B31="",$C31="",$D31=""),"Preencher tudo",IF($F31="Código não cadastrado","Código inválido","OK")))</f>
        <v>OK</v>
      </c>
    </row>
    <row r="32" spans="1:8">
      <c r="A32" s="16">
        <v>46206</v>
      </c>
      <c r="B32" s="15" t="s">
        <v>155</v>
      </c>
      <c r="C32" s="20" t="s">
        <v>179</v>
      </c>
      <c r="D32" s="22">
        <v>3</v>
      </c>
      <c r="E32" s="15" t="s">
        <v>186</v>
      </c>
      <c r="F32" s="23" t="str">
        <f>IF($B32="","",IFERROR(INDEX(ProdNome,MATCH($B32,ProdCod,0)),"Código não cadastrado"))</f>
        <v>Tinta guache (kit 6)</v>
      </c>
      <c r="G32" s="24">
        <f>IF(OR($B32="",$D32=""),"",$D32*IFERROR(INDEX(ProdCusto,MATCH($B32,ProdCod,0)),0))</f>
        <v>26.1</v>
      </c>
      <c r="H32" s="25" t="str">
        <f>IF($A32="","",IF(OR($B32="",$C32="",$D32=""),"Preencher tudo",IF($F32="Código não cadastrado","Código inválido","OK")))</f>
        <v>OK</v>
      </c>
    </row>
    <row r="33" spans="1:8">
      <c r="A33" s="16">
        <v>46206</v>
      </c>
      <c r="B33" s="15" t="s">
        <v>161</v>
      </c>
      <c r="C33" s="20" t="s">
        <v>177</v>
      </c>
      <c r="D33" s="22">
        <v>1</v>
      </c>
      <c r="E33" s="15" t="s">
        <v>178</v>
      </c>
      <c r="F33" s="23" t="str">
        <f>IF($B33="","",IFERROR(INDEX(ProdNome,MATCH($B33,ProdCod,0)),"Código não cadastrado"))</f>
        <v>Pote plástico 500ml (pct 12)</v>
      </c>
      <c r="G33" s="24">
        <f>IF(OR($B33="",$D33=""),"",$D33*IFERROR(INDEX(ProdCusto,MATCH($B33,ProdCod,0)),0))</f>
        <v>11</v>
      </c>
      <c r="H33" s="25" t="str">
        <f>IF($A33="","",IF(OR($B33="",$C33="",$D33=""),"Preencher tudo",IF($F33="Código não cadastrado","Código inválido","OK")))</f>
        <v>OK</v>
      </c>
    </row>
    <row r="34" spans="1:8">
      <c r="A34" s="16">
        <v>46206</v>
      </c>
      <c r="B34" s="15" t="s">
        <v>165</v>
      </c>
      <c r="C34" s="20" t="s">
        <v>177</v>
      </c>
      <c r="D34" s="22">
        <v>2</v>
      </c>
      <c r="E34" s="15" t="s">
        <v>178</v>
      </c>
      <c r="F34" s="23" t="str">
        <f>IF($B34="","",IFERROR(INDEX(ProdNome,MATCH($B34,ProdCod,0)),"Código não cadastrado"))</f>
        <v>Apontador com depósito</v>
      </c>
      <c r="G34" s="24">
        <f>IF(OR($B34="",$D34=""),"",$D34*IFERROR(INDEX(ProdCusto,MATCH($B34,ProdCod,0)),0))</f>
        <v>2.8</v>
      </c>
      <c r="H34" s="25" t="str">
        <f>IF($A34="","",IF(OR($B34="",$C34="",$D34=""),"Preencher tudo",IF($F34="Código não cadastrado","Código inválido","OK")))</f>
        <v>OK</v>
      </c>
    </row>
    <row r="35" spans="1:8">
      <c r="A35" s="16">
        <v>46207</v>
      </c>
      <c r="B35" s="15" t="s">
        <v>91</v>
      </c>
      <c r="C35" s="20" t="s">
        <v>177</v>
      </c>
      <c r="D35" s="22">
        <v>7</v>
      </c>
      <c r="E35" s="15" t="s">
        <v>178</v>
      </c>
      <c r="F35" s="23" t="str">
        <f>IF($B35="","",IFERROR(INDEX(ProdNome,MATCH($B35,ProdCod,0)),"Código não cadastrado"))</f>
        <v>Caneta esferográfica azul (cx 50)</v>
      </c>
      <c r="G35" s="24">
        <f>IF(OR($B35="",$D35=""),"",$D35*IFERROR(INDEX(ProdCusto,MATCH($B35,ProdCod,0)),0))</f>
        <v>154</v>
      </c>
      <c r="H35" s="25" t="str">
        <f>IF($A35="","",IF(OR($B35="",$C35="",$D35=""),"Preencher tudo",IF($F35="Código não cadastrado","Código inválido","OK")))</f>
        <v>OK</v>
      </c>
    </row>
    <row r="36" spans="1:8">
      <c r="A36" s="16">
        <v>46207</v>
      </c>
      <c r="B36" s="15" t="s">
        <v>111</v>
      </c>
      <c r="C36" s="20" t="s">
        <v>177</v>
      </c>
      <c r="D36" s="22">
        <v>6</v>
      </c>
      <c r="E36" s="15" t="s">
        <v>178</v>
      </c>
      <c r="F36" s="23" t="str">
        <f>IF($B36="","",IFERROR(INDEX(ProdNome,MATCH($B36,ProdCod,0)),"Código não cadastrado"))</f>
        <v>Cola branca 90g</v>
      </c>
      <c r="G36" s="24">
        <f>IF(OR($B36="",$D36=""),"",$D36*IFERROR(INDEX(ProdCusto,MATCH($B36,ProdCod,0)),0))</f>
        <v>11.4</v>
      </c>
      <c r="H36" s="25" t="str">
        <f>IF($A36="","",IF(OR($B36="",$C36="",$D36=""),"Preencher tudo",IF($F36="Código não cadastrado","Código inválido","OK")))</f>
        <v>OK</v>
      </c>
    </row>
    <row r="37" spans="1:8">
      <c r="A37" s="16">
        <v>46207</v>
      </c>
      <c r="B37" s="15" t="s">
        <v>127</v>
      </c>
      <c r="C37" s="20" t="s">
        <v>177</v>
      </c>
      <c r="D37" s="22">
        <v>3</v>
      </c>
      <c r="E37" s="15" t="s">
        <v>178</v>
      </c>
      <c r="F37" s="23" t="str">
        <f>IF($B37="","",IFERROR(INDEX(ProdNome,MATCH($B37,ProdCod,0)),"Código não cadastrado"))</f>
        <v>Pilha AA (cartela 4)</v>
      </c>
      <c r="G37" s="24">
        <f>IF(OR($B37="",$D37=""),"",$D37*IFERROR(INDEX(ProdCusto,MATCH($B37,ProdCod,0)),0))</f>
        <v>22.5</v>
      </c>
      <c r="H37" s="25" t="str">
        <f>IF($A37="","",IF(OR($B37="",$C37="",$D37=""),"Preencher tudo",IF($F37="Código não cadastrado","Código inválido","OK")))</f>
        <v>OK</v>
      </c>
    </row>
    <row r="38" spans="1:8">
      <c r="A38" s="16">
        <v>46207</v>
      </c>
      <c r="B38" s="15" t="s">
        <v>153</v>
      </c>
      <c r="C38" s="20" t="s">
        <v>177</v>
      </c>
      <c r="D38" s="22">
        <v>1</v>
      </c>
      <c r="E38" s="15" t="s">
        <v>178</v>
      </c>
      <c r="F38" s="23" t="str">
        <f>IF($B38="","",IFERROR(INDEX(ProdNome,MATCH($B38,ProdCod,0)),"Código não cadastrado"))</f>
        <v>Envelope A4 (pct 50)</v>
      </c>
      <c r="G38" s="24">
        <f>IF(OR($B38="",$D38=""),"",$D38*IFERROR(INDEX(ProdCusto,MATCH($B38,ProdCod,0)),0))</f>
        <v>14</v>
      </c>
      <c r="H38" s="25" t="str">
        <f>IF($A38="","",IF(OR($B38="",$C38="",$D38=""),"Preencher tudo",IF($F38="Código não cadastrado","Código inválido","OK")))</f>
        <v>OK</v>
      </c>
    </row>
    <row r="39" spans="1:8">
      <c r="A39" s="16">
        <v>46207</v>
      </c>
      <c r="B39" s="15" t="s">
        <v>159</v>
      </c>
      <c r="C39" s="20" t="s">
        <v>177</v>
      </c>
      <c r="D39" s="22">
        <v>1</v>
      </c>
      <c r="E39" s="15" t="s">
        <v>178</v>
      </c>
      <c r="F39" s="23" t="str">
        <f>IF($B39="","",IFERROR(INDEX(ProdNome,MATCH($B39,ProdCod,0)),"Código não cadastrado"))</f>
        <v>Luva descartável (cx 100)</v>
      </c>
      <c r="G39" s="24">
        <f>IF(OR($B39="",$D39=""),"",$D39*IFERROR(INDEX(ProdCusto,MATCH($B39,ProdCod,0)),0))</f>
        <v>21</v>
      </c>
      <c r="H39" s="25" t="str">
        <f>IF($A39="","",IF(OR($B39="",$C39="",$D39=""),"Preencher tudo",IF($F39="Código não cadastrado","Código inválido","OK")))</f>
        <v>OK</v>
      </c>
    </row>
    <row r="40" spans="1:8">
      <c r="A40" s="16">
        <v>46208</v>
      </c>
      <c r="B40" s="15" t="s">
        <v>93</v>
      </c>
      <c r="C40" s="20" t="s">
        <v>177</v>
      </c>
      <c r="D40" s="22">
        <v>54</v>
      </c>
      <c r="E40" s="15" t="s">
        <v>178</v>
      </c>
      <c r="F40" s="23" t="str">
        <f>IF($B40="","",IFERROR(INDEX(ProdNome,MATCH($B40,ProdCod,0)),"Código não cadastrado"))</f>
        <v>Papel A4 75g (resma)</v>
      </c>
      <c r="G40" s="24">
        <f>IF(OR($B40="",$D40=""),"",$D40*IFERROR(INDEX(ProdCusto,MATCH($B40,ProdCod,0)),0))</f>
        <v>1161</v>
      </c>
      <c r="H40" s="25" t="str">
        <f>IF($A40="","",IF(OR($B40="",$C40="",$D40=""),"Preencher tudo",IF($F40="Código não cadastrado","Código inválido","OK")))</f>
        <v>OK</v>
      </c>
    </row>
    <row r="41" spans="1:8">
      <c r="A41" s="16">
        <v>46208</v>
      </c>
      <c r="B41" s="15" t="s">
        <v>119</v>
      </c>
      <c r="C41" s="20" t="s">
        <v>177</v>
      </c>
      <c r="D41" s="22">
        <v>1</v>
      </c>
      <c r="E41" s="15" t="s">
        <v>178</v>
      </c>
      <c r="F41" s="23" t="str">
        <f>IF($B41="","",IFERROR(INDEX(ProdNome,MATCH($B41,ProdCod,0)),"Código não cadastrado"))</f>
        <v>Plástico bolha (rolo 50m)</v>
      </c>
      <c r="G41" s="24">
        <f>IF(OR($B41="",$D41=""),"",$D41*IFERROR(INDEX(ProdCusto,MATCH($B41,ProdCod,0)),0))</f>
        <v>32</v>
      </c>
      <c r="H41" s="25" t="str">
        <f>IF($A41="","",IF(OR($B41="",$C41="",$D41=""),"Preencher tudo",IF($F41="Código não cadastrado","Código inválido","OK")))</f>
        <v>OK</v>
      </c>
    </row>
    <row r="42" spans="1:8">
      <c r="A42" s="16">
        <v>46208</v>
      </c>
      <c r="B42" s="15" t="s">
        <v>135</v>
      </c>
      <c r="C42" s="20" t="s">
        <v>177</v>
      </c>
      <c r="D42" s="22">
        <v>2</v>
      </c>
      <c r="E42" s="15" t="s">
        <v>178</v>
      </c>
      <c r="F42" s="23" t="str">
        <f>IF($B42="","",IFERROR(INDEX(ProdNome,MATCH($B42,ProdCod,0)),"Código não cadastrado"))</f>
        <v>Marca-texto (cx 6)</v>
      </c>
      <c r="G42" s="24">
        <f>IF(OR($B42="",$D42=""),"",$D42*IFERROR(INDEX(ProdCusto,MATCH($B42,ProdCod,0)),0))</f>
        <v>19.6</v>
      </c>
      <c r="H42" s="25" t="str">
        <f>IF($A42="","",IF(OR($B42="",$C42="",$D42=""),"Preencher tudo",IF($F42="Código não cadastrado","Código inválido","OK")))</f>
        <v>OK</v>
      </c>
    </row>
    <row r="43" spans="1:8">
      <c r="A43" s="16">
        <v>46208</v>
      </c>
      <c r="B43" s="15" t="s">
        <v>139</v>
      </c>
      <c r="C43" s="20" t="s">
        <v>177</v>
      </c>
      <c r="D43" s="22">
        <v>1</v>
      </c>
      <c r="E43" s="15" t="s">
        <v>178</v>
      </c>
      <c r="F43" s="23" t="str">
        <f>IF($B43="","",IFERROR(INDEX(ProdNome,MATCH($B43,ProdCod,0)),"Código não cadastrado"))</f>
        <v>Calculadora de mesa</v>
      </c>
      <c r="G43" s="24">
        <f>IF(OR($B43="",$D43=""),"",$D43*IFERROR(INDEX(ProdCusto,MATCH($B43,ProdCod,0)),0))</f>
        <v>17</v>
      </c>
      <c r="H43" s="25" t="str">
        <f>IF($A43="","",IF(OR($B43="",$C43="",$D43=""),"Preencher tudo",IF($F43="Código não cadastrado","Código inválido","OK")))</f>
        <v>OK</v>
      </c>
    </row>
    <row r="44" spans="1:8">
      <c r="A44" s="16">
        <v>46208</v>
      </c>
      <c r="B44" s="15" t="s">
        <v>163</v>
      </c>
      <c r="C44" s="20" t="s">
        <v>177</v>
      </c>
      <c r="D44" s="22">
        <v>1</v>
      </c>
      <c r="E44" s="15" t="s">
        <v>178</v>
      </c>
      <c r="F44" s="23" t="str">
        <f>IF($B44="","",IFERROR(INDEX(ProdNome,MATCH($B44,ProdCod,0)),"Código não cadastrado"))</f>
        <v>Caixa organizadora</v>
      </c>
      <c r="G44" s="24">
        <f>IF(OR($B44="",$D44=""),"",$D44*IFERROR(INDEX(ProdCusto,MATCH($B44,ProdCod,0)),0))</f>
        <v>18</v>
      </c>
      <c r="H44" s="25" t="str">
        <f>IF($A44="","",IF(OR($B44="",$C44="",$D44=""),"Preencher tudo",IF($F44="Código não cadastrado","Código inválido","OK")))</f>
        <v>OK</v>
      </c>
    </row>
    <row r="45" spans="1:8">
      <c r="A45" s="16">
        <v>46209</v>
      </c>
      <c r="B45" s="15" t="s">
        <v>89</v>
      </c>
      <c r="C45" s="20" t="s">
        <v>177</v>
      </c>
      <c r="D45" s="22">
        <v>24</v>
      </c>
      <c r="E45" s="15" t="s">
        <v>178</v>
      </c>
      <c r="F45" s="23" t="str">
        <f>IF($B45="","",IFERROR(INDEX(ProdNome,MATCH($B45,ProdCod,0)),"Código não cadastrado"))</f>
        <v>Caderno universitário 10 matérias</v>
      </c>
      <c r="G45" s="24">
        <f>IF(OR($B45="",$D45=""),"",$D45*IFERROR(INDEX(ProdCusto,MATCH($B45,ProdCod,0)),0))</f>
        <v>228</v>
      </c>
      <c r="H45" s="25" t="str">
        <f>IF($A45="","",IF(OR($B45="",$C45="",$D45=""),"Preencher tudo",IF($F45="Código não cadastrado","Código inválido","OK")))</f>
        <v>OK</v>
      </c>
    </row>
    <row r="46" spans="1:8">
      <c r="A46" s="16">
        <v>46209</v>
      </c>
      <c r="B46" s="15" t="s">
        <v>105</v>
      </c>
      <c r="C46" s="20" t="s">
        <v>177</v>
      </c>
      <c r="D46" s="22">
        <v>6</v>
      </c>
      <c r="E46" s="15" t="s">
        <v>178</v>
      </c>
      <c r="F46" s="23" t="str">
        <f>IF($B46="","",IFERROR(INDEX(ProdNome,MATCH($B46,ProdCod,0)),"Código não cadastrado"))</f>
        <v>Mochila escolar 20L</v>
      </c>
      <c r="G46" s="24">
        <f>IF(OR($B46="",$D46=""),"",$D46*IFERROR(INDEX(ProdCusto,MATCH($B46,ProdCod,0)),0))</f>
        <v>276</v>
      </c>
      <c r="H46" s="25" t="str">
        <f>IF($A46="","",IF(OR($B46="",$C46="",$D46=""),"Preencher tudo",IF($F46="Código não cadastrado","Código inválido","OK")))</f>
        <v>OK</v>
      </c>
    </row>
    <row r="47" spans="1:8">
      <c r="A47" s="16">
        <v>46209</v>
      </c>
      <c r="B47" s="15" t="s">
        <v>115</v>
      </c>
      <c r="C47" s="20" t="s">
        <v>177</v>
      </c>
      <c r="D47" s="22">
        <v>7</v>
      </c>
      <c r="E47" s="15" t="s">
        <v>178</v>
      </c>
      <c r="F47" s="23" t="str">
        <f>IF($B47="","",IFERROR(INDEX(ProdNome,MATCH($B47,ProdCod,0)),"Código não cadastrado"))</f>
        <v>Fita adesiva transparente</v>
      </c>
      <c r="G47" s="24">
        <f>IF(OR($B47="",$D47=""),"",$D47*IFERROR(INDEX(ProdCusto,MATCH($B47,ProdCod,0)),0))</f>
        <v>11.2</v>
      </c>
      <c r="H47" s="25" t="str">
        <f>IF($A47="","",IF(OR($B47="",$C47="",$D47=""),"Preencher tudo",IF($F47="Código não cadastrado","Código inválido","OK")))</f>
        <v>OK</v>
      </c>
    </row>
    <row r="48" spans="1:8">
      <c r="A48" s="16">
        <v>46209</v>
      </c>
      <c r="B48" s="15" t="s">
        <v>117</v>
      </c>
      <c r="C48" s="20" t="s">
        <v>177</v>
      </c>
      <c r="D48" s="22">
        <v>1</v>
      </c>
      <c r="E48" s="15" t="s">
        <v>178</v>
      </c>
      <c r="F48" s="23" t="str">
        <f>IF($B48="","",IFERROR(INDEX(ProdNome,MATCH($B48,ProdCod,0)),"Código não cadastrado"))</f>
        <v>Caixa de papelão M (pct 10)</v>
      </c>
      <c r="G48" s="24">
        <f>IF(OR($B48="",$D48=""),"",$D48*IFERROR(INDEX(ProdCusto,MATCH($B48,ProdCod,0)),0))</f>
        <v>15</v>
      </c>
      <c r="H48" s="25" t="str">
        <f>IF($A48="","",IF(OR($B48="",$C48="",$D48=""),"Preencher tudo",IF($F48="Código não cadastrado","Código inválido","OK")))</f>
        <v>OK</v>
      </c>
    </row>
    <row r="49" spans="1:8">
      <c r="A49" s="16">
        <v>46209</v>
      </c>
      <c r="B49" s="15" t="s">
        <v>123</v>
      </c>
      <c r="C49" s="20" t="s">
        <v>177</v>
      </c>
      <c r="D49" s="22">
        <v>3</v>
      </c>
      <c r="E49" s="15" t="s">
        <v>178</v>
      </c>
      <c r="F49" s="23" t="str">
        <f>IF($B49="","",IFERROR(INDEX(ProdNome,MATCH($B49,ProdCod,0)),"Código não cadastrado"))</f>
        <v>Álcool 70% 1L</v>
      </c>
      <c r="G49" s="24">
        <f>IF(OR($B49="",$D49=""),"",$D49*IFERROR(INDEX(ProdCusto,MATCH($B49,ProdCod,0)),0))</f>
        <v>18.6</v>
      </c>
      <c r="H49" s="25" t="str">
        <f>IF($A49="","",IF(OR($B49="",$C49="",$D49=""),"Preencher tudo",IF($F49="Código não cadastrado","Código inválido","OK")))</f>
        <v>OK</v>
      </c>
    </row>
    <row r="50" spans="1:8">
      <c r="A50" s="16">
        <v>46209</v>
      </c>
      <c r="B50" s="15" t="s">
        <v>129</v>
      </c>
      <c r="C50" s="20" t="s">
        <v>177</v>
      </c>
      <c r="D50" s="22">
        <v>6</v>
      </c>
      <c r="E50" s="15" t="s">
        <v>178</v>
      </c>
      <c r="F50" s="23" t="str">
        <f>IF($B50="","",IFERROR(INDEX(ProdNome,MATCH($B50,ProdCod,0)),"Código não cadastrado"))</f>
        <v>Caneca branca para sublimação</v>
      </c>
      <c r="G50" s="24">
        <f>IF(OR($B50="",$D50=""),"",$D50*IFERROR(INDEX(ProdCusto,MATCH($B50,ProdCod,0)),0))</f>
        <v>25.2</v>
      </c>
      <c r="H50" s="25" t="str">
        <f>IF($A50="","",IF(OR($B50="",$C50="",$D50=""),"Preencher tudo",IF($F50="Código não cadastrado","Código inválido","OK")))</f>
        <v>OK</v>
      </c>
    </row>
    <row r="51" spans="1:8">
      <c r="A51" s="16">
        <v>46209</v>
      </c>
      <c r="B51" s="15" t="s">
        <v>133</v>
      </c>
      <c r="C51" s="20" t="s">
        <v>177</v>
      </c>
      <c r="D51" s="22">
        <v>1</v>
      </c>
      <c r="E51" s="15" t="s">
        <v>178</v>
      </c>
      <c r="F51" s="23" t="str">
        <f>IF($B51="","",IFERROR(INDEX(ProdNome,MATCH($B51,ProdCod,0)),"Código não cadastrado"))</f>
        <v>Agenda 2027</v>
      </c>
      <c r="G51" s="24">
        <f>IF(OR($B51="",$D51=""),"",$D51*IFERROR(INDEX(ProdCusto,MATCH($B51,ProdCod,0)),0))</f>
        <v>14</v>
      </c>
      <c r="H51" s="25" t="str">
        <f>IF($A51="","",IF(OR($B51="",$C51="",$D51=""),"Preencher tudo",IF($F51="Código não cadastrado","Código inválido","OK")))</f>
        <v>OK</v>
      </c>
    </row>
    <row r="52" spans="1:8">
      <c r="A52" s="16">
        <v>46211</v>
      </c>
      <c r="B52" s="15" t="s">
        <v>91</v>
      </c>
      <c r="C52" s="20" t="s">
        <v>177</v>
      </c>
      <c r="D52" s="22">
        <v>13</v>
      </c>
      <c r="E52" s="15" t="s">
        <v>178</v>
      </c>
      <c r="F52" s="23" t="str">
        <f>IF($B52="","",IFERROR(INDEX(ProdNome,MATCH($B52,ProdCod,0)),"Código não cadastrado"))</f>
        <v>Caneta esferográfica azul (cx 50)</v>
      </c>
      <c r="G52" s="24">
        <f>IF(OR($B52="",$D52=""),"",$D52*IFERROR(INDEX(ProdCusto,MATCH($B52,ProdCod,0)),0))</f>
        <v>286</v>
      </c>
      <c r="H52" s="25" t="str">
        <f>IF($A52="","",IF(OR($B52="",$C52="",$D52=""),"Preencher tudo",IF($F52="Código não cadastrado","Código inválido","OK")))</f>
        <v>OK</v>
      </c>
    </row>
    <row r="53" spans="1:8">
      <c r="A53" s="16">
        <v>46211</v>
      </c>
      <c r="B53" s="15" t="s">
        <v>117</v>
      </c>
      <c r="C53" s="20" t="s">
        <v>177</v>
      </c>
      <c r="D53" s="22">
        <v>1</v>
      </c>
      <c r="E53" s="15" t="s">
        <v>178</v>
      </c>
      <c r="F53" s="23" t="str">
        <f>IF($B53="","",IFERROR(INDEX(ProdNome,MATCH($B53,ProdCod,0)),"Código não cadastrado"))</f>
        <v>Caixa de papelão M (pct 10)</v>
      </c>
      <c r="G53" s="24">
        <f>IF(OR($B53="",$D53=""),"",$D53*IFERROR(INDEX(ProdCusto,MATCH($B53,ProdCod,0)),0))</f>
        <v>15</v>
      </c>
      <c r="H53" s="25" t="str">
        <f>IF($A53="","",IF(OR($B53="",$C53="",$D53=""),"Preencher tudo",IF($F53="Código não cadastrado","Código inválido","OK")))</f>
        <v>OK</v>
      </c>
    </row>
    <row r="54" spans="1:8">
      <c r="A54" s="16">
        <v>46211</v>
      </c>
      <c r="B54" s="15" t="s">
        <v>121</v>
      </c>
      <c r="C54" s="20" t="s">
        <v>177</v>
      </c>
      <c r="D54" s="22">
        <v>2</v>
      </c>
      <c r="E54" s="15" t="s">
        <v>178</v>
      </c>
      <c r="F54" s="23" t="str">
        <f>IF($B54="","",IFERROR(INDEX(ProdNome,MATCH($B54,ProdCod,0)),"Código não cadastrado"))</f>
        <v>Sacola kraft G (pct 50)</v>
      </c>
      <c r="G54" s="24">
        <f>IF(OR($B54="",$D54=""),"",$D54*IFERROR(INDEX(ProdCusto,MATCH($B54,ProdCod,0)),0))</f>
        <v>48</v>
      </c>
      <c r="H54" s="25" t="str">
        <f>IF($A54="","",IF(OR($B54="",$C54="",$D54=""),"Preencher tudo",IF($F54="Código não cadastrado","Código inválido","OK")))</f>
        <v>OK</v>
      </c>
    </row>
    <row r="55" spans="1:8">
      <c r="A55" s="16">
        <v>46211</v>
      </c>
      <c r="B55" s="15" t="s">
        <v>127</v>
      </c>
      <c r="C55" s="20" t="s">
        <v>177</v>
      </c>
      <c r="D55" s="22">
        <v>4</v>
      </c>
      <c r="E55" s="15" t="s">
        <v>178</v>
      </c>
      <c r="F55" s="23" t="str">
        <f>IF($B55="","",IFERROR(INDEX(ProdNome,MATCH($B55,ProdCod,0)),"Código não cadastrado"))</f>
        <v>Pilha AA (cartela 4)</v>
      </c>
      <c r="G55" s="24">
        <f>IF(OR($B55="",$D55=""),"",$D55*IFERROR(INDEX(ProdCusto,MATCH($B55,ProdCod,0)),0))</f>
        <v>30</v>
      </c>
      <c r="H55" s="25" t="str">
        <f>IF($A55="","",IF(OR($B55="",$C55="",$D55=""),"Preencher tudo",IF($F55="Código não cadastrado","Código inválido","OK")))</f>
        <v>OK</v>
      </c>
    </row>
    <row r="56" spans="1:8">
      <c r="A56" s="16">
        <v>46211</v>
      </c>
      <c r="B56" s="15" t="s">
        <v>143</v>
      </c>
      <c r="C56" s="20" t="s">
        <v>177</v>
      </c>
      <c r="D56" s="22">
        <v>9</v>
      </c>
      <c r="E56" s="15" t="s">
        <v>178</v>
      </c>
      <c r="F56" s="23" t="str">
        <f>IF($B56="","",IFERROR(INDEX(ProdNome,MATCH($B56,ProdCod,0)),"Código não cadastrado"))</f>
        <v>Régua 30cm</v>
      </c>
      <c r="G56" s="24">
        <f>IF(OR($B56="",$D56=""),"",$D56*IFERROR(INDEX(ProdCusto,MATCH($B56,ProdCod,0)),0))</f>
        <v>8.1</v>
      </c>
      <c r="H56" s="25" t="str">
        <f>IF($A56="","",IF(OR($B56="",$C56="",$D56=""),"Preencher tudo",IF($F56="Código não cadastrado","Código inválido","OK")))</f>
        <v>OK</v>
      </c>
    </row>
    <row r="57" spans="1:8">
      <c r="A57" s="16">
        <v>46211</v>
      </c>
      <c r="B57" s="15" t="s">
        <v>149</v>
      </c>
      <c r="C57" s="20" t="s">
        <v>177</v>
      </c>
      <c r="D57" s="22">
        <v>2</v>
      </c>
      <c r="E57" s="15" t="s">
        <v>178</v>
      </c>
      <c r="F57" s="23" t="str">
        <f>IF($B57="","",IFERROR(INDEX(ProdNome,MATCH($B57,ProdCod,0)),"Código não cadastrado"))</f>
        <v>Mouse pad</v>
      </c>
      <c r="G57" s="24">
        <f>IF(OR($B57="",$D57=""),"",$D57*IFERROR(INDEX(ProdCusto,MATCH($B57,ProdCod,0)),0))</f>
        <v>9.8</v>
      </c>
      <c r="H57" s="25" t="str">
        <f>IF($A57="","",IF(OR($B57="",$C57="",$D57=""),"Preencher tudo",IF($F57="Código não cadastrado","Código inválido","OK")))</f>
        <v>OK</v>
      </c>
    </row>
    <row r="58" spans="1:8">
      <c r="A58" s="16">
        <v>46211</v>
      </c>
      <c r="B58" s="15" t="s">
        <v>153</v>
      </c>
      <c r="C58" s="20" t="s">
        <v>177</v>
      </c>
      <c r="D58" s="22">
        <v>1</v>
      </c>
      <c r="E58" s="15" t="s">
        <v>178</v>
      </c>
      <c r="F58" s="23" t="str">
        <f>IF($B58="","",IFERROR(INDEX(ProdNome,MATCH($B58,ProdCod,0)),"Código não cadastrado"))</f>
        <v>Envelope A4 (pct 50)</v>
      </c>
      <c r="G58" s="24">
        <f>IF(OR($B58="",$D58=""),"",$D58*IFERROR(INDEX(ProdCusto,MATCH($B58,ProdCod,0)),0))</f>
        <v>14</v>
      </c>
      <c r="H58" s="25" t="str">
        <f>IF($A58="","",IF(OR($B58="",$C58="",$D58=""),"Preencher tudo",IF($F58="Código não cadastrado","Código inválido","OK")))</f>
        <v>OK</v>
      </c>
    </row>
    <row r="59" spans="1:8">
      <c r="A59" s="16">
        <v>46212</v>
      </c>
      <c r="B59" s="15" t="s">
        <v>95</v>
      </c>
      <c r="C59" s="20" t="s">
        <v>177</v>
      </c>
      <c r="D59" s="22">
        <v>1</v>
      </c>
      <c r="E59" s="15" t="s">
        <v>178</v>
      </c>
      <c r="F59" s="23" t="str">
        <f>IF($B59="","",IFERROR(INDEX(ProdNome,MATCH($B59,ProdCod,0)),"Código não cadastrado"))</f>
        <v>Pasta suspensa (pct 25)</v>
      </c>
      <c r="G59" s="24">
        <f>IF(OR($B59="",$D59=""),"",$D59*IFERROR(INDEX(ProdCusto,MATCH($B59,ProdCod,0)),0))</f>
        <v>28</v>
      </c>
      <c r="H59" s="25" t="str">
        <f>IF($A59="","",IF(OR($B59="",$C59="",$D59=""),"Preencher tudo",IF($F59="Código não cadastrado","Código inválido","OK")))</f>
        <v>OK</v>
      </c>
    </row>
    <row r="60" spans="1:8">
      <c r="A60" s="16">
        <v>46212</v>
      </c>
      <c r="B60" s="15" t="s">
        <v>97</v>
      </c>
      <c r="C60" s="20" t="s">
        <v>177</v>
      </c>
      <c r="D60" s="22">
        <v>1</v>
      </c>
      <c r="E60" s="15" t="s">
        <v>178</v>
      </c>
      <c r="F60" s="23" t="str">
        <f>IF($B60="","",IFERROR(INDEX(ProdNome,MATCH($B60,ProdCod,0)),"Código não cadastrado"))</f>
        <v>Grampeador médio</v>
      </c>
      <c r="G60" s="24">
        <f>IF(OR($B60="",$D60=""),"",$D60*IFERROR(INDEX(ProdCusto,MATCH($B60,ProdCod,0)),0))</f>
        <v>14</v>
      </c>
      <c r="H60" s="25" t="str">
        <f>IF($A60="","",IF(OR($B60="",$C60="",$D60=""),"Preencher tudo",IF($F60="Código não cadastrado","Código inválido","OK")))</f>
        <v>OK</v>
      </c>
    </row>
    <row r="61" spans="1:8">
      <c r="A61" s="16">
        <v>46212</v>
      </c>
      <c r="B61" s="15" t="s">
        <v>101</v>
      </c>
      <c r="C61" s="20" t="s">
        <v>179</v>
      </c>
      <c r="D61" s="22">
        <v>13</v>
      </c>
      <c r="E61" s="15" t="s">
        <v>187</v>
      </c>
      <c r="F61" s="23" t="str">
        <f>IF($B61="","",IFERROR(INDEX(ProdNome,MATCH($B61,ProdCod,0)),"Código não cadastrado"))</f>
        <v>Pen drive 32GB</v>
      </c>
      <c r="G61" s="24">
        <f>IF(OR($B61="",$D61=""),"",$D61*IFERROR(INDEX(ProdCusto,MATCH($B61,ProdCod,0)),0))</f>
        <v>286</v>
      </c>
      <c r="H61" s="25" t="str">
        <f>IF($A61="","",IF(OR($B61="",$C61="",$D61=""),"Preencher tudo",IF($F61="Código não cadastrado","Código inválido","OK")))</f>
        <v>OK</v>
      </c>
    </row>
    <row r="62" spans="1:8">
      <c r="A62" s="16">
        <v>46212</v>
      </c>
      <c r="B62" s="15" t="s">
        <v>103</v>
      </c>
      <c r="C62" s="20" t="s">
        <v>177</v>
      </c>
      <c r="D62" s="22">
        <v>11</v>
      </c>
      <c r="E62" s="15" t="s">
        <v>178</v>
      </c>
      <c r="F62" s="23" t="str">
        <f>IF($B62="","",IFERROR(INDEX(ProdNome,MATCH($B62,ProdCod,0)),"Código não cadastrado"))</f>
        <v>Cabo USB-C 1m</v>
      </c>
      <c r="G62" s="24">
        <f>IF(OR($B62="",$D62=""),"",$D62*IFERROR(INDEX(ProdCusto,MATCH($B62,ProdCod,0)),0))</f>
        <v>71.5</v>
      </c>
      <c r="H62" s="25" t="str">
        <f>IF($A62="","",IF(OR($B62="",$C62="",$D62=""),"Preencher tudo",IF($F62="Código não cadastrado","Código inválido","OK")))</f>
        <v>OK</v>
      </c>
    </row>
    <row r="63" spans="1:8">
      <c r="A63" s="16">
        <v>46212</v>
      </c>
      <c r="B63" s="15" t="s">
        <v>105</v>
      </c>
      <c r="C63" s="20" t="s">
        <v>179</v>
      </c>
      <c r="D63" s="22">
        <v>7</v>
      </c>
      <c r="E63" s="15" t="s">
        <v>188</v>
      </c>
      <c r="F63" s="23" t="str">
        <f>IF($B63="","",IFERROR(INDEX(ProdNome,MATCH($B63,ProdCod,0)),"Código não cadastrado"))</f>
        <v>Mochila escolar 20L</v>
      </c>
      <c r="G63" s="24">
        <f>IF(OR($B63="",$D63=""),"",$D63*IFERROR(INDEX(ProdCusto,MATCH($B63,ProdCod,0)),0))</f>
        <v>322</v>
      </c>
      <c r="H63" s="25" t="str">
        <f>IF($A63="","",IF(OR($B63="",$C63="",$D63=""),"Preencher tudo",IF($F63="Código não cadastrado","Código inválido","OK")))</f>
        <v>OK</v>
      </c>
    </row>
    <row r="64" spans="1:8">
      <c r="A64" s="16">
        <v>46212</v>
      </c>
      <c r="B64" s="15" t="s">
        <v>109</v>
      </c>
      <c r="C64" s="20" t="s">
        <v>179</v>
      </c>
      <c r="D64" s="22">
        <v>9</v>
      </c>
      <c r="E64" s="15" t="s">
        <v>189</v>
      </c>
      <c r="F64" s="23" t="str">
        <f>IF($B64="","",IFERROR(INDEX(ProdNome,MATCH($B64,ProdCod,0)),"Código não cadastrado"))</f>
        <v>Lápis de cor (cx 24)</v>
      </c>
      <c r="G64" s="24">
        <f>IF(OR($B64="",$D64=""),"",$D64*IFERROR(INDEX(ProdCusto,MATCH($B64,ProdCod,0)),0))</f>
        <v>71.1</v>
      </c>
      <c r="H64" s="25" t="str">
        <f>IF($A64="","",IF(OR($B64="",$C64="",$D64=""),"Preencher tudo",IF($F64="Código não cadastrado","Código inválido","OK")))</f>
        <v>OK</v>
      </c>
    </row>
    <row r="65" spans="1:8">
      <c r="A65" s="16">
        <v>46212</v>
      </c>
      <c r="B65" s="15" t="s">
        <v>121</v>
      </c>
      <c r="C65" s="20" t="s">
        <v>179</v>
      </c>
      <c r="D65" s="22">
        <v>3</v>
      </c>
      <c r="E65" s="15" t="s">
        <v>190</v>
      </c>
      <c r="F65" s="23" t="str">
        <f>IF($B65="","",IFERROR(INDEX(ProdNome,MATCH($B65,ProdCod,0)),"Código não cadastrado"))</f>
        <v>Sacola kraft G (pct 50)</v>
      </c>
      <c r="G65" s="24">
        <f>IF(OR($B65="",$D65=""),"",$D65*IFERROR(INDEX(ProdCusto,MATCH($B65,ProdCod,0)),0))</f>
        <v>72</v>
      </c>
      <c r="H65" s="25" t="str">
        <f>IF($A65="","",IF(OR($B65="",$C65="",$D65=""),"Preencher tudo",IF($F65="Código não cadastrado","Código inválido","OK")))</f>
        <v>OK</v>
      </c>
    </row>
    <row r="66" spans="1:8">
      <c r="A66" s="16">
        <v>46212</v>
      </c>
      <c r="B66" s="15" t="s">
        <v>123</v>
      </c>
      <c r="C66" s="20" t="s">
        <v>179</v>
      </c>
      <c r="D66" s="22">
        <v>7</v>
      </c>
      <c r="E66" s="15" t="s">
        <v>191</v>
      </c>
      <c r="F66" s="23" t="str">
        <f>IF($B66="","",IFERROR(INDEX(ProdNome,MATCH($B66,ProdCod,0)),"Código não cadastrado"))</f>
        <v>Álcool 70% 1L</v>
      </c>
      <c r="G66" s="24">
        <f>IF(OR($B66="",$D66=""),"",$D66*IFERROR(INDEX(ProdCusto,MATCH($B66,ProdCod,0)),0))</f>
        <v>43.4</v>
      </c>
      <c r="H66" s="25" t="str">
        <f>IF($A66="","",IF(OR($B66="",$C66="",$D66=""),"Preencher tudo",IF($F66="Código não cadastrado","Código inválido","OK")))</f>
        <v>OK</v>
      </c>
    </row>
    <row r="67" spans="1:8">
      <c r="A67" s="16">
        <v>46212</v>
      </c>
      <c r="B67" s="15" t="s">
        <v>131</v>
      </c>
      <c r="C67" s="20" t="s">
        <v>177</v>
      </c>
      <c r="D67" s="22">
        <v>2</v>
      </c>
      <c r="E67" s="15" t="s">
        <v>178</v>
      </c>
      <c r="F67" s="23" t="str">
        <f>IF($B67="","",IFERROR(INDEX(ProdNome,MATCH($B67,ProdCod,0)),"Código não cadastrado"))</f>
        <v>Garrafa squeeze 600ml</v>
      </c>
      <c r="G67" s="24">
        <f>IF(OR($B67="",$D67=""),"",$D67*IFERROR(INDEX(ProdCusto,MATCH($B67,ProdCod,0)),0))</f>
        <v>19.8</v>
      </c>
      <c r="H67" s="25" t="str">
        <f>IF($A67="","",IF(OR($B67="",$C67="",$D67=""),"Preencher tudo",IF($F67="Código não cadastrado","Código inválido","OK")))</f>
        <v>OK</v>
      </c>
    </row>
    <row r="68" spans="1:8">
      <c r="A68" s="16">
        <v>46212</v>
      </c>
      <c r="B68" s="15" t="s">
        <v>133</v>
      </c>
      <c r="C68" s="20" t="s">
        <v>177</v>
      </c>
      <c r="D68" s="22">
        <v>1</v>
      </c>
      <c r="E68" s="15" t="s">
        <v>178</v>
      </c>
      <c r="F68" s="23" t="str">
        <f>IF($B68="","",IFERROR(INDEX(ProdNome,MATCH($B68,ProdCod,0)),"Código não cadastrado"))</f>
        <v>Agenda 2027</v>
      </c>
      <c r="G68" s="24">
        <f>IF(OR($B68="",$D68=""),"",$D68*IFERROR(INDEX(ProdCusto,MATCH($B68,ProdCod,0)),0))</f>
        <v>14</v>
      </c>
      <c r="H68" s="25" t="str">
        <f>IF($A68="","",IF(OR($B68="",$C68="",$D68=""),"Preencher tudo",IF($F68="Código não cadastrado","Código inválido","OK")))</f>
        <v>OK</v>
      </c>
    </row>
    <row r="69" spans="1:8">
      <c r="A69" s="16">
        <v>46213</v>
      </c>
      <c r="B69" s="15" t="s">
        <v>89</v>
      </c>
      <c r="C69" s="20" t="s">
        <v>177</v>
      </c>
      <c r="D69" s="22">
        <v>29</v>
      </c>
      <c r="E69" s="15" t="s">
        <v>178</v>
      </c>
      <c r="F69" s="23" t="str">
        <f>IF($B69="","",IFERROR(INDEX(ProdNome,MATCH($B69,ProdCod,0)),"Código não cadastrado"))</f>
        <v>Caderno universitário 10 matérias</v>
      </c>
      <c r="G69" s="24">
        <f>IF(OR($B69="",$D69=""),"",$D69*IFERROR(INDEX(ProdCusto,MATCH($B69,ProdCod,0)),0))</f>
        <v>275.5</v>
      </c>
      <c r="H69" s="25" t="str">
        <f>IF($A69="","",IF(OR($B69="",$C69="",$D69=""),"Preencher tudo",IF($F69="Código não cadastrado","Código inválido","OK")))</f>
        <v>OK</v>
      </c>
    </row>
    <row r="70" spans="1:8">
      <c r="A70" s="16">
        <v>46213</v>
      </c>
      <c r="B70" s="15" t="s">
        <v>91</v>
      </c>
      <c r="C70" s="20" t="s">
        <v>179</v>
      </c>
      <c r="D70" s="22">
        <v>20</v>
      </c>
      <c r="E70" s="15" t="s">
        <v>192</v>
      </c>
      <c r="F70" s="23" t="str">
        <f>IF($B70="","",IFERROR(INDEX(ProdNome,MATCH($B70,ProdCod,0)),"Código não cadastrado"))</f>
        <v>Caneta esferográfica azul (cx 50)</v>
      </c>
      <c r="G70" s="24">
        <f>IF(OR($B70="",$D70=""),"",$D70*IFERROR(INDEX(ProdCusto,MATCH($B70,ProdCod,0)),0))</f>
        <v>440</v>
      </c>
      <c r="H70" s="25" t="str">
        <f>IF($A70="","",IF(OR($B70="",$C70="",$D70=""),"Preencher tudo",IF($F70="Código não cadastrado","Código inválido","OK")))</f>
        <v>OK</v>
      </c>
    </row>
    <row r="71" spans="1:8">
      <c r="A71" s="16">
        <v>46213</v>
      </c>
      <c r="B71" s="15" t="s">
        <v>93</v>
      </c>
      <c r="C71" s="20" t="s">
        <v>177</v>
      </c>
      <c r="D71" s="22">
        <v>38</v>
      </c>
      <c r="E71" s="15" t="s">
        <v>178</v>
      </c>
      <c r="F71" s="23" t="str">
        <f>IF($B71="","",IFERROR(INDEX(ProdNome,MATCH($B71,ProdCod,0)),"Código não cadastrado"))</f>
        <v>Papel A4 75g (resma)</v>
      </c>
      <c r="G71" s="24">
        <f>IF(OR($B71="",$D71=""),"",$D71*IFERROR(INDEX(ProdCusto,MATCH($B71,ProdCod,0)),0))</f>
        <v>817</v>
      </c>
      <c r="H71" s="25" t="str">
        <f>IF($A71="","",IF(OR($B71="",$C71="",$D71=""),"Preencher tudo",IF($F71="Código não cadastrado","Código inválido","OK")))</f>
        <v>OK</v>
      </c>
    </row>
    <row r="72" spans="1:8">
      <c r="A72" s="16">
        <v>46213</v>
      </c>
      <c r="B72" s="15" t="s">
        <v>99</v>
      </c>
      <c r="C72" s="20" t="s">
        <v>179</v>
      </c>
      <c r="D72" s="22">
        <v>3</v>
      </c>
      <c r="E72" s="15" t="s">
        <v>193</v>
      </c>
      <c r="F72" s="23" t="str">
        <f>IF($B72="","",IFERROR(INDEX(ProdNome,MATCH($B72,ProdCod,0)),"Código não cadastrado"))</f>
        <v>Mouse óptico USB</v>
      </c>
      <c r="G72" s="24">
        <f>IF(OR($B72="",$D72=""),"",$D72*IFERROR(INDEX(ProdCusto,MATCH($B72,ProdCod,0)),0))</f>
        <v>33</v>
      </c>
      <c r="H72" s="25" t="str">
        <f>IF($A72="","",IF(OR($B72="",$C72="",$D72=""),"Preencher tudo",IF($F72="Código não cadastrado","Código inválido","OK")))</f>
        <v>OK</v>
      </c>
    </row>
    <row r="73" spans="1:8">
      <c r="A73" s="16">
        <v>46213</v>
      </c>
      <c r="B73" s="15" t="s">
        <v>103</v>
      </c>
      <c r="C73" s="20" t="s">
        <v>179</v>
      </c>
      <c r="D73" s="22">
        <v>24</v>
      </c>
      <c r="E73" s="15" t="s">
        <v>194</v>
      </c>
      <c r="F73" s="23" t="str">
        <f>IF($B73="","",IFERROR(INDEX(ProdNome,MATCH($B73,ProdCod,0)),"Código não cadastrado"))</f>
        <v>Cabo USB-C 1m</v>
      </c>
      <c r="G73" s="24">
        <f>IF(OR($B73="",$D73=""),"",$D73*IFERROR(INDEX(ProdCusto,MATCH($B73,ProdCod,0)),0))</f>
        <v>156</v>
      </c>
      <c r="H73" s="25" t="str">
        <f>IF($A73="","",IF(OR($B73="",$C73="",$D73=""),"Preencher tudo",IF($F73="Código não cadastrado","Código inválido","OK")))</f>
        <v>OK</v>
      </c>
    </row>
    <row r="74" spans="1:8">
      <c r="A74" s="16">
        <v>46213</v>
      </c>
      <c r="B74" s="15" t="s">
        <v>113</v>
      </c>
      <c r="C74" s="20" t="s">
        <v>177</v>
      </c>
      <c r="D74" s="22">
        <v>4</v>
      </c>
      <c r="E74" s="15" t="s">
        <v>178</v>
      </c>
      <c r="F74" s="23" t="str">
        <f>IF($B74="","",IFERROR(INDEX(ProdNome,MATCH($B74,ProdCod,0)),"Código não cadastrado"))</f>
        <v>Tesoura escolar</v>
      </c>
      <c r="G74" s="24">
        <f>IF(OR($B74="",$D74=""),"",$D74*IFERROR(INDEX(ProdCusto,MATCH($B74,ProdCod,0)),0))</f>
        <v>11.2</v>
      </c>
      <c r="H74" s="25" t="str">
        <f>IF($A74="","",IF(OR($B74="",$C74="",$D74=""),"Preencher tudo",IF($F74="Código não cadastrado","Código inválido","OK")))</f>
        <v>OK</v>
      </c>
    </row>
    <row r="75" spans="1:8">
      <c r="A75" s="16">
        <v>46213</v>
      </c>
      <c r="B75" s="15" t="s">
        <v>123</v>
      </c>
      <c r="C75" s="20" t="s">
        <v>177</v>
      </c>
      <c r="D75" s="22">
        <v>4</v>
      </c>
      <c r="E75" s="15" t="s">
        <v>178</v>
      </c>
      <c r="F75" s="23" t="str">
        <f>IF($B75="","",IFERROR(INDEX(ProdNome,MATCH($B75,ProdCod,0)),"Código não cadastrado"))</f>
        <v>Álcool 70% 1L</v>
      </c>
      <c r="G75" s="24">
        <f>IF(OR($B75="",$D75=""),"",$D75*IFERROR(INDEX(ProdCusto,MATCH($B75,ProdCod,0)),0))</f>
        <v>24.8</v>
      </c>
      <c r="H75" s="25" t="str">
        <f>IF($A75="","",IF(OR($B75="",$C75="",$D75=""),"Preencher tudo",IF($F75="Código não cadastrado","Código inválido","OK")))</f>
        <v>OK</v>
      </c>
    </row>
    <row r="76" spans="1:8">
      <c r="A76" s="16">
        <v>46213</v>
      </c>
      <c r="B76" s="15" t="s">
        <v>127</v>
      </c>
      <c r="C76" s="20" t="s">
        <v>179</v>
      </c>
      <c r="D76" s="22">
        <v>7</v>
      </c>
      <c r="E76" s="15" t="s">
        <v>195</v>
      </c>
      <c r="F76" s="23" t="str">
        <f>IF($B76="","",IFERROR(INDEX(ProdNome,MATCH($B76,ProdCod,0)),"Código não cadastrado"))</f>
        <v>Pilha AA (cartela 4)</v>
      </c>
      <c r="G76" s="24">
        <f>IF(OR($B76="",$D76=""),"",$D76*IFERROR(INDEX(ProdCusto,MATCH($B76,ProdCod,0)),0))</f>
        <v>52.5</v>
      </c>
      <c r="H76" s="25" t="str">
        <f>IF($A76="","",IF(OR($B76="",$C76="",$D76=""),"Preencher tudo",IF($F76="Código não cadastrado","Código inválido","OK")))</f>
        <v>OK</v>
      </c>
    </row>
    <row r="77" spans="1:8">
      <c r="A77" s="16">
        <v>46213</v>
      </c>
      <c r="B77" s="15" t="s">
        <v>131</v>
      </c>
      <c r="C77" s="20" t="s">
        <v>179</v>
      </c>
      <c r="D77" s="22">
        <v>3</v>
      </c>
      <c r="E77" s="15" t="s">
        <v>196</v>
      </c>
      <c r="F77" s="23" t="str">
        <f>IF($B77="","",IFERROR(INDEX(ProdNome,MATCH($B77,ProdCod,0)),"Código não cadastrado"))</f>
        <v>Garrafa squeeze 600ml</v>
      </c>
      <c r="G77" s="24">
        <f>IF(OR($B77="",$D77=""),"",$D77*IFERROR(INDEX(ProdCusto,MATCH($B77,ProdCod,0)),0))</f>
        <v>29.7</v>
      </c>
      <c r="H77" s="25" t="str">
        <f>IF($A77="","",IF(OR($B77="",$C77="",$D77=""),"Preencher tudo",IF($F77="Código não cadastrado","Código inválido","OK")))</f>
        <v>OK</v>
      </c>
    </row>
    <row r="78" spans="1:8">
      <c r="A78" s="16">
        <v>46213</v>
      </c>
      <c r="B78" s="15" t="s">
        <v>135</v>
      </c>
      <c r="C78" s="20" t="s">
        <v>177</v>
      </c>
      <c r="D78" s="22">
        <v>2</v>
      </c>
      <c r="E78" s="15" t="s">
        <v>178</v>
      </c>
      <c r="F78" s="23" t="str">
        <f>IF($B78="","",IFERROR(INDEX(ProdNome,MATCH($B78,ProdCod,0)),"Código não cadastrado"))</f>
        <v>Marca-texto (cx 6)</v>
      </c>
      <c r="G78" s="24">
        <f>IF(OR($B78="",$D78=""),"",$D78*IFERROR(INDEX(ProdCusto,MATCH($B78,ProdCod,0)),0))</f>
        <v>19.6</v>
      </c>
      <c r="H78" s="25" t="str">
        <f>IF($A78="","",IF(OR($B78="",$C78="",$D78=""),"Preencher tudo",IF($F78="Código não cadastrado","Código inválido","OK")))</f>
        <v>OK</v>
      </c>
    </row>
    <row r="79" spans="1:8">
      <c r="A79" s="16">
        <v>46213</v>
      </c>
      <c r="B79" s="15" t="s">
        <v>143</v>
      </c>
      <c r="C79" s="20" t="s">
        <v>179</v>
      </c>
      <c r="D79" s="22">
        <v>17</v>
      </c>
      <c r="E79" s="15" t="s">
        <v>197</v>
      </c>
      <c r="F79" s="23" t="str">
        <f>IF($B79="","",IFERROR(INDEX(ProdNome,MATCH($B79,ProdCod,0)),"Código não cadastrado"))</f>
        <v>Régua 30cm</v>
      </c>
      <c r="G79" s="24">
        <f>IF(OR($B79="",$D79=""),"",$D79*IFERROR(INDEX(ProdCusto,MATCH($B79,ProdCod,0)),0))</f>
        <v>15.3</v>
      </c>
      <c r="H79" s="25" t="str">
        <f>IF($A79="","",IF(OR($B79="",$C79="",$D79=""),"Preencher tudo",IF($F79="Código não cadastrado","Código inválido","OK")))</f>
        <v>OK</v>
      </c>
    </row>
    <row r="80" spans="1:8">
      <c r="A80" s="16">
        <v>46213</v>
      </c>
      <c r="B80" s="15" t="s">
        <v>155</v>
      </c>
      <c r="C80" s="20" t="s">
        <v>177</v>
      </c>
      <c r="D80" s="22">
        <v>2</v>
      </c>
      <c r="E80" s="15" t="s">
        <v>178</v>
      </c>
      <c r="F80" s="23" t="str">
        <f>IF($B80="","",IFERROR(INDEX(ProdNome,MATCH($B80,ProdCod,0)),"Código não cadastrado"))</f>
        <v>Tinta guache (kit 6)</v>
      </c>
      <c r="G80" s="24">
        <f>IF(OR($B80="",$D80=""),"",$D80*IFERROR(INDEX(ProdCusto,MATCH($B80,ProdCod,0)),0))</f>
        <v>17.4</v>
      </c>
      <c r="H80" s="25" t="str">
        <f>IF($A80="","",IF(OR($B80="",$C80="",$D80=""),"Preencher tudo",IF($F80="Código não cadastrado","Código inválido","OK")))</f>
        <v>OK</v>
      </c>
    </row>
    <row r="81" spans="1:8">
      <c r="A81" s="16">
        <v>46213</v>
      </c>
      <c r="B81" s="15" t="s">
        <v>163</v>
      </c>
      <c r="C81" s="20" t="s">
        <v>177</v>
      </c>
      <c r="D81" s="22">
        <v>1</v>
      </c>
      <c r="E81" s="15" t="s">
        <v>178</v>
      </c>
      <c r="F81" s="23" t="str">
        <f>IF($B81="","",IFERROR(INDEX(ProdNome,MATCH($B81,ProdCod,0)),"Código não cadastrado"))</f>
        <v>Caixa organizadora</v>
      </c>
      <c r="G81" s="24">
        <f>IF(OR($B81="",$D81=""),"",$D81*IFERROR(INDEX(ProdCusto,MATCH($B81,ProdCod,0)),0))</f>
        <v>18</v>
      </c>
      <c r="H81" s="25" t="str">
        <f>IF($A81="","",IF(OR($B81="",$C81="",$D81=""),"Preencher tudo",IF($F81="Código não cadastrado","Código inválido","OK")))</f>
        <v>OK</v>
      </c>
    </row>
    <row r="82" spans="1:8">
      <c r="A82" s="16">
        <v>46214</v>
      </c>
      <c r="B82" s="15" t="s">
        <v>89</v>
      </c>
      <c r="C82" s="20" t="s">
        <v>179</v>
      </c>
      <c r="D82" s="22">
        <v>53</v>
      </c>
      <c r="E82" s="15" t="s">
        <v>198</v>
      </c>
      <c r="F82" s="23" t="str">
        <f>IF($B82="","",IFERROR(INDEX(ProdNome,MATCH($B82,ProdCod,0)),"Código não cadastrado"))</f>
        <v>Caderno universitário 10 matérias</v>
      </c>
      <c r="G82" s="24">
        <f>IF(OR($B82="",$D82=""),"",$D82*IFERROR(INDEX(ProdCusto,MATCH($B82,ProdCod,0)),0))</f>
        <v>503.5</v>
      </c>
      <c r="H82" s="25" t="str">
        <f>IF($A82="","",IF(OR($B82="",$C82="",$D82=""),"Preencher tudo",IF($F82="Código não cadastrado","Código inválido","OK")))</f>
        <v>OK</v>
      </c>
    </row>
    <row r="83" spans="1:8">
      <c r="A83" s="16">
        <v>46214</v>
      </c>
      <c r="B83" s="15" t="s">
        <v>99</v>
      </c>
      <c r="C83" s="20" t="s">
        <v>177</v>
      </c>
      <c r="D83" s="22">
        <v>2</v>
      </c>
      <c r="E83" s="15" t="s">
        <v>178</v>
      </c>
      <c r="F83" s="23" t="str">
        <f>IF($B83="","",IFERROR(INDEX(ProdNome,MATCH($B83,ProdCod,0)),"Código não cadastrado"))</f>
        <v>Mouse óptico USB</v>
      </c>
      <c r="G83" s="24">
        <f>IF(OR($B83="",$D83=""),"",$D83*IFERROR(INDEX(ProdCusto,MATCH($B83,ProdCod,0)),0))</f>
        <v>22</v>
      </c>
      <c r="H83" s="25" t="str">
        <f>IF($A83="","",IF(OR($B83="",$C83="",$D83=""),"Preencher tudo",IF($F83="Código não cadastrado","Código inválido","OK")))</f>
        <v>OK</v>
      </c>
    </row>
    <row r="84" spans="1:8">
      <c r="A84" s="16">
        <v>46214</v>
      </c>
      <c r="B84" s="15" t="s">
        <v>101</v>
      </c>
      <c r="C84" s="20" t="s">
        <v>177</v>
      </c>
      <c r="D84" s="22">
        <v>7</v>
      </c>
      <c r="E84" s="15" t="s">
        <v>178</v>
      </c>
      <c r="F84" s="23" t="str">
        <f>IF($B84="","",IFERROR(INDEX(ProdNome,MATCH($B84,ProdCod,0)),"Código não cadastrado"))</f>
        <v>Pen drive 32GB</v>
      </c>
      <c r="G84" s="24">
        <f>IF(OR($B84="",$D84=""),"",$D84*IFERROR(INDEX(ProdCusto,MATCH($B84,ProdCod,0)),0))</f>
        <v>154</v>
      </c>
      <c r="H84" s="25" t="str">
        <f>IF($A84="","",IF(OR($B84="",$C84="",$D84=""),"Preencher tudo",IF($F84="Código não cadastrado","Código inválido","OK")))</f>
        <v>OK</v>
      </c>
    </row>
    <row r="85" spans="1:8">
      <c r="A85" s="16">
        <v>46214</v>
      </c>
      <c r="B85" s="15" t="s">
        <v>105</v>
      </c>
      <c r="C85" s="20" t="s">
        <v>177</v>
      </c>
      <c r="D85" s="22">
        <v>7</v>
      </c>
      <c r="E85" s="15" t="s">
        <v>178</v>
      </c>
      <c r="F85" s="23" t="str">
        <f>IF($B85="","",IFERROR(INDEX(ProdNome,MATCH($B85,ProdCod,0)),"Código não cadastrado"))</f>
        <v>Mochila escolar 20L</v>
      </c>
      <c r="G85" s="24">
        <f>IF(OR($B85="",$D85=""),"",$D85*IFERROR(INDEX(ProdCusto,MATCH($B85,ProdCod,0)),0))</f>
        <v>322</v>
      </c>
      <c r="H85" s="25" t="str">
        <f>IF($A85="","",IF(OR($B85="",$C85="",$D85=""),"Preencher tudo",IF($F85="Código não cadastrado","Código inválido","OK")))</f>
        <v>OK</v>
      </c>
    </row>
    <row r="86" spans="1:8">
      <c r="A86" s="16">
        <v>46214</v>
      </c>
      <c r="B86" s="15" t="s">
        <v>107</v>
      </c>
      <c r="C86" s="20" t="s">
        <v>179</v>
      </c>
      <c r="D86" s="22">
        <v>4</v>
      </c>
      <c r="E86" s="15" t="s">
        <v>199</v>
      </c>
      <c r="F86" s="23" t="str">
        <f>IF($B86="","",IFERROR(INDEX(ProdNome,MATCH($B86,ProdCod,0)),"Código não cadastrado"))</f>
        <v>Estojo duplo</v>
      </c>
      <c r="G86" s="24">
        <f>IF(OR($B86="",$D86=""),"",$D86*IFERROR(INDEX(ProdCusto,MATCH($B86,ProdCod,0)),0))</f>
        <v>34</v>
      </c>
      <c r="H86" s="25" t="str">
        <f>IF($A86="","",IF(OR($B86="",$C86="",$D86=""),"Preencher tudo",IF($F86="Código não cadastrado","Código inválido","OK")))</f>
        <v>OK</v>
      </c>
    </row>
    <row r="87" spans="1:8">
      <c r="A87" s="16">
        <v>46214</v>
      </c>
      <c r="B87" s="15" t="s">
        <v>111</v>
      </c>
      <c r="C87" s="20" t="s">
        <v>179</v>
      </c>
      <c r="D87" s="22">
        <v>17</v>
      </c>
      <c r="E87" s="15" t="s">
        <v>200</v>
      </c>
      <c r="F87" s="23" t="str">
        <f>IF($B87="","",IFERROR(INDEX(ProdNome,MATCH($B87,ProdCod,0)),"Código não cadastrado"))</f>
        <v>Cola branca 90g</v>
      </c>
      <c r="G87" s="24">
        <f>IF(OR($B87="",$D87=""),"",$D87*IFERROR(INDEX(ProdCusto,MATCH($B87,ProdCod,0)),0))</f>
        <v>32.3</v>
      </c>
      <c r="H87" s="25" t="str">
        <f>IF($A87="","",IF(OR($B87="",$C87="",$D87=""),"Preencher tudo",IF($F87="Código não cadastrado","Código inválido","OK")))</f>
        <v>OK</v>
      </c>
    </row>
    <row r="88" spans="1:8">
      <c r="A88" s="16">
        <v>46214</v>
      </c>
      <c r="B88" s="15" t="s">
        <v>115</v>
      </c>
      <c r="C88" s="20" t="s">
        <v>177</v>
      </c>
      <c r="D88" s="22">
        <v>16</v>
      </c>
      <c r="E88" s="15" t="s">
        <v>178</v>
      </c>
      <c r="F88" s="23" t="str">
        <f>IF($B88="","",IFERROR(INDEX(ProdNome,MATCH($B88,ProdCod,0)),"Código não cadastrado"))</f>
        <v>Fita adesiva transparente</v>
      </c>
      <c r="G88" s="24">
        <f>IF(OR($B88="",$D88=""),"",$D88*IFERROR(INDEX(ProdCusto,MATCH($B88,ProdCod,0)),0))</f>
        <v>25.6</v>
      </c>
      <c r="H88" s="25" t="str">
        <f>IF($A88="","",IF(OR($B88="",$C88="",$D88=""),"Preencher tudo",IF($F88="Código não cadastrado","Código inválido","OK")))</f>
        <v>OK</v>
      </c>
    </row>
    <row r="89" spans="1:8">
      <c r="A89" s="16">
        <v>46214</v>
      </c>
      <c r="B89" s="15" t="s">
        <v>115</v>
      </c>
      <c r="C89" s="20" t="s">
        <v>179</v>
      </c>
      <c r="D89" s="22">
        <v>23</v>
      </c>
      <c r="E89" s="15" t="s">
        <v>201</v>
      </c>
      <c r="F89" s="23" t="str">
        <f>IF($B89="","",IFERROR(INDEX(ProdNome,MATCH($B89,ProdCod,0)),"Código não cadastrado"))</f>
        <v>Fita adesiva transparente</v>
      </c>
      <c r="G89" s="24">
        <f>IF(OR($B89="",$D89=""),"",$D89*IFERROR(INDEX(ProdCusto,MATCH($B89,ProdCod,0)),0))</f>
        <v>36.8</v>
      </c>
      <c r="H89" s="25" t="str">
        <f>IF($A89="","",IF(OR($B89="",$C89="",$D89=""),"Preencher tudo",IF($F89="Código não cadastrado","Código inválido","OK")))</f>
        <v>OK</v>
      </c>
    </row>
    <row r="90" spans="1:8">
      <c r="A90" s="16">
        <v>46214</v>
      </c>
      <c r="B90" s="15" t="s">
        <v>125</v>
      </c>
      <c r="C90" s="20" t="s">
        <v>179</v>
      </c>
      <c r="D90" s="22">
        <v>7</v>
      </c>
      <c r="E90" s="15" t="s">
        <v>202</v>
      </c>
      <c r="F90" s="23" t="str">
        <f>IF($B90="","",IFERROR(INDEX(ProdNome,MATCH($B90,ProdCod,0)),"Código não cadastrado"))</f>
        <v>Papel toalha (pct 2)</v>
      </c>
      <c r="G90" s="24">
        <f>IF(OR($B90="",$D90=""),"",$D90*IFERROR(INDEX(ProdCusto,MATCH($B90,ProdCod,0)),0))</f>
        <v>41.3</v>
      </c>
      <c r="H90" s="25" t="str">
        <f>IF($A90="","",IF(OR($B90="",$C90="",$D90=""),"Preencher tudo",IF($F90="Código não cadastrado","Código inválido","OK")))</f>
        <v>OK</v>
      </c>
    </row>
    <row r="91" spans="1:8">
      <c r="A91" s="16">
        <v>46214</v>
      </c>
      <c r="B91" s="15" t="s">
        <v>135</v>
      </c>
      <c r="C91" s="20" t="s">
        <v>179</v>
      </c>
      <c r="D91" s="22">
        <v>4</v>
      </c>
      <c r="E91" s="15" t="s">
        <v>203</v>
      </c>
      <c r="F91" s="23" t="str">
        <f>IF($B91="","",IFERROR(INDEX(ProdNome,MATCH($B91,ProdCod,0)),"Código não cadastrado"))</f>
        <v>Marca-texto (cx 6)</v>
      </c>
      <c r="G91" s="24">
        <f>IF(OR($B91="",$D91=""),"",$D91*IFERROR(INDEX(ProdCusto,MATCH($B91,ProdCod,0)),0))</f>
        <v>39.2</v>
      </c>
      <c r="H91" s="25" t="str">
        <f>IF($A91="","",IF(OR($B91="",$C91="",$D91=""),"Preencher tudo",IF($F91="Código não cadastrado","Código inválido","OK")))</f>
        <v>OK</v>
      </c>
    </row>
    <row r="92" spans="1:8">
      <c r="A92" s="16">
        <v>46214</v>
      </c>
      <c r="B92" s="15" t="s">
        <v>141</v>
      </c>
      <c r="C92" s="20" t="s">
        <v>177</v>
      </c>
      <c r="D92" s="22">
        <v>1</v>
      </c>
      <c r="E92" s="15" t="s">
        <v>178</v>
      </c>
      <c r="F92" s="23" t="str">
        <f>IF($B92="","",IFERROR(INDEX(ProdNome,MATCH($B92,ProdCod,0)),"Código não cadastrado"))</f>
        <v>Fichário argolado</v>
      </c>
      <c r="G92" s="24">
        <f>IF(OR($B92="",$D92=""),"",$D92*IFERROR(INDEX(ProdCusto,MATCH($B92,ProdCod,0)),0))</f>
        <v>21</v>
      </c>
      <c r="H92" s="25" t="str">
        <f>IF($A92="","",IF(OR($B92="",$C92="",$D92=""),"Preencher tudo",IF($F92="Código não cadastrado","Código inválido","OK")))</f>
        <v>OK</v>
      </c>
    </row>
    <row r="93" spans="1:8">
      <c r="A93" s="16">
        <v>46214</v>
      </c>
      <c r="B93" s="15" t="s">
        <v>159</v>
      </c>
      <c r="C93" s="20" t="s">
        <v>177</v>
      </c>
      <c r="D93" s="22">
        <v>1</v>
      </c>
      <c r="E93" s="15" t="s">
        <v>178</v>
      </c>
      <c r="F93" s="23" t="str">
        <f>IF($B93="","",IFERROR(INDEX(ProdNome,MATCH($B93,ProdCod,0)),"Código não cadastrado"))</f>
        <v>Luva descartável (cx 100)</v>
      </c>
      <c r="G93" s="24">
        <f>IF(OR($B93="",$D93=""),"",$D93*IFERROR(INDEX(ProdCusto,MATCH($B93,ProdCod,0)),0))</f>
        <v>21</v>
      </c>
      <c r="H93" s="25" t="str">
        <f>IF($A93="","",IF(OR($B93="",$C93="",$D93=""),"Preencher tudo",IF($F93="Código não cadastrado","Código inválido","OK")))</f>
        <v>OK</v>
      </c>
    </row>
    <row r="94" spans="1:8">
      <c r="A94" s="16">
        <v>46214</v>
      </c>
      <c r="B94" s="15" t="s">
        <v>161</v>
      </c>
      <c r="C94" s="20" t="s">
        <v>177</v>
      </c>
      <c r="D94" s="22">
        <v>1</v>
      </c>
      <c r="E94" s="15" t="s">
        <v>178</v>
      </c>
      <c r="F94" s="23" t="str">
        <f>IF($B94="","",IFERROR(INDEX(ProdNome,MATCH($B94,ProdCod,0)),"Código não cadastrado"))</f>
        <v>Pote plástico 500ml (pct 12)</v>
      </c>
      <c r="G94" s="24">
        <f>IF(OR($B94="",$D94=""),"",$D94*IFERROR(INDEX(ProdCusto,MATCH($B94,ProdCod,0)),0))</f>
        <v>11</v>
      </c>
      <c r="H94" s="25" t="str">
        <f>IF($A94="","",IF(OR($B94="",$C94="",$D94=""),"Preencher tudo",IF($F94="Código não cadastrado","Código inválido","OK")))</f>
        <v>OK</v>
      </c>
    </row>
    <row r="95" spans="1:8">
      <c r="A95" s="16">
        <v>46214</v>
      </c>
      <c r="B95" s="15" t="s">
        <v>167</v>
      </c>
      <c r="C95" s="20" t="s">
        <v>179</v>
      </c>
      <c r="D95" s="22">
        <v>3</v>
      </c>
      <c r="E95" s="15" t="s">
        <v>204</v>
      </c>
      <c r="F95" s="23" t="str">
        <f>IF($B95="","",IFERROR(INDEX(ProdNome,MATCH($B95,ProdCod,0)),"Código não cadastrado"))</f>
        <v>Porta-retrato 10x15</v>
      </c>
      <c r="G95" s="24">
        <f>IF(OR($B95="",$D95=""),"",$D95*IFERROR(INDEX(ProdCusto,MATCH($B95,ProdCod,0)),0))</f>
        <v>18.6</v>
      </c>
      <c r="H95" s="25" t="str">
        <f>IF($A95="","",IF(OR($B95="",$C95="",$D95=""),"Preencher tudo",IF($F95="Código não cadastrado","Código inválido","OK")))</f>
        <v>OK</v>
      </c>
    </row>
    <row r="96" spans="1:8">
      <c r="A96" s="16">
        <v>46215</v>
      </c>
      <c r="B96" s="15" t="s">
        <v>109</v>
      </c>
      <c r="C96" s="20" t="s">
        <v>177</v>
      </c>
      <c r="D96" s="22">
        <v>5</v>
      </c>
      <c r="E96" s="15" t="s">
        <v>178</v>
      </c>
      <c r="F96" s="23" t="str">
        <f>IF($B96="","",IFERROR(INDEX(ProdNome,MATCH($B96,ProdCod,0)),"Código não cadastrado"))</f>
        <v>Lápis de cor (cx 24)</v>
      </c>
      <c r="G96" s="24">
        <f>IF(OR($B96="",$D96=""),"",$D96*IFERROR(INDEX(ProdCusto,MATCH($B96,ProdCod,0)),0))</f>
        <v>39.5</v>
      </c>
      <c r="H96" s="25" t="str">
        <f>IF($A96="","",IF(OR($B96="",$C96="",$D96=""),"Preencher tudo",IF($F96="Código não cadastrado","Código inválido","OK")))</f>
        <v>OK</v>
      </c>
    </row>
    <row r="97" spans="1:8">
      <c r="A97" s="16">
        <v>46215</v>
      </c>
      <c r="B97" s="15" t="s">
        <v>111</v>
      </c>
      <c r="C97" s="20" t="s">
        <v>177</v>
      </c>
      <c r="D97" s="22">
        <v>11</v>
      </c>
      <c r="E97" s="15" t="s">
        <v>178</v>
      </c>
      <c r="F97" s="23" t="str">
        <f>IF($B97="","",IFERROR(INDEX(ProdNome,MATCH($B97,ProdCod,0)),"Código não cadastrado"))</f>
        <v>Cola branca 90g</v>
      </c>
      <c r="G97" s="24">
        <f>IF(OR($B97="",$D97=""),"",$D97*IFERROR(INDEX(ProdCusto,MATCH($B97,ProdCod,0)),0))</f>
        <v>20.9</v>
      </c>
      <c r="H97" s="25" t="str">
        <f>IF($A97="","",IF(OR($B97="",$C97="",$D97=""),"Preencher tudo",IF($F97="Código não cadastrado","Código inválido","OK")))</f>
        <v>OK</v>
      </c>
    </row>
    <row r="98" spans="1:8">
      <c r="A98" s="16">
        <v>46215</v>
      </c>
      <c r="B98" s="15" t="s">
        <v>125</v>
      </c>
      <c r="C98" s="20" t="s">
        <v>177</v>
      </c>
      <c r="D98" s="22">
        <v>4</v>
      </c>
      <c r="E98" s="15" t="s">
        <v>178</v>
      </c>
      <c r="F98" s="23" t="str">
        <f>IF($B98="","",IFERROR(INDEX(ProdNome,MATCH($B98,ProdCod,0)),"Código não cadastrado"))</f>
        <v>Papel toalha (pct 2)</v>
      </c>
      <c r="G98" s="24">
        <f>IF(OR($B98="",$D98=""),"",$D98*IFERROR(INDEX(ProdCusto,MATCH($B98,ProdCod,0)),0))</f>
        <v>23.6</v>
      </c>
      <c r="H98" s="25" t="str">
        <f>IF($A98="","",IF(OR($B98="",$C98="",$D98=""),"Preencher tudo",IF($F98="Código não cadastrado","Código inválido","OK")))</f>
        <v>OK</v>
      </c>
    </row>
    <row r="99" spans="1:8">
      <c r="A99" s="16">
        <v>46215</v>
      </c>
      <c r="B99" s="15" t="s">
        <v>139</v>
      </c>
      <c r="C99" s="20" t="s">
        <v>177</v>
      </c>
      <c r="D99" s="22">
        <v>1</v>
      </c>
      <c r="E99" s="15" t="s">
        <v>178</v>
      </c>
      <c r="F99" s="23" t="str">
        <f>IF($B99="","",IFERROR(INDEX(ProdNome,MATCH($B99,ProdCod,0)),"Código não cadastrado"))</f>
        <v>Calculadora de mesa</v>
      </c>
      <c r="G99" s="24">
        <f>IF(OR($B99="",$D99=""),"",$D99*IFERROR(INDEX(ProdCusto,MATCH($B99,ProdCod,0)),0))</f>
        <v>17</v>
      </c>
      <c r="H99" s="25" t="str">
        <f>IF($A99="","",IF(OR($B99="",$C99="",$D99=""),"Preencher tudo",IF($F99="Código não cadastrado","Código inválido","OK")))</f>
        <v>OK</v>
      </c>
    </row>
    <row r="100" spans="1:8">
      <c r="A100" s="16">
        <v>46215</v>
      </c>
      <c r="B100" s="15" t="s">
        <v>157</v>
      </c>
      <c r="C100" s="20" t="s">
        <v>177</v>
      </c>
      <c r="D100" s="22">
        <v>1</v>
      </c>
      <c r="E100" s="15" t="s">
        <v>178</v>
      </c>
      <c r="F100" s="23" t="str">
        <f>IF($B100="","",IFERROR(INDEX(ProdNome,MATCH($B100,ProdCod,0)),"Código não cadastrado"))</f>
        <v>Papel fotográfico A4 (pct 20)</v>
      </c>
      <c r="G100" s="24">
        <f>IF(OR($B100="",$D100=""),"",$D100*IFERROR(INDEX(ProdCusto,MATCH($B100,ProdCod,0)),0))</f>
        <v>12.5</v>
      </c>
      <c r="H100" s="25" t="str">
        <f>IF($A100="","",IF(OR($B100="",$C100="",$D100=""),"Preencher tudo",IF($F100="Código não cadastrado","Código inválido","OK")))</f>
        <v>OK</v>
      </c>
    </row>
    <row r="101" spans="1:8">
      <c r="A101" s="16">
        <v>46216</v>
      </c>
      <c r="B101" s="15" t="s">
        <v>107</v>
      </c>
      <c r="C101" s="20" t="s">
        <v>177</v>
      </c>
      <c r="D101" s="22">
        <v>2</v>
      </c>
      <c r="E101" s="15" t="s">
        <v>178</v>
      </c>
      <c r="F101" s="23" t="str">
        <f>IF($B101="","",IFERROR(INDEX(ProdNome,MATCH($B101,ProdCod,0)),"Código não cadastrado"))</f>
        <v>Estojo duplo</v>
      </c>
      <c r="G101" s="24">
        <f>IF(OR($B101="",$D101=""),"",$D101*IFERROR(INDEX(ProdCusto,MATCH($B101,ProdCod,0)),0))</f>
        <v>17</v>
      </c>
      <c r="H101" s="25" t="str">
        <f>IF($A101="","",IF(OR($B101="",$C101="",$D101=""),"Preencher tudo",IF($F101="Código não cadastrado","Código inválido","OK")))</f>
        <v>OK</v>
      </c>
    </row>
    <row r="102" spans="1:8">
      <c r="A102" s="16">
        <v>46216</v>
      </c>
      <c r="B102" s="15" t="s">
        <v>119</v>
      </c>
      <c r="C102" s="20" t="s">
        <v>177</v>
      </c>
      <c r="D102" s="22">
        <v>1</v>
      </c>
      <c r="E102" s="15" t="s">
        <v>178</v>
      </c>
      <c r="F102" s="23" t="str">
        <f>IF($B102="","",IFERROR(INDEX(ProdNome,MATCH($B102,ProdCod,0)),"Código não cadastrado"))</f>
        <v>Plástico bolha (rolo 50m)</v>
      </c>
      <c r="G102" s="24">
        <f>IF(OR($B102="",$D102=""),"",$D102*IFERROR(INDEX(ProdCusto,MATCH($B102,ProdCod,0)),0))</f>
        <v>32</v>
      </c>
      <c r="H102" s="25" t="str">
        <f>IF($A102="","",IF(OR($B102="",$C102="",$D102=""),"Preencher tudo",IF($F102="Código não cadastrado","Código inválido","OK")))</f>
        <v>OK</v>
      </c>
    </row>
    <row r="103" spans="1:8">
      <c r="A103" s="16">
        <v>46216</v>
      </c>
      <c r="B103" s="15" t="s">
        <v>129</v>
      </c>
      <c r="C103" s="20" t="s">
        <v>177</v>
      </c>
      <c r="D103" s="22">
        <v>3</v>
      </c>
      <c r="E103" s="15" t="s">
        <v>178</v>
      </c>
      <c r="F103" s="23" t="str">
        <f>IF($B103="","",IFERROR(INDEX(ProdNome,MATCH($B103,ProdCod,0)),"Código não cadastrado"))</f>
        <v>Caneca branca para sublimação</v>
      </c>
      <c r="G103" s="24">
        <f>IF(OR($B103="",$D103=""),"",$D103*IFERROR(INDEX(ProdCusto,MATCH($B103,ProdCod,0)),0))</f>
        <v>12.6</v>
      </c>
      <c r="H103" s="25" t="str">
        <f>IF($A103="","",IF(OR($B103="",$C103="",$D103=""),"Preencher tudo",IF($F103="Código não cadastrado","Código inválido","OK")))</f>
        <v>OK</v>
      </c>
    </row>
    <row r="104" spans="1:8">
      <c r="A104" s="16">
        <v>46216</v>
      </c>
      <c r="B104" s="15" t="s">
        <v>137</v>
      </c>
      <c r="C104" s="20" t="s">
        <v>177</v>
      </c>
      <c r="D104" s="22">
        <v>6</v>
      </c>
      <c r="E104" s="15" t="s">
        <v>178</v>
      </c>
      <c r="F104" s="23" t="str">
        <f>IF($B104="","",IFERROR(INDEX(ProdNome,MATCH($B104,ProdCod,0)),"Código não cadastrado"))</f>
        <v>Bloco de notas adesivas</v>
      </c>
      <c r="G104" s="24">
        <f>IF(OR($B104="",$D104=""),"",$D104*IFERROR(INDEX(ProdCusto,MATCH($B104,ProdCod,0)),0))</f>
        <v>20.4</v>
      </c>
      <c r="H104" s="25" t="str">
        <f>IF($A104="","",IF(OR($B104="",$C104="",$D104=""),"Preencher tudo",IF($F104="Código não cadastrado","Código inválido","OK")))</f>
        <v>OK</v>
      </c>
    </row>
    <row r="105" spans="1:8">
      <c r="A105" s="16">
        <v>46216</v>
      </c>
      <c r="B105" s="15" t="s">
        <v>147</v>
      </c>
      <c r="C105" s="20" t="s">
        <v>177</v>
      </c>
      <c r="D105" s="22">
        <v>1</v>
      </c>
      <c r="E105" s="15" t="s">
        <v>178</v>
      </c>
      <c r="F105" s="23" t="str">
        <f>IF($B105="","",IFERROR(INDEX(ProdNome,MATCH($B105,ProdCod,0)),"Código não cadastrado"))</f>
        <v>Toner genérico preto</v>
      </c>
      <c r="G105" s="24">
        <f>IF(OR($B105="",$D105=""),"",$D105*IFERROR(INDEX(ProdCusto,MATCH($B105,ProdCod,0)),0))</f>
        <v>62</v>
      </c>
      <c r="H105" s="25" t="str">
        <f>IF($A105="","",IF(OR($B105="",$C105="",$D105=""),"Preencher tudo",IF($F105="Código não cadastrado","Código inválido","OK")))</f>
        <v>OK</v>
      </c>
    </row>
    <row r="106" spans="1:8">
      <c r="A106" s="16">
        <v>46216</v>
      </c>
      <c r="B106" s="15" t="s">
        <v>167</v>
      </c>
      <c r="C106" s="20" t="s">
        <v>177</v>
      </c>
      <c r="D106" s="22">
        <v>1</v>
      </c>
      <c r="E106" s="15" t="s">
        <v>178</v>
      </c>
      <c r="F106" s="23" t="str">
        <f>IF($B106="","",IFERROR(INDEX(ProdNome,MATCH($B106,ProdCod,0)),"Código não cadastrado"))</f>
        <v>Porta-retrato 10x15</v>
      </c>
      <c r="G106" s="24">
        <f>IF(OR($B106="",$D106=""),"",$D106*IFERROR(INDEX(ProdCusto,MATCH($B106,ProdCod,0)),0))</f>
        <v>6.2</v>
      </c>
      <c r="H106" s="25" t="str">
        <f>IF($A106="","",IF(OR($B106="",$C106="",$D106=""),"Preencher tudo",IF($F106="Código não cadastrado","Código inválido","OK")))</f>
        <v>OK</v>
      </c>
    </row>
    <row r="107" spans="1:8">
      <c r="A107" s="16">
        <v>46218</v>
      </c>
      <c r="B107" s="15" t="s">
        <v>91</v>
      </c>
      <c r="C107" s="20" t="s">
        <v>177</v>
      </c>
      <c r="D107" s="22">
        <v>7</v>
      </c>
      <c r="E107" s="15" t="s">
        <v>178</v>
      </c>
      <c r="F107" s="23" t="str">
        <f>IF($B107="","",IFERROR(INDEX(ProdNome,MATCH($B107,ProdCod,0)),"Código não cadastrado"))</f>
        <v>Caneta esferográfica azul (cx 50)</v>
      </c>
      <c r="G107" s="24">
        <f>IF(OR($B107="",$D107=""),"",$D107*IFERROR(INDEX(ProdCusto,MATCH($B107,ProdCod,0)),0))</f>
        <v>154</v>
      </c>
      <c r="H107" s="25" t="str">
        <f>IF($A107="","",IF(OR($B107="",$C107="",$D107=""),"Preencher tudo",IF($F107="Código não cadastrado","Código inválido","OK")))</f>
        <v>OK</v>
      </c>
    </row>
    <row r="108" spans="1:8">
      <c r="A108" s="16">
        <v>46218</v>
      </c>
      <c r="B108" s="15" t="s">
        <v>95</v>
      </c>
      <c r="C108" s="20" t="s">
        <v>177</v>
      </c>
      <c r="D108" s="22">
        <v>1</v>
      </c>
      <c r="E108" s="15" t="s">
        <v>178</v>
      </c>
      <c r="F108" s="23" t="str">
        <f>IF($B108="","",IFERROR(INDEX(ProdNome,MATCH($B108,ProdCod,0)),"Código não cadastrado"))</f>
        <v>Pasta suspensa (pct 25)</v>
      </c>
      <c r="G108" s="24">
        <f>IF(OR($B108="",$D108=""),"",$D108*IFERROR(INDEX(ProdCusto,MATCH($B108,ProdCod,0)),0))</f>
        <v>28</v>
      </c>
      <c r="H108" s="25" t="str">
        <f>IF($A108="","",IF(OR($B108="",$C108="",$D108=""),"Preencher tudo",IF($F108="Código não cadastrado","Código inválido","OK")))</f>
        <v>OK</v>
      </c>
    </row>
    <row r="109" spans="1:8">
      <c r="A109" s="16">
        <v>46218</v>
      </c>
      <c r="B109" s="15" t="s">
        <v>99</v>
      </c>
      <c r="C109" s="20" t="s">
        <v>177</v>
      </c>
      <c r="D109" s="22">
        <v>2</v>
      </c>
      <c r="E109" s="15" t="s">
        <v>178</v>
      </c>
      <c r="F109" s="23" t="str">
        <f>IF($B109="","",IFERROR(INDEX(ProdNome,MATCH($B109,ProdCod,0)),"Código não cadastrado"))</f>
        <v>Mouse óptico USB</v>
      </c>
      <c r="G109" s="24">
        <f>IF(OR($B109="",$D109=""),"",$D109*IFERROR(INDEX(ProdCusto,MATCH($B109,ProdCod,0)),0))</f>
        <v>22</v>
      </c>
      <c r="H109" s="25" t="str">
        <f>IF($A109="","",IF(OR($B109="",$C109="",$D109=""),"Preencher tudo",IF($F109="Código não cadastrado","Código inválido","OK")))</f>
        <v>OK</v>
      </c>
    </row>
    <row r="110" spans="1:8">
      <c r="A110" s="16">
        <v>46218</v>
      </c>
      <c r="B110" s="15" t="s">
        <v>111</v>
      </c>
      <c r="C110" s="20" t="s">
        <v>177</v>
      </c>
      <c r="D110" s="22">
        <v>8</v>
      </c>
      <c r="E110" s="15" t="s">
        <v>178</v>
      </c>
      <c r="F110" s="23" t="str">
        <f>IF($B110="","",IFERROR(INDEX(ProdNome,MATCH($B110,ProdCod,0)),"Código não cadastrado"))</f>
        <v>Cola branca 90g</v>
      </c>
      <c r="G110" s="24">
        <f>IF(OR($B110="",$D110=""),"",$D110*IFERROR(INDEX(ProdCusto,MATCH($B110,ProdCod,0)),0))</f>
        <v>15.2</v>
      </c>
      <c r="H110" s="25" t="str">
        <f>IF($A110="","",IF(OR($B110="",$C110="",$D110=""),"Preencher tudo",IF($F110="Código não cadastrado","Código inválido","OK")))</f>
        <v>OK</v>
      </c>
    </row>
    <row r="111" spans="1:8">
      <c r="A111" s="16">
        <v>46218</v>
      </c>
      <c r="B111" s="15" t="s">
        <v>117</v>
      </c>
      <c r="C111" s="20" t="s">
        <v>177</v>
      </c>
      <c r="D111" s="22">
        <v>1</v>
      </c>
      <c r="E111" s="15" t="s">
        <v>178</v>
      </c>
      <c r="F111" s="23" t="str">
        <f>IF($B111="","",IFERROR(INDEX(ProdNome,MATCH($B111,ProdCod,0)),"Código não cadastrado"))</f>
        <v>Caixa de papelão M (pct 10)</v>
      </c>
      <c r="G111" s="24">
        <f>IF(OR($B111="",$D111=""),"",$D111*IFERROR(INDEX(ProdCusto,MATCH($B111,ProdCod,0)),0))</f>
        <v>15</v>
      </c>
      <c r="H111" s="25" t="str">
        <f>IF($A111="","",IF(OR($B111="",$C111="",$D111=""),"Preencher tudo",IF($F111="Código não cadastrado","Código inválido","OK")))</f>
        <v>OK</v>
      </c>
    </row>
    <row r="112" spans="1:8">
      <c r="A112" s="16">
        <v>46218</v>
      </c>
      <c r="B112" s="15" t="s">
        <v>121</v>
      </c>
      <c r="C112" s="20" t="s">
        <v>177</v>
      </c>
      <c r="D112" s="22">
        <v>1</v>
      </c>
      <c r="E112" s="15" t="s">
        <v>178</v>
      </c>
      <c r="F112" s="23" t="str">
        <f>IF($B112="","",IFERROR(INDEX(ProdNome,MATCH($B112,ProdCod,0)),"Código não cadastrado"))</f>
        <v>Sacola kraft G (pct 50)</v>
      </c>
      <c r="G112" s="24">
        <f>IF(OR($B112="",$D112=""),"",$D112*IFERROR(INDEX(ProdCusto,MATCH($B112,ProdCod,0)),0))</f>
        <v>24</v>
      </c>
      <c r="H112" s="25" t="str">
        <f>IF($A112="","",IF(OR($B112="",$C112="",$D112=""),"Preencher tudo",IF($F112="Código não cadastrado","Código inválido","OK")))</f>
        <v>OK</v>
      </c>
    </row>
    <row r="113" spans="1:8">
      <c r="A113" s="16">
        <v>46218</v>
      </c>
      <c r="B113" s="15" t="s">
        <v>123</v>
      </c>
      <c r="C113" s="20" t="s">
        <v>177</v>
      </c>
      <c r="D113" s="22">
        <v>3</v>
      </c>
      <c r="E113" s="15" t="s">
        <v>178</v>
      </c>
      <c r="F113" s="23" t="str">
        <f>IF($B113="","",IFERROR(INDEX(ProdNome,MATCH($B113,ProdCod,0)),"Código não cadastrado"))</f>
        <v>Álcool 70% 1L</v>
      </c>
      <c r="G113" s="24">
        <f>IF(OR($B113="",$D113=""),"",$D113*IFERROR(INDEX(ProdCusto,MATCH($B113,ProdCod,0)),0))</f>
        <v>18.6</v>
      </c>
      <c r="H113" s="25" t="str">
        <f>IF($A113="","",IF(OR($B113="",$C113="",$D113=""),"Preencher tudo",IF($F113="Código não cadastrado","Código inválido","OK")))</f>
        <v>OK</v>
      </c>
    </row>
    <row r="114" spans="1:8">
      <c r="A114" s="16">
        <v>46218</v>
      </c>
      <c r="B114" s="15" t="s">
        <v>127</v>
      </c>
      <c r="C114" s="20" t="s">
        <v>177</v>
      </c>
      <c r="D114" s="22">
        <v>2</v>
      </c>
      <c r="E114" s="15" t="s">
        <v>178</v>
      </c>
      <c r="F114" s="23" t="str">
        <f>IF($B114="","",IFERROR(INDEX(ProdNome,MATCH($B114,ProdCod,0)),"Código não cadastrado"))</f>
        <v>Pilha AA (cartela 4)</v>
      </c>
      <c r="G114" s="24">
        <f>IF(OR($B114="",$D114=""),"",$D114*IFERROR(INDEX(ProdCusto,MATCH($B114,ProdCod,0)),0))</f>
        <v>15</v>
      </c>
      <c r="H114" s="25" t="str">
        <f>IF($A114="","",IF(OR($B114="",$C114="",$D114=""),"Preencher tudo",IF($F114="Código não cadastrado","Código inválido","OK")))</f>
        <v>OK</v>
      </c>
    </row>
    <row r="115" spans="1:8">
      <c r="A115" s="16">
        <v>46218</v>
      </c>
      <c r="B115" s="15" t="s">
        <v>141</v>
      </c>
      <c r="C115" s="20" t="s">
        <v>177</v>
      </c>
      <c r="D115" s="22">
        <v>1</v>
      </c>
      <c r="E115" s="15" t="s">
        <v>178</v>
      </c>
      <c r="F115" s="23" t="str">
        <f>IF($B115="","",IFERROR(INDEX(ProdNome,MATCH($B115,ProdCod,0)),"Código não cadastrado"))</f>
        <v>Fichário argolado</v>
      </c>
      <c r="G115" s="24">
        <f>IF(OR($B115="",$D115=""),"",$D115*IFERROR(INDEX(ProdCusto,MATCH($B115,ProdCod,0)),0))</f>
        <v>21</v>
      </c>
      <c r="H115" s="25" t="str">
        <f>IF($A115="","",IF(OR($B115="",$C115="",$D115=""),"Preencher tudo",IF($F115="Código não cadastrado","Código inválido","OK")))</f>
        <v>OK</v>
      </c>
    </row>
    <row r="116" spans="1:8">
      <c r="A116" s="16">
        <v>46218</v>
      </c>
      <c r="B116" s="15" t="s">
        <v>143</v>
      </c>
      <c r="C116" s="20" t="s">
        <v>177</v>
      </c>
      <c r="D116" s="22">
        <v>5</v>
      </c>
      <c r="E116" s="15" t="s">
        <v>178</v>
      </c>
      <c r="F116" s="23" t="str">
        <f>IF($B116="","",IFERROR(INDEX(ProdNome,MATCH($B116,ProdCod,0)),"Código não cadastrado"))</f>
        <v>Régua 30cm</v>
      </c>
      <c r="G116" s="24">
        <f>IF(OR($B116="",$D116=""),"",$D116*IFERROR(INDEX(ProdCusto,MATCH($B116,ProdCod,0)),0))</f>
        <v>4.5</v>
      </c>
      <c r="H116" s="25" t="str">
        <f>IF($A116="","",IF(OR($B116="",$C116="",$D116=""),"Preencher tudo",IF($F116="Código não cadastrado","Código inválido","OK")))</f>
        <v>OK</v>
      </c>
    </row>
    <row r="117" spans="1:8">
      <c r="A117" s="16">
        <v>46218</v>
      </c>
      <c r="B117" s="15" t="s">
        <v>161</v>
      </c>
      <c r="C117" s="20" t="s">
        <v>177</v>
      </c>
      <c r="D117" s="22">
        <v>1</v>
      </c>
      <c r="E117" s="15" t="s">
        <v>178</v>
      </c>
      <c r="F117" s="23" t="str">
        <f>IF($B117="","",IFERROR(INDEX(ProdNome,MATCH($B117,ProdCod,0)),"Código não cadastrado"))</f>
        <v>Pote plástico 500ml (pct 12)</v>
      </c>
      <c r="G117" s="24">
        <f>IF(OR($B117="",$D117=""),"",$D117*IFERROR(INDEX(ProdCusto,MATCH($B117,ProdCod,0)),0))</f>
        <v>11</v>
      </c>
      <c r="H117" s="25" t="str">
        <f>IF($A117="","",IF(OR($B117="",$C117="",$D117=""),"Preencher tudo",IF($F117="Código não cadastrado","Código inválido","OK")))</f>
        <v>OK</v>
      </c>
    </row>
    <row r="118" spans="1:8">
      <c r="A118" s="16">
        <v>46219</v>
      </c>
      <c r="B118" s="15" t="s">
        <v>89</v>
      </c>
      <c r="C118" s="20" t="s">
        <v>177</v>
      </c>
      <c r="D118" s="22">
        <v>42</v>
      </c>
      <c r="E118" s="15" t="s">
        <v>178</v>
      </c>
      <c r="F118" s="23" t="str">
        <f>IF($B118="","",IFERROR(INDEX(ProdNome,MATCH($B118,ProdCod,0)),"Código não cadastrado"))</f>
        <v>Caderno universitário 10 matérias</v>
      </c>
      <c r="G118" s="24">
        <f>IF(OR($B118="",$D118=""),"",$D118*IFERROR(INDEX(ProdCusto,MATCH($B118,ProdCod,0)),0))</f>
        <v>399</v>
      </c>
      <c r="H118" s="25" t="str">
        <f>IF($A118="","",IF(OR($B118="",$C118="",$D118=""),"Preencher tudo",IF($F118="Código não cadastrado","Código inválido","OK")))</f>
        <v>OK</v>
      </c>
    </row>
    <row r="119" spans="1:8">
      <c r="A119" s="16">
        <v>46219</v>
      </c>
      <c r="B119" s="15" t="s">
        <v>95</v>
      </c>
      <c r="C119" s="20" t="s">
        <v>179</v>
      </c>
      <c r="D119" s="22">
        <v>3</v>
      </c>
      <c r="E119" s="15" t="s">
        <v>205</v>
      </c>
      <c r="F119" s="23" t="str">
        <f>IF($B119="","",IFERROR(INDEX(ProdNome,MATCH($B119,ProdCod,0)),"Código não cadastrado"))</f>
        <v>Pasta suspensa (pct 25)</v>
      </c>
      <c r="G119" s="24">
        <f>IF(OR($B119="",$D119=""),"",$D119*IFERROR(INDEX(ProdCusto,MATCH($B119,ProdCod,0)),0))</f>
        <v>84</v>
      </c>
      <c r="H119" s="25" t="str">
        <f>IF($A119="","",IF(OR($B119="",$C119="",$D119=""),"Preencher tudo",IF($F119="Código não cadastrado","Código inválido","OK")))</f>
        <v>OK</v>
      </c>
    </row>
    <row r="120" spans="1:8">
      <c r="A120" s="16">
        <v>46219</v>
      </c>
      <c r="B120" s="15" t="s">
        <v>97</v>
      </c>
      <c r="C120" s="20" t="s">
        <v>177</v>
      </c>
      <c r="D120" s="22">
        <v>1</v>
      </c>
      <c r="E120" s="15" t="s">
        <v>178</v>
      </c>
      <c r="F120" s="23" t="str">
        <f>IF($B120="","",IFERROR(INDEX(ProdNome,MATCH($B120,ProdCod,0)),"Código não cadastrado"))</f>
        <v>Grampeador médio</v>
      </c>
      <c r="G120" s="24">
        <f>IF(OR($B120="",$D120=""),"",$D120*IFERROR(INDEX(ProdCusto,MATCH($B120,ProdCod,0)),0))</f>
        <v>14</v>
      </c>
      <c r="H120" s="25" t="str">
        <f>IF($A120="","",IF(OR($B120="",$C120="",$D120=""),"Preencher tudo",IF($F120="Código não cadastrado","Código inválido","OK")))</f>
        <v>OK</v>
      </c>
    </row>
    <row r="121" spans="1:8">
      <c r="A121" s="16">
        <v>46219</v>
      </c>
      <c r="B121" s="15" t="s">
        <v>97</v>
      </c>
      <c r="C121" s="20" t="s">
        <v>179</v>
      </c>
      <c r="D121" s="22">
        <v>3</v>
      </c>
      <c r="E121" s="15" t="s">
        <v>206</v>
      </c>
      <c r="F121" s="23" t="str">
        <f>IF($B121="","",IFERROR(INDEX(ProdNome,MATCH($B121,ProdCod,0)),"Código não cadastrado"))</f>
        <v>Grampeador médio</v>
      </c>
      <c r="G121" s="24">
        <f>IF(OR($B121="",$D121=""),"",$D121*IFERROR(INDEX(ProdCusto,MATCH($B121,ProdCod,0)),0))</f>
        <v>42</v>
      </c>
      <c r="H121" s="25" t="str">
        <f>IF($A121="","",IF(OR($B121="",$C121="",$D121=""),"Preencher tudo",IF($F121="Código não cadastrado","Código inválido","OK")))</f>
        <v>OK</v>
      </c>
    </row>
    <row r="122" spans="1:8">
      <c r="A122" s="16">
        <v>46219</v>
      </c>
      <c r="B122" s="15" t="s">
        <v>101</v>
      </c>
      <c r="C122" s="20" t="s">
        <v>177</v>
      </c>
      <c r="D122" s="22">
        <v>10</v>
      </c>
      <c r="E122" s="15" t="s">
        <v>178</v>
      </c>
      <c r="F122" s="23" t="str">
        <f>IF($B122="","",IFERROR(INDEX(ProdNome,MATCH($B122,ProdCod,0)),"Código não cadastrado"))</f>
        <v>Pen drive 32GB</v>
      </c>
      <c r="G122" s="24">
        <f>IF(OR($B122="",$D122=""),"",$D122*IFERROR(INDEX(ProdCusto,MATCH($B122,ProdCod,0)),0))</f>
        <v>220</v>
      </c>
      <c r="H122" s="25" t="str">
        <f>IF($A122="","",IF(OR($B122="",$C122="",$D122=""),"Preencher tudo",IF($F122="Código não cadastrado","Código inválido","OK")))</f>
        <v>OK</v>
      </c>
    </row>
    <row r="123" spans="1:8">
      <c r="A123" s="16">
        <v>46219</v>
      </c>
      <c r="B123" s="15" t="s">
        <v>101</v>
      </c>
      <c r="C123" s="20" t="s">
        <v>179</v>
      </c>
      <c r="D123" s="22">
        <v>10</v>
      </c>
      <c r="E123" s="15" t="s">
        <v>207</v>
      </c>
      <c r="F123" s="23" t="str">
        <f>IF($B123="","",IFERROR(INDEX(ProdNome,MATCH($B123,ProdCod,0)),"Código não cadastrado"))</f>
        <v>Pen drive 32GB</v>
      </c>
      <c r="G123" s="24">
        <f>IF(OR($B123="",$D123=""),"",$D123*IFERROR(INDEX(ProdCusto,MATCH($B123,ProdCod,0)),0))</f>
        <v>220</v>
      </c>
      <c r="H123" s="25" t="str">
        <f>IF($A123="","",IF(OR($B123="",$C123="",$D123=""),"Preencher tudo",IF($F123="Código não cadastrado","Código inválido","OK")))</f>
        <v>OK</v>
      </c>
    </row>
    <row r="124" spans="1:8">
      <c r="A124" s="16">
        <v>46219</v>
      </c>
      <c r="B124" s="15" t="s">
        <v>109</v>
      </c>
      <c r="C124" s="20" t="s">
        <v>177</v>
      </c>
      <c r="D124" s="22">
        <v>4</v>
      </c>
      <c r="E124" s="15" t="s">
        <v>178</v>
      </c>
      <c r="F124" s="23" t="str">
        <f>IF($B124="","",IFERROR(INDEX(ProdNome,MATCH($B124,ProdCod,0)),"Código não cadastrado"))</f>
        <v>Lápis de cor (cx 24)</v>
      </c>
      <c r="G124" s="24">
        <f>IF(OR($B124="",$D124=""),"",$D124*IFERROR(INDEX(ProdCusto,MATCH($B124,ProdCod,0)),0))</f>
        <v>31.6</v>
      </c>
      <c r="H124" s="25" t="str">
        <f>IF($A124="","",IF(OR($B124="",$C124="",$D124=""),"Preencher tudo",IF($F124="Código não cadastrado","Código inválido","OK")))</f>
        <v>OK</v>
      </c>
    </row>
    <row r="125" spans="1:8">
      <c r="A125" s="16">
        <v>46219</v>
      </c>
      <c r="B125" s="15" t="s">
        <v>113</v>
      </c>
      <c r="C125" s="20" t="s">
        <v>179</v>
      </c>
      <c r="D125" s="22">
        <v>9</v>
      </c>
      <c r="E125" s="15" t="s">
        <v>208</v>
      </c>
      <c r="F125" s="23" t="str">
        <f>IF($B125="","",IFERROR(INDEX(ProdNome,MATCH($B125,ProdCod,0)),"Código não cadastrado"))</f>
        <v>Tesoura escolar</v>
      </c>
      <c r="G125" s="24">
        <f>IF(OR($B125="",$D125=""),"",$D125*IFERROR(INDEX(ProdCusto,MATCH($B125,ProdCod,0)),0))</f>
        <v>25.2</v>
      </c>
      <c r="H125" s="25" t="str">
        <f>IF($A125="","",IF(OR($B125="",$C125="",$D125=""),"Preencher tudo",IF($F125="Código não cadastrado","Código inválido","OK")))</f>
        <v>OK</v>
      </c>
    </row>
    <row r="126" spans="1:8">
      <c r="A126" s="16">
        <v>46219</v>
      </c>
      <c r="B126" s="15" t="s">
        <v>137</v>
      </c>
      <c r="C126" s="20" t="s">
        <v>179</v>
      </c>
      <c r="D126" s="22">
        <v>11</v>
      </c>
      <c r="E126" s="15" t="s">
        <v>209</v>
      </c>
      <c r="F126" s="23" t="str">
        <f>IF($B126="","",IFERROR(INDEX(ProdNome,MATCH($B126,ProdCod,0)),"Código não cadastrado"))</f>
        <v>Bloco de notas adesivas</v>
      </c>
      <c r="G126" s="24">
        <f>IF(OR($B126="",$D126=""),"",$D126*IFERROR(INDEX(ProdCusto,MATCH($B126,ProdCod,0)),0))</f>
        <v>37.4</v>
      </c>
      <c r="H126" s="25" t="str">
        <f>IF($A126="","",IF(OR($B126="",$C126="",$D126=""),"Preencher tudo",IF($F126="Código não cadastrado","Código inválido","OK")))</f>
        <v>OK</v>
      </c>
    </row>
    <row r="127" spans="1:8">
      <c r="A127" s="16">
        <v>46219</v>
      </c>
      <c r="B127" s="15" t="s">
        <v>139</v>
      </c>
      <c r="C127" s="20" t="s">
        <v>179</v>
      </c>
      <c r="D127" s="22">
        <v>3</v>
      </c>
      <c r="E127" s="15" t="s">
        <v>210</v>
      </c>
      <c r="F127" s="23" t="str">
        <f>IF($B127="","",IFERROR(INDEX(ProdNome,MATCH($B127,ProdCod,0)),"Código não cadastrado"))</f>
        <v>Calculadora de mesa</v>
      </c>
      <c r="G127" s="24">
        <f>IF(OR($B127="",$D127=""),"",$D127*IFERROR(INDEX(ProdCusto,MATCH($B127,ProdCod,0)),0))</f>
        <v>51</v>
      </c>
      <c r="H127" s="25" t="str">
        <f>IF($A127="","",IF(OR($B127="",$C127="",$D127=""),"Preencher tudo",IF($F127="Código não cadastrado","Código inválido","OK")))</f>
        <v>OK</v>
      </c>
    </row>
    <row r="128" spans="1:8">
      <c r="A128" s="16">
        <v>46219</v>
      </c>
      <c r="B128" s="15" t="s">
        <v>155</v>
      </c>
      <c r="C128" s="20" t="s">
        <v>179</v>
      </c>
      <c r="D128" s="22">
        <v>4</v>
      </c>
      <c r="E128" s="15" t="s">
        <v>211</v>
      </c>
      <c r="F128" s="23" t="str">
        <f>IF($B128="","",IFERROR(INDEX(ProdNome,MATCH($B128,ProdCod,0)),"Código não cadastrado"))</f>
        <v>Tinta guache (kit 6)</v>
      </c>
      <c r="G128" s="24">
        <f>IF(OR($B128="",$D128=""),"",$D128*IFERROR(INDEX(ProdCusto,MATCH($B128,ProdCod,0)),0))</f>
        <v>34.8</v>
      </c>
      <c r="H128" s="25" t="str">
        <f>IF($A128="","",IF(OR($B128="",$C128="",$D128=""),"Preencher tudo",IF($F128="Código não cadastrado","Código inválido","OK")))</f>
        <v>OK</v>
      </c>
    </row>
    <row r="129" spans="1:8">
      <c r="A129" s="16">
        <v>46219</v>
      </c>
      <c r="B129" s="15" t="s">
        <v>159</v>
      </c>
      <c r="C129" s="20" t="s">
        <v>177</v>
      </c>
      <c r="D129" s="22">
        <v>1</v>
      </c>
      <c r="E129" s="15" t="s">
        <v>178</v>
      </c>
      <c r="F129" s="23" t="str">
        <f>IF($B129="","",IFERROR(INDEX(ProdNome,MATCH($B129,ProdCod,0)),"Código não cadastrado"))</f>
        <v>Luva descartável (cx 100)</v>
      </c>
      <c r="G129" s="24">
        <f>IF(OR($B129="",$D129=""),"",$D129*IFERROR(INDEX(ProdCusto,MATCH($B129,ProdCod,0)),0))</f>
        <v>21</v>
      </c>
      <c r="H129" s="25" t="str">
        <f>IF($A129="","",IF(OR($B129="",$C129="",$D129=""),"Preencher tudo",IF($F129="Código não cadastrado","Código inválido","OK")))</f>
        <v>OK</v>
      </c>
    </row>
    <row r="130" spans="1:8">
      <c r="A130" s="16">
        <v>46219</v>
      </c>
      <c r="B130" s="15" t="s">
        <v>159</v>
      </c>
      <c r="C130" s="20" t="s">
        <v>179</v>
      </c>
      <c r="D130" s="22">
        <v>3</v>
      </c>
      <c r="E130" s="15" t="s">
        <v>212</v>
      </c>
      <c r="F130" s="23" t="str">
        <f>IF($B130="","",IFERROR(INDEX(ProdNome,MATCH($B130,ProdCod,0)),"Código não cadastrado"))</f>
        <v>Luva descartável (cx 100)</v>
      </c>
      <c r="G130" s="24">
        <f>IF(OR($B130="",$D130=""),"",$D130*IFERROR(INDEX(ProdCusto,MATCH($B130,ProdCod,0)),0))</f>
        <v>63</v>
      </c>
      <c r="H130" s="25" t="str">
        <f>IF($A130="","",IF(OR($B130="",$C130="",$D130=""),"Preencher tudo",IF($F130="Código não cadastrado","Código inválido","OK")))</f>
        <v>OK</v>
      </c>
    </row>
    <row r="131" spans="1:8">
      <c r="A131" s="16">
        <v>46219</v>
      </c>
      <c r="B131" s="15" t="s">
        <v>163</v>
      </c>
      <c r="C131" s="20" t="s">
        <v>179</v>
      </c>
      <c r="D131" s="22">
        <v>3</v>
      </c>
      <c r="E131" s="15" t="s">
        <v>213</v>
      </c>
      <c r="F131" s="23" t="str">
        <f>IF($B131="","",IFERROR(INDEX(ProdNome,MATCH($B131,ProdCod,0)),"Código não cadastrado"))</f>
        <v>Caixa organizadora</v>
      </c>
      <c r="G131" s="24">
        <f>IF(OR($B131="",$D131=""),"",$D131*IFERROR(INDEX(ProdCusto,MATCH($B131,ProdCod,0)),0))</f>
        <v>54</v>
      </c>
      <c r="H131" s="25" t="str">
        <f>IF($A131="","",IF(OR($B131="",$C131="",$D131=""),"Preencher tudo",IF($F131="Código não cadastrado","Código inválido","OK")))</f>
        <v>OK</v>
      </c>
    </row>
    <row r="132" spans="1:8">
      <c r="A132" s="16">
        <v>46220</v>
      </c>
      <c r="B132" s="15" t="s">
        <v>93</v>
      </c>
      <c r="C132" s="20" t="s">
        <v>179</v>
      </c>
      <c r="D132" s="22">
        <v>75</v>
      </c>
      <c r="E132" s="15" t="s">
        <v>214</v>
      </c>
      <c r="F132" s="23" t="str">
        <f>IF($B132="","",IFERROR(INDEX(ProdNome,MATCH($B132,ProdCod,0)),"Código não cadastrado"))</f>
        <v>Papel A4 75g (resma)</v>
      </c>
      <c r="G132" s="24">
        <f>IF(OR($B132="",$D132=""),"",$D132*IFERROR(INDEX(ProdCusto,MATCH($B132,ProdCod,0)),0))</f>
        <v>1612.5</v>
      </c>
      <c r="H132" s="25" t="str">
        <f>IF($A132="","",IF(OR($B132="",$C132="",$D132=""),"Preencher tudo",IF($F132="Código não cadastrado","Código inválido","OK")))</f>
        <v>OK</v>
      </c>
    </row>
    <row r="133" spans="1:8">
      <c r="A133" s="16">
        <v>46220</v>
      </c>
      <c r="B133" s="15" t="s">
        <v>103</v>
      </c>
      <c r="C133" s="20" t="s">
        <v>177</v>
      </c>
      <c r="D133" s="22">
        <v>12</v>
      </c>
      <c r="E133" s="15" t="s">
        <v>178</v>
      </c>
      <c r="F133" s="23" t="str">
        <f>IF($B133="","",IFERROR(INDEX(ProdNome,MATCH($B133,ProdCod,0)),"Código não cadastrado"))</f>
        <v>Cabo USB-C 1m</v>
      </c>
      <c r="G133" s="24">
        <f>IF(OR($B133="",$D133=""),"",$D133*IFERROR(INDEX(ProdCusto,MATCH($B133,ProdCod,0)),0))</f>
        <v>78</v>
      </c>
      <c r="H133" s="25" t="str">
        <f>IF($A133="","",IF(OR($B133="",$C133="",$D133=""),"Preencher tudo",IF($F133="Código não cadastrado","Código inválido","OK")))</f>
        <v>OK</v>
      </c>
    </row>
    <row r="134" spans="1:8">
      <c r="A134" s="16">
        <v>46220</v>
      </c>
      <c r="B134" s="15" t="s">
        <v>107</v>
      </c>
      <c r="C134" s="20" t="s">
        <v>179</v>
      </c>
      <c r="D134" s="22">
        <v>3</v>
      </c>
      <c r="E134" s="15" t="s">
        <v>215</v>
      </c>
      <c r="F134" s="23" t="str">
        <f>IF($B134="","",IFERROR(INDEX(ProdNome,MATCH($B134,ProdCod,0)),"Código não cadastrado"))</f>
        <v>Estojo duplo</v>
      </c>
      <c r="G134" s="24">
        <f>IF(OR($B134="",$D134=""),"",$D134*IFERROR(INDEX(ProdCusto,MATCH($B134,ProdCod,0)),0))</f>
        <v>25.5</v>
      </c>
      <c r="H134" s="25" t="str">
        <f>IF($A134="","",IF(OR($B134="",$C134="",$D134=""),"Preencher tudo",IF($F134="Código não cadastrado","Código inválido","OK")))</f>
        <v>OK</v>
      </c>
    </row>
    <row r="135" spans="1:8">
      <c r="A135" s="16">
        <v>46220</v>
      </c>
      <c r="B135" s="15" t="s">
        <v>113</v>
      </c>
      <c r="C135" s="20" t="s">
        <v>177</v>
      </c>
      <c r="D135" s="22">
        <v>5</v>
      </c>
      <c r="E135" s="15" t="s">
        <v>178</v>
      </c>
      <c r="F135" s="23" t="str">
        <f>IF($B135="","",IFERROR(INDEX(ProdNome,MATCH($B135,ProdCod,0)),"Código não cadastrado"))</f>
        <v>Tesoura escolar</v>
      </c>
      <c r="G135" s="24">
        <f>IF(OR($B135="",$D135=""),"",$D135*IFERROR(INDEX(ProdCusto,MATCH($B135,ProdCod,0)),0))</f>
        <v>14</v>
      </c>
      <c r="H135" s="25" t="str">
        <f>IF($A135="","",IF(OR($B135="",$C135="",$D135=""),"Preencher tudo",IF($F135="Código não cadastrado","Código inválido","OK")))</f>
        <v>OK</v>
      </c>
    </row>
    <row r="136" spans="1:8">
      <c r="A136" s="16">
        <v>46220</v>
      </c>
      <c r="B136" s="15" t="s">
        <v>115</v>
      </c>
      <c r="C136" s="20" t="s">
        <v>177</v>
      </c>
      <c r="D136" s="22">
        <v>8</v>
      </c>
      <c r="E136" s="15" t="s">
        <v>178</v>
      </c>
      <c r="F136" s="23" t="str">
        <f>IF($B136="","",IFERROR(INDEX(ProdNome,MATCH($B136,ProdCod,0)),"Código não cadastrado"))</f>
        <v>Fita adesiva transparente</v>
      </c>
      <c r="G136" s="24">
        <f>IF(OR($B136="",$D136=""),"",$D136*IFERROR(INDEX(ProdCusto,MATCH($B136,ProdCod,0)),0))</f>
        <v>12.8</v>
      </c>
      <c r="H136" s="25" t="str">
        <f>IF($A136="","",IF(OR($B136="",$C136="",$D136=""),"Preencher tudo",IF($F136="Código não cadastrado","Código inválido","OK")))</f>
        <v>OK</v>
      </c>
    </row>
    <row r="137" spans="1:8">
      <c r="A137" s="16">
        <v>46220</v>
      </c>
      <c r="B137" s="15" t="s">
        <v>119</v>
      </c>
      <c r="C137" s="20" t="s">
        <v>179</v>
      </c>
      <c r="D137" s="22">
        <v>3</v>
      </c>
      <c r="E137" s="15" t="s">
        <v>216</v>
      </c>
      <c r="F137" s="23" t="str">
        <f>IF($B137="","",IFERROR(INDEX(ProdNome,MATCH($B137,ProdCod,0)),"Código não cadastrado"))</f>
        <v>Plástico bolha (rolo 50m)</v>
      </c>
      <c r="G137" s="24">
        <f>IF(OR($B137="",$D137=""),"",$D137*IFERROR(INDEX(ProdCusto,MATCH($B137,ProdCod,0)),0))</f>
        <v>96</v>
      </c>
      <c r="H137" s="25" t="str">
        <f>IF($A137="","",IF(OR($B137="",$C137="",$D137=""),"Preencher tudo",IF($F137="Código não cadastrado","Código inválido","OK")))</f>
        <v>OK</v>
      </c>
    </row>
    <row r="138" spans="1:8">
      <c r="A138" s="16">
        <v>46220</v>
      </c>
      <c r="B138" s="15" t="s">
        <v>129</v>
      </c>
      <c r="C138" s="20" t="s">
        <v>179</v>
      </c>
      <c r="D138" s="22">
        <v>7</v>
      </c>
      <c r="E138" s="15" t="s">
        <v>217</v>
      </c>
      <c r="F138" s="23" t="str">
        <f>IF($B138="","",IFERROR(INDEX(ProdNome,MATCH($B138,ProdCod,0)),"Código não cadastrado"))</f>
        <v>Caneca branca para sublimação</v>
      </c>
      <c r="G138" s="24">
        <f>IF(OR($B138="",$D138=""),"",$D138*IFERROR(INDEX(ProdCusto,MATCH($B138,ProdCod,0)),0))</f>
        <v>29.4</v>
      </c>
      <c r="H138" s="25" t="str">
        <f>IF($A138="","",IF(OR($B138="",$C138="",$D138=""),"Preencher tudo",IF($F138="Código não cadastrado","Código inválido","OK")))</f>
        <v>OK</v>
      </c>
    </row>
    <row r="139" spans="1:8">
      <c r="A139" s="16">
        <v>46220</v>
      </c>
      <c r="B139" s="15" t="s">
        <v>133</v>
      </c>
      <c r="C139" s="20" t="s">
        <v>177</v>
      </c>
      <c r="D139" s="22">
        <v>1</v>
      </c>
      <c r="E139" s="15" t="s">
        <v>178</v>
      </c>
      <c r="F139" s="23" t="str">
        <f>IF($B139="","",IFERROR(INDEX(ProdNome,MATCH($B139,ProdCod,0)),"Código não cadastrado"))</f>
        <v>Agenda 2027</v>
      </c>
      <c r="G139" s="24">
        <f>IF(OR($B139="",$D139=""),"",$D139*IFERROR(INDEX(ProdCusto,MATCH($B139,ProdCod,0)),0))</f>
        <v>14</v>
      </c>
      <c r="H139" s="25" t="str">
        <f>IF($A139="","",IF(OR($B139="",$C139="",$D139=""),"Preencher tudo",IF($F139="Código não cadastrado","Código inválido","OK")))</f>
        <v>OK</v>
      </c>
    </row>
    <row r="140" spans="1:8">
      <c r="A140" s="16">
        <v>46220</v>
      </c>
      <c r="B140" s="15" t="s">
        <v>139</v>
      </c>
      <c r="C140" s="20" t="s">
        <v>177</v>
      </c>
      <c r="D140" s="22">
        <v>1</v>
      </c>
      <c r="E140" s="15" t="s">
        <v>178</v>
      </c>
      <c r="F140" s="23" t="str">
        <f>IF($B140="","",IFERROR(INDEX(ProdNome,MATCH($B140,ProdCod,0)),"Código não cadastrado"))</f>
        <v>Calculadora de mesa</v>
      </c>
      <c r="G140" s="24">
        <f>IF(OR($B140="",$D140=""),"",$D140*IFERROR(INDEX(ProdCusto,MATCH($B140,ProdCod,0)),0))</f>
        <v>17</v>
      </c>
      <c r="H140" s="25" t="str">
        <f>IF($A140="","",IF(OR($B140="",$C140="",$D140=""),"Preencher tudo",IF($F140="Código não cadastrado","Código inválido","OK")))</f>
        <v>OK</v>
      </c>
    </row>
    <row r="141" spans="1:8">
      <c r="A141" s="16">
        <v>46220</v>
      </c>
      <c r="B141" s="15" t="s">
        <v>149</v>
      </c>
      <c r="C141" s="20" t="s">
        <v>177</v>
      </c>
      <c r="D141" s="22">
        <v>3</v>
      </c>
      <c r="E141" s="15" t="s">
        <v>178</v>
      </c>
      <c r="F141" s="23" t="str">
        <f>IF($B141="","",IFERROR(INDEX(ProdNome,MATCH($B141,ProdCod,0)),"Código não cadastrado"))</f>
        <v>Mouse pad</v>
      </c>
      <c r="G141" s="24">
        <f>IF(OR($B141="",$D141=""),"",$D141*IFERROR(INDEX(ProdCusto,MATCH($B141,ProdCod,0)),0))</f>
        <v>14.7</v>
      </c>
      <c r="H141" s="25" t="str">
        <f>IF($A141="","",IF(OR($B141="",$C141="",$D141=""),"Preencher tudo",IF($F141="Código não cadastrado","Código inválido","OK")))</f>
        <v>OK</v>
      </c>
    </row>
    <row r="142" spans="1:8">
      <c r="A142" s="16">
        <v>46220</v>
      </c>
      <c r="B142" s="15" t="s">
        <v>149</v>
      </c>
      <c r="C142" s="20" t="s">
        <v>179</v>
      </c>
      <c r="D142" s="22">
        <v>5</v>
      </c>
      <c r="E142" s="15" t="s">
        <v>218</v>
      </c>
      <c r="F142" s="23" t="str">
        <f>IF($B142="","",IFERROR(INDEX(ProdNome,MATCH($B142,ProdCod,0)),"Código não cadastrado"))</f>
        <v>Mouse pad</v>
      </c>
      <c r="G142" s="24">
        <f>IF(OR($B142="",$D142=""),"",$D142*IFERROR(INDEX(ProdCusto,MATCH($B142,ProdCod,0)),0))</f>
        <v>24.5</v>
      </c>
      <c r="H142" s="25" t="str">
        <f>IF($A142="","",IF(OR($B142="",$C142="",$D142=""),"Preencher tudo",IF($F142="Código não cadastrado","Código inválido","OK")))</f>
        <v>OK</v>
      </c>
    </row>
    <row r="143" spans="1:8">
      <c r="A143" s="16">
        <v>46220</v>
      </c>
      <c r="B143" s="15" t="s">
        <v>157</v>
      </c>
      <c r="C143" s="20" t="s">
        <v>179</v>
      </c>
      <c r="D143" s="22">
        <v>3</v>
      </c>
      <c r="E143" s="15" t="s">
        <v>219</v>
      </c>
      <c r="F143" s="23" t="str">
        <f>IF($B143="","",IFERROR(INDEX(ProdNome,MATCH($B143,ProdCod,0)),"Código não cadastrado"))</f>
        <v>Papel fotográfico A4 (pct 20)</v>
      </c>
      <c r="G143" s="24">
        <f>IF(OR($B143="",$D143=""),"",$D143*IFERROR(INDEX(ProdCusto,MATCH($B143,ProdCod,0)),0))</f>
        <v>37.5</v>
      </c>
      <c r="H143" s="25" t="str">
        <f>IF($A143="","",IF(OR($B143="",$C143="",$D143=""),"Preencher tudo",IF($F143="Código não cadastrado","Código inválido","OK")))</f>
        <v>OK</v>
      </c>
    </row>
    <row r="144" spans="1:8">
      <c r="A144" s="16">
        <v>46221</v>
      </c>
      <c r="B144" s="15" t="s">
        <v>89</v>
      </c>
      <c r="C144" s="20" t="s">
        <v>179</v>
      </c>
      <c r="D144" s="22">
        <v>42</v>
      </c>
      <c r="E144" s="15" t="s">
        <v>220</v>
      </c>
      <c r="F144" s="23" t="str">
        <f>IF($B144="","",IFERROR(INDEX(ProdNome,MATCH($B144,ProdCod,0)),"Código não cadastrado"))</f>
        <v>Caderno universitário 10 matérias</v>
      </c>
      <c r="G144" s="24">
        <f>IF(OR($B144="",$D144=""),"",$D144*IFERROR(INDEX(ProdCusto,MATCH($B144,ProdCod,0)),0))</f>
        <v>399</v>
      </c>
      <c r="H144" s="25" t="str">
        <f>IF($A144="","",IF(OR($B144="",$C144="",$D144=""),"Preencher tudo",IF($F144="Código não cadastrado","Código inválido","OK")))</f>
        <v>OK</v>
      </c>
    </row>
    <row r="145" spans="1:8">
      <c r="A145" s="16">
        <v>46221</v>
      </c>
      <c r="B145" s="15" t="s">
        <v>105</v>
      </c>
      <c r="C145" s="20" t="s">
        <v>177</v>
      </c>
      <c r="D145" s="22">
        <v>5</v>
      </c>
      <c r="E145" s="15" t="s">
        <v>178</v>
      </c>
      <c r="F145" s="23" t="str">
        <f>IF($B145="","",IFERROR(INDEX(ProdNome,MATCH($B145,ProdCod,0)),"Código não cadastrado"))</f>
        <v>Mochila escolar 20L</v>
      </c>
      <c r="G145" s="24">
        <f>IF(OR($B145="",$D145=""),"",$D145*IFERROR(INDEX(ProdCusto,MATCH($B145,ProdCod,0)),0))</f>
        <v>230</v>
      </c>
      <c r="H145" s="25" t="str">
        <f>IF($A145="","",IF(OR($B145="",$C145="",$D145=""),"Preencher tudo",IF($F145="Código não cadastrado","Código inválido","OK")))</f>
        <v>OK</v>
      </c>
    </row>
    <row r="146" spans="1:8">
      <c r="A146" s="16">
        <v>46221</v>
      </c>
      <c r="B146" s="15" t="s">
        <v>107</v>
      </c>
      <c r="C146" s="20" t="s">
        <v>177</v>
      </c>
      <c r="D146" s="22">
        <v>3</v>
      </c>
      <c r="E146" s="15" t="s">
        <v>178</v>
      </c>
      <c r="F146" s="23" t="str">
        <f>IF($B146="","",IFERROR(INDEX(ProdNome,MATCH($B146,ProdCod,0)),"Código não cadastrado"))</f>
        <v>Estojo duplo</v>
      </c>
      <c r="G146" s="24">
        <f>IF(OR($B146="",$D146=""),"",$D146*IFERROR(INDEX(ProdCusto,MATCH($B146,ProdCod,0)),0))</f>
        <v>25.5</v>
      </c>
      <c r="H146" s="25" t="str">
        <f>IF($A146="","",IF(OR($B146="",$C146="",$D146=""),"Preencher tudo",IF($F146="Código não cadastrado","Código inválido","OK")))</f>
        <v>OK</v>
      </c>
    </row>
    <row r="147" spans="1:8">
      <c r="A147" s="16">
        <v>46221</v>
      </c>
      <c r="B147" s="15" t="s">
        <v>141</v>
      </c>
      <c r="C147" s="20" t="s">
        <v>179</v>
      </c>
      <c r="D147" s="22">
        <v>3</v>
      </c>
      <c r="E147" s="15" t="s">
        <v>221</v>
      </c>
      <c r="F147" s="23" t="str">
        <f>IF($B147="","",IFERROR(INDEX(ProdNome,MATCH($B147,ProdCod,0)),"Código não cadastrado"))</f>
        <v>Fichário argolado</v>
      </c>
      <c r="G147" s="24">
        <f>IF(OR($B147="",$D147=""),"",$D147*IFERROR(INDEX(ProdCusto,MATCH($B147,ProdCod,0)),0))</f>
        <v>63</v>
      </c>
      <c r="H147" s="25" t="str">
        <f>IF($A147="","",IF(OR($B147="",$C147="",$D147=""),"Preencher tudo",IF($F147="Código não cadastrado","Código inválido","OK")))</f>
        <v>OK</v>
      </c>
    </row>
    <row r="148" spans="1:8">
      <c r="A148" s="16">
        <v>46221</v>
      </c>
      <c r="B148" s="15" t="s">
        <v>147</v>
      </c>
      <c r="C148" s="20" t="s">
        <v>179</v>
      </c>
      <c r="D148" s="22">
        <v>3</v>
      </c>
      <c r="E148" s="15" t="s">
        <v>222</v>
      </c>
      <c r="F148" s="23" t="str">
        <f>IF($B148="","",IFERROR(INDEX(ProdNome,MATCH($B148,ProdCod,0)),"Código não cadastrado"))</f>
        <v>Toner genérico preto</v>
      </c>
      <c r="G148" s="24">
        <f>IF(OR($B148="",$D148=""),"",$D148*IFERROR(INDEX(ProdCusto,MATCH($B148,ProdCod,0)),0))</f>
        <v>186</v>
      </c>
      <c r="H148" s="25" t="str">
        <f>IF($A148="","",IF(OR($B148="",$C148="",$D148=""),"Preencher tudo",IF($F148="Código não cadastrado","Código inválido","OK")))</f>
        <v>OK</v>
      </c>
    </row>
    <row r="149" spans="1:8">
      <c r="A149" s="16">
        <v>46221</v>
      </c>
      <c r="B149" s="15" t="s">
        <v>153</v>
      </c>
      <c r="C149" s="20" t="s">
        <v>177</v>
      </c>
      <c r="D149" s="22">
        <v>1</v>
      </c>
      <c r="E149" s="15" t="s">
        <v>178</v>
      </c>
      <c r="F149" s="23" t="str">
        <f>IF($B149="","",IFERROR(INDEX(ProdNome,MATCH($B149,ProdCod,0)),"Código não cadastrado"))</f>
        <v>Envelope A4 (pct 50)</v>
      </c>
      <c r="G149" s="24">
        <f>IF(OR($B149="",$D149=""),"",$D149*IFERROR(INDEX(ProdCusto,MATCH($B149,ProdCod,0)),0))</f>
        <v>14</v>
      </c>
      <c r="H149" s="25" t="str">
        <f>IF($A149="","",IF(OR($B149="",$C149="",$D149=""),"Preencher tudo",IF($F149="Código não cadastrado","Código inválido","OK")))</f>
        <v>OK</v>
      </c>
    </row>
    <row r="150" spans="1:8">
      <c r="A150" s="16">
        <v>46221</v>
      </c>
      <c r="B150" s="15" t="s">
        <v>153</v>
      </c>
      <c r="C150" s="20" t="s">
        <v>179</v>
      </c>
      <c r="D150" s="22">
        <v>3</v>
      </c>
      <c r="E150" s="15" t="s">
        <v>223</v>
      </c>
      <c r="F150" s="23" t="str">
        <f>IF($B150="","",IFERROR(INDEX(ProdNome,MATCH($B150,ProdCod,0)),"Código não cadastrado"))</f>
        <v>Envelope A4 (pct 50)</v>
      </c>
      <c r="G150" s="24">
        <f>IF(OR($B150="",$D150=""),"",$D150*IFERROR(INDEX(ProdCusto,MATCH($B150,ProdCod,0)),0))</f>
        <v>42</v>
      </c>
      <c r="H150" s="25" t="str">
        <f>IF($A150="","",IF(OR($B150="",$C150="",$D150=""),"Preencher tudo",IF($F150="Código não cadastrado","Código inválido","OK")))</f>
        <v>OK</v>
      </c>
    </row>
    <row r="151" spans="1:8">
      <c r="A151" s="16">
        <v>46221</v>
      </c>
      <c r="B151" s="15" t="s">
        <v>163</v>
      </c>
      <c r="C151" s="20" t="s">
        <v>177</v>
      </c>
      <c r="D151" s="22">
        <v>1</v>
      </c>
      <c r="E151" s="15" t="s">
        <v>178</v>
      </c>
      <c r="F151" s="23" t="str">
        <f>IF($B151="","",IFERROR(INDEX(ProdNome,MATCH($B151,ProdCod,0)),"Código não cadastrado"))</f>
        <v>Caixa organizadora</v>
      </c>
      <c r="G151" s="24">
        <f>IF(OR($B151="",$D151=""),"",$D151*IFERROR(INDEX(ProdCusto,MATCH($B151,ProdCod,0)),0))</f>
        <v>18</v>
      </c>
      <c r="H151" s="25" t="str">
        <f>IF($A151="","",IF(OR($B151="",$C151="",$D151=""),"Preencher tudo",IF($F151="Código não cadastrado","Código inválido","OK")))</f>
        <v>OK</v>
      </c>
    </row>
    <row r="152" spans="1:8">
      <c r="A152" s="16">
        <v>46222</v>
      </c>
      <c r="B152" s="15" t="s">
        <v>93</v>
      </c>
      <c r="C152" s="20" t="s">
        <v>177</v>
      </c>
      <c r="D152" s="22">
        <v>37</v>
      </c>
      <c r="E152" s="15" t="s">
        <v>178</v>
      </c>
      <c r="F152" s="23" t="str">
        <f>IF($B152="","",IFERROR(INDEX(ProdNome,MATCH($B152,ProdCod,0)),"Código não cadastrado"))</f>
        <v>Papel A4 75g (resma)</v>
      </c>
      <c r="G152" s="24">
        <f>IF(OR($B152="",$D152=""),"",$D152*IFERROR(INDEX(ProdCusto,MATCH($B152,ProdCod,0)),0))</f>
        <v>795.5</v>
      </c>
      <c r="H152" s="25" t="str">
        <f>IF($A152="","",IF(OR($B152="",$C152="",$D152=""),"Preencher tudo",IF($F152="Código não cadastrado","Código inválido","OK")))</f>
        <v>OK</v>
      </c>
    </row>
    <row r="153" spans="1:8">
      <c r="A153" s="16">
        <v>46222</v>
      </c>
      <c r="B153" s="15" t="s">
        <v>119</v>
      </c>
      <c r="C153" s="20" t="s">
        <v>177</v>
      </c>
      <c r="D153" s="22">
        <v>1</v>
      </c>
      <c r="E153" s="15" t="s">
        <v>178</v>
      </c>
      <c r="F153" s="23" t="str">
        <f>IF($B153="","",IFERROR(INDEX(ProdNome,MATCH($B153,ProdCod,0)),"Código não cadastrado"))</f>
        <v>Plástico bolha (rolo 50m)</v>
      </c>
      <c r="G153" s="24">
        <f>IF(OR($B153="",$D153=""),"",$D153*IFERROR(INDEX(ProdCusto,MATCH($B153,ProdCod,0)),0))</f>
        <v>32</v>
      </c>
      <c r="H153" s="25" t="str">
        <f>IF($A153="","",IF(OR($B153="",$C153="",$D153=""),"Preencher tudo",IF($F153="Código não cadastrado","Código inválido","OK")))</f>
        <v>OK</v>
      </c>
    </row>
    <row r="154" spans="1:8">
      <c r="A154" s="16">
        <v>46222</v>
      </c>
      <c r="B154" s="15" t="s">
        <v>129</v>
      </c>
      <c r="C154" s="20" t="s">
        <v>177</v>
      </c>
      <c r="D154" s="22">
        <v>4</v>
      </c>
      <c r="E154" s="15" t="s">
        <v>178</v>
      </c>
      <c r="F154" s="23" t="str">
        <f>IF($B154="","",IFERROR(INDEX(ProdNome,MATCH($B154,ProdCod,0)),"Código não cadastrado"))</f>
        <v>Caneca branca para sublimação</v>
      </c>
      <c r="G154" s="24">
        <f>IF(OR($B154="",$D154=""),"",$D154*IFERROR(INDEX(ProdCusto,MATCH($B154,ProdCod,0)),0))</f>
        <v>16.8</v>
      </c>
      <c r="H154" s="25" t="str">
        <f>IF($A154="","",IF(OR($B154="",$C154="",$D154=""),"Preencher tudo",IF($F154="Código não cadastrado","Código inválido","OK")))</f>
        <v>OK</v>
      </c>
    </row>
    <row r="155" spans="1:8">
      <c r="A155" s="16">
        <v>46222</v>
      </c>
      <c r="B155" s="15" t="s">
        <v>135</v>
      </c>
      <c r="C155" s="20" t="s">
        <v>177</v>
      </c>
      <c r="D155" s="22">
        <v>2</v>
      </c>
      <c r="E155" s="15" t="s">
        <v>178</v>
      </c>
      <c r="F155" s="23" t="str">
        <f>IF($B155="","",IFERROR(INDEX(ProdNome,MATCH($B155,ProdCod,0)),"Código não cadastrado"))</f>
        <v>Marca-texto (cx 6)</v>
      </c>
      <c r="G155" s="24">
        <f>IF(OR($B155="",$D155=""),"",$D155*IFERROR(INDEX(ProdCusto,MATCH($B155,ProdCod,0)),0))</f>
        <v>19.6</v>
      </c>
      <c r="H155" s="25" t="str">
        <f>IF($A155="","",IF(OR($B155="",$C155="",$D155=""),"Preencher tudo",IF($F155="Código não cadastrado","Código inválido","OK")))</f>
        <v>OK</v>
      </c>
    </row>
    <row r="156" spans="1:8">
      <c r="A156" s="16">
        <v>46222</v>
      </c>
      <c r="B156" s="15" t="s">
        <v>137</v>
      </c>
      <c r="C156" s="20" t="s">
        <v>177</v>
      </c>
      <c r="D156" s="22">
        <v>5</v>
      </c>
      <c r="E156" s="15" t="s">
        <v>178</v>
      </c>
      <c r="F156" s="23" t="str">
        <f>IF($B156="","",IFERROR(INDEX(ProdNome,MATCH($B156,ProdCod,0)),"Código não cadastrado"))</f>
        <v>Bloco de notas adesivas</v>
      </c>
      <c r="G156" s="24">
        <f>IF(OR($B156="",$D156=""),"",$D156*IFERROR(INDEX(ProdCusto,MATCH($B156,ProdCod,0)),0))</f>
        <v>17</v>
      </c>
      <c r="H156" s="25" t="str">
        <f>IF($A156="","",IF(OR($B156="",$C156="",$D156=""),"Preencher tudo",IF($F156="Código não cadastrado","Código inválido","OK")))</f>
        <v>OK</v>
      </c>
    </row>
    <row r="157" spans="1:8">
      <c r="A157" s="16">
        <v>46222</v>
      </c>
      <c r="B157" s="15" t="s">
        <v>157</v>
      </c>
      <c r="C157" s="20" t="s">
        <v>177</v>
      </c>
      <c r="D157" s="22">
        <v>1</v>
      </c>
      <c r="E157" s="15" t="s">
        <v>178</v>
      </c>
      <c r="F157" s="23" t="str">
        <f>IF($B157="","",IFERROR(INDEX(ProdNome,MATCH($B157,ProdCod,0)),"Código não cadastrado"))</f>
        <v>Papel fotográfico A4 (pct 20)</v>
      </c>
      <c r="G157" s="24">
        <f>IF(OR($B157="",$D157=""),"",$D157*IFERROR(INDEX(ProdCusto,MATCH($B157,ProdCod,0)),0))</f>
        <v>12.5</v>
      </c>
      <c r="H157" s="25" t="str">
        <f>IF($A157="","",IF(OR($B157="",$C157="",$D157=""),"Preencher tudo",IF($F157="Código não cadastrado","Código inválido","OK")))</f>
        <v>OK</v>
      </c>
    </row>
    <row r="158" spans="1:8">
      <c r="A158" s="16">
        <v>46223</v>
      </c>
      <c r="B158" s="15" t="s">
        <v>125</v>
      </c>
      <c r="C158" s="20" t="s">
        <v>177</v>
      </c>
      <c r="D158" s="22">
        <v>5</v>
      </c>
      <c r="E158" s="15" t="s">
        <v>178</v>
      </c>
      <c r="F158" s="23" t="str">
        <f>IF($B158="","",IFERROR(INDEX(ProdNome,MATCH($B158,ProdCod,0)),"Código não cadastrado"))</f>
        <v>Papel toalha (pct 2)</v>
      </c>
      <c r="G158" s="24">
        <f>IF(OR($B158="",$D158=""),"",$D158*IFERROR(INDEX(ProdCusto,MATCH($B158,ProdCod,0)),0))</f>
        <v>29.5</v>
      </c>
      <c r="H158" s="25" t="str">
        <f>IF($A158="","",IF(OR($B158="",$C158="",$D158=""),"Preencher tudo",IF($F158="Código não cadastrado","Código inválido","OK")))</f>
        <v>OK</v>
      </c>
    </row>
    <row r="159" spans="1:8">
      <c r="A159" s="16">
        <v>46223</v>
      </c>
      <c r="B159" s="15" t="s">
        <v>131</v>
      </c>
      <c r="C159" s="20" t="s">
        <v>177</v>
      </c>
      <c r="D159" s="22">
        <v>2</v>
      </c>
      <c r="E159" s="15" t="s">
        <v>178</v>
      </c>
      <c r="F159" s="23" t="str">
        <f>IF($B159="","",IFERROR(INDEX(ProdNome,MATCH($B159,ProdCod,0)),"Código não cadastrado"))</f>
        <v>Garrafa squeeze 600ml</v>
      </c>
      <c r="G159" s="24">
        <f>IF(OR($B159="",$D159=""),"",$D159*IFERROR(INDEX(ProdCusto,MATCH($B159,ProdCod,0)),0))</f>
        <v>19.8</v>
      </c>
      <c r="H159" s="25" t="str">
        <f>IF($A159="","",IF(OR($B159="",$C159="",$D159=""),"Preencher tudo",IF($F159="Código não cadastrado","Código inválido","OK")))</f>
        <v>OK</v>
      </c>
    </row>
    <row r="160" spans="1:8">
      <c r="A160" s="16">
        <v>46223</v>
      </c>
      <c r="B160" s="15" t="s">
        <v>147</v>
      </c>
      <c r="C160" s="20" t="s">
        <v>177</v>
      </c>
      <c r="D160" s="22">
        <v>1</v>
      </c>
      <c r="E160" s="15" t="s">
        <v>178</v>
      </c>
      <c r="F160" s="23" t="str">
        <f>IF($B160="","",IFERROR(INDEX(ProdNome,MATCH($B160,ProdCod,0)),"Código não cadastrado"))</f>
        <v>Toner genérico preto</v>
      </c>
      <c r="G160" s="24">
        <f>IF(OR($B160="",$D160=""),"",$D160*IFERROR(INDEX(ProdCusto,MATCH($B160,ProdCod,0)),0))</f>
        <v>62</v>
      </c>
      <c r="H160" s="25" t="str">
        <f>IF($A160="","",IF(OR($B160="",$C160="",$D160=""),"Preencher tudo",IF($F160="Código não cadastrado","Código inválido","OK")))</f>
        <v>OK</v>
      </c>
    </row>
    <row r="161" spans="1:8">
      <c r="A161" s="16">
        <v>46223</v>
      </c>
      <c r="B161" s="15" t="s">
        <v>155</v>
      </c>
      <c r="C161" s="20" t="s">
        <v>177</v>
      </c>
      <c r="D161" s="22">
        <v>2</v>
      </c>
      <c r="E161" s="15" t="s">
        <v>178</v>
      </c>
      <c r="F161" s="23" t="str">
        <f>IF($B161="","",IFERROR(INDEX(ProdNome,MATCH($B161,ProdCod,0)),"Código não cadastrado"))</f>
        <v>Tinta guache (kit 6)</v>
      </c>
      <c r="G161" s="24">
        <f>IF(OR($B161="",$D161=""),"",$D161*IFERROR(INDEX(ProdCusto,MATCH($B161,ProdCod,0)),0))</f>
        <v>17.4</v>
      </c>
      <c r="H161" s="25" t="str">
        <f>IF($A161="","",IF(OR($B161="",$C161="",$D161=""),"Preencher tudo",IF($F161="Código não cadastrado","Código inválido","OK")))</f>
        <v>OK</v>
      </c>
    </row>
    <row r="162" spans="1:8">
      <c r="A162" s="16">
        <v>46223</v>
      </c>
      <c r="B162" s="15" t="s">
        <v>167</v>
      </c>
      <c r="C162" s="20" t="s">
        <v>177</v>
      </c>
      <c r="D162" s="22">
        <v>1</v>
      </c>
      <c r="E162" s="15" t="s">
        <v>178</v>
      </c>
      <c r="F162" s="23" t="str">
        <f>IF($B162="","",IFERROR(INDEX(ProdNome,MATCH($B162,ProdCod,0)),"Código não cadastrado"))</f>
        <v>Porta-retrato 10x15</v>
      </c>
      <c r="G162" s="24">
        <f>IF(OR($B162="",$D162=""),"",$D162*IFERROR(INDEX(ProdCusto,MATCH($B162,ProdCod,0)),0))</f>
        <v>6.2</v>
      </c>
      <c r="H162" s="25" t="str">
        <f>IF($A162="","",IF(OR($B162="",$C162="",$D162=""),"Preencher tudo",IF($F162="Código não cadastrado","Código inválido","OK")))</f>
        <v>OK</v>
      </c>
    </row>
    <row r="163" spans="1:8">
      <c r="A163" s="16">
        <v>46225</v>
      </c>
      <c r="B163" s="15" t="s">
        <v>91</v>
      </c>
      <c r="C163" s="20" t="s">
        <v>177</v>
      </c>
      <c r="D163" s="22">
        <v>12</v>
      </c>
      <c r="E163" s="15" t="s">
        <v>178</v>
      </c>
      <c r="F163" s="23" t="str">
        <f>IF($B163="","",IFERROR(INDEX(ProdNome,MATCH($B163,ProdCod,0)),"Código não cadastrado"))</f>
        <v>Caneta esferográfica azul (cx 50)</v>
      </c>
      <c r="G163" s="24">
        <f>IF(OR($B163="",$D163=""),"",$D163*IFERROR(INDEX(ProdCusto,MATCH($B163,ProdCod,0)),0))</f>
        <v>264</v>
      </c>
      <c r="H163" s="25" t="str">
        <f>IF($A163="","",IF(OR($B163="",$C163="",$D163=""),"Preencher tudo",IF($F163="Código não cadastrado","Código inválido","OK")))</f>
        <v>OK</v>
      </c>
    </row>
    <row r="164" spans="1:8">
      <c r="A164" s="16">
        <v>46225</v>
      </c>
      <c r="B164" s="15" t="s">
        <v>95</v>
      </c>
      <c r="C164" s="20" t="s">
        <v>177</v>
      </c>
      <c r="D164" s="22">
        <v>1</v>
      </c>
      <c r="E164" s="15" t="s">
        <v>178</v>
      </c>
      <c r="F164" s="23" t="str">
        <f>IF($B164="","",IFERROR(INDEX(ProdNome,MATCH($B164,ProdCod,0)),"Código não cadastrado"))</f>
        <v>Pasta suspensa (pct 25)</v>
      </c>
      <c r="G164" s="24">
        <f>IF(OR($B164="",$D164=""),"",$D164*IFERROR(INDEX(ProdCusto,MATCH($B164,ProdCod,0)),0))</f>
        <v>28</v>
      </c>
      <c r="H164" s="25" t="str">
        <f>IF($A164="","",IF(OR($B164="",$C164="",$D164=""),"Preencher tudo",IF($F164="Código não cadastrado","Código inválido","OK")))</f>
        <v>OK</v>
      </c>
    </row>
    <row r="165" spans="1:8">
      <c r="A165" s="16">
        <v>46225</v>
      </c>
      <c r="B165" s="15" t="s">
        <v>103</v>
      </c>
      <c r="C165" s="20" t="s">
        <v>177</v>
      </c>
      <c r="D165" s="22">
        <v>10</v>
      </c>
      <c r="E165" s="15" t="s">
        <v>178</v>
      </c>
      <c r="F165" s="23" t="str">
        <f>IF($B165="","",IFERROR(INDEX(ProdNome,MATCH($B165,ProdCod,0)),"Código não cadastrado"))</f>
        <v>Cabo USB-C 1m</v>
      </c>
      <c r="G165" s="24">
        <f>IF(OR($B165="",$D165=""),"",$D165*IFERROR(INDEX(ProdCusto,MATCH($B165,ProdCod,0)),0))</f>
        <v>65</v>
      </c>
      <c r="H165" s="25" t="str">
        <f>IF($A165="","",IF(OR($B165="",$C165="",$D165=""),"Preencher tudo",IF($F165="Código não cadastrado","Código inválido","OK")))</f>
        <v>OK</v>
      </c>
    </row>
    <row r="166" spans="1:8">
      <c r="A166" s="16">
        <v>46225</v>
      </c>
      <c r="B166" s="15" t="s">
        <v>137</v>
      </c>
      <c r="C166" s="20" t="s">
        <v>177</v>
      </c>
      <c r="D166" s="22">
        <v>6</v>
      </c>
      <c r="E166" s="15" t="s">
        <v>178</v>
      </c>
      <c r="F166" s="23" t="str">
        <f>IF($B166="","",IFERROR(INDEX(ProdNome,MATCH($B166,ProdCod,0)),"Código não cadastrado"))</f>
        <v>Bloco de notas adesivas</v>
      </c>
      <c r="G166" s="24">
        <f>IF(OR($B166="",$D166=""),"",$D166*IFERROR(INDEX(ProdCusto,MATCH($B166,ProdCod,0)),0))</f>
        <v>20.4</v>
      </c>
      <c r="H166" s="25" t="str">
        <f>IF($A166="","",IF(OR($B166="",$C166="",$D166=""),"Preencher tudo",IF($F166="Código não cadastrado","Código inválido","OK")))</f>
        <v>OK</v>
      </c>
    </row>
    <row r="167" spans="1:8">
      <c r="A167" s="16">
        <v>46225</v>
      </c>
      <c r="B167" s="15" t="s">
        <v>149</v>
      </c>
      <c r="C167" s="20" t="s">
        <v>177</v>
      </c>
      <c r="D167" s="22">
        <v>2</v>
      </c>
      <c r="E167" s="15" t="s">
        <v>178</v>
      </c>
      <c r="F167" s="23" t="str">
        <f>IF($B167="","",IFERROR(INDEX(ProdNome,MATCH($B167,ProdCod,0)),"Código não cadastrado"))</f>
        <v>Mouse pad</v>
      </c>
      <c r="G167" s="24">
        <f>IF(OR($B167="",$D167=""),"",$D167*IFERROR(INDEX(ProdCusto,MATCH($B167,ProdCod,0)),0))</f>
        <v>9.8</v>
      </c>
      <c r="H167" s="25" t="str">
        <f>IF($A167="","",IF(OR($B167="",$C167="",$D167=""),"Preencher tudo",IF($F167="Código não cadastrado","Código inválido","OK")))</f>
        <v>OK</v>
      </c>
    </row>
    <row r="168" spans="1:8">
      <c r="A168" s="16">
        <v>46225</v>
      </c>
      <c r="B168" s="15" t="s">
        <v>163</v>
      </c>
      <c r="C168" s="20" t="s">
        <v>177</v>
      </c>
      <c r="D168" s="22">
        <v>1</v>
      </c>
      <c r="E168" s="15" t="s">
        <v>178</v>
      </c>
      <c r="F168" s="23" t="str">
        <f>IF($B168="","",IFERROR(INDEX(ProdNome,MATCH($B168,ProdCod,0)),"Código não cadastrado"))</f>
        <v>Caixa organizadora</v>
      </c>
      <c r="G168" s="24">
        <f>IF(OR($B168="",$D168=""),"",$D168*IFERROR(INDEX(ProdCusto,MATCH($B168,ProdCod,0)),0))</f>
        <v>18</v>
      </c>
      <c r="H168" s="25" t="str">
        <f>IF($A168="","",IF(OR($B168="",$C168="",$D168=""),"Preencher tudo",IF($F168="Código não cadastrado","Código inválido","OK")))</f>
        <v>OK</v>
      </c>
    </row>
    <row r="169" spans="1:8">
      <c r="A169" s="16">
        <v>46225</v>
      </c>
      <c r="B169" s="15" t="s">
        <v>167</v>
      </c>
      <c r="C169" s="20" t="s">
        <v>177</v>
      </c>
      <c r="D169" s="22">
        <v>1</v>
      </c>
      <c r="E169" s="15" t="s">
        <v>178</v>
      </c>
      <c r="F169" s="23" t="str">
        <f>IF($B169="","",IFERROR(INDEX(ProdNome,MATCH($B169,ProdCod,0)),"Código não cadastrado"))</f>
        <v>Porta-retrato 10x15</v>
      </c>
      <c r="G169" s="24">
        <f>IF(OR($B169="",$D169=""),"",$D169*IFERROR(INDEX(ProdCusto,MATCH($B169,ProdCod,0)),0))</f>
        <v>6.2</v>
      </c>
      <c r="H169" s="25" t="str">
        <f>IF($A169="","",IF(OR($B169="",$C169="",$D169=""),"Preencher tudo",IF($F169="Código não cadastrado","Código inválido","OK")))</f>
        <v>OK</v>
      </c>
    </row>
    <row r="170" spans="1:8">
      <c r="A170" s="16">
        <v>46226</v>
      </c>
      <c r="B170" s="15" t="s">
        <v>91</v>
      </c>
      <c r="C170" s="20" t="s">
        <v>179</v>
      </c>
      <c r="D170" s="22">
        <v>19</v>
      </c>
      <c r="E170" s="15" t="s">
        <v>224</v>
      </c>
      <c r="F170" s="23" t="str">
        <f>IF($B170="","",IFERROR(INDEX(ProdNome,MATCH($B170,ProdCod,0)),"Código não cadastrado"))</f>
        <v>Caneta esferográfica azul (cx 50)</v>
      </c>
      <c r="G170" s="24">
        <f>IF(OR($B170="",$D170=""),"",$D170*IFERROR(INDEX(ProdCusto,MATCH($B170,ProdCod,0)),0))</f>
        <v>418</v>
      </c>
      <c r="H170" s="25" t="str">
        <f>IF($A170="","",IF(OR($B170="",$C170="",$D170=""),"Preencher tudo",IF($F170="Código não cadastrado","Código inválido","OK")))</f>
        <v>OK</v>
      </c>
    </row>
    <row r="171" spans="1:8">
      <c r="A171" s="16">
        <v>46226</v>
      </c>
      <c r="B171" s="15" t="s">
        <v>97</v>
      </c>
      <c r="C171" s="20" t="s">
        <v>177</v>
      </c>
      <c r="D171" s="22">
        <v>1</v>
      </c>
      <c r="E171" s="15" t="s">
        <v>178</v>
      </c>
      <c r="F171" s="23" t="str">
        <f>IF($B171="","",IFERROR(INDEX(ProdNome,MATCH($B171,ProdCod,0)),"Código não cadastrado"))</f>
        <v>Grampeador médio</v>
      </c>
      <c r="G171" s="24">
        <f>IF(OR($B171="",$D171=""),"",$D171*IFERROR(INDEX(ProdCusto,MATCH($B171,ProdCod,0)),0))</f>
        <v>14</v>
      </c>
      <c r="H171" s="25" t="str">
        <f>IF($A171="","",IF(OR($B171="",$C171="",$D171=""),"Preencher tudo",IF($F171="Código não cadastrado","Código inválido","OK")))</f>
        <v>OK</v>
      </c>
    </row>
    <row r="172" spans="1:8">
      <c r="A172" s="16">
        <v>46226</v>
      </c>
      <c r="B172" s="15" t="s">
        <v>99</v>
      </c>
      <c r="C172" s="20" t="s">
        <v>177</v>
      </c>
      <c r="D172" s="22">
        <v>2</v>
      </c>
      <c r="E172" s="15" t="s">
        <v>178</v>
      </c>
      <c r="F172" s="23" t="str">
        <f>IF($B172="","",IFERROR(INDEX(ProdNome,MATCH($B172,ProdCod,0)),"Código não cadastrado"))</f>
        <v>Mouse óptico USB</v>
      </c>
      <c r="G172" s="24">
        <f>IF(OR($B172="",$D172=""),"",$D172*IFERROR(INDEX(ProdCusto,MATCH($B172,ProdCod,0)),0))</f>
        <v>22</v>
      </c>
      <c r="H172" s="25" t="str">
        <f>IF($A172="","",IF(OR($B172="",$C172="",$D172=""),"Preencher tudo",IF($F172="Código não cadastrado","Código inválido","OK")))</f>
        <v>OK</v>
      </c>
    </row>
    <row r="173" spans="1:8">
      <c r="A173" s="16">
        <v>46226</v>
      </c>
      <c r="B173" s="15" t="s">
        <v>105</v>
      </c>
      <c r="C173" s="20" t="s">
        <v>179</v>
      </c>
      <c r="D173" s="22">
        <v>9</v>
      </c>
      <c r="E173" s="15" t="s">
        <v>225</v>
      </c>
      <c r="F173" s="23" t="str">
        <f>IF($B173="","",IFERROR(INDEX(ProdNome,MATCH($B173,ProdCod,0)),"Código não cadastrado"))</f>
        <v>Mochila escolar 20L</v>
      </c>
      <c r="G173" s="24">
        <f>IF(OR($B173="",$D173=""),"",$D173*IFERROR(INDEX(ProdCusto,MATCH($B173,ProdCod,0)),0))</f>
        <v>414</v>
      </c>
      <c r="H173" s="25" t="str">
        <f>IF($A173="","",IF(OR($B173="",$C173="",$D173=""),"Preencher tudo",IF($F173="Código não cadastrado","Código inválido","OK")))</f>
        <v>OK</v>
      </c>
    </row>
    <row r="174" spans="1:8">
      <c r="A174" s="16">
        <v>46226</v>
      </c>
      <c r="B174" s="15" t="s">
        <v>109</v>
      </c>
      <c r="C174" s="20" t="s">
        <v>177</v>
      </c>
      <c r="D174" s="22">
        <v>3</v>
      </c>
      <c r="E174" s="15" t="s">
        <v>178</v>
      </c>
      <c r="F174" s="23" t="str">
        <f>IF($B174="","",IFERROR(INDEX(ProdNome,MATCH($B174,ProdCod,0)),"Código não cadastrado"))</f>
        <v>Lápis de cor (cx 24)</v>
      </c>
      <c r="G174" s="24">
        <f>IF(OR($B174="",$D174=""),"",$D174*IFERROR(INDEX(ProdCusto,MATCH($B174,ProdCod,0)),0))</f>
        <v>23.7</v>
      </c>
      <c r="H174" s="25" t="str">
        <f>IF($A174="","",IF(OR($B174="",$C174="",$D174=""),"Preencher tudo",IF($F174="Código não cadastrado","Código inválido","OK")))</f>
        <v>OK</v>
      </c>
    </row>
    <row r="175" spans="1:8">
      <c r="A175" s="16">
        <v>46226</v>
      </c>
      <c r="B175" s="15" t="s">
        <v>109</v>
      </c>
      <c r="C175" s="20" t="s">
        <v>179</v>
      </c>
      <c r="D175" s="22">
        <v>7</v>
      </c>
      <c r="E175" s="15" t="s">
        <v>226</v>
      </c>
      <c r="F175" s="23" t="str">
        <f>IF($B175="","",IFERROR(INDEX(ProdNome,MATCH($B175,ProdCod,0)),"Código não cadastrado"))</f>
        <v>Lápis de cor (cx 24)</v>
      </c>
      <c r="G175" s="24">
        <f>IF(OR($B175="",$D175=""),"",$D175*IFERROR(INDEX(ProdCusto,MATCH($B175,ProdCod,0)),0))</f>
        <v>55.3</v>
      </c>
      <c r="H175" s="25" t="str">
        <f>IF($A175="","",IF(OR($B175="",$C175="",$D175=""),"Preencher tudo",IF($F175="Código não cadastrado","Código inválido","OK")))</f>
        <v>OK</v>
      </c>
    </row>
    <row r="176" spans="1:8">
      <c r="A176" s="16">
        <v>46226</v>
      </c>
      <c r="B176" s="15" t="s">
        <v>115</v>
      </c>
      <c r="C176" s="20" t="s">
        <v>177</v>
      </c>
      <c r="D176" s="22">
        <v>14</v>
      </c>
      <c r="E176" s="15" t="s">
        <v>178</v>
      </c>
      <c r="F176" s="23" t="str">
        <f>IF($B176="","",IFERROR(INDEX(ProdNome,MATCH($B176,ProdCod,0)),"Código não cadastrado"))</f>
        <v>Fita adesiva transparente</v>
      </c>
      <c r="G176" s="24">
        <f>IF(OR($B176="",$D176=""),"",$D176*IFERROR(INDEX(ProdCusto,MATCH($B176,ProdCod,0)),0))</f>
        <v>22.4</v>
      </c>
      <c r="H176" s="25" t="str">
        <f>IF($A176="","",IF(OR($B176="",$C176="",$D176=""),"Preencher tudo",IF($F176="Código não cadastrado","Código inválido","OK")))</f>
        <v>OK</v>
      </c>
    </row>
    <row r="177" spans="1:8">
      <c r="A177" s="16">
        <v>46226</v>
      </c>
      <c r="B177" s="15" t="s">
        <v>115</v>
      </c>
      <c r="C177" s="20" t="s">
        <v>179</v>
      </c>
      <c r="D177" s="22">
        <v>22</v>
      </c>
      <c r="E177" s="15" t="s">
        <v>227</v>
      </c>
      <c r="F177" s="23" t="str">
        <f>IF($B177="","",IFERROR(INDEX(ProdNome,MATCH($B177,ProdCod,0)),"Código não cadastrado"))</f>
        <v>Fita adesiva transparente</v>
      </c>
      <c r="G177" s="24">
        <f>IF(OR($B177="",$D177=""),"",$D177*IFERROR(INDEX(ProdCusto,MATCH($B177,ProdCod,0)),0))</f>
        <v>35.2</v>
      </c>
      <c r="H177" s="25" t="str">
        <f>IF($A177="","",IF(OR($B177="",$C177="",$D177=""),"Preencher tudo",IF($F177="Código não cadastrado","Código inválido","OK")))</f>
        <v>OK</v>
      </c>
    </row>
    <row r="178" spans="1:8">
      <c r="A178" s="16">
        <v>46226</v>
      </c>
      <c r="B178" s="15" t="s">
        <v>117</v>
      </c>
      <c r="C178" s="20" t="s">
        <v>177</v>
      </c>
      <c r="D178" s="22">
        <v>1</v>
      </c>
      <c r="E178" s="15" t="s">
        <v>178</v>
      </c>
      <c r="F178" s="23" t="str">
        <f>IF($B178="","",IFERROR(INDEX(ProdNome,MATCH($B178,ProdCod,0)),"Código não cadastrado"))</f>
        <v>Caixa de papelão M (pct 10)</v>
      </c>
      <c r="G178" s="24">
        <f>IF(OR($B178="",$D178=""),"",$D178*IFERROR(INDEX(ProdCusto,MATCH($B178,ProdCod,0)),0))</f>
        <v>15</v>
      </c>
      <c r="H178" s="25" t="str">
        <f>IF($A178="","",IF(OR($B178="",$C178="",$D178=""),"Preencher tudo",IF($F178="Código não cadastrado","Código inválido","OK")))</f>
        <v>OK</v>
      </c>
    </row>
    <row r="179" spans="1:8">
      <c r="A179" s="16">
        <v>46226</v>
      </c>
      <c r="B179" s="15" t="s">
        <v>123</v>
      </c>
      <c r="C179" s="20" t="s">
        <v>179</v>
      </c>
      <c r="D179" s="22">
        <v>6</v>
      </c>
      <c r="E179" s="15" t="s">
        <v>228</v>
      </c>
      <c r="F179" s="23" t="str">
        <f>IF($B179="","",IFERROR(INDEX(ProdNome,MATCH($B179,ProdCod,0)),"Código não cadastrado"))</f>
        <v>Álcool 70% 1L</v>
      </c>
      <c r="G179" s="24">
        <f>IF(OR($B179="",$D179=""),"",$D179*IFERROR(INDEX(ProdCusto,MATCH($B179,ProdCod,0)),0))</f>
        <v>37.2</v>
      </c>
      <c r="H179" s="25" t="str">
        <f>IF($A179="","",IF(OR($B179="",$C179="",$D179=""),"Preencher tudo",IF($F179="Código não cadastrado","Código inválido","OK")))</f>
        <v>OK</v>
      </c>
    </row>
    <row r="180" spans="1:8">
      <c r="A180" s="16">
        <v>46226</v>
      </c>
      <c r="B180" s="15" t="s">
        <v>135</v>
      </c>
      <c r="C180" s="20" t="s">
        <v>179</v>
      </c>
      <c r="D180" s="22">
        <v>3</v>
      </c>
      <c r="E180" s="15" t="s">
        <v>229</v>
      </c>
      <c r="F180" s="23" t="str">
        <f>IF($B180="","",IFERROR(INDEX(ProdNome,MATCH($B180,ProdCod,0)),"Código não cadastrado"))</f>
        <v>Marca-texto (cx 6)</v>
      </c>
      <c r="G180" s="24">
        <f>IF(OR($B180="",$D180=""),"",$D180*IFERROR(INDEX(ProdCusto,MATCH($B180,ProdCod,0)),0))</f>
        <v>29.4</v>
      </c>
      <c r="H180" s="25" t="str">
        <f>IF($A180="","",IF(OR($B180="",$C180="",$D180=""),"Preencher tudo",IF($F180="Código não cadastrado","Código inválido","OK")))</f>
        <v>OK</v>
      </c>
    </row>
    <row r="181" spans="1:8">
      <c r="A181" s="16">
        <v>46226</v>
      </c>
      <c r="B181" s="15" t="s">
        <v>155</v>
      </c>
      <c r="C181" s="20" t="s">
        <v>177</v>
      </c>
      <c r="D181" s="22">
        <v>3</v>
      </c>
      <c r="E181" s="15" t="s">
        <v>178</v>
      </c>
      <c r="F181" s="23" t="str">
        <f>IF($B181="","",IFERROR(INDEX(ProdNome,MATCH($B181,ProdCod,0)),"Código não cadastrado"))</f>
        <v>Tinta guache (kit 6)</v>
      </c>
      <c r="G181" s="24">
        <f>IF(OR($B181="",$D181=""),"",$D181*IFERROR(INDEX(ProdCusto,MATCH($B181,ProdCod,0)),0))</f>
        <v>26.1</v>
      </c>
      <c r="H181" s="25" t="str">
        <f>IF($A181="","",IF(OR($B181="",$C181="",$D181=""),"Preencher tudo",IF($F181="Código não cadastrado","Código inválido","OK")))</f>
        <v>OK</v>
      </c>
    </row>
    <row r="182" spans="1:8">
      <c r="A182" s="16">
        <v>46227</v>
      </c>
      <c r="B182" s="15" t="s">
        <v>89</v>
      </c>
      <c r="C182" s="20" t="s">
        <v>177</v>
      </c>
      <c r="D182" s="22">
        <v>41</v>
      </c>
      <c r="E182" s="15" t="s">
        <v>178</v>
      </c>
      <c r="F182" s="23" t="str">
        <f>IF($B182="","",IFERROR(INDEX(ProdNome,MATCH($B182,ProdCod,0)),"Código não cadastrado"))</f>
        <v>Caderno universitário 10 matérias</v>
      </c>
      <c r="G182" s="24">
        <f>IF(OR($B182="",$D182=""),"",$D182*IFERROR(INDEX(ProdCusto,MATCH($B182,ProdCod,0)),0))</f>
        <v>389.5</v>
      </c>
      <c r="H182" s="25" t="str">
        <f>IF($A182="","",IF(OR($B182="",$C182="",$D182=""),"Preencher tudo",IF($F182="Código não cadastrado","Código inválido","OK")))</f>
        <v>OK</v>
      </c>
    </row>
    <row r="183" spans="1:8">
      <c r="A183" s="16">
        <v>46227</v>
      </c>
      <c r="B183" s="15" t="s">
        <v>99</v>
      </c>
      <c r="C183" s="20" t="s">
        <v>179</v>
      </c>
      <c r="D183" s="22">
        <v>4</v>
      </c>
      <c r="E183" s="15" t="s">
        <v>211</v>
      </c>
      <c r="F183" s="23" t="str">
        <f>IF($B183="","",IFERROR(INDEX(ProdNome,MATCH($B183,ProdCod,0)),"Código não cadastrado"))</f>
        <v>Mouse óptico USB</v>
      </c>
      <c r="G183" s="24">
        <f>IF(OR($B183="",$D183=""),"",$D183*IFERROR(INDEX(ProdCusto,MATCH($B183,ProdCod,0)),0))</f>
        <v>44</v>
      </c>
      <c r="H183" s="25" t="str">
        <f>IF($A183="","",IF(OR($B183="",$C183="",$D183=""),"Preencher tudo",IF($F183="Código não cadastrado","Código inválido","OK")))</f>
        <v>OK</v>
      </c>
    </row>
    <row r="184" spans="1:8">
      <c r="A184" s="16">
        <v>46227</v>
      </c>
      <c r="B184" s="15" t="s">
        <v>103</v>
      </c>
      <c r="C184" s="20" t="s">
        <v>179</v>
      </c>
      <c r="D184" s="22">
        <v>22</v>
      </c>
      <c r="E184" s="15" t="s">
        <v>230</v>
      </c>
      <c r="F184" s="23" t="str">
        <f>IF($B184="","",IFERROR(INDEX(ProdNome,MATCH($B184,ProdCod,0)),"Código não cadastrado"))</f>
        <v>Cabo USB-C 1m</v>
      </c>
      <c r="G184" s="24">
        <f>IF(OR($B184="",$D184=""),"",$D184*IFERROR(INDEX(ProdCusto,MATCH($B184,ProdCod,0)),0))</f>
        <v>143</v>
      </c>
      <c r="H184" s="25" t="str">
        <f>IF($A184="","",IF(OR($B184="",$C184="",$D184=""),"Preencher tudo",IF($F184="Código não cadastrado","Código inválido","OK")))</f>
        <v>OK</v>
      </c>
    </row>
    <row r="185" spans="1:8">
      <c r="A185" s="16">
        <v>46227</v>
      </c>
      <c r="B185" s="15" t="s">
        <v>107</v>
      </c>
      <c r="C185" s="20" t="s">
        <v>177</v>
      </c>
      <c r="D185" s="22">
        <v>2</v>
      </c>
      <c r="E185" s="15" t="s">
        <v>178</v>
      </c>
      <c r="F185" s="23" t="str">
        <f>IF($B185="","",IFERROR(INDEX(ProdNome,MATCH($B185,ProdCod,0)),"Código não cadastrado"))</f>
        <v>Estojo duplo</v>
      </c>
      <c r="G185" s="24">
        <f>IF(OR($B185="",$D185=""),"",$D185*IFERROR(INDEX(ProdCusto,MATCH($B185,ProdCod,0)),0))</f>
        <v>17</v>
      </c>
      <c r="H185" s="25" t="str">
        <f>IF($A185="","",IF(OR($B185="",$C185="",$D185=""),"Preencher tudo",IF($F185="Código não cadastrado","Código inválido","OK")))</f>
        <v>OK</v>
      </c>
    </row>
    <row r="186" spans="1:8">
      <c r="A186" s="16">
        <v>46227</v>
      </c>
      <c r="B186" s="15" t="s">
        <v>111</v>
      </c>
      <c r="C186" s="20" t="s">
        <v>179</v>
      </c>
      <c r="D186" s="22">
        <v>16</v>
      </c>
      <c r="E186" s="15" t="s">
        <v>231</v>
      </c>
      <c r="F186" s="23" t="str">
        <f>IF($B186="","",IFERROR(INDEX(ProdNome,MATCH($B186,ProdCod,0)),"Código não cadastrado"))</f>
        <v>Cola branca 90g</v>
      </c>
      <c r="G186" s="24">
        <f>IF(OR($B186="",$D186=""),"",$D186*IFERROR(INDEX(ProdCusto,MATCH($B186,ProdCod,0)),0))</f>
        <v>30.4</v>
      </c>
      <c r="H186" s="25" t="str">
        <f>IF($A186="","",IF(OR($B186="",$C186="",$D186=""),"Preencher tudo",IF($F186="Código não cadastrado","Código inválido","OK")))</f>
        <v>OK</v>
      </c>
    </row>
    <row r="187" spans="1:8">
      <c r="A187" s="16">
        <v>46227</v>
      </c>
      <c r="B187" s="15" t="s">
        <v>113</v>
      </c>
      <c r="C187" s="20" t="s">
        <v>177</v>
      </c>
      <c r="D187" s="22">
        <v>4</v>
      </c>
      <c r="E187" s="15" t="s">
        <v>178</v>
      </c>
      <c r="F187" s="23" t="str">
        <f>IF($B187="","",IFERROR(INDEX(ProdNome,MATCH($B187,ProdCod,0)),"Código não cadastrado"))</f>
        <v>Tesoura escolar</v>
      </c>
      <c r="G187" s="24">
        <f>IF(OR($B187="",$D187=""),"",$D187*IFERROR(INDEX(ProdCusto,MATCH($B187,ProdCod,0)),0))</f>
        <v>11.2</v>
      </c>
      <c r="H187" s="25" t="str">
        <f>IF($A187="","",IF(OR($B187="",$C187="",$D187=""),"Preencher tudo",IF($F187="Código não cadastrado","Código inválido","OK")))</f>
        <v>OK</v>
      </c>
    </row>
    <row r="188" spans="1:8">
      <c r="A188" s="16">
        <v>46227</v>
      </c>
      <c r="B188" s="15" t="s">
        <v>125</v>
      </c>
      <c r="C188" s="20" t="s">
        <v>179</v>
      </c>
      <c r="D188" s="22">
        <v>11</v>
      </c>
      <c r="E188" s="15" t="s">
        <v>232</v>
      </c>
      <c r="F188" s="23" t="str">
        <f>IF($B188="","",IFERROR(INDEX(ProdNome,MATCH($B188,ProdCod,0)),"Código não cadastrado"))</f>
        <v>Papel toalha (pct 2)</v>
      </c>
      <c r="G188" s="24">
        <f>IF(OR($B188="",$D188=""),"",$D188*IFERROR(INDEX(ProdCusto,MATCH($B188,ProdCod,0)),0))</f>
        <v>64.9</v>
      </c>
      <c r="H188" s="25" t="str">
        <f>IF($A188="","",IF(OR($B188="",$C188="",$D188=""),"Preencher tudo",IF($F188="Código não cadastrado","Código inválido","OK")))</f>
        <v>OK</v>
      </c>
    </row>
    <row r="189" spans="1:8">
      <c r="A189" s="16">
        <v>46227</v>
      </c>
      <c r="B189" s="15" t="s">
        <v>129</v>
      </c>
      <c r="C189" s="20" t="s">
        <v>177</v>
      </c>
      <c r="D189" s="22">
        <v>6</v>
      </c>
      <c r="E189" s="15" t="s">
        <v>178</v>
      </c>
      <c r="F189" s="23" t="str">
        <f>IF($B189="","",IFERROR(INDEX(ProdNome,MATCH($B189,ProdCod,0)),"Código não cadastrado"))</f>
        <v>Caneca branca para sublimação</v>
      </c>
      <c r="G189" s="24">
        <f>IF(OR($B189="",$D189=""),"",$D189*IFERROR(INDEX(ProdCusto,MATCH($B189,ProdCod,0)),0))</f>
        <v>25.2</v>
      </c>
      <c r="H189" s="25" t="str">
        <f>IF($A189="","",IF(OR($B189="",$C189="",$D189=""),"Preencher tudo",IF($F189="Código não cadastrado","Código inválido","OK")))</f>
        <v>OK</v>
      </c>
    </row>
    <row r="190" spans="1:8">
      <c r="A190" s="16">
        <v>46227</v>
      </c>
      <c r="B190" s="15" t="s">
        <v>129</v>
      </c>
      <c r="C190" s="20" t="s">
        <v>179</v>
      </c>
      <c r="D190" s="22">
        <v>6</v>
      </c>
      <c r="E190" s="15" t="s">
        <v>233</v>
      </c>
      <c r="F190" s="23" t="str">
        <f>IF($B190="","",IFERROR(INDEX(ProdNome,MATCH($B190,ProdCod,0)),"Código não cadastrado"))</f>
        <v>Caneca branca para sublimação</v>
      </c>
      <c r="G190" s="24">
        <f>IF(OR($B190="",$D190=""),"",$D190*IFERROR(INDEX(ProdCusto,MATCH($B190,ProdCod,0)),0))</f>
        <v>25.2</v>
      </c>
      <c r="H190" s="25" t="str">
        <f>IF($A190="","",IF(OR($B190="",$C190="",$D190=""),"Preencher tudo",IF($F190="Código não cadastrado","Código inválido","OK")))</f>
        <v>OK</v>
      </c>
    </row>
    <row r="191" spans="1:8">
      <c r="A191" s="16">
        <v>46227</v>
      </c>
      <c r="B191" s="15" t="s">
        <v>131</v>
      </c>
      <c r="C191" s="20" t="s">
        <v>179</v>
      </c>
      <c r="D191" s="22">
        <v>4</v>
      </c>
      <c r="E191" s="15" t="s">
        <v>234</v>
      </c>
      <c r="F191" s="23" t="str">
        <f>IF($B191="","",IFERROR(INDEX(ProdNome,MATCH($B191,ProdCod,0)),"Código não cadastrado"))</f>
        <v>Garrafa squeeze 600ml</v>
      </c>
      <c r="G191" s="24">
        <f>IF(OR($B191="",$D191=""),"",$D191*IFERROR(INDEX(ProdCusto,MATCH($B191,ProdCod,0)),0))</f>
        <v>39.6</v>
      </c>
      <c r="H191" s="25" t="str">
        <f>IF($A191="","",IF(OR($B191="",$C191="",$D191=""),"Preencher tudo",IF($F191="Código não cadastrado","Código inválido","OK")))</f>
        <v>OK</v>
      </c>
    </row>
    <row r="192" spans="1:8">
      <c r="A192" s="16">
        <v>46227</v>
      </c>
      <c r="B192" s="15" t="s">
        <v>133</v>
      </c>
      <c r="C192" s="20" t="s">
        <v>177</v>
      </c>
      <c r="D192" s="22">
        <v>1</v>
      </c>
      <c r="E192" s="15" t="s">
        <v>178</v>
      </c>
      <c r="F192" s="23" t="str">
        <f>IF($B192="","",IFERROR(INDEX(ProdNome,MATCH($B192,ProdCod,0)),"Código não cadastrado"))</f>
        <v>Agenda 2027</v>
      </c>
      <c r="G192" s="24">
        <f>IF(OR($B192="",$D192=""),"",$D192*IFERROR(INDEX(ProdCusto,MATCH($B192,ProdCod,0)),0))</f>
        <v>14</v>
      </c>
      <c r="H192" s="25" t="str">
        <f>IF($A192="","",IF(OR($B192="",$C192="",$D192=""),"Preencher tudo",IF($F192="Código não cadastrado","Código inválido","OK")))</f>
        <v>OK</v>
      </c>
    </row>
    <row r="193" spans="1:8">
      <c r="A193" s="16">
        <v>46227</v>
      </c>
      <c r="B193" s="15" t="s">
        <v>141</v>
      </c>
      <c r="C193" s="20" t="s">
        <v>177</v>
      </c>
      <c r="D193" s="22">
        <v>1</v>
      </c>
      <c r="E193" s="15" t="s">
        <v>178</v>
      </c>
      <c r="F193" s="23" t="str">
        <f>IF($B193="","",IFERROR(INDEX(ProdNome,MATCH($B193,ProdCod,0)),"Código não cadastrado"))</f>
        <v>Fichário argolado</v>
      </c>
      <c r="G193" s="24">
        <f>IF(OR($B193="",$D193=""),"",$D193*IFERROR(INDEX(ProdCusto,MATCH($B193,ProdCod,0)),0))</f>
        <v>21</v>
      </c>
      <c r="H193" s="25" t="str">
        <f>IF($A193="","",IF(OR($B193="",$C193="",$D193=""),"Preencher tudo",IF($F193="Código não cadastrado","Código inválido","OK")))</f>
        <v>OK</v>
      </c>
    </row>
    <row r="194" spans="1:8">
      <c r="A194" s="16">
        <v>46228</v>
      </c>
      <c r="B194" s="15" t="s">
        <v>89</v>
      </c>
      <c r="C194" s="20" t="s">
        <v>179</v>
      </c>
      <c r="D194" s="22">
        <v>41</v>
      </c>
      <c r="E194" s="15" t="s">
        <v>235</v>
      </c>
      <c r="F194" s="23" t="str">
        <f>IF($B194="","",IFERROR(INDEX(ProdNome,MATCH($B194,ProdCod,0)),"Código não cadastrado"))</f>
        <v>Caderno universitário 10 matérias</v>
      </c>
      <c r="G194" s="24">
        <f>IF(OR($B194="",$D194=""),"",$D194*IFERROR(INDEX(ProdCusto,MATCH($B194,ProdCod,0)),0))</f>
        <v>389.5</v>
      </c>
      <c r="H194" s="25" t="str">
        <f>IF($A194="","",IF(OR($B194="",$C194="",$D194=""),"Preencher tudo",IF($F194="Código não cadastrado","Código inválido","OK")))</f>
        <v>OK</v>
      </c>
    </row>
    <row r="195" spans="1:8">
      <c r="A195" s="16">
        <v>46228</v>
      </c>
      <c r="B195" s="15" t="s">
        <v>93</v>
      </c>
      <c r="C195" s="20" t="s">
        <v>177</v>
      </c>
      <c r="D195" s="22">
        <v>25</v>
      </c>
      <c r="E195" s="15" t="s">
        <v>178</v>
      </c>
      <c r="F195" s="23" t="str">
        <f>IF($B195="","",IFERROR(INDEX(ProdNome,MATCH($B195,ProdCod,0)),"Código não cadastrado"))</f>
        <v>Papel A4 75g (resma)</v>
      </c>
      <c r="G195" s="24">
        <f>IF(OR($B195="",$D195=""),"",$D195*IFERROR(INDEX(ProdCusto,MATCH($B195,ProdCod,0)),0))</f>
        <v>537.5</v>
      </c>
      <c r="H195" s="25" t="str">
        <f>IF($A195="","",IF(OR($B195="",$C195="",$D195=""),"Preencher tudo",IF($F195="Código não cadastrado","Código inválido","OK")))</f>
        <v>OK</v>
      </c>
    </row>
    <row r="196" spans="1:8">
      <c r="A196" s="16">
        <v>46228</v>
      </c>
      <c r="B196" s="15" t="s">
        <v>111</v>
      </c>
      <c r="C196" s="20" t="s">
        <v>177</v>
      </c>
      <c r="D196" s="22">
        <v>8</v>
      </c>
      <c r="E196" s="15" t="s">
        <v>178</v>
      </c>
      <c r="F196" s="23" t="str">
        <f>IF($B196="","",IFERROR(INDEX(ProdNome,MATCH($B196,ProdCod,0)),"Código não cadastrado"))</f>
        <v>Cola branca 90g</v>
      </c>
      <c r="G196" s="24">
        <f>IF(OR($B196="",$D196=""),"",$D196*IFERROR(INDEX(ProdCusto,MATCH($B196,ProdCod,0)),0))</f>
        <v>15.2</v>
      </c>
      <c r="H196" s="25" t="str">
        <f>IF($A196="","",IF(OR($B196="",$C196="",$D196=""),"Preencher tudo",IF($F196="Código não cadastrado","Código inválido","OK")))</f>
        <v>OK</v>
      </c>
    </row>
    <row r="197" spans="1:8">
      <c r="A197" s="16">
        <v>46228</v>
      </c>
      <c r="B197" s="15" t="s">
        <v>121</v>
      </c>
      <c r="C197" s="20" t="s">
        <v>177</v>
      </c>
      <c r="D197" s="22">
        <v>1</v>
      </c>
      <c r="E197" s="15" t="s">
        <v>178</v>
      </c>
      <c r="F197" s="23" t="str">
        <f>IF($B197="","",IFERROR(INDEX(ProdNome,MATCH($B197,ProdCod,0)),"Código não cadastrado"))</f>
        <v>Sacola kraft G (pct 50)</v>
      </c>
      <c r="G197" s="24">
        <f>IF(OR($B197="",$D197=""),"",$D197*IFERROR(INDEX(ProdCusto,MATCH($B197,ProdCod,0)),0))</f>
        <v>24</v>
      </c>
      <c r="H197" s="25" t="str">
        <f>IF($A197="","",IF(OR($B197="",$C197="",$D197=""),"Preencher tudo",IF($F197="Código não cadastrado","Código inválido","OK")))</f>
        <v>OK</v>
      </c>
    </row>
    <row r="198" spans="1:8">
      <c r="A198" s="16">
        <v>46228</v>
      </c>
      <c r="B198" s="15" t="s">
        <v>127</v>
      </c>
      <c r="C198" s="20" t="s">
        <v>179</v>
      </c>
      <c r="D198" s="22">
        <v>4</v>
      </c>
      <c r="E198" s="15" t="s">
        <v>236</v>
      </c>
      <c r="F198" s="23" t="str">
        <f>IF($B198="","",IFERROR(INDEX(ProdNome,MATCH($B198,ProdCod,0)),"Código não cadastrado"))</f>
        <v>Pilha AA (cartela 4)</v>
      </c>
      <c r="G198" s="24">
        <f>IF(OR($B198="",$D198=""),"",$D198*IFERROR(INDEX(ProdCusto,MATCH($B198,ProdCod,0)),0))</f>
        <v>30</v>
      </c>
      <c r="H198" s="25" t="str">
        <f>IF($A198="","",IF(OR($B198="",$C198="",$D198=""),"Preencher tudo",IF($F198="Código não cadastrado","Código inválido","OK")))</f>
        <v>OK</v>
      </c>
    </row>
    <row r="199" spans="1:8">
      <c r="A199" s="16">
        <v>46228</v>
      </c>
      <c r="B199" s="15" t="s">
        <v>131</v>
      </c>
      <c r="C199" s="20" t="s">
        <v>177</v>
      </c>
      <c r="D199" s="22">
        <v>2</v>
      </c>
      <c r="E199" s="15" t="s">
        <v>178</v>
      </c>
      <c r="F199" s="23" t="str">
        <f>IF($B199="","",IFERROR(INDEX(ProdNome,MATCH($B199,ProdCod,0)),"Código não cadastrado"))</f>
        <v>Garrafa squeeze 600ml</v>
      </c>
      <c r="G199" s="24">
        <f>IF(OR($B199="",$D199=""),"",$D199*IFERROR(INDEX(ProdCusto,MATCH($B199,ProdCod,0)),0))</f>
        <v>19.8</v>
      </c>
      <c r="H199" s="25" t="str">
        <f>IF($A199="","",IF(OR($B199="",$C199="",$D199=""),"Preencher tudo",IF($F199="Código não cadastrado","Código inválido","OK")))</f>
        <v>OK</v>
      </c>
    </row>
    <row r="200" spans="1:8">
      <c r="A200" s="16">
        <v>46228</v>
      </c>
      <c r="B200" s="15" t="s">
        <v>143</v>
      </c>
      <c r="C200" s="20" t="s">
        <v>177</v>
      </c>
      <c r="D200" s="22">
        <v>6</v>
      </c>
      <c r="E200" s="15" t="s">
        <v>178</v>
      </c>
      <c r="F200" s="23" t="str">
        <f>IF($B200="","",IFERROR(INDEX(ProdNome,MATCH($B200,ProdCod,0)),"Código não cadastrado"))</f>
        <v>Régua 30cm</v>
      </c>
      <c r="G200" s="24">
        <f>IF(OR($B200="",$D200=""),"",$D200*IFERROR(INDEX(ProdCusto,MATCH($B200,ProdCod,0)),0))</f>
        <v>5.4</v>
      </c>
      <c r="H200" s="25" t="str">
        <f>IF($A200="","",IF(OR($B200="",$C200="",$D200=""),"Preencher tudo",IF($F200="Código não cadastrado","Código inválido","OK")))</f>
        <v>OK</v>
      </c>
    </row>
    <row r="201" spans="1:8">
      <c r="A201" s="16">
        <v>46228</v>
      </c>
      <c r="B201" s="15" t="s">
        <v>143</v>
      </c>
      <c r="C201" s="20" t="s">
        <v>179</v>
      </c>
      <c r="D201" s="22">
        <v>11</v>
      </c>
      <c r="E201" s="15" t="s">
        <v>237</v>
      </c>
      <c r="F201" s="23" t="str">
        <f>IF($B201="","",IFERROR(INDEX(ProdNome,MATCH($B201,ProdCod,0)),"Código não cadastrado"))</f>
        <v>Régua 30cm</v>
      </c>
      <c r="G201" s="24">
        <f>IF(OR($B201="",$D201=""),"",$D201*IFERROR(INDEX(ProdCusto,MATCH($B201,ProdCod,0)),0))</f>
        <v>9.9</v>
      </c>
      <c r="H201" s="25" t="str">
        <f>IF($A201="","",IF(OR($B201="",$C201="",$D201=""),"Preencher tudo",IF($F201="Código não cadastrado","Código inválido","OK")))</f>
        <v>OK</v>
      </c>
    </row>
    <row r="202" spans="1:8">
      <c r="A202" s="16">
        <v>46228</v>
      </c>
      <c r="B202" s="15" t="s">
        <v>147</v>
      </c>
      <c r="C202" s="20" t="s">
        <v>177</v>
      </c>
      <c r="D202" s="22">
        <v>1</v>
      </c>
      <c r="E202" s="15" t="s">
        <v>178</v>
      </c>
      <c r="F202" s="23" t="str">
        <f>IF($B202="","",IFERROR(INDEX(ProdNome,MATCH($B202,ProdCod,0)),"Código não cadastrado"))</f>
        <v>Toner genérico preto</v>
      </c>
      <c r="G202" s="24">
        <f>IF(OR($B202="",$D202=""),"",$D202*IFERROR(INDEX(ProdCusto,MATCH($B202,ProdCod,0)),0))</f>
        <v>62</v>
      </c>
      <c r="H202" s="25" t="str">
        <f>IF($A202="","",IF(OR($B202="",$C202="",$D202=""),"Preencher tudo",IF($F202="Código não cadastrado","Código inválido","OK")))</f>
        <v>OK</v>
      </c>
    </row>
    <row r="203" spans="1:8">
      <c r="A203" s="16">
        <v>46228</v>
      </c>
      <c r="B203" s="15" t="s">
        <v>155</v>
      </c>
      <c r="C203" s="20" t="s">
        <v>179</v>
      </c>
      <c r="D203" s="22">
        <v>3</v>
      </c>
      <c r="E203" s="15" t="s">
        <v>238</v>
      </c>
      <c r="F203" s="23" t="str">
        <f>IF($B203="","",IFERROR(INDEX(ProdNome,MATCH($B203,ProdCod,0)),"Código não cadastrado"))</f>
        <v>Tinta guache (kit 6)</v>
      </c>
      <c r="G203" s="24">
        <f>IF(OR($B203="",$D203=""),"",$D203*IFERROR(INDEX(ProdCusto,MATCH($B203,ProdCod,0)),0))</f>
        <v>26.1</v>
      </c>
      <c r="H203" s="25" t="str">
        <f>IF($A203="","",IF(OR($B203="",$C203="",$D203=""),"Preencher tudo",IF($F203="Código não cadastrado","Código inválido","OK")))</f>
        <v>OK</v>
      </c>
    </row>
    <row r="204" spans="1:8">
      <c r="A204" s="16">
        <v>46228</v>
      </c>
      <c r="B204" s="15" t="s">
        <v>159</v>
      </c>
      <c r="C204" s="20" t="s">
        <v>177</v>
      </c>
      <c r="D204" s="22">
        <v>1</v>
      </c>
      <c r="E204" s="15" t="s">
        <v>178</v>
      </c>
      <c r="F204" s="23" t="str">
        <f>IF($B204="","",IFERROR(INDEX(ProdNome,MATCH($B204,ProdCod,0)),"Código não cadastrado"))</f>
        <v>Luva descartável (cx 100)</v>
      </c>
      <c r="G204" s="24">
        <f>IF(OR($B204="",$D204=""),"",$D204*IFERROR(INDEX(ProdCusto,MATCH($B204,ProdCod,0)),0))</f>
        <v>21</v>
      </c>
      <c r="H204" s="25" t="str">
        <f>IF($A204="","",IF(OR($B204="",$C204="",$D204=""),"Preencher tudo",IF($F204="Código não cadastrado","Código inválido","OK")))</f>
        <v>OK</v>
      </c>
    </row>
    <row r="205" spans="1:8">
      <c r="A205" s="16">
        <v>46229</v>
      </c>
      <c r="B205" s="15" t="s">
        <v>101</v>
      </c>
      <c r="C205" s="20" t="s">
        <v>177</v>
      </c>
      <c r="D205" s="22">
        <v>8</v>
      </c>
      <c r="E205" s="15" t="s">
        <v>178</v>
      </c>
      <c r="F205" s="23" t="str">
        <f>IF($B205="","",IFERROR(INDEX(ProdNome,MATCH($B205,ProdCod,0)),"Código não cadastrado"))</f>
        <v>Pen drive 32GB</v>
      </c>
      <c r="G205" s="24">
        <f>IF(OR($B205="",$D205=""),"",$D205*IFERROR(INDEX(ProdCusto,MATCH($B205,ProdCod,0)),0))</f>
        <v>176</v>
      </c>
      <c r="H205" s="25" t="str">
        <f>IF($A205="","",IF(OR($B205="",$C205="",$D205=""),"Preencher tudo",IF($F205="Código não cadastrado","Código inválido","OK")))</f>
        <v>OK</v>
      </c>
    </row>
    <row r="206" spans="1:8">
      <c r="A206" s="16">
        <v>46229</v>
      </c>
      <c r="B206" s="15" t="s">
        <v>127</v>
      </c>
      <c r="C206" s="20" t="s">
        <v>177</v>
      </c>
      <c r="D206" s="22">
        <v>2</v>
      </c>
      <c r="E206" s="15" t="s">
        <v>178</v>
      </c>
      <c r="F206" s="23" t="str">
        <f>IF($B206="","",IFERROR(INDEX(ProdNome,MATCH($B206,ProdCod,0)),"Código não cadastrado"))</f>
        <v>Pilha AA (cartela 4)</v>
      </c>
      <c r="G206" s="24">
        <f>IF(OR($B206="",$D206=""),"",$D206*IFERROR(INDEX(ProdCusto,MATCH($B206,ProdCod,0)),0))</f>
        <v>15</v>
      </c>
      <c r="H206" s="25" t="str">
        <f>IF($A206="","",IF(OR($B206="",$C206="",$D206=""),"Preencher tudo",IF($F206="Código não cadastrado","Código inválido","OK")))</f>
        <v>OK</v>
      </c>
    </row>
    <row r="207" spans="1:8">
      <c r="A207" s="16">
        <v>46230</v>
      </c>
      <c r="B207" s="15" t="s">
        <v>105</v>
      </c>
      <c r="C207" s="20" t="s">
        <v>177</v>
      </c>
      <c r="D207" s="22">
        <v>4</v>
      </c>
      <c r="E207" s="15" t="s">
        <v>178</v>
      </c>
      <c r="F207" s="23" t="str">
        <f>IF($B207="","",IFERROR(INDEX(ProdNome,MATCH($B207,ProdCod,0)),"Código não cadastrado"))</f>
        <v>Mochila escolar 20L</v>
      </c>
      <c r="G207" s="24">
        <f>IF(OR($B207="",$D207=""),"",$D207*IFERROR(INDEX(ProdCusto,MATCH($B207,ProdCod,0)),0))</f>
        <v>184</v>
      </c>
      <c r="H207" s="25" t="str">
        <f>IF($A207="","",IF(OR($B207="",$C207="",$D207=""),"Preencher tudo",IF($F207="Código não cadastrado","Código inválido","OK")))</f>
        <v>OK</v>
      </c>
    </row>
    <row r="208" spans="1:8">
      <c r="A208" s="16">
        <v>46230</v>
      </c>
      <c r="B208" s="15" t="s">
        <v>119</v>
      </c>
      <c r="C208" s="20" t="s">
        <v>177</v>
      </c>
      <c r="D208" s="22">
        <v>1</v>
      </c>
      <c r="E208" s="15" t="s">
        <v>178</v>
      </c>
      <c r="F208" s="23" t="str">
        <f>IF($B208="","",IFERROR(INDEX(ProdNome,MATCH($B208,ProdCod,0)),"Código não cadastrado"))</f>
        <v>Plástico bolha (rolo 50m)</v>
      </c>
      <c r="G208" s="24">
        <f>IF(OR($B208="",$D208=""),"",$D208*IFERROR(INDEX(ProdCusto,MATCH($B208,ProdCod,0)),0))</f>
        <v>32</v>
      </c>
      <c r="H208" s="25" t="str">
        <f>IF($A208="","",IF(OR($B208="",$C208="",$D208=""),"Preencher tudo",IF($F208="Código não cadastrado","Código inválido","OK")))</f>
        <v>OK</v>
      </c>
    </row>
    <row r="209" spans="1:8">
      <c r="A209" s="16">
        <v>46230</v>
      </c>
      <c r="B209" s="15" t="s">
        <v>123</v>
      </c>
      <c r="C209" s="20" t="s">
        <v>177</v>
      </c>
      <c r="D209" s="22">
        <v>3</v>
      </c>
      <c r="E209" s="15" t="s">
        <v>178</v>
      </c>
      <c r="F209" s="23" t="str">
        <f>IF($B209="","",IFERROR(INDEX(ProdNome,MATCH($B209,ProdCod,0)),"Código não cadastrado"))</f>
        <v>Álcool 70% 1L</v>
      </c>
      <c r="G209" s="24">
        <f>IF(OR($B209="",$D209=""),"",$D209*IFERROR(INDEX(ProdCusto,MATCH($B209,ProdCod,0)),0))</f>
        <v>18.6</v>
      </c>
      <c r="H209" s="25" t="str">
        <f>IF($A209="","",IF(OR($B209="",$C209="",$D209=""),"Preencher tudo",IF($F209="Código não cadastrado","Código inválido","OK")))</f>
        <v>OK</v>
      </c>
    </row>
    <row r="210" spans="1:8">
      <c r="A210" s="16">
        <v>46230</v>
      </c>
      <c r="B210" s="15" t="s">
        <v>125</v>
      </c>
      <c r="C210" s="20" t="s">
        <v>177</v>
      </c>
      <c r="D210" s="22">
        <v>6</v>
      </c>
      <c r="E210" s="15" t="s">
        <v>178</v>
      </c>
      <c r="F210" s="23" t="str">
        <f>IF($B210="","",IFERROR(INDEX(ProdNome,MATCH($B210,ProdCod,0)),"Código não cadastrado"))</f>
        <v>Papel toalha (pct 2)</v>
      </c>
      <c r="G210" s="24">
        <f>IF(OR($B210="",$D210=""),"",$D210*IFERROR(INDEX(ProdCusto,MATCH($B210,ProdCod,0)),0))</f>
        <v>35.4</v>
      </c>
      <c r="H210" s="25" t="str">
        <f>IF($A210="","",IF(OR($B210="",$C210="",$D210=""),"Preencher tudo",IF($F210="Código não cadastrado","Código inválido","OK")))</f>
        <v>OK</v>
      </c>
    </row>
    <row r="211" spans="1:8">
      <c r="A211" s="16">
        <v>46230</v>
      </c>
      <c r="B211" s="15" t="s">
        <v>135</v>
      </c>
      <c r="C211" s="20" t="s">
        <v>177</v>
      </c>
      <c r="D211" s="22">
        <v>1</v>
      </c>
      <c r="E211" s="15" t="s">
        <v>178</v>
      </c>
      <c r="F211" s="23" t="str">
        <f>IF($B211="","",IFERROR(INDEX(ProdNome,MATCH($B211,ProdCod,0)),"Código não cadastrado"))</f>
        <v>Marca-texto (cx 6)</v>
      </c>
      <c r="G211" s="24">
        <f>IF(OR($B211="",$D211=""),"",$D211*IFERROR(INDEX(ProdCusto,MATCH($B211,ProdCod,0)),0))</f>
        <v>9.8</v>
      </c>
      <c r="H211" s="25" t="str">
        <f>IF($A211="","",IF(OR($B211="",$C211="",$D211=""),"Preencher tudo",IF($F211="Código não cadastrado","Código inválido","OK")))</f>
        <v>OK</v>
      </c>
    </row>
    <row r="212" spans="1:8">
      <c r="A212" s="16">
        <v>46230</v>
      </c>
      <c r="B212" s="15" t="s">
        <v>139</v>
      </c>
      <c r="C212" s="20" t="s">
        <v>177</v>
      </c>
      <c r="D212" s="22">
        <v>1</v>
      </c>
      <c r="E212" s="15" t="s">
        <v>178</v>
      </c>
      <c r="F212" s="23" t="str">
        <f>IF($B212="","",IFERROR(INDEX(ProdNome,MATCH($B212,ProdCod,0)),"Código não cadastrado"))</f>
        <v>Calculadora de mesa</v>
      </c>
      <c r="G212" s="24">
        <f>IF(OR($B212="",$D212=""),"",$D212*IFERROR(INDEX(ProdCusto,MATCH($B212,ProdCod,0)),0))</f>
        <v>17</v>
      </c>
      <c r="H212" s="25" t="str">
        <f>IF($A212="","",IF(OR($B212="",$C212="",$D212=""),"Preencher tudo",IF($F212="Código não cadastrado","Código inválido","OK")))</f>
        <v>OK</v>
      </c>
    </row>
    <row r="213" spans="1:8">
      <c r="A213" s="16">
        <v>46230</v>
      </c>
      <c r="B213" s="15" t="s">
        <v>153</v>
      </c>
      <c r="C213" s="20" t="s">
        <v>177</v>
      </c>
      <c r="D213" s="22">
        <v>1</v>
      </c>
      <c r="E213" s="15" t="s">
        <v>178</v>
      </c>
      <c r="F213" s="23" t="str">
        <f>IF($B213="","",IFERROR(INDEX(ProdNome,MATCH($B213,ProdCod,0)),"Código não cadastrado"))</f>
        <v>Envelope A4 (pct 50)</v>
      </c>
      <c r="G213" s="24">
        <f>IF(OR($B213="",$D213=""),"",$D213*IFERROR(INDEX(ProdCusto,MATCH($B213,ProdCod,0)),0))</f>
        <v>14</v>
      </c>
      <c r="H213" s="25" t="str">
        <f>IF($A213="","",IF(OR($B213="",$C213="",$D213=""),"Preencher tudo",IF($F213="Código não cadastrado","Código inválido","OK")))</f>
        <v>OK</v>
      </c>
    </row>
    <row r="214" spans="1:8">
      <c r="A214" s="16">
        <v>46230</v>
      </c>
      <c r="B214" s="15" t="s">
        <v>157</v>
      </c>
      <c r="C214" s="20" t="s">
        <v>177</v>
      </c>
      <c r="D214" s="22">
        <v>1</v>
      </c>
      <c r="E214" s="15" t="s">
        <v>178</v>
      </c>
      <c r="F214" s="23" t="str">
        <f>IF($B214="","",IFERROR(INDEX(ProdNome,MATCH($B214,ProdCod,0)),"Código não cadastrado"))</f>
        <v>Papel fotográfico A4 (pct 20)</v>
      </c>
      <c r="G214" s="24">
        <f>IF(OR($B214="",$D214=""),"",$D214*IFERROR(INDEX(ProdCusto,MATCH($B214,ProdCod,0)),0))</f>
        <v>12.5</v>
      </c>
      <c r="H214" s="25" t="str">
        <f>IF($A214="","",IF(OR($B214="",$C214="",$D214=""),"Preencher tudo",IF($F214="Código não cadastrado","Código inválido","OK")))</f>
        <v>OK</v>
      </c>
    </row>
    <row r="215" spans="1:8">
      <c r="A215" s="16">
        <v>46230</v>
      </c>
      <c r="B215" s="15" t="s">
        <v>161</v>
      </c>
      <c r="C215" s="20" t="s">
        <v>177</v>
      </c>
      <c r="D215" s="22">
        <v>1</v>
      </c>
      <c r="E215" s="15" t="s">
        <v>178</v>
      </c>
      <c r="F215" s="23" t="str">
        <f>IF($B215="","",IFERROR(INDEX(ProdNome,MATCH($B215,ProdCod,0)),"Código não cadastrado"))</f>
        <v>Pote plástico 500ml (pct 12)</v>
      </c>
      <c r="G215" s="24">
        <f>IF(OR($B215="",$D215=""),"",$D215*IFERROR(INDEX(ProdCusto,MATCH($B215,ProdCod,0)),0))</f>
        <v>11</v>
      </c>
      <c r="H215" s="25" t="str">
        <f>IF($A215="","",IF(OR($B215="",$C215="",$D215=""),"Preencher tudo",IF($F215="Código não cadastrado","Código inválido","OK")))</f>
        <v>OK</v>
      </c>
    </row>
    <row r="216" spans="1:8">
      <c r="A216" s="16">
        <v>46232</v>
      </c>
      <c r="B216" s="15" t="s">
        <v>117</v>
      </c>
      <c r="C216" s="20" t="s">
        <v>177</v>
      </c>
      <c r="D216" s="22">
        <v>1</v>
      </c>
      <c r="E216" s="15" t="s">
        <v>178</v>
      </c>
      <c r="F216" s="23" t="str">
        <f>IF($B216="","",IFERROR(INDEX(ProdNome,MATCH($B216,ProdCod,0)),"Código não cadastrado"))</f>
        <v>Caixa de papelão M (pct 10)</v>
      </c>
      <c r="G216" s="24">
        <f>IF(OR($B216="",$D216=""),"",$D216*IFERROR(INDEX(ProdCusto,MATCH($B216,ProdCod,0)),0))</f>
        <v>15</v>
      </c>
      <c r="H216" s="25" t="str">
        <f>IF($A216="","",IF(OR($B216="",$C216="",$D216=""),"Preencher tudo",IF($F216="Código não cadastrado","Código inválido","OK")))</f>
        <v>OK</v>
      </c>
    </row>
    <row r="217" spans="1:8">
      <c r="A217" s="16">
        <v>46232</v>
      </c>
      <c r="B217" s="15" t="s">
        <v>121</v>
      </c>
      <c r="C217" s="20" t="s">
        <v>177</v>
      </c>
      <c r="D217" s="22">
        <v>1</v>
      </c>
      <c r="E217" s="15" t="s">
        <v>178</v>
      </c>
      <c r="F217" s="23" t="str">
        <f>IF($B217="","",IFERROR(INDEX(ProdNome,MATCH($B217,ProdCod,0)),"Código não cadastrado"))</f>
        <v>Sacola kraft G (pct 50)</v>
      </c>
      <c r="G217" s="24">
        <f>IF(OR($B217="",$D217=""),"",$D217*IFERROR(INDEX(ProdCusto,MATCH($B217,ProdCod,0)),0))</f>
        <v>24</v>
      </c>
      <c r="H217" s="25" t="str">
        <f>IF($A217="","",IF(OR($B217="",$C217="",$D217=""),"Preencher tudo",IF($F217="Código não cadastrado","Código inválido","OK")))</f>
        <v>OK</v>
      </c>
    </row>
    <row r="218" spans="1:8">
      <c r="A218" s="16">
        <v>46232</v>
      </c>
      <c r="B218" s="15" t="s">
        <v>141</v>
      </c>
      <c r="C218" s="20" t="s">
        <v>177</v>
      </c>
      <c r="D218" s="22">
        <v>1</v>
      </c>
      <c r="E218" s="15" t="s">
        <v>178</v>
      </c>
      <c r="F218" s="23" t="str">
        <f>IF($B218="","",IFERROR(INDEX(ProdNome,MATCH($B218,ProdCod,0)),"Código não cadastrado"))</f>
        <v>Fichário argolado</v>
      </c>
      <c r="G218" s="24">
        <f>IF(OR($B218="",$D218=""),"",$D218*IFERROR(INDEX(ProdCusto,MATCH($B218,ProdCod,0)),0))</f>
        <v>21</v>
      </c>
      <c r="H218" s="25" t="str">
        <f>IF($A218="","",IF(OR($B218="",$C218="",$D218=""),"Preencher tudo",IF($F218="Código não cadastrado","Código inválido","OK")))</f>
        <v>OK</v>
      </c>
    </row>
    <row r="219" spans="1:8">
      <c r="A219" s="16">
        <v>46232</v>
      </c>
      <c r="B219" s="15" t="s">
        <v>149</v>
      </c>
      <c r="C219" s="20" t="s">
        <v>177</v>
      </c>
      <c r="D219" s="22">
        <v>3</v>
      </c>
      <c r="E219" s="15" t="s">
        <v>178</v>
      </c>
      <c r="F219" s="23" t="str">
        <f>IF($B219="","",IFERROR(INDEX(ProdNome,MATCH($B219,ProdCod,0)),"Código não cadastrado"))</f>
        <v>Mouse pad</v>
      </c>
      <c r="G219" s="24">
        <f>IF(OR($B219="",$D219=""),"",$D219*IFERROR(INDEX(ProdCusto,MATCH($B219,ProdCod,0)),0))</f>
        <v>14.7</v>
      </c>
      <c r="H219" s="25" t="str">
        <f>IF($A219="","",IF(OR($B219="",$C219="",$D219=""),"Preencher tudo",IF($F219="Código não cadastrado","Código inválido","OK")))</f>
        <v>OK</v>
      </c>
    </row>
    <row r="220" spans="1:8">
      <c r="A220" s="16">
        <v>46232</v>
      </c>
      <c r="B220" s="15" t="s">
        <v>161</v>
      </c>
      <c r="C220" s="20" t="s">
        <v>177</v>
      </c>
      <c r="D220" s="22">
        <v>1</v>
      </c>
      <c r="E220" s="15" t="s">
        <v>178</v>
      </c>
      <c r="F220" s="23" t="str">
        <f>IF($B220="","",IFERROR(INDEX(ProdNome,MATCH($B220,ProdCod,0)),"Código não cadastrado"))</f>
        <v>Pote plástico 500ml (pct 12)</v>
      </c>
      <c r="G220" s="24">
        <f>IF(OR($B220="",$D220=""),"",$D220*IFERROR(INDEX(ProdCusto,MATCH($B220,ProdCod,0)),0))</f>
        <v>11</v>
      </c>
      <c r="H220" s="25" t="str">
        <f>IF($A220="","",IF(OR($B220="",$C220="",$D220=""),"Preencher tudo",IF($F220="Código não cadastrado","Código inválido","OK")))</f>
        <v>OK</v>
      </c>
    </row>
    <row r="221" spans="1:8">
      <c r="A221" s="16">
        <v>46233</v>
      </c>
      <c r="B221" s="15" t="s">
        <v>99</v>
      </c>
      <c r="C221" s="20" t="s">
        <v>177</v>
      </c>
      <c r="D221" s="22">
        <v>2</v>
      </c>
      <c r="E221" s="15" t="s">
        <v>178</v>
      </c>
      <c r="F221" s="23" t="str">
        <f>IF($B221="","",IFERROR(INDEX(ProdNome,MATCH($B221,ProdCod,0)),"Código não cadastrado"))</f>
        <v>Mouse óptico USB</v>
      </c>
      <c r="G221" s="24">
        <f>IF(OR($B221="",$D221=""),"",$D221*IFERROR(INDEX(ProdCusto,MATCH($B221,ProdCod,0)),0))</f>
        <v>22</v>
      </c>
      <c r="H221" s="25" t="str">
        <f>IF($A221="","",IF(OR($B221="",$C221="",$D221=""),"Preencher tudo",IF($F221="Código não cadastrado","Código inválido","OK")))</f>
        <v>OK</v>
      </c>
    </row>
    <row r="222" spans="1:8">
      <c r="A222" s="16">
        <v>46233</v>
      </c>
      <c r="B222" s="15" t="s">
        <v>101</v>
      </c>
      <c r="C222" s="20" t="s">
        <v>177</v>
      </c>
      <c r="D222" s="22">
        <v>11</v>
      </c>
      <c r="E222" s="15" t="s">
        <v>178</v>
      </c>
      <c r="F222" s="23" t="str">
        <f>IF($B222="","",IFERROR(INDEX(ProdNome,MATCH($B222,ProdCod,0)),"Código não cadastrado"))</f>
        <v>Pen drive 32GB</v>
      </c>
      <c r="G222" s="24">
        <f>IF(OR($B222="",$D222=""),"",$D222*IFERROR(INDEX(ProdCusto,MATCH($B222,ProdCod,0)),0))</f>
        <v>242</v>
      </c>
      <c r="H222" s="25" t="str">
        <f>IF($A222="","",IF(OR($B222="",$C222="",$D222=""),"Preencher tudo",IF($F222="Código não cadastrado","Código inválido","OK")))</f>
        <v>OK</v>
      </c>
    </row>
    <row r="223" spans="1:8">
      <c r="A223" s="16">
        <v>46233</v>
      </c>
      <c r="B223" s="15" t="s">
        <v>103</v>
      </c>
      <c r="C223" s="20" t="s">
        <v>177</v>
      </c>
      <c r="D223" s="22">
        <v>14</v>
      </c>
      <c r="E223" s="15" t="s">
        <v>178</v>
      </c>
      <c r="F223" s="23" t="str">
        <f>IF($B223="","",IFERROR(INDEX(ProdNome,MATCH($B223,ProdCod,0)),"Código não cadastrado"))</f>
        <v>Cabo USB-C 1m</v>
      </c>
      <c r="G223" s="24">
        <f>IF(OR($B223="",$D223=""),"",$D223*IFERROR(INDEX(ProdCusto,MATCH($B223,ProdCod,0)),0))</f>
        <v>91</v>
      </c>
      <c r="H223" s="25" t="str">
        <f>IF($A223="","",IF(OR($B223="",$C223="",$D223=""),"Preencher tudo",IF($F223="Código não cadastrado","Código inválido","OK")))</f>
        <v>OK</v>
      </c>
    </row>
    <row r="224" spans="1:8">
      <c r="A224" s="16">
        <v>46233</v>
      </c>
      <c r="B224" s="15" t="s">
        <v>105</v>
      </c>
      <c r="C224" s="20" t="s">
        <v>177</v>
      </c>
      <c r="D224" s="22">
        <v>6</v>
      </c>
      <c r="E224" s="15" t="s">
        <v>178</v>
      </c>
      <c r="F224" s="23" t="str">
        <f>IF($B224="","",IFERROR(INDEX(ProdNome,MATCH($B224,ProdCod,0)),"Código não cadastrado"))</f>
        <v>Mochila escolar 20L</v>
      </c>
      <c r="G224" s="24">
        <f>IF(OR($B224="",$D224=""),"",$D224*IFERROR(INDEX(ProdCusto,MATCH($B224,ProdCod,0)),0))</f>
        <v>276</v>
      </c>
      <c r="H224" s="25" t="str">
        <f>IF($A224="","",IF(OR($B224="",$C224="",$D224=""),"Preencher tudo",IF($F224="Código não cadastrado","Código inválido","OK")))</f>
        <v>OK</v>
      </c>
    </row>
    <row r="225" spans="1:8">
      <c r="A225" s="16">
        <v>46233</v>
      </c>
      <c r="B225" s="15" t="s">
        <v>107</v>
      </c>
      <c r="C225" s="20" t="s">
        <v>179</v>
      </c>
      <c r="D225" s="22">
        <v>5</v>
      </c>
      <c r="E225" s="15" t="s">
        <v>239</v>
      </c>
      <c r="F225" s="23" t="str">
        <f>IF($B225="","",IFERROR(INDEX(ProdNome,MATCH($B225,ProdCod,0)),"Código não cadastrado"))</f>
        <v>Estojo duplo</v>
      </c>
      <c r="G225" s="24">
        <f>IF(OR($B225="",$D225=""),"",$D225*IFERROR(INDEX(ProdCusto,MATCH($B225,ProdCod,0)),0))</f>
        <v>42.5</v>
      </c>
      <c r="H225" s="25" t="str">
        <f>IF($A225="","",IF(OR($B225="",$C225="",$D225=""),"Preencher tudo",IF($F225="Código não cadastrado","Código inválido","OK")))</f>
        <v>OK</v>
      </c>
    </row>
    <row r="226" spans="1:8">
      <c r="A226" s="16">
        <v>46233</v>
      </c>
      <c r="B226" s="15" t="s">
        <v>109</v>
      </c>
      <c r="C226" s="20" t="s">
        <v>177</v>
      </c>
      <c r="D226" s="22">
        <v>2</v>
      </c>
      <c r="E226" s="15" t="s">
        <v>178</v>
      </c>
      <c r="F226" s="23" t="str">
        <f>IF($B226="","",IFERROR(INDEX(ProdNome,MATCH($B226,ProdCod,0)),"Código não cadastrado"))</f>
        <v>Lápis de cor (cx 24)</v>
      </c>
      <c r="G226" s="24">
        <f>IF(OR($B226="",$D226=""),"",$D226*IFERROR(INDEX(ProdCusto,MATCH($B226,ProdCod,0)),0))</f>
        <v>15.8</v>
      </c>
      <c r="H226" s="25" t="str">
        <f>IF($A226="","",IF(OR($B226="",$C226="",$D226=""),"Preencher tudo",IF($F226="Código não cadastrado","Código inválido","OK")))</f>
        <v>OK</v>
      </c>
    </row>
    <row r="227" spans="1:8">
      <c r="A227" s="16">
        <v>46233</v>
      </c>
      <c r="B227" s="15" t="s">
        <v>113</v>
      </c>
      <c r="C227" s="20" t="s">
        <v>177</v>
      </c>
      <c r="D227" s="22">
        <v>6</v>
      </c>
      <c r="E227" s="15" t="s">
        <v>178</v>
      </c>
      <c r="F227" s="23" t="str">
        <f>IF($B227="","",IFERROR(INDEX(ProdNome,MATCH($B227,ProdCod,0)),"Código não cadastrado"))</f>
        <v>Tesoura escolar</v>
      </c>
      <c r="G227" s="24">
        <f>IF(OR($B227="",$D227=""),"",$D227*IFERROR(INDEX(ProdCusto,MATCH($B227,ProdCod,0)),0))</f>
        <v>16.8</v>
      </c>
      <c r="H227" s="25" t="str">
        <f>IF($A227="","",IF(OR($B227="",$C227="",$D227=""),"Preencher tudo",IF($F227="Código não cadastrado","Código inválido","OK")))</f>
        <v>OK</v>
      </c>
    </row>
    <row r="228" spans="1:8">
      <c r="A228" s="16">
        <v>46233</v>
      </c>
      <c r="B228" s="15" t="s">
        <v>123</v>
      </c>
      <c r="C228" s="20" t="s">
        <v>179</v>
      </c>
      <c r="D228" s="22">
        <v>5</v>
      </c>
      <c r="E228" s="15" t="s">
        <v>240</v>
      </c>
      <c r="F228" s="23" t="str">
        <f>IF($B228="","",IFERROR(INDEX(ProdNome,MATCH($B228,ProdCod,0)),"Código não cadastrado"))</f>
        <v>Álcool 70% 1L</v>
      </c>
      <c r="G228" s="24">
        <f>IF(OR($B228="",$D228=""),"",$D228*IFERROR(INDEX(ProdCusto,MATCH($B228,ProdCod,0)),0))</f>
        <v>31</v>
      </c>
      <c r="H228" s="25" t="str">
        <f>IF($A228="","",IF(OR($B228="",$C228="",$D228=""),"Preencher tudo",IF($F228="Código não cadastrado","Código inválido","OK")))</f>
        <v>OK</v>
      </c>
    </row>
    <row r="229" spans="1:8">
      <c r="A229" s="16">
        <v>46233</v>
      </c>
      <c r="B229" s="15" t="s">
        <v>125</v>
      </c>
      <c r="C229" s="20" t="s">
        <v>179</v>
      </c>
      <c r="D229" s="22">
        <v>6</v>
      </c>
      <c r="E229" s="15" t="s">
        <v>241</v>
      </c>
      <c r="F229" s="23" t="str">
        <f>IF($B229="","",IFERROR(INDEX(ProdNome,MATCH($B229,ProdCod,0)),"Código não cadastrado"))</f>
        <v>Papel toalha (pct 2)</v>
      </c>
      <c r="G229" s="24">
        <f>IF(OR($B229="",$D229=""),"",$D229*IFERROR(INDEX(ProdCusto,MATCH($B229,ProdCod,0)),0))</f>
        <v>35.4</v>
      </c>
      <c r="H229" s="25" t="str">
        <f>IF($A229="","",IF(OR($B229="",$C229="",$D229=""),"Preencher tudo",IF($F229="Código não cadastrado","Código inválido","OK")))</f>
        <v>OK</v>
      </c>
    </row>
    <row r="230" spans="1:8">
      <c r="A230" s="16">
        <v>46233</v>
      </c>
      <c r="B230" s="15" t="s">
        <v>137</v>
      </c>
      <c r="C230" s="20" t="s">
        <v>179</v>
      </c>
      <c r="D230" s="22">
        <v>11</v>
      </c>
      <c r="E230" s="15" t="s">
        <v>242</v>
      </c>
      <c r="F230" s="23" t="str">
        <f>IF($B230="","",IFERROR(INDEX(ProdNome,MATCH($B230,ProdCod,0)),"Código não cadastrado"))</f>
        <v>Bloco de notas adesivas</v>
      </c>
      <c r="G230" s="24">
        <f>IF(OR($B230="",$D230=""),"",$D230*IFERROR(INDEX(ProdCusto,MATCH($B230,ProdCod,0)),0))</f>
        <v>37.4</v>
      </c>
      <c r="H230" s="25" t="str">
        <f>IF($A230="","",IF(OR($B230="",$C230="",$D230=""),"Preencher tudo",IF($F230="Código não cadastrado","Código inválido","OK")))</f>
        <v>OK</v>
      </c>
    </row>
    <row r="231" spans="1:8">
      <c r="A231" s="16">
        <v>46233</v>
      </c>
      <c r="B231" s="15" t="s">
        <v>149</v>
      </c>
      <c r="C231" s="20" t="s">
        <v>179</v>
      </c>
      <c r="D231" s="22">
        <v>5</v>
      </c>
      <c r="E231" s="15" t="s">
        <v>243</v>
      </c>
      <c r="F231" s="23" t="str">
        <f>IF($B231="","",IFERROR(INDEX(ProdNome,MATCH($B231,ProdCod,0)),"Código não cadastrado"))</f>
        <v>Mouse pad</v>
      </c>
      <c r="G231" s="24">
        <f>IF(OR($B231="",$D231=""),"",$D231*IFERROR(INDEX(ProdCusto,MATCH($B231,ProdCod,0)),0))</f>
        <v>24.5</v>
      </c>
      <c r="H231" s="25" t="str">
        <f>IF($A231="","",IF(OR($B231="",$C231="",$D231=""),"Preencher tudo",IF($F231="Código não cadastrado","Código inválido","OK")))</f>
        <v>OK</v>
      </c>
    </row>
    <row r="232" spans="1:8">
      <c r="A232" s="16">
        <v>46233</v>
      </c>
      <c r="B232" s="15" t="s">
        <v>155</v>
      </c>
      <c r="C232" s="20" t="s">
        <v>177</v>
      </c>
      <c r="D232" s="22">
        <v>3</v>
      </c>
      <c r="E232" s="15" t="s">
        <v>178</v>
      </c>
      <c r="F232" s="23" t="str">
        <f>IF($B232="","",IFERROR(INDEX(ProdNome,MATCH($B232,ProdCod,0)),"Código não cadastrado"))</f>
        <v>Tinta guache (kit 6)</v>
      </c>
      <c r="G232" s="24">
        <f>IF(OR($B232="",$D232=""),"",$D232*IFERROR(INDEX(ProdCusto,MATCH($B232,ProdCod,0)),0))</f>
        <v>26.1</v>
      </c>
      <c r="H232" s="25" t="str">
        <f>IF($A232="","",IF(OR($B232="",$C232="",$D232=""),"Preencher tudo",IF($F232="Código não cadastrado","Código inválido","OK")))</f>
        <v>OK</v>
      </c>
    </row>
    <row r="233" spans="1:8">
      <c r="A233" s="16">
        <v>46233</v>
      </c>
      <c r="B233" s="15" t="s">
        <v>163</v>
      </c>
      <c r="C233" s="20" t="s">
        <v>177</v>
      </c>
      <c r="D233" s="22">
        <v>1</v>
      </c>
      <c r="E233" s="15" t="s">
        <v>178</v>
      </c>
      <c r="F233" s="23" t="str">
        <f>IF($B233="","",IFERROR(INDEX(ProdNome,MATCH($B233,ProdCod,0)),"Código não cadastrado"))</f>
        <v>Caixa organizadora</v>
      </c>
      <c r="G233" s="24">
        <f>IF(OR($B233="",$D233=""),"",$D233*IFERROR(INDEX(ProdCusto,MATCH($B233,ProdCod,0)),0))</f>
        <v>18</v>
      </c>
      <c r="H233" s="25" t="str">
        <f>IF($A233="","",IF(OR($B233="",$C233="",$D233=""),"Preencher tudo",IF($F233="Código não cadastrado","Código inválido","OK")))</f>
        <v>OK</v>
      </c>
    </row>
    <row r="234" spans="1:8">
      <c r="A234" s="16">
        <v>46233</v>
      </c>
      <c r="B234" s="15" t="s">
        <v>167</v>
      </c>
      <c r="C234" s="20" t="s">
        <v>177</v>
      </c>
      <c r="D234" s="22">
        <v>1</v>
      </c>
      <c r="E234" s="15" t="s">
        <v>178</v>
      </c>
      <c r="F234" s="23" t="str">
        <f>IF($B234="","",IFERROR(INDEX(ProdNome,MATCH($B234,ProdCod,0)),"Código não cadastrado"))</f>
        <v>Porta-retrato 10x15</v>
      </c>
      <c r="G234" s="24">
        <f>IF(OR($B234="",$D234=""),"",$D234*IFERROR(INDEX(ProdCusto,MATCH($B234,ProdCod,0)),0))</f>
        <v>6.2</v>
      </c>
      <c r="H234" s="25" t="str">
        <f>IF($A234="","",IF(OR($B234="",$C234="",$D234=""),"Preencher tudo",IF($F234="Código não cadastrado","Código inválido","OK")))</f>
        <v>OK</v>
      </c>
    </row>
    <row r="235" spans="1:8">
      <c r="A235" s="16">
        <v>46234</v>
      </c>
      <c r="B235" s="15" t="s">
        <v>93</v>
      </c>
      <c r="C235" s="20" t="s">
        <v>179</v>
      </c>
      <c r="D235" s="22">
        <v>59</v>
      </c>
      <c r="E235" s="15" t="s">
        <v>244</v>
      </c>
      <c r="F235" s="23" t="str">
        <f>IF($B235="","",IFERROR(INDEX(ProdNome,MATCH($B235,ProdCod,0)),"Código não cadastrado"))</f>
        <v>Papel A4 75g (resma)</v>
      </c>
      <c r="G235" s="24">
        <f>IF(OR($B235="",$D235=""),"",$D235*IFERROR(INDEX(ProdCusto,MATCH($B235,ProdCod,0)),0))</f>
        <v>1268.5</v>
      </c>
      <c r="H235" s="25" t="str">
        <f>IF($A235="","",IF(OR($B235="",$C235="",$D235=""),"Preencher tudo",IF($F235="Código não cadastrado","Código inválido","OK")))</f>
        <v>OK</v>
      </c>
    </row>
    <row r="236" spans="1:8">
      <c r="A236" s="16">
        <v>46234</v>
      </c>
      <c r="B236" s="15" t="s">
        <v>105</v>
      </c>
      <c r="C236" s="20" t="s">
        <v>179</v>
      </c>
      <c r="D236" s="22">
        <v>6</v>
      </c>
      <c r="E236" s="15" t="s">
        <v>245</v>
      </c>
      <c r="F236" s="23" t="str">
        <f>IF($B236="","",IFERROR(INDEX(ProdNome,MATCH($B236,ProdCod,0)),"Código não cadastrado"))</f>
        <v>Mochila escolar 20L</v>
      </c>
      <c r="G236" s="24">
        <f>IF(OR($B236="",$D236=""),"",$D236*IFERROR(INDEX(ProdCusto,MATCH($B236,ProdCod,0)),0))</f>
        <v>276</v>
      </c>
      <c r="H236" s="25" t="str">
        <f>IF($A236="","",IF(OR($B236="",$C236="",$D236=""),"Preencher tudo",IF($F236="Código não cadastrado","Código inválido","OK")))</f>
        <v>OK</v>
      </c>
    </row>
    <row r="237" spans="1:8">
      <c r="A237" s="16">
        <v>46234</v>
      </c>
      <c r="B237" s="15" t="s">
        <v>111</v>
      </c>
      <c r="C237" s="20" t="s">
        <v>177</v>
      </c>
      <c r="D237" s="22">
        <v>7</v>
      </c>
      <c r="E237" s="15" t="s">
        <v>178</v>
      </c>
      <c r="F237" s="23" t="str">
        <f>IF($B237="","",IFERROR(INDEX(ProdNome,MATCH($B237,ProdCod,0)),"Código não cadastrado"))</f>
        <v>Cola branca 90g</v>
      </c>
      <c r="G237" s="24">
        <f>IF(OR($B237="",$D237=""),"",$D237*IFERROR(INDEX(ProdCusto,MATCH($B237,ProdCod,0)),0))</f>
        <v>13.3</v>
      </c>
      <c r="H237" s="25" t="str">
        <f>IF($A237="","",IF(OR($B237="",$C237="",$D237=""),"Preencher tudo",IF($F237="Código não cadastrado","Código inválido","OK")))</f>
        <v>OK</v>
      </c>
    </row>
    <row r="238" spans="1:8">
      <c r="A238" s="16">
        <v>46234</v>
      </c>
      <c r="B238" s="15" t="s">
        <v>121</v>
      </c>
      <c r="C238" s="20" t="s">
        <v>179</v>
      </c>
      <c r="D238" s="22">
        <v>3</v>
      </c>
      <c r="E238" s="15" t="s">
        <v>246</v>
      </c>
      <c r="F238" s="23" t="str">
        <f>IF($B238="","",IFERROR(INDEX(ProdNome,MATCH($B238,ProdCod,0)),"Código não cadastrado"))</f>
        <v>Sacola kraft G (pct 50)</v>
      </c>
      <c r="G238" s="24">
        <f>IF(OR($B238="",$D238=""),"",$D238*IFERROR(INDEX(ProdCusto,MATCH($B238,ProdCod,0)),0))</f>
        <v>72</v>
      </c>
      <c r="H238" s="25" t="str">
        <f>IF($A238="","",IF(OR($B238="",$C238="",$D238=""),"Preencher tudo",IF($F238="Código não cadastrado","Código inválido","OK")))</f>
        <v>OK</v>
      </c>
    </row>
    <row r="239" spans="1:8">
      <c r="A239" s="16">
        <v>46234</v>
      </c>
      <c r="B239" s="15" t="s">
        <v>123</v>
      </c>
      <c r="C239" s="20" t="s">
        <v>177</v>
      </c>
      <c r="D239" s="22">
        <v>5</v>
      </c>
      <c r="E239" s="15" t="s">
        <v>178</v>
      </c>
      <c r="F239" s="23" t="str">
        <f>IF($B239="","",IFERROR(INDEX(ProdNome,MATCH($B239,ProdCod,0)),"Código não cadastrado"))</f>
        <v>Álcool 70% 1L</v>
      </c>
      <c r="G239" s="24">
        <f>IF(OR($B239="",$D239=""),"",$D239*IFERROR(INDEX(ProdCusto,MATCH($B239,ProdCod,0)),0))</f>
        <v>31</v>
      </c>
      <c r="H239" s="25" t="str">
        <f>IF($A239="","",IF(OR($B239="",$C239="",$D239=""),"Preencher tudo",IF($F239="Código não cadastrado","Código inválido","OK")))</f>
        <v>OK</v>
      </c>
    </row>
    <row r="240" spans="1:8">
      <c r="A240" s="16">
        <v>46234</v>
      </c>
      <c r="B240" s="15" t="s">
        <v>143</v>
      </c>
      <c r="C240" s="20" t="s">
        <v>179</v>
      </c>
      <c r="D240" s="22">
        <v>9</v>
      </c>
      <c r="E240" s="15" t="s">
        <v>247</v>
      </c>
      <c r="F240" s="23" t="str">
        <f>IF($B240="","",IFERROR(INDEX(ProdNome,MATCH($B240,ProdCod,0)),"Código não cadastrado"))</f>
        <v>Régua 30cm</v>
      </c>
      <c r="G240" s="24">
        <f>IF(OR($B240="",$D240=""),"",$D240*IFERROR(INDEX(ProdCusto,MATCH($B240,ProdCod,0)),0))</f>
        <v>8.1</v>
      </c>
      <c r="H240" s="25" t="str">
        <f>IF($A240="","",IF(OR($B240="",$C240="",$D240=""),"Preencher tudo",IF($F240="Código não cadastrado","Código inválido","OK")))</f>
        <v>OK</v>
      </c>
    </row>
    <row r="241" spans="1:8">
      <c r="A241" s="16">
        <v>46234</v>
      </c>
      <c r="B241" s="15" t="s">
        <v>157</v>
      </c>
      <c r="C241" s="20" t="s">
        <v>177</v>
      </c>
      <c r="D241" s="22">
        <v>1</v>
      </c>
      <c r="E241" s="15" t="s">
        <v>178</v>
      </c>
      <c r="F241" s="23" t="str">
        <f>IF($B241="","",IFERROR(INDEX(ProdNome,MATCH($B241,ProdCod,0)),"Código não cadastrado"))</f>
        <v>Papel fotográfico A4 (pct 20)</v>
      </c>
      <c r="G241" s="24">
        <f>IF(OR($B241="",$D241=""),"",$D241*IFERROR(INDEX(ProdCusto,MATCH($B241,ProdCod,0)),0))</f>
        <v>12.5</v>
      </c>
      <c r="H241" s="25" t="str">
        <f>IF($A241="","",IF(OR($B241="",$C241="",$D241=""),"Preencher tudo",IF($F241="Código não cadastrado","Código inválido","OK")))</f>
        <v>OK</v>
      </c>
    </row>
    <row r="242" spans="1:8">
      <c r="A242" s="16">
        <v>46234</v>
      </c>
      <c r="B242" s="15" t="s">
        <v>159</v>
      </c>
      <c r="C242" s="20" t="s">
        <v>177</v>
      </c>
      <c r="D242" s="22">
        <v>1</v>
      </c>
      <c r="E242" s="15" t="s">
        <v>178</v>
      </c>
      <c r="F242" s="23" t="str">
        <f>IF($B242="","",IFERROR(INDEX(ProdNome,MATCH($B242,ProdCod,0)),"Código não cadastrado"))</f>
        <v>Luva descartável (cx 100)</v>
      </c>
      <c r="G242" s="24">
        <f>IF(OR($B242="",$D242=""),"",$D242*IFERROR(INDEX(ProdCusto,MATCH($B242,ProdCod,0)),0))</f>
        <v>21</v>
      </c>
      <c r="H242" s="25" t="str">
        <f>IF($A242="","",IF(OR($B242="",$C242="",$D242=""),"Preencher tudo",IF($F242="Código não cadastrado","Código inválido","OK")))</f>
        <v>OK</v>
      </c>
    </row>
    <row r="243" spans="1:8">
      <c r="A243" s="16">
        <v>46235</v>
      </c>
      <c r="B243" s="15" t="s">
        <v>89</v>
      </c>
      <c r="C243" s="20" t="s">
        <v>177</v>
      </c>
      <c r="D243" s="22">
        <v>25</v>
      </c>
      <c r="E243" s="15" t="s">
        <v>178</v>
      </c>
      <c r="F243" s="23" t="str">
        <f>IF($B243="","",IFERROR(INDEX(ProdNome,MATCH($B243,ProdCod,0)),"Código não cadastrado"))</f>
        <v>Caderno universitário 10 matérias</v>
      </c>
      <c r="G243" s="24">
        <f>IF(OR($B243="",$D243=""),"",$D243*IFERROR(INDEX(ProdCusto,MATCH($B243,ProdCod,0)),0))</f>
        <v>237.5</v>
      </c>
      <c r="H243" s="25" t="str">
        <f>IF($A243="","",IF(OR($B243="",$C243="",$D243=""),"Preencher tudo",IF($F243="Código não cadastrado","Código inválido","OK")))</f>
        <v>OK</v>
      </c>
    </row>
    <row r="244" spans="1:8">
      <c r="A244" s="16">
        <v>46235</v>
      </c>
      <c r="B244" s="15" t="s">
        <v>91</v>
      </c>
      <c r="C244" s="20" t="s">
        <v>177</v>
      </c>
      <c r="D244" s="22">
        <v>8</v>
      </c>
      <c r="E244" s="15" t="s">
        <v>178</v>
      </c>
      <c r="F244" s="23" t="str">
        <f>IF($B244="","",IFERROR(INDEX(ProdNome,MATCH($B244,ProdCod,0)),"Código não cadastrado"))</f>
        <v>Caneta esferográfica azul (cx 50)</v>
      </c>
      <c r="G244" s="24">
        <f>IF(OR($B244="",$D244=""),"",$D244*IFERROR(INDEX(ProdCusto,MATCH($B244,ProdCod,0)),0))</f>
        <v>176</v>
      </c>
      <c r="H244" s="25" t="str">
        <f>IF($A244="","",IF(OR($B244="",$C244="",$D244=""),"Preencher tudo",IF($F244="Código não cadastrado","Código inválido","OK")))</f>
        <v>OK</v>
      </c>
    </row>
    <row r="245" spans="1:8">
      <c r="A245" s="16">
        <v>46235</v>
      </c>
      <c r="B245" s="15" t="s">
        <v>93</v>
      </c>
      <c r="C245" s="20" t="s">
        <v>177</v>
      </c>
      <c r="D245" s="22">
        <v>34</v>
      </c>
      <c r="E245" s="15" t="s">
        <v>178</v>
      </c>
      <c r="F245" s="23" t="str">
        <f>IF($B245="","",IFERROR(INDEX(ProdNome,MATCH($B245,ProdCod,0)),"Código não cadastrado"))</f>
        <v>Papel A4 75g (resma)</v>
      </c>
      <c r="G245" s="24">
        <f>IF(OR($B245="",$D245=""),"",$D245*IFERROR(INDEX(ProdCusto,MATCH($B245,ProdCod,0)),0))</f>
        <v>731</v>
      </c>
      <c r="H245" s="25" t="str">
        <f>IF($A245="","",IF(OR($B245="",$C245="",$D245=""),"Preencher tudo",IF($F245="Código não cadastrado","Código inválido","OK")))</f>
        <v>OK</v>
      </c>
    </row>
    <row r="246" spans="1:8">
      <c r="A246" s="16">
        <v>46235</v>
      </c>
      <c r="B246" s="15" t="s">
        <v>101</v>
      </c>
      <c r="C246" s="20" t="s">
        <v>179</v>
      </c>
      <c r="D246" s="22">
        <v>19</v>
      </c>
      <c r="E246" s="15" t="s">
        <v>248</v>
      </c>
      <c r="F246" s="23" t="str">
        <f>IF($B246="","",IFERROR(INDEX(ProdNome,MATCH($B246,ProdCod,0)),"Código não cadastrado"))</f>
        <v>Pen drive 32GB</v>
      </c>
      <c r="G246" s="24">
        <f>IF(OR($B246="",$D246=""),"",$D246*IFERROR(INDEX(ProdCusto,MATCH($B246,ProdCod,0)),0))</f>
        <v>418</v>
      </c>
      <c r="H246" s="25" t="str">
        <f>IF($A246="","",IF(OR($B246="",$C246="",$D246=""),"Preencher tudo",IF($F246="Código não cadastrado","Código inválido","OK")))</f>
        <v>OK</v>
      </c>
    </row>
    <row r="247" spans="1:8">
      <c r="A247" s="16">
        <v>46235</v>
      </c>
      <c r="B247" s="15" t="s">
        <v>113</v>
      </c>
      <c r="C247" s="20" t="s">
        <v>179</v>
      </c>
      <c r="D247" s="22">
        <v>10</v>
      </c>
      <c r="E247" s="15" t="s">
        <v>249</v>
      </c>
      <c r="F247" s="23" t="str">
        <f>IF($B247="","",IFERROR(INDEX(ProdNome,MATCH($B247,ProdCod,0)),"Código não cadastrado"))</f>
        <v>Tesoura escolar</v>
      </c>
      <c r="G247" s="24">
        <f>IF(OR($B247="",$D247=""),"",$D247*IFERROR(INDEX(ProdCusto,MATCH($B247,ProdCod,0)),0))</f>
        <v>28</v>
      </c>
      <c r="H247" s="25" t="str">
        <f>IF($A247="","",IF(OR($B247="",$C247="",$D247=""),"Preencher tudo",IF($F247="Código não cadastrado","Código inválido","OK")))</f>
        <v>OK</v>
      </c>
    </row>
    <row r="248" spans="1:8">
      <c r="A248" s="16">
        <v>46235</v>
      </c>
      <c r="B248" s="15" t="s">
        <v>133</v>
      </c>
      <c r="C248" s="20" t="s">
        <v>177</v>
      </c>
      <c r="D248" s="22">
        <v>1</v>
      </c>
      <c r="E248" s="15" t="s">
        <v>178</v>
      </c>
      <c r="F248" s="23" t="str">
        <f>IF($B248="","",IFERROR(INDEX(ProdNome,MATCH($B248,ProdCod,0)),"Código não cadastrado"))</f>
        <v>Agenda 2027</v>
      </c>
      <c r="G248" s="24">
        <f>IF(OR($B248="",$D248=""),"",$D248*IFERROR(INDEX(ProdCusto,MATCH($B248,ProdCod,0)),0))</f>
        <v>14</v>
      </c>
      <c r="H248" s="25" t="str">
        <f>IF($A248="","",IF(OR($B248="",$C248="",$D248=""),"Preencher tudo",IF($F248="Código não cadastrado","Código inválido","OK")))</f>
        <v>OK</v>
      </c>
    </row>
    <row r="249" spans="1:8">
      <c r="A249" s="16">
        <v>46235</v>
      </c>
      <c r="B249" s="15" t="s">
        <v>153</v>
      </c>
      <c r="C249" s="20" t="s">
        <v>177</v>
      </c>
      <c r="D249" s="22">
        <v>1</v>
      </c>
      <c r="E249" s="15" t="s">
        <v>178</v>
      </c>
      <c r="F249" s="23" t="str">
        <f>IF($B249="","",IFERROR(INDEX(ProdNome,MATCH($B249,ProdCod,0)),"Código não cadastrado"))</f>
        <v>Envelope A4 (pct 50)</v>
      </c>
      <c r="G249" s="24">
        <f>IF(OR($B249="",$D249=""),"",$D249*IFERROR(INDEX(ProdCusto,MATCH($B249,ProdCod,0)),0))</f>
        <v>14</v>
      </c>
      <c r="H249" s="25" t="str">
        <f>IF($A249="","",IF(OR($B249="",$C249="",$D249=""),"Preencher tudo",IF($F249="Código não cadastrado","Código inválido","OK")))</f>
        <v>OK</v>
      </c>
    </row>
    <row r="250" spans="1:8">
      <c r="A250" s="16">
        <v>46235</v>
      </c>
      <c r="B250" s="15" t="s">
        <v>155</v>
      </c>
      <c r="C250" s="20" t="s">
        <v>179</v>
      </c>
      <c r="D250" s="22">
        <v>3</v>
      </c>
      <c r="E250" s="15" t="s">
        <v>250</v>
      </c>
      <c r="F250" s="23" t="str">
        <f>IF($B250="","",IFERROR(INDEX(ProdNome,MATCH($B250,ProdCod,0)),"Código não cadastrado"))</f>
        <v>Tinta guache (kit 6)</v>
      </c>
      <c r="G250" s="24">
        <f>IF(OR($B250="",$D250=""),"",$D250*IFERROR(INDEX(ProdCusto,MATCH($B250,ProdCod,0)),0))</f>
        <v>26.1</v>
      </c>
      <c r="H250" s="25" t="str">
        <f>IF($A250="","",IF(OR($B250="",$C250="",$D250=""),"Preencher tudo",IF($F250="Código não cadastrado","Código inválido","OK")))</f>
        <v>OK</v>
      </c>
    </row>
    <row r="251" spans="1:8">
      <c r="A251" s="16">
        <v>46235</v>
      </c>
      <c r="B251" s="15" t="s">
        <v>167</v>
      </c>
      <c r="C251" s="20" t="s">
        <v>179</v>
      </c>
      <c r="D251" s="22">
        <v>3</v>
      </c>
      <c r="E251" s="15" t="s">
        <v>251</v>
      </c>
      <c r="F251" s="23" t="str">
        <f>IF($B251="","",IFERROR(INDEX(ProdNome,MATCH($B251,ProdCod,0)),"Código não cadastrado"))</f>
        <v>Porta-retrato 10x15</v>
      </c>
      <c r="G251" s="24">
        <f>IF(OR($B251="",$D251=""),"",$D251*IFERROR(INDEX(ProdCusto,MATCH($B251,ProdCod,0)),0))</f>
        <v>18.6</v>
      </c>
      <c r="H251" s="25" t="str">
        <f>IF($A251="","",IF(OR($B251="",$C251="",$D251=""),"Preencher tudo",IF($F251="Código não cadastrado","Código inválido","OK")))</f>
        <v>OK</v>
      </c>
    </row>
    <row r="252" spans="1:8">
      <c r="A252" s="16">
        <v>46236</v>
      </c>
      <c r="B252" s="15" t="s">
        <v>95</v>
      </c>
      <c r="C252" s="20" t="s">
        <v>177</v>
      </c>
      <c r="D252" s="22">
        <v>1</v>
      </c>
      <c r="E252" s="15" t="s">
        <v>178</v>
      </c>
      <c r="F252" s="23" t="str">
        <f>IF($B252="","",IFERROR(INDEX(ProdNome,MATCH($B252,ProdCod,0)),"Código não cadastrado"))</f>
        <v>Pasta suspensa (pct 25)</v>
      </c>
      <c r="G252" s="24">
        <f>IF(OR($B252="",$D252=""),"",$D252*IFERROR(INDEX(ProdCusto,MATCH($B252,ProdCod,0)),0))</f>
        <v>28</v>
      </c>
      <c r="H252" s="25" t="str">
        <f>IF($A252="","",IF(OR($B252="",$C252="",$D252=""),"Preencher tudo",IF($F252="Código não cadastrado","Código inválido","OK")))</f>
        <v>OK</v>
      </c>
    </row>
    <row r="253" spans="1:8">
      <c r="A253" s="16">
        <v>46236</v>
      </c>
      <c r="B253" s="15" t="s">
        <v>97</v>
      </c>
      <c r="C253" s="20" t="s">
        <v>177</v>
      </c>
      <c r="D253" s="22">
        <v>1</v>
      </c>
      <c r="E253" s="15" t="s">
        <v>178</v>
      </c>
      <c r="F253" s="23" t="str">
        <f>IF($B253="","",IFERROR(INDEX(ProdNome,MATCH($B253,ProdCod,0)),"Código não cadastrado"))</f>
        <v>Grampeador médio</v>
      </c>
      <c r="G253" s="24">
        <f>IF(OR($B253="",$D253=""),"",$D253*IFERROR(INDEX(ProdCusto,MATCH($B253,ProdCod,0)),0))</f>
        <v>14</v>
      </c>
      <c r="H253" s="25" t="str">
        <f>IF($A253="","",IF(OR($B253="",$C253="",$D253=""),"Preencher tudo",IF($F253="Código não cadastrado","Código inválido","OK")))</f>
        <v>OK</v>
      </c>
    </row>
    <row r="254" spans="1:8">
      <c r="A254" s="16">
        <v>46236</v>
      </c>
      <c r="B254" s="15" t="s">
        <v>115</v>
      </c>
      <c r="C254" s="20" t="s">
        <v>177</v>
      </c>
      <c r="D254" s="22">
        <v>10</v>
      </c>
      <c r="E254" s="15" t="s">
        <v>178</v>
      </c>
      <c r="F254" s="23" t="str">
        <f>IF($B254="","",IFERROR(INDEX(ProdNome,MATCH($B254,ProdCod,0)),"Código não cadastrado"))</f>
        <v>Fita adesiva transparente</v>
      </c>
      <c r="G254" s="24">
        <f>IF(OR($B254="",$D254=""),"",$D254*IFERROR(INDEX(ProdCusto,MATCH($B254,ProdCod,0)),0))</f>
        <v>16</v>
      </c>
      <c r="H254" s="25" t="str">
        <f>IF($A254="","",IF(OR($B254="",$C254="",$D254=""),"Preencher tudo",IF($F254="Código não cadastrado","Código inválido","OK")))</f>
        <v>OK</v>
      </c>
    </row>
    <row r="255" spans="1:8">
      <c r="A255" s="16">
        <v>46236</v>
      </c>
      <c r="B255" s="15" t="s">
        <v>119</v>
      </c>
      <c r="C255" s="20" t="s">
        <v>177</v>
      </c>
      <c r="D255" s="22">
        <v>1</v>
      </c>
      <c r="E255" s="15" t="s">
        <v>178</v>
      </c>
      <c r="F255" s="23" t="str">
        <f>IF($B255="","",IFERROR(INDEX(ProdNome,MATCH($B255,ProdCod,0)),"Código não cadastrado"))</f>
        <v>Plástico bolha (rolo 50m)</v>
      </c>
      <c r="G255" s="24">
        <f>IF(OR($B255="",$D255=""),"",$D255*IFERROR(INDEX(ProdCusto,MATCH($B255,ProdCod,0)),0))</f>
        <v>32</v>
      </c>
      <c r="H255" s="25" t="str">
        <f>IF($A255="","",IF(OR($B255="",$C255="",$D255=""),"Preencher tudo",IF($F255="Código não cadastrado","Código inválido","OK")))</f>
        <v>OK</v>
      </c>
    </row>
    <row r="256" spans="1:8">
      <c r="A256" s="16">
        <v>46236</v>
      </c>
      <c r="B256" s="15" t="s">
        <v>131</v>
      </c>
      <c r="C256" s="20" t="s">
        <v>177</v>
      </c>
      <c r="D256" s="22">
        <v>2</v>
      </c>
      <c r="E256" s="15" t="s">
        <v>178</v>
      </c>
      <c r="F256" s="23" t="str">
        <f>IF($B256="","",IFERROR(INDEX(ProdNome,MATCH($B256,ProdCod,0)),"Código não cadastrado"))</f>
        <v>Garrafa squeeze 600ml</v>
      </c>
      <c r="G256" s="24">
        <f>IF(OR($B256="",$D256=""),"",$D256*IFERROR(INDEX(ProdCusto,MATCH($B256,ProdCod,0)),0))</f>
        <v>19.8</v>
      </c>
      <c r="H256" s="25" t="str">
        <f>IF($A256="","",IF(OR($B256="",$C256="",$D256=""),"Preencher tudo",IF($F256="Código não cadastrado","Código inválido","OK")))</f>
        <v>OK</v>
      </c>
    </row>
    <row r="257" spans="1:8">
      <c r="A257" s="16">
        <v>46236</v>
      </c>
      <c r="B257" s="15" t="s">
        <v>135</v>
      </c>
      <c r="C257" s="20" t="s">
        <v>177</v>
      </c>
      <c r="D257" s="22">
        <v>2</v>
      </c>
      <c r="E257" s="15" t="s">
        <v>178</v>
      </c>
      <c r="F257" s="23" t="str">
        <f>IF($B257="","",IFERROR(INDEX(ProdNome,MATCH($B257,ProdCod,0)),"Código não cadastrado"))</f>
        <v>Marca-texto (cx 6)</v>
      </c>
      <c r="G257" s="24">
        <f>IF(OR($B257="",$D257=""),"",$D257*IFERROR(INDEX(ProdCusto,MATCH($B257,ProdCod,0)),0))</f>
        <v>19.6</v>
      </c>
      <c r="H257" s="25" t="str">
        <f>IF($A257="","",IF(OR($B257="",$C257="",$D257=""),"Preencher tudo",IF($F257="Código não cadastrado","Código inválido","OK")))</f>
        <v>OK</v>
      </c>
    </row>
    <row r="258" spans="1:8">
      <c r="A258" s="16">
        <v>46236</v>
      </c>
      <c r="B258" s="15" t="s">
        <v>139</v>
      </c>
      <c r="C258" s="20" t="s">
        <v>177</v>
      </c>
      <c r="D258" s="22">
        <v>1</v>
      </c>
      <c r="E258" s="15" t="s">
        <v>178</v>
      </c>
      <c r="F258" s="23" t="str">
        <f>IF($B258="","",IFERROR(INDEX(ProdNome,MATCH($B258,ProdCod,0)),"Código não cadastrado"))</f>
        <v>Calculadora de mesa</v>
      </c>
      <c r="G258" s="24">
        <f>IF(OR($B258="",$D258=""),"",$D258*IFERROR(INDEX(ProdCusto,MATCH($B258,ProdCod,0)),0))</f>
        <v>17</v>
      </c>
      <c r="H258" s="25" t="str">
        <f>IF($A258="","",IF(OR($B258="",$C258="",$D258=""),"Preencher tudo",IF($F258="Código não cadastrado","Código inválido","OK")))</f>
        <v>OK</v>
      </c>
    </row>
    <row r="259" spans="1:8">
      <c r="A259" s="16">
        <v>46236</v>
      </c>
      <c r="B259" s="15" t="s">
        <v>143</v>
      </c>
      <c r="C259" s="20" t="s">
        <v>177</v>
      </c>
      <c r="D259" s="22">
        <v>9</v>
      </c>
      <c r="E259" s="15" t="s">
        <v>178</v>
      </c>
      <c r="F259" s="23" t="str">
        <f>IF($B259="","",IFERROR(INDEX(ProdNome,MATCH($B259,ProdCod,0)),"Código não cadastrado"))</f>
        <v>Régua 30cm</v>
      </c>
      <c r="G259" s="24">
        <f>IF(OR($B259="",$D259=""),"",$D259*IFERROR(INDEX(ProdCusto,MATCH($B259,ProdCod,0)),0))</f>
        <v>8.1</v>
      </c>
      <c r="H259" s="25" t="str">
        <f>IF($A259="","",IF(OR($B259="",$C259="",$D259=""),"Preencher tudo",IF($F259="Código não cadastrado","Código inválido","OK")))</f>
        <v>OK</v>
      </c>
    </row>
    <row r="260" spans="1:8">
      <c r="A260" s="16">
        <v>46237</v>
      </c>
      <c r="B260" s="15" t="s">
        <v>107</v>
      </c>
      <c r="C260" s="20" t="s">
        <v>177</v>
      </c>
      <c r="D260" s="22">
        <v>3</v>
      </c>
      <c r="E260" s="15" t="s">
        <v>178</v>
      </c>
      <c r="F260" s="23" t="str">
        <f>IF($B260="","",IFERROR(INDEX(ProdNome,MATCH($B260,ProdCod,0)),"Código não cadastrado"))</f>
        <v>Estojo duplo</v>
      </c>
      <c r="G260" s="24">
        <f>IF(OR($B260="",$D260=""),"",$D260*IFERROR(INDEX(ProdCusto,MATCH($B260,ProdCod,0)),0))</f>
        <v>25.5</v>
      </c>
      <c r="H260" s="25" t="str">
        <f>IF($A260="","",IF(OR($B260="",$C260="",$D260=""),"Preencher tudo",IF($F260="Código não cadastrado","Código inválido","OK")))</f>
        <v>OK</v>
      </c>
    </row>
    <row r="261" spans="1:8">
      <c r="A261" s="16">
        <v>46237</v>
      </c>
      <c r="B261" s="15" t="s">
        <v>125</v>
      </c>
      <c r="C261" s="20" t="s">
        <v>177</v>
      </c>
      <c r="D261" s="22">
        <v>6</v>
      </c>
      <c r="E261" s="15" t="s">
        <v>178</v>
      </c>
      <c r="F261" s="23" t="str">
        <f>IF($B261="","",IFERROR(INDEX(ProdNome,MATCH($B261,ProdCod,0)),"Código não cadastrado"))</f>
        <v>Papel toalha (pct 2)</v>
      </c>
      <c r="G261" s="24">
        <f>IF(OR($B261="",$D261=""),"",$D261*IFERROR(INDEX(ProdCusto,MATCH($B261,ProdCod,0)),0))</f>
        <v>35.4</v>
      </c>
      <c r="H261" s="25" t="str">
        <f>IF($A261="","",IF(OR($B261="",$C261="",$D261=""),"Preencher tudo",IF($F261="Código não cadastrado","Código inválido","OK")))</f>
        <v>OK</v>
      </c>
    </row>
    <row r="262" spans="1:8">
      <c r="A262" s="16">
        <v>46237</v>
      </c>
      <c r="B262" s="15" t="s">
        <v>127</v>
      </c>
      <c r="C262" s="20" t="s">
        <v>177</v>
      </c>
      <c r="D262" s="22">
        <v>2</v>
      </c>
      <c r="E262" s="15" t="s">
        <v>178</v>
      </c>
      <c r="F262" s="23" t="str">
        <f>IF($B262="","",IFERROR(INDEX(ProdNome,MATCH($B262,ProdCod,0)),"Código não cadastrado"))</f>
        <v>Pilha AA (cartela 4)</v>
      </c>
      <c r="G262" s="24">
        <f>IF(OR($B262="",$D262=""),"",$D262*IFERROR(INDEX(ProdCusto,MATCH($B262,ProdCod,0)),0))</f>
        <v>15</v>
      </c>
      <c r="H262" s="25" t="str">
        <f>IF($A262="","",IF(OR($B262="",$C262="",$D262=""),"Preencher tudo",IF($F262="Código não cadastrado","Código inválido","OK")))</f>
        <v>OK</v>
      </c>
    </row>
    <row r="263" spans="1:8">
      <c r="A263" s="16">
        <v>46237</v>
      </c>
      <c r="B263" s="15" t="s">
        <v>129</v>
      </c>
      <c r="C263" s="20" t="s">
        <v>177</v>
      </c>
      <c r="D263" s="22">
        <v>3</v>
      </c>
      <c r="E263" s="15" t="s">
        <v>178</v>
      </c>
      <c r="F263" s="23" t="str">
        <f>IF($B263="","",IFERROR(INDEX(ProdNome,MATCH($B263,ProdCod,0)),"Código não cadastrado"))</f>
        <v>Caneca branca para sublimação</v>
      </c>
      <c r="G263" s="24">
        <f>IF(OR($B263="",$D263=""),"",$D263*IFERROR(INDEX(ProdCusto,MATCH($B263,ProdCod,0)),0))</f>
        <v>12.6</v>
      </c>
      <c r="H263" s="25" t="str">
        <f>IF($A263="","",IF(OR($B263="",$C263="",$D263=""),"Preencher tudo",IF($F263="Código não cadastrado","Código inválido","OK")))</f>
        <v>OK</v>
      </c>
    </row>
    <row r="264" spans="1:8">
      <c r="A264" s="16">
        <v>46237</v>
      </c>
      <c r="B264" s="15" t="s">
        <v>137</v>
      </c>
      <c r="C264" s="20" t="s">
        <v>177</v>
      </c>
      <c r="D264" s="22">
        <v>5</v>
      </c>
      <c r="E264" s="15" t="s">
        <v>178</v>
      </c>
      <c r="F264" s="23" t="str">
        <f>IF($B264="","",IFERROR(INDEX(ProdNome,MATCH($B264,ProdCod,0)),"Código não cadastrado"))</f>
        <v>Bloco de notas adesivas</v>
      </c>
      <c r="G264" s="24">
        <f>IF(OR($B264="",$D264=""),"",$D264*IFERROR(INDEX(ProdCusto,MATCH($B264,ProdCod,0)),0))</f>
        <v>17</v>
      </c>
      <c r="H264" s="25" t="str">
        <f>IF($A264="","",IF(OR($B264="",$C264="",$D264=""),"Preencher tudo",IF($F264="Código não cadastrado","Código inválido","OK")))</f>
        <v>OK</v>
      </c>
    </row>
    <row r="265" spans="1:8">
      <c r="A265" s="16">
        <v>46239</v>
      </c>
      <c r="B265" s="15" t="s">
        <v>93</v>
      </c>
      <c r="C265" s="20" t="s">
        <v>177</v>
      </c>
      <c r="D265" s="22">
        <v>55</v>
      </c>
      <c r="E265" s="15" t="s">
        <v>178</v>
      </c>
      <c r="F265" s="23" t="str">
        <f>IF($B265="","",IFERROR(INDEX(ProdNome,MATCH($B265,ProdCod,0)),"Código não cadastrado"))</f>
        <v>Papel A4 75g (resma)</v>
      </c>
      <c r="G265" s="24">
        <f>IF(OR($B265="",$D265=""),"",$D265*IFERROR(INDEX(ProdCusto,MATCH($B265,ProdCod,0)),0))</f>
        <v>1182.5</v>
      </c>
      <c r="H265" s="25" t="str">
        <f>IF($A265="","",IF(OR($B265="",$C265="",$D265=""),"Preencher tudo",IF($F265="Código não cadastrado","Código inválido","OK")))</f>
        <v>OK</v>
      </c>
    </row>
    <row r="266" spans="1:8">
      <c r="A266" s="16">
        <v>46239</v>
      </c>
      <c r="B266" s="15" t="s">
        <v>99</v>
      </c>
      <c r="C266" s="20" t="s">
        <v>177</v>
      </c>
      <c r="D266" s="22">
        <v>2</v>
      </c>
      <c r="E266" s="15" t="s">
        <v>178</v>
      </c>
      <c r="F266" s="23" t="str">
        <f>IF($B266="","",IFERROR(INDEX(ProdNome,MATCH($B266,ProdCod,0)),"Código não cadastrado"))</f>
        <v>Mouse óptico USB</v>
      </c>
      <c r="G266" s="24">
        <f>IF(OR($B266="",$D266=""),"",$D266*IFERROR(INDEX(ProdCusto,MATCH($B266,ProdCod,0)),0))</f>
        <v>22</v>
      </c>
      <c r="H266" s="25" t="str">
        <f>IF($A266="","",IF(OR($B266="",$C266="",$D266=""),"Preencher tudo",IF($F266="Código não cadastrado","Código inválido","OK")))</f>
        <v>OK</v>
      </c>
    </row>
    <row r="267" spans="1:8">
      <c r="A267" s="16">
        <v>46239</v>
      </c>
      <c r="B267" s="15" t="s">
        <v>101</v>
      </c>
      <c r="C267" s="20" t="s">
        <v>177</v>
      </c>
      <c r="D267" s="22">
        <v>10</v>
      </c>
      <c r="E267" s="15" t="s">
        <v>178</v>
      </c>
      <c r="F267" s="23" t="str">
        <f>IF($B267="","",IFERROR(INDEX(ProdNome,MATCH($B267,ProdCod,0)),"Código não cadastrado"))</f>
        <v>Pen drive 32GB</v>
      </c>
      <c r="G267" s="24">
        <f>IF(OR($B267="",$D267=""),"",$D267*IFERROR(INDEX(ProdCusto,MATCH($B267,ProdCod,0)),0))</f>
        <v>220</v>
      </c>
      <c r="H267" s="25" t="str">
        <f>IF($A267="","",IF(OR($B267="",$C267="",$D267=""),"Preencher tudo",IF($F267="Código não cadastrado","Código inválido","OK")))</f>
        <v>OK</v>
      </c>
    </row>
    <row r="268" spans="1:8">
      <c r="A268" s="16">
        <v>46239</v>
      </c>
      <c r="B268" s="15" t="s">
        <v>111</v>
      </c>
      <c r="C268" s="20" t="s">
        <v>177</v>
      </c>
      <c r="D268" s="22">
        <v>9</v>
      </c>
      <c r="E268" s="15" t="s">
        <v>178</v>
      </c>
      <c r="F268" s="23" t="str">
        <f>IF($B268="","",IFERROR(INDEX(ProdNome,MATCH($B268,ProdCod,0)),"Código não cadastrado"))</f>
        <v>Cola branca 90g</v>
      </c>
      <c r="G268" s="24">
        <f>IF(OR($B268="",$D268=""),"",$D268*IFERROR(INDEX(ProdCusto,MATCH($B268,ProdCod,0)),0))</f>
        <v>17.1</v>
      </c>
      <c r="H268" s="25" t="str">
        <f>IF($A268="","",IF(OR($B268="",$C268="",$D268=""),"Preencher tudo",IF($F268="Código não cadastrado","Código inválido","OK")))</f>
        <v>OK</v>
      </c>
    </row>
    <row r="269" spans="1:8">
      <c r="A269" s="16">
        <v>46239</v>
      </c>
      <c r="B269" s="15" t="s">
        <v>121</v>
      </c>
      <c r="C269" s="20" t="s">
        <v>177</v>
      </c>
      <c r="D269" s="22">
        <v>1</v>
      </c>
      <c r="E269" s="15" t="s">
        <v>178</v>
      </c>
      <c r="F269" s="23" t="str">
        <f>IF($B269="","",IFERROR(INDEX(ProdNome,MATCH($B269,ProdCod,0)),"Código não cadastrado"))</f>
        <v>Sacola kraft G (pct 50)</v>
      </c>
      <c r="G269" s="24">
        <f>IF(OR($B269="",$D269=""),"",$D269*IFERROR(INDEX(ProdCusto,MATCH($B269,ProdCod,0)),0))</f>
        <v>24</v>
      </c>
      <c r="H269" s="25" t="str">
        <f>IF($A269="","",IF(OR($B269="",$C269="",$D269=""),"Preencher tudo",IF($F269="Código não cadastrado","Código inválido","OK")))</f>
        <v>OK</v>
      </c>
    </row>
    <row r="270" spans="1:8">
      <c r="A270" s="16">
        <v>46239</v>
      </c>
      <c r="B270" s="15" t="s">
        <v>127</v>
      </c>
      <c r="C270" s="20" t="s">
        <v>177</v>
      </c>
      <c r="D270" s="22">
        <v>4</v>
      </c>
      <c r="E270" s="15" t="s">
        <v>178</v>
      </c>
      <c r="F270" s="23" t="str">
        <f>IF($B270="","",IFERROR(INDEX(ProdNome,MATCH($B270,ProdCod,0)),"Código não cadastrado"))</f>
        <v>Pilha AA (cartela 4)</v>
      </c>
      <c r="G270" s="24">
        <f>IF(OR($B270="",$D270=""),"",$D270*IFERROR(INDEX(ProdCusto,MATCH($B270,ProdCod,0)),0))</f>
        <v>30</v>
      </c>
      <c r="H270" s="25" t="str">
        <f>IF($A270="","",IF(OR($B270="",$C270="",$D270=""),"Preencher tudo",IF($F270="Código não cadastrado","Código inválido","OK")))</f>
        <v>OK</v>
      </c>
    </row>
    <row r="271" spans="1:8">
      <c r="A271" s="16">
        <v>46239</v>
      </c>
      <c r="B271" s="15" t="s">
        <v>131</v>
      </c>
      <c r="C271" s="20" t="s">
        <v>177</v>
      </c>
      <c r="D271" s="22">
        <v>2</v>
      </c>
      <c r="E271" s="15" t="s">
        <v>178</v>
      </c>
      <c r="F271" s="23" t="str">
        <f>IF($B271="","",IFERROR(INDEX(ProdNome,MATCH($B271,ProdCod,0)),"Código não cadastrado"))</f>
        <v>Garrafa squeeze 600ml</v>
      </c>
      <c r="G271" s="24">
        <f>IF(OR($B271="",$D271=""),"",$D271*IFERROR(INDEX(ProdCusto,MATCH($B271,ProdCod,0)),0))</f>
        <v>19.8</v>
      </c>
      <c r="H271" s="25" t="str">
        <f>IF($A271="","",IF(OR($B271="",$C271="",$D271=""),"Preencher tudo",IF($F271="Código não cadastrado","Código inválido","OK")))</f>
        <v>OK</v>
      </c>
    </row>
    <row r="272" spans="1:8">
      <c r="A272" s="16">
        <v>46239</v>
      </c>
      <c r="B272" s="15" t="s">
        <v>143</v>
      </c>
      <c r="C272" s="20" t="s">
        <v>177</v>
      </c>
      <c r="D272" s="22">
        <v>9</v>
      </c>
      <c r="E272" s="15" t="s">
        <v>178</v>
      </c>
      <c r="F272" s="23" t="str">
        <f>IF($B272="","",IFERROR(INDEX(ProdNome,MATCH($B272,ProdCod,0)),"Código não cadastrado"))</f>
        <v>Régua 30cm</v>
      </c>
      <c r="G272" s="24">
        <f>IF(OR($B272="",$D272=""),"",$D272*IFERROR(INDEX(ProdCusto,MATCH($B272,ProdCod,0)),0))</f>
        <v>8.1</v>
      </c>
      <c r="H272" s="25" t="str">
        <f>IF($A272="","",IF(OR($B272="",$C272="",$D272=""),"Preencher tudo",IF($F272="Código não cadastrado","Código inválido","OK")))</f>
        <v>OK</v>
      </c>
    </row>
    <row r="273" spans="1:8">
      <c r="A273" s="16">
        <v>46239</v>
      </c>
      <c r="B273" s="15" t="s">
        <v>163</v>
      </c>
      <c r="C273" s="20" t="s">
        <v>177</v>
      </c>
      <c r="D273" s="22">
        <v>1</v>
      </c>
      <c r="E273" s="15" t="s">
        <v>178</v>
      </c>
      <c r="F273" s="23" t="str">
        <f>IF($B273="","",IFERROR(INDEX(ProdNome,MATCH($B273,ProdCod,0)),"Código não cadastrado"))</f>
        <v>Caixa organizadora</v>
      </c>
      <c r="G273" s="24">
        <f>IF(OR($B273="",$D273=""),"",$D273*IFERROR(INDEX(ProdCusto,MATCH($B273,ProdCod,0)),0))</f>
        <v>18</v>
      </c>
      <c r="H273" s="25" t="str">
        <f>IF($A273="","",IF(OR($B273="",$C273="",$D273=""),"Preencher tudo",IF($F273="Código não cadastrado","Código inválido","OK")))</f>
        <v>OK</v>
      </c>
    </row>
    <row r="274" spans="1:8">
      <c r="A274" s="16">
        <v>46240</v>
      </c>
      <c r="B274" s="15" t="s">
        <v>91</v>
      </c>
      <c r="C274" s="20" t="s">
        <v>177</v>
      </c>
      <c r="D274" s="22">
        <v>13</v>
      </c>
      <c r="E274" s="15" t="s">
        <v>178</v>
      </c>
      <c r="F274" s="23" t="str">
        <f>IF($B274="","",IFERROR(INDEX(ProdNome,MATCH($B274,ProdCod,0)),"Código não cadastrado"))</f>
        <v>Caneta esferográfica azul (cx 50)</v>
      </c>
      <c r="G274" s="24">
        <f>IF(OR($B274="",$D274=""),"",$D274*IFERROR(INDEX(ProdCusto,MATCH($B274,ProdCod,0)),0))</f>
        <v>286</v>
      </c>
      <c r="H274" s="25" t="str">
        <f>IF($A274="","",IF(OR($B274="",$C274="",$D274=""),"Preencher tudo",IF($F274="Código não cadastrado","Código inválido","OK")))</f>
        <v>OK</v>
      </c>
    </row>
    <row r="275" spans="1:8">
      <c r="A275" s="16">
        <v>46240</v>
      </c>
      <c r="B275" s="15" t="s">
        <v>95</v>
      </c>
      <c r="C275" s="20" t="s">
        <v>179</v>
      </c>
      <c r="D275" s="22">
        <v>3</v>
      </c>
      <c r="E275" s="15" t="s">
        <v>252</v>
      </c>
      <c r="F275" s="23" t="str">
        <f>IF($B275="","",IFERROR(INDEX(ProdNome,MATCH($B275,ProdCod,0)),"Código não cadastrado"))</f>
        <v>Pasta suspensa (pct 25)</v>
      </c>
      <c r="G275" s="24">
        <f>IF(OR($B275="",$D275=""),"",$D275*IFERROR(INDEX(ProdCusto,MATCH($B275,ProdCod,0)),0))</f>
        <v>84</v>
      </c>
      <c r="H275" s="25" t="str">
        <f>IF($A275="","",IF(OR($B275="",$C275="",$D275=""),"Preencher tudo",IF($F275="Código não cadastrado","Código inválido","OK")))</f>
        <v>OK</v>
      </c>
    </row>
    <row r="276" spans="1:8">
      <c r="A276" s="16">
        <v>46240</v>
      </c>
      <c r="B276" s="15" t="s">
        <v>109</v>
      </c>
      <c r="C276" s="20" t="s">
        <v>177</v>
      </c>
      <c r="D276" s="22">
        <v>3</v>
      </c>
      <c r="E276" s="15" t="s">
        <v>178</v>
      </c>
      <c r="F276" s="23" t="str">
        <f>IF($B276="","",IFERROR(INDEX(ProdNome,MATCH($B276,ProdCod,0)),"Código não cadastrado"))</f>
        <v>Lápis de cor (cx 24)</v>
      </c>
      <c r="G276" s="24">
        <f>IF(OR($B276="",$D276=""),"",$D276*IFERROR(INDEX(ProdCusto,MATCH($B276,ProdCod,0)),0))</f>
        <v>23.7</v>
      </c>
      <c r="H276" s="25" t="str">
        <f>IF($A276="","",IF(OR($B276="",$C276="",$D276=""),"Preencher tudo",IF($F276="Código não cadastrado","Código inválido","OK")))</f>
        <v>OK</v>
      </c>
    </row>
    <row r="277" spans="1:8">
      <c r="A277" s="16">
        <v>46240</v>
      </c>
      <c r="B277" s="15" t="s">
        <v>119</v>
      </c>
      <c r="C277" s="20" t="s">
        <v>177</v>
      </c>
      <c r="D277" s="22">
        <v>1</v>
      </c>
      <c r="E277" s="15" t="s">
        <v>178</v>
      </c>
      <c r="F277" s="23" t="str">
        <f>IF($B277="","",IFERROR(INDEX(ProdNome,MATCH($B277,ProdCod,0)),"Código não cadastrado"))</f>
        <v>Plástico bolha (rolo 50m)</v>
      </c>
      <c r="G277" s="24">
        <f>IF(OR($B277="",$D277=""),"",$D277*IFERROR(INDEX(ProdCusto,MATCH($B277,ProdCod,0)),0))</f>
        <v>32</v>
      </c>
      <c r="H277" s="25" t="str">
        <f>IF($A277="","",IF(OR($B277="",$C277="",$D277=""),"Preencher tudo",IF($F277="Código não cadastrado","Código inválido","OK")))</f>
        <v>OK</v>
      </c>
    </row>
    <row r="278" spans="1:8">
      <c r="A278" s="16">
        <v>46240</v>
      </c>
      <c r="B278" s="15" t="s">
        <v>123</v>
      </c>
      <c r="C278" s="20" t="s">
        <v>177</v>
      </c>
      <c r="D278" s="22">
        <v>4</v>
      </c>
      <c r="E278" s="15" t="s">
        <v>178</v>
      </c>
      <c r="F278" s="23" t="str">
        <f>IF($B278="","",IFERROR(INDEX(ProdNome,MATCH($B278,ProdCod,0)),"Código não cadastrado"))</f>
        <v>Álcool 70% 1L</v>
      </c>
      <c r="G278" s="24">
        <f>IF(OR($B278="",$D278=""),"",$D278*IFERROR(INDEX(ProdCusto,MATCH($B278,ProdCod,0)),0))</f>
        <v>24.8</v>
      </c>
      <c r="H278" s="25" t="str">
        <f>IF($A278="","",IF(OR($B278="",$C278="",$D278=""),"Preencher tudo",IF($F278="Código não cadastrado","Código inválido","OK")))</f>
        <v>OK</v>
      </c>
    </row>
    <row r="279" spans="1:8">
      <c r="A279" s="16">
        <v>46240</v>
      </c>
      <c r="B279" s="15" t="s">
        <v>127</v>
      </c>
      <c r="C279" s="20" t="s">
        <v>179</v>
      </c>
      <c r="D279" s="22">
        <v>6</v>
      </c>
      <c r="E279" s="15" t="s">
        <v>253</v>
      </c>
      <c r="F279" s="23" t="str">
        <f>IF($B279="","",IFERROR(INDEX(ProdNome,MATCH($B279,ProdCod,0)),"Código não cadastrado"))</f>
        <v>Pilha AA (cartela 4)</v>
      </c>
      <c r="G279" s="24">
        <f>IF(OR($B279="",$D279=""),"",$D279*IFERROR(INDEX(ProdCusto,MATCH($B279,ProdCod,0)),0))</f>
        <v>45</v>
      </c>
      <c r="H279" s="25" t="str">
        <f>IF($A279="","",IF(OR($B279="",$C279="",$D279=""),"Preencher tudo",IF($F279="Código não cadastrado","Código inválido","OK")))</f>
        <v>OK</v>
      </c>
    </row>
    <row r="280" spans="1:8">
      <c r="A280" s="16">
        <v>46240</v>
      </c>
      <c r="B280" s="15" t="s">
        <v>129</v>
      </c>
      <c r="C280" s="20" t="s">
        <v>179</v>
      </c>
      <c r="D280" s="22">
        <v>8</v>
      </c>
      <c r="E280" s="15" t="s">
        <v>254</v>
      </c>
      <c r="F280" s="23" t="str">
        <f>IF($B280="","",IFERROR(INDEX(ProdNome,MATCH($B280,ProdCod,0)),"Código não cadastrado"))</f>
        <v>Caneca branca para sublimação</v>
      </c>
      <c r="G280" s="24">
        <f>IF(OR($B280="",$D280=""),"",$D280*IFERROR(INDEX(ProdCusto,MATCH($B280,ProdCod,0)),0))</f>
        <v>33.6</v>
      </c>
      <c r="H280" s="25" t="str">
        <f>IF($A280="","",IF(OR($B280="",$C280="",$D280=""),"Preencher tudo",IF($F280="Código não cadastrado","Código inválido","OK")))</f>
        <v>OK</v>
      </c>
    </row>
    <row r="281" spans="1:8">
      <c r="A281" s="16">
        <v>46240</v>
      </c>
      <c r="B281" s="15" t="s">
        <v>135</v>
      </c>
      <c r="C281" s="20" t="s">
        <v>179</v>
      </c>
      <c r="D281" s="22">
        <v>4</v>
      </c>
      <c r="E281" s="15" t="s">
        <v>255</v>
      </c>
      <c r="F281" s="23" t="str">
        <f>IF($B281="","",IFERROR(INDEX(ProdNome,MATCH($B281,ProdCod,0)),"Código não cadastrado"))</f>
        <v>Marca-texto (cx 6)</v>
      </c>
      <c r="G281" s="24">
        <f>IF(OR($B281="",$D281=""),"",$D281*IFERROR(INDEX(ProdCusto,MATCH($B281,ProdCod,0)),0))</f>
        <v>39.2</v>
      </c>
      <c r="H281" s="25" t="str">
        <f>IF($A281="","",IF(OR($B281="",$C281="",$D281=""),"Preencher tudo",IF($F281="Código não cadastrado","Código inválido","OK")))</f>
        <v>OK</v>
      </c>
    </row>
    <row r="282" spans="1:8">
      <c r="A282" s="16">
        <v>46240</v>
      </c>
      <c r="B282" s="15" t="s">
        <v>143</v>
      </c>
      <c r="C282" s="20" t="s">
        <v>179</v>
      </c>
      <c r="D282" s="22">
        <v>9</v>
      </c>
      <c r="E282" s="15" t="s">
        <v>256</v>
      </c>
      <c r="F282" s="23" t="str">
        <f>IF($B282="","",IFERROR(INDEX(ProdNome,MATCH($B282,ProdCod,0)),"Código não cadastrado"))</f>
        <v>Régua 30cm</v>
      </c>
      <c r="G282" s="24">
        <f>IF(OR($B282="",$D282=""),"",$D282*IFERROR(INDEX(ProdCusto,MATCH($B282,ProdCod,0)),0))</f>
        <v>8.1</v>
      </c>
      <c r="H282" s="25" t="str">
        <f>IF($A282="","",IF(OR($B282="",$C282="",$D282=""),"Preencher tudo",IF($F282="Código não cadastrado","Código inválido","OK")))</f>
        <v>OK</v>
      </c>
    </row>
    <row r="283" spans="1:8">
      <c r="A283" s="16">
        <v>46240</v>
      </c>
      <c r="B283" s="15" t="s">
        <v>153</v>
      </c>
      <c r="C283" s="20" t="s">
        <v>179</v>
      </c>
      <c r="D283" s="22">
        <v>3</v>
      </c>
      <c r="E283" s="15" t="s">
        <v>257</v>
      </c>
      <c r="F283" s="23" t="str">
        <f>IF($B283="","",IFERROR(INDEX(ProdNome,MATCH($B283,ProdCod,0)),"Código não cadastrado"))</f>
        <v>Envelope A4 (pct 50)</v>
      </c>
      <c r="G283" s="24">
        <f>IF(OR($B283="",$D283=""),"",$D283*IFERROR(INDEX(ProdCusto,MATCH($B283,ProdCod,0)),0))</f>
        <v>42</v>
      </c>
      <c r="H283" s="25" t="str">
        <f>IF($A283="","",IF(OR($B283="",$C283="",$D283=""),"Preencher tudo",IF($F283="Código não cadastrado","Código inválido","OK")))</f>
        <v>OK</v>
      </c>
    </row>
    <row r="284" spans="1:8">
      <c r="A284" s="16">
        <v>46241</v>
      </c>
      <c r="B284" s="15" t="s">
        <v>89</v>
      </c>
      <c r="C284" s="20" t="s">
        <v>179</v>
      </c>
      <c r="D284" s="22">
        <v>58</v>
      </c>
      <c r="E284" s="15" t="s">
        <v>258</v>
      </c>
      <c r="F284" s="23" t="str">
        <f>IF($B284="","",IFERROR(INDEX(ProdNome,MATCH($B284,ProdCod,0)),"Código não cadastrado"))</f>
        <v>Caderno universitário 10 matérias</v>
      </c>
      <c r="G284" s="24">
        <f>IF(OR($B284="",$D284=""),"",$D284*IFERROR(INDEX(ProdCusto,MATCH($B284,ProdCod,0)),0))</f>
        <v>551</v>
      </c>
      <c r="H284" s="25" t="str">
        <f>IF($A284="","",IF(OR($B284="",$C284="",$D284=""),"Preencher tudo",IF($F284="Código não cadastrado","Código inválido","OK")))</f>
        <v>OK</v>
      </c>
    </row>
    <row r="285" spans="1:8">
      <c r="A285" s="16">
        <v>46241</v>
      </c>
      <c r="B285" s="15" t="s">
        <v>97</v>
      </c>
      <c r="C285" s="20" t="s">
        <v>177</v>
      </c>
      <c r="D285" s="22">
        <v>1</v>
      </c>
      <c r="E285" s="15" t="s">
        <v>178</v>
      </c>
      <c r="F285" s="23" t="str">
        <f>IF($B285="","",IFERROR(INDEX(ProdNome,MATCH($B285,ProdCod,0)),"Código não cadastrado"))</f>
        <v>Grampeador médio</v>
      </c>
      <c r="G285" s="24">
        <f>IF(OR($B285="",$D285=""),"",$D285*IFERROR(INDEX(ProdCusto,MATCH($B285,ProdCod,0)),0))</f>
        <v>14</v>
      </c>
      <c r="H285" s="25" t="str">
        <f>IF($A285="","",IF(OR($B285="",$C285="",$D285=""),"Preencher tudo",IF($F285="Código não cadastrado","Código inválido","OK")))</f>
        <v>OK</v>
      </c>
    </row>
    <row r="286" spans="1:8">
      <c r="A286" s="16">
        <v>46241</v>
      </c>
      <c r="B286" s="15" t="s">
        <v>101</v>
      </c>
      <c r="C286" s="20" t="s">
        <v>179</v>
      </c>
      <c r="D286" s="22">
        <v>10</v>
      </c>
      <c r="E286" s="15" t="s">
        <v>259</v>
      </c>
      <c r="F286" s="23" t="str">
        <f>IF($B286="","",IFERROR(INDEX(ProdNome,MATCH($B286,ProdCod,0)),"Código não cadastrado"))</f>
        <v>Pen drive 32GB</v>
      </c>
      <c r="G286" s="24">
        <f>IF(OR($B286="",$D286=""),"",$D286*IFERROR(INDEX(ProdCusto,MATCH($B286,ProdCod,0)),0))</f>
        <v>220</v>
      </c>
      <c r="H286" s="25" t="str">
        <f>IF($A286="","",IF(OR($B286="",$C286="",$D286=""),"Preencher tudo",IF($F286="Código não cadastrado","Código inválido","OK")))</f>
        <v>OK</v>
      </c>
    </row>
    <row r="287" spans="1:8">
      <c r="A287" s="16">
        <v>46241</v>
      </c>
      <c r="B287" s="15" t="s">
        <v>103</v>
      </c>
      <c r="C287" s="20" t="s">
        <v>177</v>
      </c>
      <c r="D287" s="22">
        <v>15</v>
      </c>
      <c r="E287" s="15" t="s">
        <v>178</v>
      </c>
      <c r="F287" s="23" t="str">
        <f>IF($B287="","",IFERROR(INDEX(ProdNome,MATCH($B287,ProdCod,0)),"Código não cadastrado"))</f>
        <v>Cabo USB-C 1m</v>
      </c>
      <c r="G287" s="24">
        <f>IF(OR($B287="",$D287=""),"",$D287*IFERROR(INDEX(ProdCusto,MATCH($B287,ProdCod,0)),0))</f>
        <v>97.5</v>
      </c>
      <c r="H287" s="25" t="str">
        <f>IF($A287="","",IF(OR($B287="",$C287="",$D287=""),"Preencher tudo",IF($F287="Código não cadastrado","Código inválido","OK")))</f>
        <v>OK</v>
      </c>
    </row>
    <row r="288" spans="1:8">
      <c r="A288" s="16">
        <v>46241</v>
      </c>
      <c r="B288" s="15" t="s">
        <v>105</v>
      </c>
      <c r="C288" s="20" t="s">
        <v>177</v>
      </c>
      <c r="D288" s="22">
        <v>4</v>
      </c>
      <c r="E288" s="15" t="s">
        <v>178</v>
      </c>
      <c r="F288" s="23" t="str">
        <f>IF($B288="","",IFERROR(INDEX(ProdNome,MATCH($B288,ProdCod,0)),"Código não cadastrado"))</f>
        <v>Mochila escolar 20L</v>
      </c>
      <c r="G288" s="24">
        <f>IF(OR($B288="",$D288=""),"",$D288*IFERROR(INDEX(ProdCusto,MATCH($B288,ProdCod,0)),0))</f>
        <v>184</v>
      </c>
      <c r="H288" s="25" t="str">
        <f>IF($A288="","",IF(OR($B288="",$C288="",$D288=""),"Preencher tudo",IF($F288="Código não cadastrado","Código inválido","OK")))</f>
        <v>OK</v>
      </c>
    </row>
    <row r="289" spans="1:8">
      <c r="A289" s="16">
        <v>46241</v>
      </c>
      <c r="B289" s="15" t="s">
        <v>111</v>
      </c>
      <c r="C289" s="20" t="s">
        <v>179</v>
      </c>
      <c r="D289" s="22">
        <v>16</v>
      </c>
      <c r="E289" s="15" t="s">
        <v>260</v>
      </c>
      <c r="F289" s="23" t="str">
        <f>IF($B289="","",IFERROR(INDEX(ProdNome,MATCH($B289,ProdCod,0)),"Código não cadastrado"))</f>
        <v>Cola branca 90g</v>
      </c>
      <c r="G289" s="24">
        <f>IF(OR($B289="",$D289=""),"",$D289*IFERROR(INDEX(ProdCusto,MATCH($B289,ProdCod,0)),0))</f>
        <v>30.4</v>
      </c>
      <c r="H289" s="25" t="str">
        <f>IF($A289="","",IF(OR($B289="",$C289="",$D289=""),"Preencher tudo",IF($F289="Código não cadastrado","Código inválido","OK")))</f>
        <v>OK</v>
      </c>
    </row>
    <row r="290" spans="1:8">
      <c r="A290" s="16">
        <v>46241</v>
      </c>
      <c r="B290" s="15" t="s">
        <v>115</v>
      </c>
      <c r="C290" s="20" t="s">
        <v>179</v>
      </c>
      <c r="D290" s="22">
        <v>17</v>
      </c>
      <c r="E290" s="15" t="s">
        <v>261</v>
      </c>
      <c r="F290" s="23" t="str">
        <f>IF($B290="","",IFERROR(INDEX(ProdNome,MATCH($B290,ProdCod,0)),"Código não cadastrado"))</f>
        <v>Fita adesiva transparente</v>
      </c>
      <c r="G290" s="24">
        <f>IF(OR($B290="",$D290=""),"",$D290*IFERROR(INDEX(ProdCusto,MATCH($B290,ProdCod,0)),0))</f>
        <v>27.2</v>
      </c>
      <c r="H290" s="25" t="str">
        <f>IF($A290="","",IF(OR($B290="",$C290="",$D290=""),"Preencher tudo",IF($F290="Código não cadastrado","Código inválido","OK")))</f>
        <v>OK</v>
      </c>
    </row>
    <row r="291" spans="1:8">
      <c r="A291" s="16">
        <v>46241</v>
      </c>
      <c r="B291" s="15" t="s">
        <v>119</v>
      </c>
      <c r="C291" s="20" t="s">
        <v>179</v>
      </c>
      <c r="D291" s="22">
        <v>3</v>
      </c>
      <c r="E291" s="15" t="s">
        <v>262</v>
      </c>
      <c r="F291" s="23" t="str">
        <f>IF($B291="","",IFERROR(INDEX(ProdNome,MATCH($B291,ProdCod,0)),"Código não cadastrado"))</f>
        <v>Plástico bolha (rolo 50m)</v>
      </c>
      <c r="G291" s="24">
        <f>IF(OR($B291="",$D291=""),"",$D291*IFERROR(INDEX(ProdCusto,MATCH($B291,ProdCod,0)),0))</f>
        <v>96</v>
      </c>
      <c r="H291" s="25" t="str">
        <f>IF($A291="","",IF(OR($B291="",$C291="",$D291=""),"Preencher tudo",IF($F291="Código não cadastrado","Código inválido","OK")))</f>
        <v>OK</v>
      </c>
    </row>
    <row r="292" spans="1:8">
      <c r="A292" s="16">
        <v>46241</v>
      </c>
      <c r="B292" s="15" t="s">
        <v>125</v>
      </c>
      <c r="C292" s="20" t="s">
        <v>177</v>
      </c>
      <c r="D292" s="22">
        <v>4</v>
      </c>
      <c r="E292" s="15" t="s">
        <v>178</v>
      </c>
      <c r="F292" s="23" t="str">
        <f>IF($B292="","",IFERROR(INDEX(ProdNome,MATCH($B292,ProdCod,0)),"Código não cadastrado"))</f>
        <v>Papel toalha (pct 2)</v>
      </c>
      <c r="G292" s="24">
        <f>IF(OR($B292="",$D292=""),"",$D292*IFERROR(INDEX(ProdCusto,MATCH($B292,ProdCod,0)),0))</f>
        <v>23.6</v>
      </c>
      <c r="H292" s="25" t="str">
        <f>IF($A292="","",IF(OR($B292="",$C292="",$D292=""),"Preencher tudo",IF($F292="Código não cadastrado","Código inválido","OK")))</f>
        <v>OK</v>
      </c>
    </row>
    <row r="293" spans="1:8">
      <c r="A293" s="16">
        <v>46241</v>
      </c>
      <c r="B293" s="15" t="s">
        <v>129</v>
      </c>
      <c r="C293" s="20" t="s">
        <v>177</v>
      </c>
      <c r="D293" s="22">
        <v>5</v>
      </c>
      <c r="E293" s="15" t="s">
        <v>178</v>
      </c>
      <c r="F293" s="23" t="str">
        <f>IF($B293="","",IFERROR(INDEX(ProdNome,MATCH($B293,ProdCod,0)),"Código não cadastrado"))</f>
        <v>Caneca branca para sublimação</v>
      </c>
      <c r="G293" s="24">
        <f>IF(OR($B293="",$D293=""),"",$D293*IFERROR(INDEX(ProdCusto,MATCH($B293,ProdCod,0)),0))</f>
        <v>21</v>
      </c>
      <c r="H293" s="25" t="str">
        <f>IF($A293="","",IF(OR($B293="",$C293="",$D293=""),"Preencher tudo",IF($F293="Código não cadastrado","Código inválido","OK")))</f>
        <v>OK</v>
      </c>
    </row>
    <row r="294" spans="1:8">
      <c r="A294" s="16">
        <v>46241</v>
      </c>
      <c r="B294" s="15" t="s">
        <v>133</v>
      </c>
      <c r="C294" s="20" t="s">
        <v>177</v>
      </c>
      <c r="D294" s="22">
        <v>1</v>
      </c>
      <c r="E294" s="15" t="s">
        <v>178</v>
      </c>
      <c r="F294" s="23" t="str">
        <f>IF($B294="","",IFERROR(INDEX(ProdNome,MATCH($B294,ProdCod,0)),"Código não cadastrado"))</f>
        <v>Agenda 2027</v>
      </c>
      <c r="G294" s="24">
        <f>IF(OR($B294="",$D294=""),"",$D294*IFERROR(INDEX(ProdCusto,MATCH($B294,ProdCod,0)),0))</f>
        <v>14</v>
      </c>
      <c r="H294" s="25" t="str">
        <f>IF($A294="","",IF(OR($B294="",$C294="",$D294=""),"Preencher tudo",IF($F294="Código não cadastrado","Código inválido","OK")))</f>
        <v>OK</v>
      </c>
    </row>
    <row r="295" spans="1:8">
      <c r="A295" s="16">
        <v>46241</v>
      </c>
      <c r="B295" s="15" t="s">
        <v>139</v>
      </c>
      <c r="C295" s="20" t="s">
        <v>177</v>
      </c>
      <c r="D295" s="22">
        <v>1</v>
      </c>
      <c r="E295" s="15" t="s">
        <v>178</v>
      </c>
      <c r="F295" s="23" t="str">
        <f>IF($B295="","",IFERROR(INDEX(ProdNome,MATCH($B295,ProdCod,0)),"Código não cadastrado"))</f>
        <v>Calculadora de mesa</v>
      </c>
      <c r="G295" s="24">
        <f>IF(OR($B295="",$D295=""),"",$D295*IFERROR(INDEX(ProdCusto,MATCH($B295,ProdCod,0)),0))</f>
        <v>17</v>
      </c>
      <c r="H295" s="25" t="str">
        <f>IF($A295="","",IF(OR($B295="",$C295="",$D295=""),"Preencher tudo",IF($F295="Código não cadastrado","Código inválido","OK")))</f>
        <v>OK</v>
      </c>
    </row>
    <row r="296" spans="1:8">
      <c r="A296" s="16">
        <v>46241</v>
      </c>
      <c r="B296" s="15" t="s">
        <v>159</v>
      </c>
      <c r="C296" s="20" t="s">
        <v>179</v>
      </c>
      <c r="D296" s="22">
        <v>3</v>
      </c>
      <c r="E296" s="15" t="s">
        <v>263</v>
      </c>
      <c r="F296" s="23" t="str">
        <f>IF($B296="","",IFERROR(INDEX(ProdNome,MATCH($B296,ProdCod,0)),"Código não cadastrado"))</f>
        <v>Luva descartável (cx 100)</v>
      </c>
      <c r="G296" s="24">
        <f>IF(OR($B296="",$D296=""),"",$D296*IFERROR(INDEX(ProdCusto,MATCH($B296,ProdCod,0)),0))</f>
        <v>63</v>
      </c>
      <c r="H296" s="25" t="str">
        <f>IF($A296="","",IF(OR($B296="",$C296="",$D296=""),"Preencher tudo",IF($F296="Código não cadastrado","Código inválido","OK")))</f>
        <v>OK</v>
      </c>
    </row>
    <row r="297" spans="1:8">
      <c r="A297" s="16">
        <v>46241</v>
      </c>
      <c r="B297" s="15" t="s">
        <v>163</v>
      </c>
      <c r="C297" s="20" t="s">
        <v>179</v>
      </c>
      <c r="D297" s="22">
        <v>3</v>
      </c>
      <c r="E297" s="15" t="s">
        <v>264</v>
      </c>
      <c r="F297" s="23" t="str">
        <f>IF($B297="","",IFERROR(INDEX(ProdNome,MATCH($B297,ProdCod,0)),"Código não cadastrado"))</f>
        <v>Caixa organizadora</v>
      </c>
      <c r="G297" s="24">
        <f>IF(OR($B297="",$D297=""),"",$D297*IFERROR(INDEX(ProdCusto,MATCH($B297,ProdCod,0)),0))</f>
        <v>54</v>
      </c>
      <c r="H297" s="25" t="str">
        <f>IF($A297="","",IF(OR($B297="",$C297="",$D297=""),"Preencher tudo",IF($F297="Código não cadastrado","Código inválido","OK")))</f>
        <v>OK</v>
      </c>
    </row>
    <row r="298" spans="1:8">
      <c r="A298" s="16">
        <v>46242</v>
      </c>
      <c r="B298" s="15" t="s">
        <v>91</v>
      </c>
      <c r="C298" s="20" t="s">
        <v>179</v>
      </c>
      <c r="D298" s="22">
        <v>21</v>
      </c>
      <c r="E298" s="15" t="s">
        <v>265</v>
      </c>
      <c r="F298" s="23" t="str">
        <f>IF($B298="","",IFERROR(INDEX(ProdNome,MATCH($B298,ProdCod,0)),"Código não cadastrado"))</f>
        <v>Caneta esferográfica azul (cx 50)</v>
      </c>
      <c r="G298" s="24">
        <f>IF(OR($B298="",$D298=""),"",$D298*IFERROR(INDEX(ProdCusto,MATCH($B298,ProdCod,0)),0))</f>
        <v>462</v>
      </c>
      <c r="H298" s="25" t="str">
        <f>IF($A298="","",IF(OR($B298="",$C298="",$D298=""),"Preencher tudo",IF($F298="Código não cadastrado","Código inválido","OK")))</f>
        <v>OK</v>
      </c>
    </row>
    <row r="299" spans="1:8">
      <c r="A299" s="16">
        <v>46242</v>
      </c>
      <c r="B299" s="15" t="s">
        <v>93</v>
      </c>
      <c r="C299" s="20" t="s">
        <v>179</v>
      </c>
      <c r="D299" s="22">
        <v>55</v>
      </c>
      <c r="E299" s="15" t="s">
        <v>266</v>
      </c>
      <c r="F299" s="23" t="str">
        <f>IF($B299="","",IFERROR(INDEX(ProdNome,MATCH($B299,ProdCod,0)),"Código não cadastrado"))</f>
        <v>Papel A4 75g (resma)</v>
      </c>
      <c r="G299" s="24">
        <f>IF(OR($B299="",$D299=""),"",$D299*IFERROR(INDEX(ProdCusto,MATCH($B299,ProdCod,0)),0))</f>
        <v>1182.5</v>
      </c>
      <c r="H299" s="25" t="str">
        <f>IF($A299="","",IF(OR($B299="",$C299="",$D299=""),"Preencher tudo",IF($F299="Código não cadastrado","Código inválido","OK")))</f>
        <v>OK</v>
      </c>
    </row>
    <row r="300" spans="1:8">
      <c r="A300" s="16">
        <v>46242</v>
      </c>
      <c r="B300" s="15" t="s">
        <v>99</v>
      </c>
      <c r="C300" s="20" t="s">
        <v>179</v>
      </c>
      <c r="D300" s="22">
        <v>4</v>
      </c>
      <c r="E300" s="15" t="s">
        <v>267</v>
      </c>
      <c r="F300" s="23" t="str">
        <f>IF($B300="","",IFERROR(INDEX(ProdNome,MATCH($B300,ProdCod,0)),"Código não cadastrado"))</f>
        <v>Mouse óptico USB</v>
      </c>
      <c r="G300" s="24">
        <f>IF(OR($B300="",$D300=""),"",$D300*IFERROR(INDEX(ProdCusto,MATCH($B300,ProdCod,0)),0))</f>
        <v>44</v>
      </c>
      <c r="H300" s="25" t="str">
        <f>IF($A300="","",IF(OR($B300="",$C300="",$D300=""),"Preencher tudo",IF($F300="Código não cadastrado","Código inválido","OK")))</f>
        <v>OK</v>
      </c>
    </row>
    <row r="301" spans="1:8">
      <c r="A301" s="16">
        <v>46242</v>
      </c>
      <c r="B301" s="15" t="s">
        <v>103</v>
      </c>
      <c r="C301" s="20" t="s">
        <v>179</v>
      </c>
      <c r="D301" s="22">
        <v>29</v>
      </c>
      <c r="E301" s="15" t="s">
        <v>268</v>
      </c>
      <c r="F301" s="23" t="str">
        <f>IF($B301="","",IFERROR(INDEX(ProdNome,MATCH($B301,ProdCod,0)),"Código não cadastrado"))</f>
        <v>Cabo USB-C 1m</v>
      </c>
      <c r="G301" s="24">
        <f>IF(OR($B301="",$D301=""),"",$D301*IFERROR(INDEX(ProdCusto,MATCH($B301,ProdCod,0)),0))</f>
        <v>188.5</v>
      </c>
      <c r="H301" s="25" t="str">
        <f>IF($A301="","",IF(OR($B301="",$C301="",$D301=""),"Preencher tudo",IF($F301="Código não cadastrado","Código inválido","OK")))</f>
        <v>OK</v>
      </c>
    </row>
    <row r="302" spans="1:8">
      <c r="A302" s="16">
        <v>46242</v>
      </c>
      <c r="B302" s="15" t="s">
        <v>117</v>
      </c>
      <c r="C302" s="20" t="s">
        <v>177</v>
      </c>
      <c r="D302" s="22">
        <v>1</v>
      </c>
      <c r="E302" s="15" t="s">
        <v>178</v>
      </c>
      <c r="F302" s="23" t="str">
        <f>IF($B302="","",IFERROR(INDEX(ProdNome,MATCH($B302,ProdCod,0)),"Código não cadastrado"))</f>
        <v>Caixa de papelão M (pct 10)</v>
      </c>
      <c r="G302" s="24">
        <f>IF(OR($B302="",$D302=""),"",$D302*IFERROR(INDEX(ProdCusto,MATCH($B302,ProdCod,0)),0))</f>
        <v>15</v>
      </c>
      <c r="H302" s="25" t="str">
        <f>IF($A302="","",IF(OR($B302="",$C302="",$D302=""),"Preencher tudo",IF($F302="Código não cadastrado","Código inválido","OK")))</f>
        <v>OK</v>
      </c>
    </row>
    <row r="303" spans="1:8">
      <c r="A303" s="16">
        <v>46242</v>
      </c>
      <c r="B303" s="15" t="s">
        <v>131</v>
      </c>
      <c r="C303" s="20" t="s">
        <v>179</v>
      </c>
      <c r="D303" s="22">
        <v>4</v>
      </c>
      <c r="E303" s="15" t="s">
        <v>269</v>
      </c>
      <c r="F303" s="23" t="str">
        <f>IF($B303="","",IFERROR(INDEX(ProdNome,MATCH($B303,ProdCod,0)),"Código não cadastrado"))</f>
        <v>Garrafa squeeze 600ml</v>
      </c>
      <c r="G303" s="24">
        <f>IF(OR($B303="",$D303=""),"",$D303*IFERROR(INDEX(ProdCusto,MATCH($B303,ProdCod,0)),0))</f>
        <v>39.6</v>
      </c>
      <c r="H303" s="25" t="str">
        <f>IF($A303="","",IF(OR($B303="",$C303="",$D303=""),"Preencher tudo",IF($F303="Código não cadastrado","Código inválido","OK")))</f>
        <v>OK</v>
      </c>
    </row>
    <row r="304" spans="1:8">
      <c r="A304" s="16">
        <v>46242</v>
      </c>
      <c r="B304" s="15" t="s">
        <v>139</v>
      </c>
      <c r="C304" s="20" t="s">
        <v>179</v>
      </c>
      <c r="D304" s="22">
        <v>3</v>
      </c>
      <c r="E304" s="15" t="s">
        <v>270</v>
      </c>
      <c r="F304" s="23" t="str">
        <f>IF($B304="","",IFERROR(INDEX(ProdNome,MATCH($B304,ProdCod,0)),"Código não cadastrado"))</f>
        <v>Calculadora de mesa</v>
      </c>
      <c r="G304" s="24">
        <f>IF(OR($B304="",$D304=""),"",$D304*IFERROR(INDEX(ProdCusto,MATCH($B304,ProdCod,0)),0))</f>
        <v>51</v>
      </c>
      <c r="H304" s="25" t="str">
        <f>IF($A304="","",IF(OR($B304="",$C304="",$D304=""),"Preencher tudo",IF($F304="Código não cadastrado","Código inválido","OK")))</f>
        <v>OK</v>
      </c>
    </row>
    <row r="305" spans="1:8">
      <c r="A305" s="16">
        <v>46242</v>
      </c>
      <c r="B305" s="15" t="s">
        <v>141</v>
      </c>
      <c r="C305" s="20" t="s">
        <v>179</v>
      </c>
      <c r="D305" s="22">
        <v>4</v>
      </c>
      <c r="E305" s="15" t="s">
        <v>271</v>
      </c>
      <c r="F305" s="23" t="str">
        <f>IF($B305="","",IFERROR(INDEX(ProdNome,MATCH($B305,ProdCod,0)),"Código não cadastrado"))</f>
        <v>Fichário argolado</v>
      </c>
      <c r="G305" s="24">
        <f>IF(OR($B305="",$D305=""),"",$D305*IFERROR(INDEX(ProdCusto,MATCH($B305,ProdCod,0)),0))</f>
        <v>84</v>
      </c>
      <c r="H305" s="25" t="str">
        <f>IF($A305="","",IF(OR($B305="",$C305="",$D305=""),"Preencher tudo",IF($F305="Código não cadastrado","Código inválido","OK")))</f>
        <v>OK</v>
      </c>
    </row>
    <row r="306" spans="1:8">
      <c r="A306" s="16">
        <v>46242</v>
      </c>
      <c r="B306" s="15" t="s">
        <v>153</v>
      </c>
      <c r="C306" s="20" t="s">
        <v>177</v>
      </c>
      <c r="D306" s="22">
        <v>1</v>
      </c>
      <c r="E306" s="15" t="s">
        <v>178</v>
      </c>
      <c r="F306" s="23" t="str">
        <f>IF($B306="","",IFERROR(INDEX(ProdNome,MATCH($B306,ProdCod,0)),"Código não cadastrado"))</f>
        <v>Envelope A4 (pct 50)</v>
      </c>
      <c r="G306" s="24">
        <f>IF(OR($B306="",$D306=""),"",$D306*IFERROR(INDEX(ProdCusto,MATCH($B306,ProdCod,0)),0))</f>
        <v>14</v>
      </c>
      <c r="H306" s="25" t="str">
        <f>IF($A306="","",IF(OR($B306="",$C306="",$D306=""),"Preencher tudo",IF($F306="Código não cadastrado","Código inválido","OK")))</f>
        <v>OK</v>
      </c>
    </row>
    <row r="307" spans="1:8">
      <c r="A307" s="16">
        <v>46242</v>
      </c>
      <c r="B307" s="15" t="s">
        <v>157</v>
      </c>
      <c r="C307" s="20" t="s">
        <v>177</v>
      </c>
      <c r="D307" s="22">
        <v>1</v>
      </c>
      <c r="E307" s="15" t="s">
        <v>178</v>
      </c>
      <c r="F307" s="23" t="str">
        <f>IF($B307="","",IFERROR(INDEX(ProdNome,MATCH($B307,ProdCod,0)),"Código não cadastrado"))</f>
        <v>Papel fotográfico A4 (pct 20)</v>
      </c>
      <c r="G307" s="24">
        <f>IF(OR($B307="",$D307=""),"",$D307*IFERROR(INDEX(ProdCusto,MATCH($B307,ProdCod,0)),0))</f>
        <v>12.5</v>
      </c>
      <c r="H307" s="25" t="str">
        <f>IF($A307="","",IF(OR($B307="",$C307="",$D307=""),"Preencher tudo",IF($F307="Código não cadastrado","Código inválido","OK")))</f>
        <v>OK</v>
      </c>
    </row>
    <row r="308" spans="1:8">
      <c r="A308" s="16">
        <v>46242</v>
      </c>
      <c r="B308" s="15" t="s">
        <v>157</v>
      </c>
      <c r="C308" s="20" t="s">
        <v>179</v>
      </c>
      <c r="D308" s="22">
        <v>3</v>
      </c>
      <c r="E308" s="15" t="s">
        <v>272</v>
      </c>
      <c r="F308" s="23" t="str">
        <f>IF($B308="","",IFERROR(INDEX(ProdNome,MATCH($B308,ProdCod,0)),"Código não cadastrado"))</f>
        <v>Papel fotográfico A4 (pct 20)</v>
      </c>
      <c r="G308" s="24">
        <f>IF(OR($B308="",$D308=""),"",$D308*IFERROR(INDEX(ProdCusto,MATCH($B308,ProdCod,0)),0))</f>
        <v>37.5</v>
      </c>
      <c r="H308" s="25" t="str">
        <f>IF($A308="","",IF(OR($B308="",$C308="",$D308=""),"Preencher tudo",IF($F308="Código não cadastrado","Código inválido","OK")))</f>
        <v>OK</v>
      </c>
    </row>
    <row r="309" spans="1:8">
      <c r="A309" s="16">
        <v>46242</v>
      </c>
      <c r="B309" s="15" t="s">
        <v>159</v>
      </c>
      <c r="C309" s="20" t="s">
        <v>177</v>
      </c>
      <c r="D309" s="22">
        <v>1</v>
      </c>
      <c r="E309" s="15" t="s">
        <v>178</v>
      </c>
      <c r="F309" s="23" t="str">
        <f>IF($B309="","",IFERROR(INDEX(ProdNome,MATCH($B309,ProdCod,0)),"Código não cadastrado"))</f>
        <v>Luva descartável (cx 100)</v>
      </c>
      <c r="G309" s="24">
        <f>IF(OR($B309="",$D309=""),"",$D309*IFERROR(INDEX(ProdCusto,MATCH($B309,ProdCod,0)),0))</f>
        <v>21</v>
      </c>
      <c r="H309" s="25" t="str">
        <f>IF($A309="","",IF(OR($B309="",$C309="",$D309=""),"Preencher tudo",IF($F309="Código não cadastrado","Código inválido","OK")))</f>
        <v>OK</v>
      </c>
    </row>
    <row r="310" spans="1:8">
      <c r="A310" s="16">
        <v>46242</v>
      </c>
      <c r="B310" s="15" t="s">
        <v>161</v>
      </c>
      <c r="C310" s="20" t="s">
        <v>177</v>
      </c>
      <c r="D310" s="22">
        <v>1</v>
      </c>
      <c r="E310" s="15" t="s">
        <v>178</v>
      </c>
      <c r="F310" s="23" t="str">
        <f>IF($B310="","",IFERROR(INDEX(ProdNome,MATCH($B310,ProdCod,0)),"Código não cadastrado"))</f>
        <v>Pote plástico 500ml (pct 12)</v>
      </c>
      <c r="G310" s="24">
        <f>IF(OR($B310="",$D310=""),"",$D310*IFERROR(INDEX(ProdCusto,MATCH($B310,ProdCod,0)),0))</f>
        <v>11</v>
      </c>
      <c r="H310" s="25" t="str">
        <f>IF($A310="","",IF(OR($B310="",$C310="",$D310=""),"Preencher tudo",IF($F310="Código não cadastrado","Código inválido","OK")))</f>
        <v>OK</v>
      </c>
    </row>
    <row r="311" spans="1:8">
      <c r="A311" s="16">
        <v>46242</v>
      </c>
      <c r="B311" s="15" t="s">
        <v>167</v>
      </c>
      <c r="C311" s="20" t="s">
        <v>177</v>
      </c>
      <c r="D311" s="22">
        <v>2</v>
      </c>
      <c r="E311" s="15" t="s">
        <v>178</v>
      </c>
      <c r="F311" s="23" t="str">
        <f>IF($B311="","",IFERROR(INDEX(ProdNome,MATCH($B311,ProdCod,0)),"Código não cadastrado"))</f>
        <v>Porta-retrato 10x15</v>
      </c>
      <c r="G311" s="24">
        <f>IF(OR($B311="",$D311=""),"",$D311*IFERROR(INDEX(ProdCusto,MATCH($B311,ProdCod,0)),0))</f>
        <v>12.4</v>
      </c>
      <c r="H311" s="25" t="str">
        <f>IF($A311="","",IF(OR($B311="",$C311="",$D311=""),"Preencher tudo",IF($F311="Código não cadastrado","Código inválido","OK")))</f>
        <v>OK</v>
      </c>
    </row>
    <row r="312" spans="1:8">
      <c r="A312" s="16">
        <v>46243</v>
      </c>
      <c r="B312" s="15" t="s">
        <v>95</v>
      </c>
      <c r="C312" s="20" t="s">
        <v>177</v>
      </c>
      <c r="D312" s="22">
        <v>1</v>
      </c>
      <c r="E312" s="15" t="s">
        <v>178</v>
      </c>
      <c r="F312" s="23" t="str">
        <f>IF($B312="","",IFERROR(INDEX(ProdNome,MATCH($B312,ProdCod,0)),"Código não cadastrado"))</f>
        <v>Pasta suspensa (pct 25)</v>
      </c>
      <c r="G312" s="24">
        <f>IF(OR($B312="",$D312=""),"",$D312*IFERROR(INDEX(ProdCusto,MATCH($B312,ProdCod,0)),0))</f>
        <v>28</v>
      </c>
      <c r="H312" s="25" t="str">
        <f>IF($A312="","",IF(OR($B312="",$C312="",$D312=""),"Preencher tudo",IF($F312="Código não cadastrado","Código inválido","OK")))</f>
        <v>OK</v>
      </c>
    </row>
    <row r="313" spans="1:8">
      <c r="A313" s="16">
        <v>46243</v>
      </c>
      <c r="B313" s="15" t="s">
        <v>113</v>
      </c>
      <c r="C313" s="20" t="s">
        <v>177</v>
      </c>
      <c r="D313" s="22">
        <v>3</v>
      </c>
      <c r="E313" s="15" t="s">
        <v>178</v>
      </c>
      <c r="F313" s="23" t="str">
        <f>IF($B313="","",IFERROR(INDEX(ProdNome,MATCH($B313,ProdCod,0)),"Código não cadastrado"))</f>
        <v>Tesoura escolar</v>
      </c>
      <c r="G313" s="24">
        <f>IF(OR($B313="",$D313=""),"",$D313*IFERROR(INDEX(ProdCusto,MATCH($B313,ProdCod,0)),0))</f>
        <v>8.4</v>
      </c>
      <c r="H313" s="25" t="str">
        <f>IF($A313="","",IF(OR($B313="",$C313="",$D313=""),"Preencher tudo",IF($F313="Código não cadastrado","Código inválido","OK")))</f>
        <v>OK</v>
      </c>
    </row>
    <row r="314" spans="1:8">
      <c r="A314" s="16">
        <v>46243</v>
      </c>
      <c r="B314" s="15" t="s">
        <v>115</v>
      </c>
      <c r="C314" s="20" t="s">
        <v>177</v>
      </c>
      <c r="D314" s="22">
        <v>7</v>
      </c>
      <c r="E314" s="15" t="s">
        <v>178</v>
      </c>
      <c r="F314" s="23" t="str">
        <f>IF($B314="","",IFERROR(INDEX(ProdNome,MATCH($B314,ProdCod,0)),"Código não cadastrado"))</f>
        <v>Fita adesiva transparente</v>
      </c>
      <c r="G314" s="24">
        <f>IF(OR($B314="",$D314=""),"",$D314*IFERROR(INDEX(ProdCusto,MATCH($B314,ProdCod,0)),0))</f>
        <v>11.2</v>
      </c>
      <c r="H314" s="25" t="str">
        <f>IF($A314="","",IF(OR($B314="",$C314="",$D314=""),"Preencher tudo",IF($F314="Código não cadastrado","Código inválido","OK")))</f>
        <v>OK</v>
      </c>
    </row>
    <row r="315" spans="1:8">
      <c r="A315" s="16">
        <v>46243</v>
      </c>
      <c r="B315" s="15" t="s">
        <v>135</v>
      </c>
      <c r="C315" s="20" t="s">
        <v>177</v>
      </c>
      <c r="D315" s="22">
        <v>2</v>
      </c>
      <c r="E315" s="15" t="s">
        <v>178</v>
      </c>
      <c r="F315" s="23" t="str">
        <f>IF($B315="","",IFERROR(INDEX(ProdNome,MATCH($B315,ProdCod,0)),"Código não cadastrado"))</f>
        <v>Marca-texto (cx 6)</v>
      </c>
      <c r="G315" s="24">
        <f>IF(OR($B315="",$D315=""),"",$D315*IFERROR(INDEX(ProdCusto,MATCH($B315,ProdCod,0)),0))</f>
        <v>19.6</v>
      </c>
      <c r="H315" s="25" t="str">
        <f>IF($A315="","",IF(OR($B315="",$C315="",$D315=""),"Preencher tudo",IF($F315="Código não cadastrado","Código inválido","OK")))</f>
        <v>OK</v>
      </c>
    </row>
    <row r="316" spans="1:8">
      <c r="A316" s="16">
        <v>46243</v>
      </c>
      <c r="B316" s="15" t="s">
        <v>137</v>
      </c>
      <c r="C316" s="20" t="s">
        <v>177</v>
      </c>
      <c r="D316" s="22">
        <v>7</v>
      </c>
      <c r="E316" s="15" t="s">
        <v>178</v>
      </c>
      <c r="F316" s="23" t="str">
        <f>IF($B316="","",IFERROR(INDEX(ProdNome,MATCH($B316,ProdCod,0)),"Código não cadastrado"))</f>
        <v>Bloco de notas adesivas</v>
      </c>
      <c r="G316" s="24">
        <f>IF(OR($B316="",$D316=""),"",$D316*IFERROR(INDEX(ProdCusto,MATCH($B316,ProdCod,0)),0))</f>
        <v>23.8</v>
      </c>
      <c r="H316" s="25" t="str">
        <f>IF($A316="","",IF(OR($B316="",$C316="",$D316=""),"Preencher tudo",IF($F316="Código não cadastrado","Código inválido","OK")))</f>
        <v>OK</v>
      </c>
    </row>
    <row r="317" spans="1:8">
      <c r="A317" s="16">
        <v>46243</v>
      </c>
      <c r="B317" s="15" t="s">
        <v>141</v>
      </c>
      <c r="C317" s="20" t="s">
        <v>177</v>
      </c>
      <c r="D317" s="22">
        <v>2</v>
      </c>
      <c r="E317" s="15" t="s">
        <v>178</v>
      </c>
      <c r="F317" s="23" t="str">
        <f>IF($B317="","",IFERROR(INDEX(ProdNome,MATCH($B317,ProdCod,0)),"Código não cadastrado"))</f>
        <v>Fichário argolado</v>
      </c>
      <c r="G317" s="24">
        <f>IF(OR($B317="",$D317=""),"",$D317*IFERROR(INDEX(ProdCusto,MATCH($B317,ProdCod,0)),0))</f>
        <v>42</v>
      </c>
      <c r="H317" s="25" t="str">
        <f>IF($A317="","",IF(OR($B317="",$C317="",$D317=""),"Preencher tudo",IF($F317="Código não cadastrado","Código inválido","OK")))</f>
        <v>OK</v>
      </c>
    </row>
    <row r="318" spans="1:8">
      <c r="A318" s="16">
        <v>46243</v>
      </c>
      <c r="B318" s="15" t="s">
        <v>155</v>
      </c>
      <c r="C318" s="20" t="s">
        <v>177</v>
      </c>
      <c r="D318" s="22">
        <v>2</v>
      </c>
      <c r="E318" s="15" t="s">
        <v>178</v>
      </c>
      <c r="F318" s="23" t="str">
        <f>IF($B318="","",IFERROR(INDEX(ProdNome,MATCH($B318,ProdCod,0)),"Código não cadastrado"))</f>
        <v>Tinta guache (kit 6)</v>
      </c>
      <c r="G318" s="24">
        <f>IF(OR($B318="",$D318=""),"",$D318*IFERROR(INDEX(ProdCusto,MATCH($B318,ProdCod,0)),0))</f>
        <v>17.4</v>
      </c>
      <c r="H318" s="25" t="str">
        <f>IF($A318="","",IF(OR($B318="",$C318="",$D318=""),"Preencher tudo",IF($F318="Código não cadastrado","Código inválido","OK")))</f>
        <v>OK</v>
      </c>
    </row>
    <row r="319" spans="1:8">
      <c r="A319" s="16">
        <v>46244</v>
      </c>
      <c r="B319" s="15" t="s">
        <v>89</v>
      </c>
      <c r="C319" s="20" t="s">
        <v>177</v>
      </c>
      <c r="D319" s="22">
        <v>33</v>
      </c>
      <c r="E319" s="15" t="s">
        <v>178</v>
      </c>
      <c r="F319" s="23" t="str">
        <f>IF($B319="","",IFERROR(INDEX(ProdNome,MATCH($B319,ProdCod,0)),"Código não cadastrado"))</f>
        <v>Caderno universitário 10 matérias</v>
      </c>
      <c r="G319" s="24">
        <f>IF(OR($B319="",$D319=""),"",$D319*IFERROR(INDEX(ProdCusto,MATCH($B319,ProdCod,0)),0))</f>
        <v>313.5</v>
      </c>
      <c r="H319" s="25" t="str">
        <f>IF($A319="","",IF(OR($B319="",$C319="",$D319=""),"Preencher tudo",IF($F319="Código não cadastrado","Código inválido","OK")))</f>
        <v>OK</v>
      </c>
    </row>
    <row r="320" spans="1:8">
      <c r="A320" s="16">
        <v>46244</v>
      </c>
      <c r="B320" s="15" t="s">
        <v>107</v>
      </c>
      <c r="C320" s="20" t="s">
        <v>177</v>
      </c>
      <c r="D320" s="22">
        <v>1</v>
      </c>
      <c r="E320" s="15" t="s">
        <v>178</v>
      </c>
      <c r="F320" s="23" t="str">
        <f>IF($B320="","",IFERROR(INDEX(ProdNome,MATCH($B320,ProdCod,0)),"Código não cadastrado"))</f>
        <v>Estojo duplo</v>
      </c>
      <c r="G320" s="24">
        <f>IF(OR($B320="",$D320=""),"",$D320*IFERROR(INDEX(ProdCusto,MATCH($B320,ProdCod,0)),0))</f>
        <v>8.5</v>
      </c>
      <c r="H320" s="25" t="str">
        <f>IF($A320="","",IF(OR($B320="",$C320="",$D320=""),"Preencher tudo",IF($F320="Código não cadastrado","Código inválido","OK")))</f>
        <v>OK</v>
      </c>
    </row>
    <row r="321" spans="1:8">
      <c r="A321" s="16">
        <v>46244</v>
      </c>
      <c r="B321" s="15" t="s">
        <v>147</v>
      </c>
      <c r="C321" s="20" t="s">
        <v>177</v>
      </c>
      <c r="D321" s="22">
        <v>1</v>
      </c>
      <c r="E321" s="15" t="s">
        <v>178</v>
      </c>
      <c r="F321" s="23" t="str">
        <f>IF($B321="","",IFERROR(INDEX(ProdNome,MATCH($B321,ProdCod,0)),"Código não cadastrado"))</f>
        <v>Toner genérico preto</v>
      </c>
      <c r="G321" s="24">
        <f>IF(OR($B321="",$D321=""),"",$D321*IFERROR(INDEX(ProdCusto,MATCH($B321,ProdCod,0)),0))</f>
        <v>62</v>
      </c>
      <c r="H321" s="25" t="str">
        <f>IF($A321="","",IF(OR($B321="",$C321="",$D321=""),"Preencher tudo",IF($F321="Código não cadastrado","Código inválido","OK")))</f>
        <v>OK</v>
      </c>
    </row>
    <row r="322" spans="1:8">
      <c r="A322" s="16">
        <v>46244</v>
      </c>
      <c r="B322" s="15" t="s">
        <v>149</v>
      </c>
      <c r="C322" s="20" t="s">
        <v>177</v>
      </c>
      <c r="D322" s="22">
        <v>2</v>
      </c>
      <c r="E322" s="15" t="s">
        <v>178</v>
      </c>
      <c r="F322" s="23" t="str">
        <f>IF($B322="","",IFERROR(INDEX(ProdNome,MATCH($B322,ProdCod,0)),"Código não cadastrado"))</f>
        <v>Mouse pad</v>
      </c>
      <c r="G322" s="24">
        <f>IF(OR($B322="",$D322=""),"",$D322*IFERROR(INDEX(ProdCusto,MATCH($B322,ProdCod,0)),0))</f>
        <v>9.8</v>
      </c>
      <c r="H322" s="25" t="str">
        <f>IF($A322="","",IF(OR($B322="",$C322="",$D322=""),"Preencher tudo",IF($F322="Código não cadastrado","Código inválido","OK")))</f>
        <v>OK</v>
      </c>
    </row>
    <row r="323" spans="1:8">
      <c r="A323" s="16">
        <v>46246</v>
      </c>
      <c r="B323" s="15" t="s">
        <v>111</v>
      </c>
      <c r="C323" s="20" t="s">
        <v>177</v>
      </c>
      <c r="D323" s="22">
        <v>6</v>
      </c>
      <c r="E323" s="15" t="s">
        <v>178</v>
      </c>
      <c r="F323" s="23" t="str">
        <f>IF($B323="","",IFERROR(INDEX(ProdNome,MATCH($B323,ProdCod,0)),"Código não cadastrado"))</f>
        <v>Cola branca 90g</v>
      </c>
      <c r="G323" s="24">
        <f>IF(OR($B323="",$D323=""),"",$D323*IFERROR(INDEX(ProdCusto,MATCH($B323,ProdCod,0)),0))</f>
        <v>11.4</v>
      </c>
      <c r="H323" s="25" t="str">
        <f>IF($A323="","",IF(OR($B323="",$C323="",$D323=""),"Preencher tudo",IF($F323="Código não cadastrado","Código inválido","OK")))</f>
        <v>OK</v>
      </c>
    </row>
    <row r="324" spans="1:8">
      <c r="A324" s="16">
        <v>46246</v>
      </c>
      <c r="B324" s="15" t="s">
        <v>125</v>
      </c>
      <c r="C324" s="20" t="s">
        <v>177</v>
      </c>
      <c r="D324" s="22">
        <v>5</v>
      </c>
      <c r="E324" s="15" t="s">
        <v>178</v>
      </c>
      <c r="F324" s="23" t="str">
        <f>IF($B324="","",IFERROR(INDEX(ProdNome,MATCH($B324,ProdCod,0)),"Código não cadastrado"))</f>
        <v>Papel toalha (pct 2)</v>
      </c>
      <c r="G324" s="24">
        <f>IF(OR($B324="",$D324=""),"",$D324*IFERROR(INDEX(ProdCusto,MATCH($B324,ProdCod,0)),0))</f>
        <v>29.5</v>
      </c>
      <c r="H324" s="25" t="str">
        <f>IF($A324="","",IF(OR($B324="",$C324="",$D324=""),"Preencher tudo",IF($F324="Código não cadastrado","Código inválido","OK")))</f>
        <v>OK</v>
      </c>
    </row>
    <row r="325" spans="1:8">
      <c r="A325" s="16">
        <v>46246</v>
      </c>
      <c r="B325" s="15" t="s">
        <v>133</v>
      </c>
      <c r="C325" s="20" t="s">
        <v>177</v>
      </c>
      <c r="D325" s="22">
        <v>1</v>
      </c>
      <c r="E325" s="15" t="s">
        <v>178</v>
      </c>
      <c r="F325" s="23" t="str">
        <f>IF($B325="","",IFERROR(INDEX(ProdNome,MATCH($B325,ProdCod,0)),"Código não cadastrado"))</f>
        <v>Agenda 2027</v>
      </c>
      <c r="G325" s="24">
        <f>IF(OR($B325="",$D325=""),"",$D325*IFERROR(INDEX(ProdCusto,MATCH($B325,ProdCod,0)),0))</f>
        <v>14</v>
      </c>
      <c r="H325" s="25" t="str">
        <f>IF($A325="","",IF(OR($B325="",$C325="",$D325=""),"Preencher tudo",IF($F325="Código não cadastrado","Código inválido","OK")))</f>
        <v>OK</v>
      </c>
    </row>
    <row r="326" spans="1:8">
      <c r="A326" s="16">
        <v>46246</v>
      </c>
      <c r="B326" s="15" t="s">
        <v>149</v>
      </c>
      <c r="C326" s="20" t="s">
        <v>177</v>
      </c>
      <c r="D326" s="22">
        <v>3</v>
      </c>
      <c r="E326" s="15" t="s">
        <v>178</v>
      </c>
      <c r="F326" s="23" t="str">
        <f>IF($B326="","",IFERROR(INDEX(ProdNome,MATCH($B326,ProdCod,0)),"Código não cadastrado"))</f>
        <v>Mouse pad</v>
      </c>
      <c r="G326" s="24">
        <f>IF(OR($B326="",$D326=""),"",$D326*IFERROR(INDEX(ProdCusto,MATCH($B326,ProdCod,0)),0))</f>
        <v>14.7</v>
      </c>
      <c r="H326" s="25" t="str">
        <f>IF($A326="","",IF(OR($B326="",$C326="",$D326=""),"Preencher tudo",IF($F326="Código não cadastrado","Código inválido","OK")))</f>
        <v>OK</v>
      </c>
    </row>
    <row r="327" spans="1:8">
      <c r="A327" s="16">
        <v>46246</v>
      </c>
      <c r="B327" s="15" t="s">
        <v>153</v>
      </c>
      <c r="C327" s="20" t="s">
        <v>177</v>
      </c>
      <c r="D327" s="22">
        <v>1</v>
      </c>
      <c r="E327" s="15" t="s">
        <v>178</v>
      </c>
      <c r="F327" s="23" t="str">
        <f>IF($B327="","",IFERROR(INDEX(ProdNome,MATCH($B327,ProdCod,0)),"Código não cadastrado"))</f>
        <v>Envelope A4 (pct 50)</v>
      </c>
      <c r="G327" s="24">
        <f>IF(OR($B327="",$D327=""),"",$D327*IFERROR(INDEX(ProdCusto,MATCH($B327,ProdCod,0)),0))</f>
        <v>14</v>
      </c>
      <c r="H327" s="25" t="str">
        <f>IF($A327="","",IF(OR($B327="",$C327="",$D327=""),"Preencher tudo",IF($F327="Código não cadastrado","Código inválido","OK")))</f>
        <v>OK</v>
      </c>
    </row>
    <row r="328" spans="1:8">
      <c r="A328" s="16">
        <v>46246</v>
      </c>
      <c r="B328" s="15" t="s">
        <v>161</v>
      </c>
      <c r="C328" s="20" t="s">
        <v>177</v>
      </c>
      <c r="D328" s="22">
        <v>1</v>
      </c>
      <c r="E328" s="15" t="s">
        <v>178</v>
      </c>
      <c r="F328" s="23" t="str">
        <f>IF($B328="","",IFERROR(INDEX(ProdNome,MATCH($B328,ProdCod,0)),"Código não cadastrado"))</f>
        <v>Pote plástico 500ml (pct 12)</v>
      </c>
      <c r="G328" s="24">
        <f>IF(OR($B328="",$D328=""),"",$D328*IFERROR(INDEX(ProdCusto,MATCH($B328,ProdCod,0)),0))</f>
        <v>11</v>
      </c>
      <c r="H328" s="25" t="str">
        <f>IF($A328="","",IF(OR($B328="",$C328="",$D328=""),"Preencher tudo",IF($F328="Código não cadastrado","Código inválido","OK")))</f>
        <v>OK</v>
      </c>
    </row>
    <row r="329" spans="1:8">
      <c r="A329" s="16">
        <v>46247</v>
      </c>
      <c r="B329" s="15" t="s">
        <v>97</v>
      </c>
      <c r="C329" s="20" t="s">
        <v>177</v>
      </c>
      <c r="D329" s="22">
        <v>1</v>
      </c>
      <c r="E329" s="15" t="s">
        <v>178</v>
      </c>
      <c r="F329" s="23" t="str">
        <f>IF($B329="","",IFERROR(INDEX(ProdNome,MATCH($B329,ProdCod,0)),"Código não cadastrado"))</f>
        <v>Grampeador médio</v>
      </c>
      <c r="G329" s="24">
        <f>IF(OR($B329="",$D329=""),"",$D329*IFERROR(INDEX(ProdCusto,MATCH($B329,ProdCod,0)),0))</f>
        <v>14</v>
      </c>
      <c r="H329" s="25" t="str">
        <f>IF($A329="","",IF(OR($B329="",$C329="",$D329=""),"Preencher tudo",IF($F329="Código não cadastrado","Código inválido","OK")))</f>
        <v>OK</v>
      </c>
    </row>
    <row r="330" spans="1:8">
      <c r="A330" s="16">
        <v>46247</v>
      </c>
      <c r="B330" s="15" t="s">
        <v>107</v>
      </c>
      <c r="C330" s="20" t="s">
        <v>177</v>
      </c>
      <c r="D330" s="22">
        <v>3</v>
      </c>
      <c r="E330" s="15" t="s">
        <v>178</v>
      </c>
      <c r="F330" s="23" t="str">
        <f>IF($B330="","",IFERROR(INDEX(ProdNome,MATCH($B330,ProdCod,0)),"Código não cadastrado"))</f>
        <v>Estojo duplo</v>
      </c>
      <c r="G330" s="24">
        <f>IF(OR($B330="",$D330=""),"",$D330*IFERROR(INDEX(ProdCusto,MATCH($B330,ProdCod,0)),0))</f>
        <v>25.5</v>
      </c>
      <c r="H330" s="25" t="str">
        <f>IF($A330="","",IF(OR($B330="",$C330="",$D330=""),"Preencher tudo",IF($F330="Código não cadastrado","Código inválido","OK")))</f>
        <v>OK</v>
      </c>
    </row>
    <row r="331" spans="1:8">
      <c r="A331" s="16">
        <v>46247</v>
      </c>
      <c r="B331" s="15" t="s">
        <v>113</v>
      </c>
      <c r="C331" s="20" t="s">
        <v>179</v>
      </c>
      <c r="D331" s="22">
        <v>9</v>
      </c>
      <c r="E331" s="15" t="s">
        <v>273</v>
      </c>
      <c r="F331" s="23" t="str">
        <f>IF($B331="","",IFERROR(INDEX(ProdNome,MATCH($B331,ProdCod,0)),"Código não cadastrado"))</f>
        <v>Tesoura escolar</v>
      </c>
      <c r="G331" s="24">
        <f>IF(OR($B331="",$D331=""),"",$D331*IFERROR(INDEX(ProdCusto,MATCH($B331,ProdCod,0)),0))</f>
        <v>25.2</v>
      </c>
      <c r="H331" s="25" t="str">
        <f>IF($A331="","",IF(OR($B331="",$C331="",$D331=""),"Preencher tudo",IF($F331="Código não cadastrado","Código inválido","OK")))</f>
        <v>OK</v>
      </c>
    </row>
    <row r="332" spans="1:8">
      <c r="A332" s="16">
        <v>46247</v>
      </c>
      <c r="B332" s="15" t="s">
        <v>157</v>
      </c>
      <c r="C332" s="20" t="s">
        <v>177</v>
      </c>
      <c r="D332" s="22">
        <v>1</v>
      </c>
      <c r="E332" s="15" t="s">
        <v>178</v>
      </c>
      <c r="F332" s="23" t="str">
        <f>IF($B332="","",IFERROR(INDEX(ProdNome,MATCH($B332,ProdCod,0)),"Código não cadastrado"))</f>
        <v>Papel fotográfico A4 (pct 20)</v>
      </c>
      <c r="G332" s="24">
        <f>IF(OR($B332="",$D332=""),"",$D332*IFERROR(INDEX(ProdCusto,MATCH($B332,ProdCod,0)),0))</f>
        <v>12.5</v>
      </c>
      <c r="H332" s="25" t="str">
        <f>IF($A332="","",IF(OR($B332="",$C332="",$D332=""),"Preencher tudo",IF($F332="Código não cadastrado","Código inválido","OK")))</f>
        <v>OK</v>
      </c>
    </row>
    <row r="333" spans="1:8">
      <c r="A333" s="16">
        <v>46247</v>
      </c>
      <c r="B333" s="15" t="s">
        <v>167</v>
      </c>
      <c r="C333" s="20" t="s">
        <v>179</v>
      </c>
      <c r="D333" s="22">
        <v>3</v>
      </c>
      <c r="E333" s="15" t="s">
        <v>274</v>
      </c>
      <c r="F333" s="23" t="str">
        <f>IF($B333="","",IFERROR(INDEX(ProdNome,MATCH($B333,ProdCod,0)),"Código não cadastrado"))</f>
        <v>Porta-retrato 10x15</v>
      </c>
      <c r="G333" s="24">
        <f>IF(OR($B333="",$D333=""),"",$D333*IFERROR(INDEX(ProdCusto,MATCH($B333,ProdCod,0)),0))</f>
        <v>18.6</v>
      </c>
      <c r="H333" s="25" t="str">
        <f>IF($A333="","",IF(OR($B333="",$C333="",$D333=""),"Preencher tudo",IF($F333="Código não cadastrado","Código inválido","OK")))</f>
        <v>OK</v>
      </c>
    </row>
    <row r="334" spans="1:8">
      <c r="A334" s="16">
        <v>46248</v>
      </c>
      <c r="B334" s="15" t="s">
        <v>89</v>
      </c>
      <c r="C334" s="20" t="s">
        <v>177</v>
      </c>
      <c r="D334" s="22">
        <v>30</v>
      </c>
      <c r="E334" s="15" t="s">
        <v>178</v>
      </c>
      <c r="F334" s="23" t="str">
        <f>IF($B334="","",IFERROR(INDEX(ProdNome,MATCH($B334,ProdCod,0)),"Código não cadastrado"))</f>
        <v>Caderno universitário 10 matérias</v>
      </c>
      <c r="G334" s="24">
        <f>IF(OR($B334="",$D334=""),"",$D334*IFERROR(INDEX(ProdCusto,MATCH($B334,ProdCod,0)),0))</f>
        <v>285</v>
      </c>
      <c r="H334" s="25" t="str">
        <f>IF($A334="","",IF(OR($B334="",$C334="",$D334=""),"Preencher tudo",IF($F334="Código não cadastrado","Código inválido","OK")))</f>
        <v>OK</v>
      </c>
    </row>
    <row r="335" spans="1:8">
      <c r="A335" s="16">
        <v>46248</v>
      </c>
      <c r="B335" s="15" t="s">
        <v>95</v>
      </c>
      <c r="C335" s="20" t="s">
        <v>177</v>
      </c>
      <c r="D335" s="22">
        <v>1</v>
      </c>
      <c r="E335" s="15" t="s">
        <v>178</v>
      </c>
      <c r="F335" s="23" t="str">
        <f>IF($B335="","",IFERROR(INDEX(ProdNome,MATCH($B335,ProdCod,0)),"Código não cadastrado"))</f>
        <v>Pasta suspensa (pct 25)</v>
      </c>
      <c r="G335" s="24">
        <f>IF(OR($B335="",$D335=""),"",$D335*IFERROR(INDEX(ProdCusto,MATCH($B335,ProdCod,0)),0))</f>
        <v>28</v>
      </c>
      <c r="H335" s="25" t="str">
        <f>IF($A335="","",IF(OR($B335="",$C335="",$D335=""),"Preencher tudo",IF($F335="Código não cadastrado","Código inválido","OK")))</f>
        <v>OK</v>
      </c>
    </row>
    <row r="336" spans="1:8">
      <c r="A336" s="16">
        <v>46248</v>
      </c>
      <c r="B336" s="15" t="s">
        <v>105</v>
      </c>
      <c r="C336" s="20" t="s">
        <v>177</v>
      </c>
      <c r="D336" s="22">
        <v>4</v>
      </c>
      <c r="E336" s="15" t="s">
        <v>178</v>
      </c>
      <c r="F336" s="23" t="str">
        <f>IF($B336="","",IFERROR(INDEX(ProdNome,MATCH($B336,ProdCod,0)),"Código não cadastrado"))</f>
        <v>Mochila escolar 20L</v>
      </c>
      <c r="G336" s="24">
        <f>IF(OR($B336="",$D336=""),"",$D336*IFERROR(INDEX(ProdCusto,MATCH($B336,ProdCod,0)),0))</f>
        <v>184</v>
      </c>
      <c r="H336" s="25" t="str">
        <f>IF($A336="","",IF(OR($B336="",$C336="",$D336=""),"Preencher tudo",IF($F336="Código não cadastrado","Código inválido","OK")))</f>
        <v>OK</v>
      </c>
    </row>
    <row r="337" spans="1:8">
      <c r="A337" s="16">
        <v>46248</v>
      </c>
      <c r="B337" s="15" t="s">
        <v>129</v>
      </c>
      <c r="C337" s="20" t="s">
        <v>179</v>
      </c>
      <c r="D337" s="22">
        <v>6</v>
      </c>
      <c r="E337" s="15" t="s">
        <v>275</v>
      </c>
      <c r="F337" s="23" t="str">
        <f>IF($B337="","",IFERROR(INDEX(ProdNome,MATCH($B337,ProdCod,0)),"Código não cadastrado"))</f>
        <v>Caneca branca para sublimação</v>
      </c>
      <c r="G337" s="24">
        <f>IF(OR($B337="",$D337=""),"",$D337*IFERROR(INDEX(ProdCusto,MATCH($B337,ProdCod,0)),0))</f>
        <v>25.2</v>
      </c>
      <c r="H337" s="25" t="str">
        <f>IF($A337="","",IF(OR($B337="",$C337="",$D337=""),"Preencher tudo",IF($F337="Código não cadastrado","Código inválido","OK")))</f>
        <v>OK</v>
      </c>
    </row>
    <row r="338" spans="1:8">
      <c r="A338" s="16">
        <v>46248</v>
      </c>
      <c r="B338" s="15" t="s">
        <v>131</v>
      </c>
      <c r="C338" s="20" t="s">
        <v>177</v>
      </c>
      <c r="D338" s="22">
        <v>1</v>
      </c>
      <c r="E338" s="15" t="s">
        <v>178</v>
      </c>
      <c r="F338" s="23" t="str">
        <f>IF($B338="","",IFERROR(INDEX(ProdNome,MATCH($B338,ProdCod,0)),"Código não cadastrado"))</f>
        <v>Garrafa squeeze 600ml</v>
      </c>
      <c r="G338" s="24">
        <f>IF(OR($B338="",$D338=""),"",$D338*IFERROR(INDEX(ProdCusto,MATCH($B338,ProdCod,0)),0))</f>
        <v>9.9</v>
      </c>
      <c r="H338" s="25" t="str">
        <f>IF($A338="","",IF(OR($B338="",$C338="",$D338=""),"Preencher tudo",IF($F338="Código não cadastrado","Código inválido","OK")))</f>
        <v>OK</v>
      </c>
    </row>
    <row r="339" spans="1:8">
      <c r="A339" s="16">
        <v>46248</v>
      </c>
      <c r="B339" s="15" t="s">
        <v>135</v>
      </c>
      <c r="C339" s="20" t="s">
        <v>177</v>
      </c>
      <c r="D339" s="22">
        <v>2</v>
      </c>
      <c r="E339" s="15" t="s">
        <v>178</v>
      </c>
      <c r="F339" s="23" t="str">
        <f>IF($B339="","",IFERROR(INDEX(ProdNome,MATCH($B339,ProdCod,0)),"Código não cadastrado"))</f>
        <v>Marca-texto (cx 6)</v>
      </c>
      <c r="G339" s="24">
        <f>IF(OR($B339="",$D339=""),"",$D339*IFERROR(INDEX(ProdCusto,MATCH($B339,ProdCod,0)),0))</f>
        <v>19.6</v>
      </c>
      <c r="H339" s="25" t="str">
        <f>IF($A339="","",IF(OR($B339="",$C339="",$D339=""),"Preencher tudo",IF($F339="Código não cadastrado","Código inválido","OK")))</f>
        <v>OK</v>
      </c>
    </row>
    <row r="340" spans="1:8">
      <c r="A340" s="16">
        <v>46249</v>
      </c>
      <c r="B340" s="15" t="s">
        <v>91</v>
      </c>
      <c r="C340" s="20" t="s">
        <v>177</v>
      </c>
      <c r="D340" s="22">
        <v>11</v>
      </c>
      <c r="E340" s="15" t="s">
        <v>178</v>
      </c>
      <c r="F340" s="23" t="str">
        <f>IF($B340="","",IFERROR(INDEX(ProdNome,MATCH($B340,ProdCod,0)),"Código não cadastrado"))</f>
        <v>Caneta esferográfica azul (cx 50)</v>
      </c>
      <c r="G340" s="24">
        <f>IF(OR($B340="",$D340=""),"",$D340*IFERROR(INDEX(ProdCusto,MATCH($B340,ProdCod,0)),0))</f>
        <v>242</v>
      </c>
      <c r="H340" s="25" t="str">
        <f>IF($A340="","",IF(OR($B340="",$C340="",$D340=""),"Preencher tudo",IF($F340="Código não cadastrado","Código inválido","OK")))</f>
        <v>OK</v>
      </c>
    </row>
    <row r="341" spans="1:8">
      <c r="A341" s="16">
        <v>46249</v>
      </c>
      <c r="B341" s="15" t="s">
        <v>93</v>
      </c>
      <c r="C341" s="20" t="s">
        <v>179</v>
      </c>
      <c r="D341" s="22">
        <v>54</v>
      </c>
      <c r="E341" s="15" t="s">
        <v>276</v>
      </c>
      <c r="F341" s="23" t="str">
        <f>IF($B341="","",IFERROR(INDEX(ProdNome,MATCH($B341,ProdCod,0)),"Código não cadastrado"))</f>
        <v>Papel A4 75g (resma)</v>
      </c>
      <c r="G341" s="24">
        <f>IF(OR($B341="",$D341=""),"",$D341*IFERROR(INDEX(ProdCusto,MATCH($B341,ProdCod,0)),0))</f>
        <v>1161</v>
      </c>
      <c r="H341" s="25" t="str">
        <f>IF($A341="","",IF(OR($B341="",$C341="",$D341=""),"Preencher tudo",IF($F341="Código não cadastrado","Código inválido","OK")))</f>
        <v>OK</v>
      </c>
    </row>
    <row r="342" spans="1:8">
      <c r="A342" s="16">
        <v>46249</v>
      </c>
      <c r="B342" s="15" t="s">
        <v>105</v>
      </c>
      <c r="C342" s="20" t="s">
        <v>179</v>
      </c>
      <c r="D342" s="22">
        <v>8</v>
      </c>
      <c r="E342" s="15" t="s">
        <v>277</v>
      </c>
      <c r="F342" s="23" t="str">
        <f>IF($B342="","",IFERROR(INDEX(ProdNome,MATCH($B342,ProdCod,0)),"Código não cadastrado"))</f>
        <v>Mochila escolar 20L</v>
      </c>
      <c r="G342" s="24">
        <f>IF(OR($B342="",$D342=""),"",$D342*IFERROR(INDEX(ProdCusto,MATCH($B342,ProdCod,0)),0))</f>
        <v>368</v>
      </c>
      <c r="H342" s="25" t="str">
        <f>IF($A342="","",IF(OR($B342="",$C342="",$D342=""),"Preencher tudo",IF($F342="Código não cadastrado","Código inválido","OK")))</f>
        <v>OK</v>
      </c>
    </row>
    <row r="343" spans="1:8">
      <c r="A343" s="16">
        <v>46249</v>
      </c>
      <c r="B343" s="15" t="s">
        <v>107</v>
      </c>
      <c r="C343" s="20" t="s">
        <v>179</v>
      </c>
      <c r="D343" s="22">
        <v>4</v>
      </c>
      <c r="E343" s="15" t="s">
        <v>278</v>
      </c>
      <c r="F343" s="23" t="str">
        <f>IF($B343="","",IFERROR(INDEX(ProdNome,MATCH($B343,ProdCod,0)),"Código não cadastrado"))</f>
        <v>Estojo duplo</v>
      </c>
      <c r="G343" s="24">
        <f>IF(OR($B343="",$D343=""),"",$D343*IFERROR(INDEX(ProdCusto,MATCH($B343,ProdCod,0)),0))</f>
        <v>34</v>
      </c>
      <c r="H343" s="25" t="str">
        <f>IF($A343="","",IF(OR($B343="",$C343="",$D343=""),"Preencher tudo",IF($F343="Código não cadastrado","Código inválido","OK")))</f>
        <v>OK</v>
      </c>
    </row>
    <row r="344" spans="1:8">
      <c r="A344" s="16">
        <v>46249</v>
      </c>
      <c r="B344" s="15" t="s">
        <v>109</v>
      </c>
      <c r="C344" s="20" t="s">
        <v>177</v>
      </c>
      <c r="D344" s="22">
        <v>5</v>
      </c>
      <c r="E344" s="15" t="s">
        <v>178</v>
      </c>
      <c r="F344" s="23" t="str">
        <f>IF($B344="","",IFERROR(INDEX(ProdNome,MATCH($B344,ProdCod,0)),"Código não cadastrado"))</f>
        <v>Lápis de cor (cx 24)</v>
      </c>
      <c r="G344" s="24">
        <f>IF(OR($B344="",$D344=""),"",$D344*IFERROR(INDEX(ProdCusto,MATCH($B344,ProdCod,0)),0))</f>
        <v>39.5</v>
      </c>
      <c r="H344" s="25" t="str">
        <f>IF($A344="","",IF(OR($B344="",$C344="",$D344=""),"Preencher tudo",IF($F344="Código não cadastrado","Código inválido","OK")))</f>
        <v>OK</v>
      </c>
    </row>
    <row r="345" spans="1:8">
      <c r="A345" s="16">
        <v>46249</v>
      </c>
      <c r="B345" s="15" t="s">
        <v>125</v>
      </c>
      <c r="C345" s="20" t="s">
        <v>179</v>
      </c>
      <c r="D345" s="22">
        <v>9</v>
      </c>
      <c r="E345" s="15" t="s">
        <v>279</v>
      </c>
      <c r="F345" s="23" t="str">
        <f>IF($B345="","",IFERROR(INDEX(ProdNome,MATCH($B345,ProdCod,0)),"Código não cadastrado"))</f>
        <v>Papel toalha (pct 2)</v>
      </c>
      <c r="G345" s="24">
        <f>IF(OR($B345="",$D345=""),"",$D345*IFERROR(INDEX(ProdCusto,MATCH($B345,ProdCod,0)),0))</f>
        <v>53.1</v>
      </c>
      <c r="H345" s="25" t="str">
        <f>IF($A345="","",IF(OR($B345="",$C345="",$D345=""),"Preencher tudo",IF($F345="Código não cadastrado","Código inválido","OK")))</f>
        <v>OK</v>
      </c>
    </row>
    <row r="346" spans="1:8">
      <c r="A346" s="16">
        <v>46249</v>
      </c>
      <c r="B346" s="15" t="s">
        <v>143</v>
      </c>
      <c r="C346" s="20" t="s">
        <v>179</v>
      </c>
      <c r="D346" s="22">
        <v>9</v>
      </c>
      <c r="E346" s="15" t="s">
        <v>280</v>
      </c>
      <c r="F346" s="23" t="str">
        <f>IF($B346="","",IFERROR(INDEX(ProdNome,MATCH($B346,ProdCod,0)),"Código não cadastrado"))</f>
        <v>Régua 30cm</v>
      </c>
      <c r="G346" s="24">
        <f>IF(OR($B346="",$D346=""),"",$D346*IFERROR(INDEX(ProdCusto,MATCH($B346,ProdCod,0)),0))</f>
        <v>8.1</v>
      </c>
      <c r="H346" s="25" t="str">
        <f>IF($A346="","",IF(OR($B346="",$C346="",$D346=""),"Preencher tudo",IF($F346="Código não cadastrado","Código inválido","OK")))</f>
        <v>OK</v>
      </c>
    </row>
    <row r="347" spans="1:8">
      <c r="A347" s="16">
        <v>46249</v>
      </c>
      <c r="B347" s="15" t="s">
        <v>149</v>
      </c>
      <c r="C347" s="20" t="s">
        <v>179</v>
      </c>
      <c r="D347" s="22">
        <v>5</v>
      </c>
      <c r="E347" s="15" t="s">
        <v>281</v>
      </c>
      <c r="F347" s="23" t="str">
        <f>IF($B347="","",IFERROR(INDEX(ProdNome,MATCH($B347,ProdCod,0)),"Código não cadastrado"))</f>
        <v>Mouse pad</v>
      </c>
      <c r="G347" s="24">
        <f>IF(OR($B347="",$D347=""),"",$D347*IFERROR(INDEX(ProdCusto,MATCH($B347,ProdCod,0)),0))</f>
        <v>24.5</v>
      </c>
      <c r="H347" s="25" t="str">
        <f>IF($A347="","",IF(OR($B347="",$C347="",$D347=""),"Preencher tudo",IF($F347="Código não cadastrado","Código inválido","OK")))</f>
        <v>OK</v>
      </c>
    </row>
    <row r="348" spans="1:8">
      <c r="A348" s="16">
        <v>46249</v>
      </c>
      <c r="B348" s="15" t="s">
        <v>155</v>
      </c>
      <c r="C348" s="20" t="s">
        <v>177</v>
      </c>
      <c r="D348" s="22">
        <v>2</v>
      </c>
      <c r="E348" s="15" t="s">
        <v>178</v>
      </c>
      <c r="F348" s="23" t="str">
        <f>IF($B348="","",IFERROR(INDEX(ProdNome,MATCH($B348,ProdCod,0)),"Código não cadastrado"))</f>
        <v>Tinta guache (kit 6)</v>
      </c>
      <c r="G348" s="24">
        <f>IF(OR($B348="",$D348=""),"",$D348*IFERROR(INDEX(ProdCusto,MATCH($B348,ProdCod,0)),0))</f>
        <v>17.4</v>
      </c>
      <c r="H348" s="25" t="str">
        <f>IF($A348="","",IF(OR($B348="",$C348="",$D348=""),"Preencher tudo",IF($F348="Código não cadastrado","Código inválido","OK")))</f>
        <v>OK</v>
      </c>
    </row>
    <row r="349" spans="1:8">
      <c r="A349" s="16">
        <v>46249</v>
      </c>
      <c r="B349" s="15" t="s">
        <v>155</v>
      </c>
      <c r="C349" s="20" t="s">
        <v>179</v>
      </c>
      <c r="D349" s="22">
        <v>4</v>
      </c>
      <c r="E349" s="15" t="s">
        <v>282</v>
      </c>
      <c r="F349" s="23" t="str">
        <f>IF($B349="","",IFERROR(INDEX(ProdNome,MATCH($B349,ProdCod,0)),"Código não cadastrado"))</f>
        <v>Tinta guache (kit 6)</v>
      </c>
      <c r="G349" s="24">
        <f>IF(OR($B349="",$D349=""),"",$D349*IFERROR(INDEX(ProdCusto,MATCH($B349,ProdCod,0)),0))</f>
        <v>34.8</v>
      </c>
      <c r="H349" s="25" t="str">
        <f>IF($A349="","",IF(OR($B349="",$C349="",$D349=""),"Preencher tudo",IF($F349="Código não cadastrado","Código inválido","OK")))</f>
        <v>OK</v>
      </c>
    </row>
    <row r="350" spans="1:8">
      <c r="A350" s="16">
        <v>46249</v>
      </c>
      <c r="B350" s="15" t="s">
        <v>159</v>
      </c>
      <c r="C350" s="20" t="s">
        <v>177</v>
      </c>
      <c r="D350" s="22">
        <v>1</v>
      </c>
      <c r="E350" s="15" t="s">
        <v>178</v>
      </c>
      <c r="F350" s="23" t="str">
        <f>IF($B350="","",IFERROR(INDEX(ProdNome,MATCH($B350,ProdCod,0)),"Código não cadastrado"))</f>
        <v>Luva descartável (cx 100)</v>
      </c>
      <c r="G350" s="24">
        <f>IF(OR($B350="",$D350=""),"",$D350*IFERROR(INDEX(ProdCusto,MATCH($B350,ProdCod,0)),0))</f>
        <v>21</v>
      </c>
      <c r="H350" s="25" t="str">
        <f>IF($A350="","",IF(OR($B350="",$C350="",$D350=""),"Preencher tudo",IF($F350="Código não cadastrado","Código inválido","OK")))</f>
        <v>OK</v>
      </c>
    </row>
    <row r="351" spans="1:8">
      <c r="A351" s="16">
        <v>46250</v>
      </c>
      <c r="B351" s="15" t="s">
        <v>93</v>
      </c>
      <c r="C351" s="20" t="s">
        <v>177</v>
      </c>
      <c r="D351" s="22">
        <v>54</v>
      </c>
      <c r="E351" s="15" t="s">
        <v>178</v>
      </c>
      <c r="F351" s="23" t="str">
        <f>IF($B351="","",IFERROR(INDEX(ProdNome,MATCH($B351,ProdCod,0)),"Código não cadastrado"))</f>
        <v>Papel A4 75g (resma)</v>
      </c>
      <c r="G351" s="24">
        <f>IF(OR($B351="",$D351=""),"",$D351*IFERROR(INDEX(ProdCusto,MATCH($B351,ProdCod,0)),0))</f>
        <v>1161</v>
      </c>
      <c r="H351" s="25" t="str">
        <f>IF($A351="","",IF(OR($B351="",$C351="",$D351=""),"Preencher tudo",IF($F351="Código não cadastrado","Código inválido","OK")))</f>
        <v>OK</v>
      </c>
    </row>
    <row r="352" spans="1:8">
      <c r="A352" s="16">
        <v>46250</v>
      </c>
      <c r="B352" s="15" t="s">
        <v>99</v>
      </c>
      <c r="C352" s="20" t="s">
        <v>177</v>
      </c>
      <c r="D352" s="22">
        <v>1</v>
      </c>
      <c r="E352" s="15" t="s">
        <v>178</v>
      </c>
      <c r="F352" s="23" t="str">
        <f>IF($B352="","",IFERROR(INDEX(ProdNome,MATCH($B352,ProdCod,0)),"Código não cadastrado"))</f>
        <v>Mouse óptico USB</v>
      </c>
      <c r="G352" s="24">
        <f>IF(OR($B352="",$D352=""),"",$D352*IFERROR(INDEX(ProdCusto,MATCH($B352,ProdCod,0)),0))</f>
        <v>11</v>
      </c>
      <c r="H352" s="25" t="str">
        <f>IF($A352="","",IF(OR($B352="",$C352="",$D352=""),"Preencher tudo",IF($F352="Código não cadastrado","Código inválido","OK")))</f>
        <v>OK</v>
      </c>
    </row>
    <row r="353" spans="1:8">
      <c r="A353" s="16">
        <v>46250</v>
      </c>
      <c r="B353" s="15" t="s">
        <v>101</v>
      </c>
      <c r="C353" s="20" t="s">
        <v>177</v>
      </c>
      <c r="D353" s="22">
        <v>9</v>
      </c>
      <c r="E353" s="15" t="s">
        <v>178</v>
      </c>
      <c r="F353" s="23" t="str">
        <f>IF($B353="","",IFERROR(INDEX(ProdNome,MATCH($B353,ProdCod,0)),"Código não cadastrado"))</f>
        <v>Pen drive 32GB</v>
      </c>
      <c r="G353" s="24">
        <f>IF(OR($B353="",$D353=""),"",$D353*IFERROR(INDEX(ProdCusto,MATCH($B353,ProdCod,0)),0))</f>
        <v>198</v>
      </c>
      <c r="H353" s="25" t="str">
        <f>IF($A353="","",IF(OR($B353="",$C353="",$D353=""),"Preencher tudo",IF($F353="Código não cadastrado","Código inválido","OK")))</f>
        <v>OK</v>
      </c>
    </row>
    <row r="354" spans="1:8">
      <c r="A354" s="16">
        <v>46250</v>
      </c>
      <c r="B354" s="15" t="s">
        <v>113</v>
      </c>
      <c r="C354" s="20" t="s">
        <v>177</v>
      </c>
      <c r="D354" s="22">
        <v>6</v>
      </c>
      <c r="E354" s="15" t="s">
        <v>178</v>
      </c>
      <c r="F354" s="23" t="str">
        <f>IF($B354="","",IFERROR(INDEX(ProdNome,MATCH($B354,ProdCod,0)),"Código não cadastrado"))</f>
        <v>Tesoura escolar</v>
      </c>
      <c r="G354" s="24">
        <f>IF(OR($B354="",$D354=""),"",$D354*IFERROR(INDEX(ProdCusto,MATCH($B354,ProdCod,0)),0))</f>
        <v>16.8</v>
      </c>
      <c r="H354" s="25" t="str">
        <f>IF($A354="","",IF(OR($B354="",$C354="",$D354=""),"Preencher tudo",IF($F354="Código não cadastrado","Código inválido","OK")))</f>
        <v>OK</v>
      </c>
    </row>
    <row r="355" spans="1:8">
      <c r="A355" s="16">
        <v>46250</v>
      </c>
      <c r="B355" s="15" t="s">
        <v>119</v>
      </c>
      <c r="C355" s="20" t="s">
        <v>177</v>
      </c>
      <c r="D355" s="22">
        <v>1</v>
      </c>
      <c r="E355" s="15" t="s">
        <v>178</v>
      </c>
      <c r="F355" s="23" t="str">
        <f>IF($B355="","",IFERROR(INDEX(ProdNome,MATCH($B355,ProdCod,0)),"Código não cadastrado"))</f>
        <v>Plástico bolha (rolo 50m)</v>
      </c>
      <c r="G355" s="24">
        <f>IF(OR($B355="",$D355=""),"",$D355*IFERROR(INDEX(ProdCusto,MATCH($B355,ProdCod,0)),0))</f>
        <v>32</v>
      </c>
      <c r="H355" s="25" t="str">
        <f>IF($A355="","",IF(OR($B355="",$C355="",$D355=""),"Preencher tudo",IF($F355="Código não cadastrado","Código inválido","OK")))</f>
        <v>OK</v>
      </c>
    </row>
    <row r="356" spans="1:8">
      <c r="A356" s="16">
        <v>46250</v>
      </c>
      <c r="B356" s="15" t="s">
        <v>123</v>
      </c>
      <c r="C356" s="20" t="s">
        <v>177</v>
      </c>
      <c r="D356" s="22">
        <v>5</v>
      </c>
      <c r="E356" s="15" t="s">
        <v>178</v>
      </c>
      <c r="F356" s="23" t="str">
        <f>IF($B356="","",IFERROR(INDEX(ProdNome,MATCH($B356,ProdCod,0)),"Código não cadastrado"))</f>
        <v>Álcool 70% 1L</v>
      </c>
      <c r="G356" s="24">
        <f>IF(OR($B356="",$D356=""),"",$D356*IFERROR(INDEX(ProdCusto,MATCH($B356,ProdCod,0)),0))</f>
        <v>31</v>
      </c>
      <c r="H356" s="25" t="str">
        <f>IF($A356="","",IF(OR($B356="",$C356="",$D356=""),"Preencher tudo",IF($F356="Código não cadastrado","Código inválido","OK")))</f>
        <v>OK</v>
      </c>
    </row>
    <row r="357" spans="1:8">
      <c r="A357" s="16">
        <v>46250</v>
      </c>
      <c r="B357" s="15" t="s">
        <v>137</v>
      </c>
      <c r="C357" s="20" t="s">
        <v>177</v>
      </c>
      <c r="D357" s="22">
        <v>5</v>
      </c>
      <c r="E357" s="15" t="s">
        <v>178</v>
      </c>
      <c r="F357" s="23" t="str">
        <f>IF($B357="","",IFERROR(INDEX(ProdNome,MATCH($B357,ProdCod,0)),"Código não cadastrado"))</f>
        <v>Bloco de notas adesivas</v>
      </c>
      <c r="G357" s="24">
        <f>IF(OR($B357="",$D357=""),"",$D357*IFERROR(INDEX(ProdCusto,MATCH($B357,ProdCod,0)),0))</f>
        <v>17</v>
      </c>
      <c r="H357" s="25" t="str">
        <f>IF($A357="","",IF(OR($B357="",$C357="",$D357=""),"Preencher tudo",IF($F357="Código não cadastrado","Código inválido","OK")))</f>
        <v>OK</v>
      </c>
    </row>
    <row r="358" spans="1:8">
      <c r="A358" s="16">
        <v>46250</v>
      </c>
      <c r="B358" s="15" t="s">
        <v>141</v>
      </c>
      <c r="C358" s="20" t="s">
        <v>177</v>
      </c>
      <c r="D358" s="22">
        <v>1</v>
      </c>
      <c r="E358" s="15" t="s">
        <v>178</v>
      </c>
      <c r="F358" s="23" t="str">
        <f>IF($B358="","",IFERROR(INDEX(ProdNome,MATCH($B358,ProdCod,0)),"Código não cadastrado"))</f>
        <v>Fichário argolado</v>
      </c>
      <c r="G358" s="24">
        <f>IF(OR($B358="",$D358=""),"",$D358*IFERROR(INDEX(ProdCusto,MATCH($B358,ProdCod,0)),0))</f>
        <v>21</v>
      </c>
      <c r="H358" s="25" t="str">
        <f>IF($A358="","",IF(OR($B358="",$C358="",$D358=""),"Preencher tudo",IF($F358="Código não cadastrado","Código inválido","OK")))</f>
        <v>OK</v>
      </c>
    </row>
    <row r="359" spans="1:8">
      <c r="A359" s="16">
        <v>46250</v>
      </c>
      <c r="B359" s="15" t="s">
        <v>143</v>
      </c>
      <c r="C359" s="20" t="s">
        <v>177</v>
      </c>
      <c r="D359" s="22">
        <v>9</v>
      </c>
      <c r="E359" s="15" t="s">
        <v>178</v>
      </c>
      <c r="F359" s="23" t="str">
        <f>IF($B359="","",IFERROR(INDEX(ProdNome,MATCH($B359,ProdCod,0)),"Código não cadastrado"))</f>
        <v>Régua 30cm</v>
      </c>
      <c r="G359" s="24">
        <f>IF(OR($B359="",$D359=""),"",$D359*IFERROR(INDEX(ProdCusto,MATCH($B359,ProdCod,0)),0))</f>
        <v>8.1</v>
      </c>
      <c r="H359" s="25" t="str">
        <f>IF($A359="","",IF(OR($B359="",$C359="",$D359=""),"Preencher tudo",IF($F359="Código não cadastrado","Código inválido","OK")))</f>
        <v>OK</v>
      </c>
    </row>
    <row r="360" spans="1:8">
      <c r="A360" s="16">
        <v>46250</v>
      </c>
      <c r="B360" s="15" t="s">
        <v>163</v>
      </c>
      <c r="C360" s="20" t="s">
        <v>177</v>
      </c>
      <c r="D360" s="22">
        <v>1</v>
      </c>
      <c r="E360" s="15" t="s">
        <v>178</v>
      </c>
      <c r="F360" s="23" t="str">
        <f>IF($B360="","",IFERROR(INDEX(ProdNome,MATCH($B360,ProdCod,0)),"Código não cadastrado"))</f>
        <v>Caixa organizadora</v>
      </c>
      <c r="G360" s="24">
        <f>IF(OR($B360="",$D360=""),"",$D360*IFERROR(INDEX(ProdCusto,MATCH($B360,ProdCod,0)),0))</f>
        <v>18</v>
      </c>
      <c r="H360" s="25" t="str">
        <f>IF($A360="","",IF(OR($B360="",$C360="",$D360=""),"Preencher tudo",IF($F360="Código não cadastrado","Código inválido","OK")))</f>
        <v>OK</v>
      </c>
    </row>
    <row r="361" spans="1:8">
      <c r="A361" s="16">
        <v>46251</v>
      </c>
      <c r="B361" s="15" t="s">
        <v>103</v>
      </c>
      <c r="C361" s="20" t="s">
        <v>177</v>
      </c>
      <c r="D361" s="22">
        <v>11</v>
      </c>
      <c r="E361" s="15" t="s">
        <v>178</v>
      </c>
      <c r="F361" s="23" t="str">
        <f>IF($B361="","",IFERROR(INDEX(ProdNome,MATCH($B361,ProdCod,0)),"Código não cadastrado"))</f>
        <v>Cabo USB-C 1m</v>
      </c>
      <c r="G361" s="24">
        <f>IF(OR($B361="",$D361=""),"",$D361*IFERROR(INDEX(ProdCusto,MATCH($B361,ProdCod,0)),0))</f>
        <v>71.5</v>
      </c>
      <c r="H361" s="25" t="str">
        <f>IF($A361="","",IF(OR($B361="",$C361="",$D361=""),"Preencher tudo",IF($F361="Código não cadastrado","Código inválido","OK")))</f>
        <v>OK</v>
      </c>
    </row>
    <row r="362" spans="1:8">
      <c r="A362" s="16">
        <v>46251</v>
      </c>
      <c r="B362" s="15" t="s">
        <v>115</v>
      </c>
      <c r="C362" s="20" t="s">
        <v>177</v>
      </c>
      <c r="D362" s="22">
        <v>10</v>
      </c>
      <c r="E362" s="15" t="s">
        <v>178</v>
      </c>
      <c r="F362" s="23" t="str">
        <f>IF($B362="","",IFERROR(INDEX(ProdNome,MATCH($B362,ProdCod,0)),"Código não cadastrado"))</f>
        <v>Fita adesiva transparente</v>
      </c>
      <c r="G362" s="24">
        <f>IF(OR($B362="",$D362=""),"",$D362*IFERROR(INDEX(ProdCusto,MATCH($B362,ProdCod,0)),0))</f>
        <v>16</v>
      </c>
      <c r="H362" s="25" t="str">
        <f>IF($A362="","",IF(OR($B362="",$C362="",$D362=""),"Preencher tudo",IF($F362="Código não cadastrado","Código inválido","OK")))</f>
        <v>OK</v>
      </c>
    </row>
    <row r="363" spans="1:8">
      <c r="A363" s="16">
        <v>46251</v>
      </c>
      <c r="B363" s="15" t="s">
        <v>117</v>
      </c>
      <c r="C363" s="20" t="s">
        <v>177</v>
      </c>
      <c r="D363" s="22">
        <v>1</v>
      </c>
      <c r="E363" s="15" t="s">
        <v>178</v>
      </c>
      <c r="F363" s="23" t="str">
        <f>IF($B363="","",IFERROR(INDEX(ProdNome,MATCH($B363,ProdCod,0)),"Código não cadastrado"))</f>
        <v>Caixa de papelão M (pct 10)</v>
      </c>
      <c r="G363" s="24">
        <f>IF(OR($B363="",$D363=""),"",$D363*IFERROR(INDEX(ProdCusto,MATCH($B363,ProdCod,0)),0))</f>
        <v>15</v>
      </c>
      <c r="H363" s="25" t="str">
        <f>IF($A363="","",IF(OR($B363="",$C363="",$D363=""),"Preencher tudo",IF($F363="Código não cadastrado","Código inválido","OK")))</f>
        <v>OK</v>
      </c>
    </row>
    <row r="364" spans="1:8">
      <c r="A364" s="16">
        <v>46251</v>
      </c>
      <c r="B364" s="15" t="s">
        <v>121</v>
      </c>
      <c r="C364" s="20" t="s">
        <v>177</v>
      </c>
      <c r="D364" s="22">
        <v>1</v>
      </c>
      <c r="E364" s="15" t="s">
        <v>178</v>
      </c>
      <c r="F364" s="23" t="str">
        <f>IF($B364="","",IFERROR(INDEX(ProdNome,MATCH($B364,ProdCod,0)),"Código não cadastrado"))</f>
        <v>Sacola kraft G (pct 50)</v>
      </c>
      <c r="G364" s="24">
        <f>IF(OR($B364="",$D364=""),"",$D364*IFERROR(INDEX(ProdCusto,MATCH($B364,ProdCod,0)),0))</f>
        <v>24</v>
      </c>
      <c r="H364" s="25" t="str">
        <f>IF($A364="","",IF(OR($B364="",$C364="",$D364=""),"Preencher tudo",IF($F364="Código não cadastrado","Código inválido","OK")))</f>
        <v>OK</v>
      </c>
    </row>
    <row r="365" spans="1:8">
      <c r="A365" s="16">
        <v>46251</v>
      </c>
      <c r="B365" s="15" t="s">
        <v>127</v>
      </c>
      <c r="C365" s="20" t="s">
        <v>177</v>
      </c>
      <c r="D365" s="22">
        <v>2</v>
      </c>
      <c r="E365" s="15" t="s">
        <v>178</v>
      </c>
      <c r="F365" s="23" t="str">
        <f>IF($B365="","",IFERROR(INDEX(ProdNome,MATCH($B365,ProdCod,0)),"Código não cadastrado"))</f>
        <v>Pilha AA (cartela 4)</v>
      </c>
      <c r="G365" s="24">
        <f>IF(OR($B365="",$D365=""),"",$D365*IFERROR(INDEX(ProdCusto,MATCH($B365,ProdCod,0)),0))</f>
        <v>15</v>
      </c>
      <c r="H365" s="25" t="str">
        <f>IF($A365="","",IF(OR($B365="",$C365="",$D365=""),"Preencher tudo",IF($F365="Código não cadastrado","Código inválido","OK")))</f>
        <v>OK</v>
      </c>
    </row>
    <row r="366" spans="1:8">
      <c r="A366" s="16">
        <v>46251</v>
      </c>
      <c r="B366" s="15" t="s">
        <v>129</v>
      </c>
      <c r="C366" s="20" t="s">
        <v>177</v>
      </c>
      <c r="D366" s="22">
        <v>6</v>
      </c>
      <c r="E366" s="15" t="s">
        <v>178</v>
      </c>
      <c r="F366" s="23" t="str">
        <f>IF($B366="","",IFERROR(INDEX(ProdNome,MATCH($B366,ProdCod,0)),"Código não cadastrado"))</f>
        <v>Caneca branca para sublimação</v>
      </c>
      <c r="G366" s="24">
        <f>IF(OR($B366="",$D366=""),"",$D366*IFERROR(INDEX(ProdCusto,MATCH($B366,ProdCod,0)),0))</f>
        <v>25.2</v>
      </c>
      <c r="H366" s="25" t="str">
        <f>IF($A366="","",IF(OR($B366="",$C366="",$D366=""),"Preencher tudo",IF($F366="Código não cadastrado","Código inválido","OK")))</f>
        <v>OK</v>
      </c>
    </row>
    <row r="367" spans="1:8">
      <c r="A367" s="16">
        <v>46251</v>
      </c>
      <c r="B367" s="15" t="s">
        <v>139</v>
      </c>
      <c r="C367" s="20" t="s">
        <v>177</v>
      </c>
      <c r="D367" s="22">
        <v>1</v>
      </c>
      <c r="E367" s="15" t="s">
        <v>178</v>
      </c>
      <c r="F367" s="23" t="str">
        <f>IF($B367="","",IFERROR(INDEX(ProdNome,MATCH($B367,ProdCod,0)),"Código não cadastrado"))</f>
        <v>Calculadora de mesa</v>
      </c>
      <c r="G367" s="24">
        <f>IF(OR($B367="",$D367=""),"",$D367*IFERROR(INDEX(ProdCusto,MATCH($B367,ProdCod,0)),0))</f>
        <v>17</v>
      </c>
      <c r="H367" s="25" t="str">
        <f>IF($A367="","",IF(OR($B367="",$C367="",$D367=""),"Preencher tudo",IF($F367="Código não cadastrado","Código inválido","OK")))</f>
        <v>OK</v>
      </c>
    </row>
    <row r="368" spans="1:8">
      <c r="A368" s="16">
        <v>46251</v>
      </c>
      <c r="B368" s="15" t="s">
        <v>167</v>
      </c>
      <c r="C368" s="20" t="s">
        <v>177</v>
      </c>
      <c r="D368" s="22">
        <v>1</v>
      </c>
      <c r="E368" s="15" t="s">
        <v>178</v>
      </c>
      <c r="F368" s="23" t="str">
        <f>IF($B368="","",IFERROR(INDEX(ProdNome,MATCH($B368,ProdCod,0)),"Código não cadastrado"))</f>
        <v>Porta-retrato 10x15</v>
      </c>
      <c r="G368" s="24">
        <f>IF(OR($B368="",$D368=""),"",$D368*IFERROR(INDEX(ProdCusto,MATCH($B368,ProdCod,0)),0))</f>
        <v>6.2</v>
      </c>
      <c r="H368" s="25" t="str">
        <f>IF($A368="","",IF(OR($B368="",$C368="",$D368=""),"Preencher tudo",IF($F368="Código não cadastrado","Código inválido","OK")))</f>
        <v>OK</v>
      </c>
    </row>
    <row r="369" spans="1:8">
      <c r="A369" s="16">
        <v>46253</v>
      </c>
      <c r="B369" s="15" t="s">
        <v>89</v>
      </c>
      <c r="C369" s="20" t="s">
        <v>177</v>
      </c>
      <c r="D369" s="22">
        <v>36</v>
      </c>
      <c r="E369" s="15" t="s">
        <v>178</v>
      </c>
      <c r="F369" s="23" t="str">
        <f>IF($B369="","",IFERROR(INDEX(ProdNome,MATCH($B369,ProdCod,0)),"Código não cadastrado"))</f>
        <v>Caderno universitário 10 matérias</v>
      </c>
      <c r="G369" s="24">
        <f>IF(OR($B369="",$D369=""),"",$D369*IFERROR(INDEX(ProdCusto,MATCH($B369,ProdCod,0)),0))</f>
        <v>342</v>
      </c>
      <c r="H369" s="25" t="str">
        <f>IF($A369="","",IF(OR($B369="",$C369="",$D369=""),"Preencher tudo",IF($F369="Código não cadastrado","Código inválido","OK")))</f>
        <v>OK</v>
      </c>
    </row>
    <row r="370" spans="1:8">
      <c r="A370" s="16">
        <v>46253</v>
      </c>
      <c r="B370" s="15" t="s">
        <v>97</v>
      </c>
      <c r="C370" s="20" t="s">
        <v>177</v>
      </c>
      <c r="D370" s="22">
        <v>1</v>
      </c>
      <c r="E370" s="15" t="s">
        <v>178</v>
      </c>
      <c r="F370" s="23" t="str">
        <f>IF($B370="","",IFERROR(INDEX(ProdNome,MATCH($B370,ProdCod,0)),"Código não cadastrado"))</f>
        <v>Grampeador médio</v>
      </c>
      <c r="G370" s="24">
        <f>IF(OR($B370="",$D370=""),"",$D370*IFERROR(INDEX(ProdCusto,MATCH($B370,ProdCod,0)),0))</f>
        <v>14</v>
      </c>
      <c r="H370" s="25" t="str">
        <f>IF($A370="","",IF(OR($B370="",$C370="",$D370=""),"Preencher tudo",IF($F370="Código não cadastrado","Código inválido","OK")))</f>
        <v>OK</v>
      </c>
    </row>
    <row r="371" spans="1:8">
      <c r="A371" s="16">
        <v>46253</v>
      </c>
      <c r="B371" s="15" t="s">
        <v>103</v>
      </c>
      <c r="C371" s="20" t="s">
        <v>177</v>
      </c>
      <c r="D371" s="22">
        <v>11</v>
      </c>
      <c r="E371" s="15" t="s">
        <v>178</v>
      </c>
      <c r="F371" s="23" t="str">
        <f>IF($B371="","",IFERROR(INDEX(ProdNome,MATCH($B371,ProdCod,0)),"Código não cadastrado"))</f>
        <v>Cabo USB-C 1m</v>
      </c>
      <c r="G371" s="24">
        <f>IF(OR($B371="",$D371=""),"",$D371*IFERROR(INDEX(ProdCusto,MATCH($B371,ProdCod,0)),0))</f>
        <v>71.5</v>
      </c>
      <c r="H371" s="25" t="str">
        <f>IF($A371="","",IF(OR($B371="",$C371="",$D371=""),"Preencher tudo",IF($F371="Código não cadastrado","Código inválido","OK")))</f>
        <v>OK</v>
      </c>
    </row>
    <row r="372" spans="1:8">
      <c r="A372" s="16">
        <v>46253</v>
      </c>
      <c r="B372" s="15" t="s">
        <v>117</v>
      </c>
      <c r="C372" s="20" t="s">
        <v>177</v>
      </c>
      <c r="D372" s="22">
        <v>1</v>
      </c>
      <c r="E372" s="15" t="s">
        <v>178</v>
      </c>
      <c r="F372" s="23" t="str">
        <f>IF($B372="","",IFERROR(INDEX(ProdNome,MATCH($B372,ProdCod,0)),"Código não cadastrado"))</f>
        <v>Caixa de papelão M (pct 10)</v>
      </c>
      <c r="G372" s="24">
        <f>IF(OR($B372="",$D372=""),"",$D372*IFERROR(INDEX(ProdCusto,MATCH($B372,ProdCod,0)),0))</f>
        <v>15</v>
      </c>
      <c r="H372" s="25" t="str">
        <f>IF($A372="","",IF(OR($B372="",$C372="",$D372=""),"Preencher tudo",IF($F372="Código não cadastrado","Código inválido","OK")))</f>
        <v>OK</v>
      </c>
    </row>
    <row r="373" spans="1:8">
      <c r="A373" s="16">
        <v>46253</v>
      </c>
      <c r="B373" s="15" t="s">
        <v>137</v>
      </c>
      <c r="C373" s="20" t="s">
        <v>177</v>
      </c>
      <c r="D373" s="22">
        <v>4</v>
      </c>
      <c r="E373" s="15" t="s">
        <v>178</v>
      </c>
      <c r="F373" s="23" t="str">
        <f>IF($B373="","",IFERROR(INDEX(ProdNome,MATCH($B373,ProdCod,0)),"Código não cadastrado"))</f>
        <v>Bloco de notas adesivas</v>
      </c>
      <c r="G373" s="24">
        <f>IF(OR($B373="",$D373=""),"",$D373*IFERROR(INDEX(ProdCusto,MATCH($B373,ProdCod,0)),0))</f>
        <v>13.6</v>
      </c>
      <c r="H373" s="25" t="str">
        <f>IF($A373="","",IF(OR($B373="",$C373="",$D373=""),"Preencher tudo",IF($F373="Código não cadastrado","Código inválido","OK")))</f>
        <v>OK</v>
      </c>
    </row>
    <row r="374" spans="1:8">
      <c r="A374" s="16">
        <v>46253</v>
      </c>
      <c r="B374" s="15" t="s">
        <v>143</v>
      </c>
      <c r="C374" s="20" t="s">
        <v>177</v>
      </c>
      <c r="D374" s="22">
        <v>6</v>
      </c>
      <c r="E374" s="15" t="s">
        <v>178</v>
      </c>
      <c r="F374" s="23" t="str">
        <f>IF($B374="","",IFERROR(INDEX(ProdNome,MATCH($B374,ProdCod,0)),"Código não cadastrado"))</f>
        <v>Régua 30cm</v>
      </c>
      <c r="G374" s="24">
        <f>IF(OR($B374="",$D374=""),"",$D374*IFERROR(INDEX(ProdCusto,MATCH($B374,ProdCod,0)),0))</f>
        <v>5.4</v>
      </c>
      <c r="H374" s="25" t="str">
        <f>IF($A374="","",IF(OR($B374="",$C374="",$D374=""),"Preencher tudo",IF($F374="Código não cadastrado","Código inválido","OK")))</f>
        <v>OK</v>
      </c>
    </row>
    <row r="375" spans="1:8">
      <c r="A375" s="16">
        <v>46253</v>
      </c>
      <c r="B375" s="15" t="s">
        <v>161</v>
      </c>
      <c r="C375" s="20" t="s">
        <v>177</v>
      </c>
      <c r="D375" s="22">
        <v>1</v>
      </c>
      <c r="E375" s="15" t="s">
        <v>178</v>
      </c>
      <c r="F375" s="23" t="str">
        <f>IF($B375="","",IFERROR(INDEX(ProdNome,MATCH($B375,ProdCod,0)),"Código não cadastrado"))</f>
        <v>Pote plástico 500ml (pct 12)</v>
      </c>
      <c r="G375" s="24">
        <f>IF(OR($B375="",$D375=""),"",$D375*IFERROR(INDEX(ProdCusto,MATCH($B375,ProdCod,0)),0))</f>
        <v>11</v>
      </c>
      <c r="H375" s="25" t="str">
        <f>IF($A375="","",IF(OR($B375="",$C375="",$D375=""),"Preencher tudo",IF($F375="Código não cadastrado","Código inválido","OK")))</f>
        <v>OK</v>
      </c>
    </row>
    <row r="376" spans="1:8">
      <c r="A376" s="16">
        <v>46254</v>
      </c>
      <c r="B376" s="15" t="s">
        <v>99</v>
      </c>
      <c r="C376" s="20" t="s">
        <v>179</v>
      </c>
      <c r="D376" s="22">
        <v>3</v>
      </c>
      <c r="E376" s="15" t="s">
        <v>283</v>
      </c>
      <c r="F376" s="23" t="str">
        <f>IF($B376="","",IFERROR(INDEX(ProdNome,MATCH($B376,ProdCod,0)),"Código não cadastrado"))</f>
        <v>Mouse óptico USB</v>
      </c>
      <c r="G376" s="24">
        <f>IF(OR($B376="",$D376=""),"",$D376*IFERROR(INDEX(ProdCusto,MATCH($B376,ProdCod,0)),0))</f>
        <v>33</v>
      </c>
      <c r="H376" s="25" t="str">
        <f>IF($A376="","",IF(OR($B376="",$C376="",$D376=""),"Preencher tudo",IF($F376="Código não cadastrado","Código inválido","OK")))</f>
        <v>OK</v>
      </c>
    </row>
    <row r="377" spans="1:8">
      <c r="A377" s="16">
        <v>46254</v>
      </c>
      <c r="B377" s="15" t="s">
        <v>101</v>
      </c>
      <c r="C377" s="20" t="s">
        <v>179</v>
      </c>
      <c r="D377" s="22">
        <v>14</v>
      </c>
      <c r="E377" s="15" t="s">
        <v>284</v>
      </c>
      <c r="F377" s="23" t="str">
        <f>IF($B377="","",IFERROR(INDEX(ProdNome,MATCH($B377,ProdCod,0)),"Código não cadastrado"))</f>
        <v>Pen drive 32GB</v>
      </c>
      <c r="G377" s="24">
        <f>IF(OR($B377="",$D377=""),"",$D377*IFERROR(INDEX(ProdCusto,MATCH($B377,ProdCod,0)),0))</f>
        <v>308</v>
      </c>
      <c r="H377" s="25" t="str">
        <f>IF($A377="","",IF(OR($B377="",$C377="",$D377=""),"Preencher tudo",IF($F377="Código não cadastrado","Código inválido","OK")))</f>
        <v>OK</v>
      </c>
    </row>
    <row r="378" spans="1:8">
      <c r="A378" s="16">
        <v>46254</v>
      </c>
      <c r="B378" s="15" t="s">
        <v>103</v>
      </c>
      <c r="C378" s="20" t="s">
        <v>179</v>
      </c>
      <c r="D378" s="22">
        <v>22</v>
      </c>
      <c r="E378" s="15" t="s">
        <v>285</v>
      </c>
      <c r="F378" s="23" t="str">
        <f>IF($B378="","",IFERROR(INDEX(ProdNome,MATCH($B378,ProdCod,0)),"Código não cadastrado"))</f>
        <v>Cabo USB-C 1m</v>
      </c>
      <c r="G378" s="24">
        <f>IF(OR($B378="",$D378=""),"",$D378*IFERROR(INDEX(ProdCusto,MATCH($B378,ProdCod,0)),0))</f>
        <v>143</v>
      </c>
      <c r="H378" s="25" t="str">
        <f>IF($A378="","",IF(OR($B378="",$C378="",$D378=""),"Preencher tudo",IF($F378="Código não cadastrado","Código inválido","OK")))</f>
        <v>OK</v>
      </c>
    </row>
    <row r="379" spans="1:8">
      <c r="A379" s="16">
        <v>46254</v>
      </c>
      <c r="B379" s="15" t="s">
        <v>111</v>
      </c>
      <c r="C379" s="20" t="s">
        <v>179</v>
      </c>
      <c r="D379" s="22">
        <v>15</v>
      </c>
      <c r="E379" s="15" t="s">
        <v>286</v>
      </c>
      <c r="F379" s="23" t="str">
        <f>IF($B379="","",IFERROR(INDEX(ProdNome,MATCH($B379,ProdCod,0)),"Código não cadastrado"))</f>
        <v>Cola branca 90g</v>
      </c>
      <c r="G379" s="24">
        <f>IF(OR($B379="",$D379=""),"",$D379*IFERROR(INDEX(ProdCusto,MATCH($B379,ProdCod,0)),0))</f>
        <v>28.5</v>
      </c>
      <c r="H379" s="25" t="str">
        <f>IF($A379="","",IF(OR($B379="",$C379="",$D379=""),"Preencher tudo",IF($F379="Código não cadastrado","Código inválido","OK")))</f>
        <v>OK</v>
      </c>
    </row>
    <row r="380" spans="1:8">
      <c r="A380" s="16">
        <v>46254</v>
      </c>
      <c r="B380" s="15" t="s">
        <v>115</v>
      </c>
      <c r="C380" s="20" t="s">
        <v>177</v>
      </c>
      <c r="D380" s="22">
        <v>10</v>
      </c>
      <c r="E380" s="15" t="s">
        <v>178</v>
      </c>
      <c r="F380" s="23" t="str">
        <f>IF($B380="","",IFERROR(INDEX(ProdNome,MATCH($B380,ProdCod,0)),"Código não cadastrado"))</f>
        <v>Fita adesiva transparente</v>
      </c>
      <c r="G380" s="24">
        <f>IF(OR($B380="",$D380=""),"",$D380*IFERROR(INDEX(ProdCusto,MATCH($B380,ProdCod,0)),0))</f>
        <v>16</v>
      </c>
      <c r="H380" s="25" t="str">
        <f>IF($A380="","",IF(OR($B380="",$C380="",$D380=""),"Preencher tudo",IF($F380="Código não cadastrado","Código inválido","OK")))</f>
        <v>OK</v>
      </c>
    </row>
    <row r="381" spans="1:8">
      <c r="A381" s="16">
        <v>46254</v>
      </c>
      <c r="B381" s="15" t="s">
        <v>121</v>
      </c>
      <c r="C381" s="20" t="s">
        <v>177</v>
      </c>
      <c r="D381" s="22">
        <v>1</v>
      </c>
      <c r="E381" s="15" t="s">
        <v>178</v>
      </c>
      <c r="F381" s="23" t="str">
        <f>IF($B381="","",IFERROR(INDEX(ProdNome,MATCH($B381,ProdCod,0)),"Código não cadastrado"))</f>
        <v>Sacola kraft G (pct 50)</v>
      </c>
      <c r="G381" s="24">
        <f>IF(OR($B381="",$D381=""),"",$D381*IFERROR(INDEX(ProdCusto,MATCH($B381,ProdCod,0)),0))</f>
        <v>24</v>
      </c>
      <c r="H381" s="25" t="str">
        <f>IF($A381="","",IF(OR($B381="",$C381="",$D381=""),"Preencher tudo",IF($F381="Código não cadastrado","Código inválido","OK")))</f>
        <v>OK</v>
      </c>
    </row>
    <row r="382" spans="1:8">
      <c r="A382" s="16">
        <v>46254</v>
      </c>
      <c r="B382" s="15" t="s">
        <v>125</v>
      </c>
      <c r="C382" s="20" t="s">
        <v>179</v>
      </c>
      <c r="D382" s="22">
        <v>6</v>
      </c>
      <c r="E382" s="15" t="s">
        <v>287</v>
      </c>
      <c r="F382" s="23" t="str">
        <f>IF($B382="","",IFERROR(INDEX(ProdNome,MATCH($B382,ProdCod,0)),"Código não cadastrado"))</f>
        <v>Papel toalha (pct 2)</v>
      </c>
      <c r="G382" s="24">
        <f>IF(OR($B382="",$D382=""),"",$D382*IFERROR(INDEX(ProdCusto,MATCH($B382,ProdCod,0)),0))</f>
        <v>35.4</v>
      </c>
      <c r="H382" s="25" t="str">
        <f>IF($A382="","",IF(OR($B382="",$C382="",$D382=""),"Preencher tudo",IF($F382="Código não cadastrado","Código inválido","OK")))</f>
        <v>OK</v>
      </c>
    </row>
    <row r="383" spans="1:8">
      <c r="A383" s="16">
        <v>46254</v>
      </c>
      <c r="B383" s="15" t="s">
        <v>127</v>
      </c>
      <c r="C383" s="20" t="s">
        <v>179</v>
      </c>
      <c r="D383" s="22">
        <v>6</v>
      </c>
      <c r="E383" s="15" t="s">
        <v>288</v>
      </c>
      <c r="F383" s="23" t="str">
        <f>IF($B383="","",IFERROR(INDEX(ProdNome,MATCH($B383,ProdCod,0)),"Código não cadastrado"))</f>
        <v>Pilha AA (cartela 4)</v>
      </c>
      <c r="G383" s="24">
        <f>IF(OR($B383="",$D383=""),"",$D383*IFERROR(INDEX(ProdCusto,MATCH($B383,ProdCod,0)),0))</f>
        <v>45</v>
      </c>
      <c r="H383" s="25" t="str">
        <f>IF($A383="","",IF(OR($B383="",$C383="",$D383=""),"Preencher tudo",IF($F383="Código não cadastrado","Código inválido","OK")))</f>
        <v>OK</v>
      </c>
    </row>
    <row r="384" spans="1:8">
      <c r="A384" s="16">
        <v>46254</v>
      </c>
      <c r="B384" s="15" t="s">
        <v>135</v>
      </c>
      <c r="C384" s="20" t="s">
        <v>177</v>
      </c>
      <c r="D384" s="22">
        <v>2</v>
      </c>
      <c r="E384" s="15" t="s">
        <v>178</v>
      </c>
      <c r="F384" s="23" t="str">
        <f>IF($B384="","",IFERROR(INDEX(ProdNome,MATCH($B384,ProdCod,0)),"Código não cadastrado"))</f>
        <v>Marca-texto (cx 6)</v>
      </c>
      <c r="G384" s="24">
        <f>IF(OR($B384="",$D384=""),"",$D384*IFERROR(INDEX(ProdCusto,MATCH($B384,ProdCod,0)),0))</f>
        <v>19.6</v>
      </c>
      <c r="H384" s="25" t="str">
        <f>IF($A384="","",IF(OR($B384="",$C384="",$D384=""),"Preencher tudo",IF($F384="Código não cadastrado","Código inválido","OK")))</f>
        <v>OK</v>
      </c>
    </row>
    <row r="385" spans="1:8">
      <c r="A385" s="16">
        <v>46254</v>
      </c>
      <c r="B385" s="15" t="s">
        <v>135</v>
      </c>
      <c r="C385" s="20" t="s">
        <v>179</v>
      </c>
      <c r="D385" s="22">
        <v>4</v>
      </c>
      <c r="E385" s="15" t="s">
        <v>289</v>
      </c>
      <c r="F385" s="23" t="str">
        <f>IF($B385="","",IFERROR(INDEX(ProdNome,MATCH($B385,ProdCod,0)),"Código não cadastrado"))</f>
        <v>Marca-texto (cx 6)</v>
      </c>
      <c r="G385" s="24">
        <f>IF(OR($B385="",$D385=""),"",$D385*IFERROR(INDEX(ProdCusto,MATCH($B385,ProdCod,0)),0))</f>
        <v>39.2</v>
      </c>
      <c r="H385" s="25" t="str">
        <f>IF($A385="","",IF(OR($B385="",$C385="",$D385=""),"Preencher tudo",IF($F385="Código não cadastrado","Código inválido","OK")))</f>
        <v>OK</v>
      </c>
    </row>
    <row r="386" spans="1:8">
      <c r="A386" s="16">
        <v>46254</v>
      </c>
      <c r="B386" s="15" t="s">
        <v>155</v>
      </c>
      <c r="C386" s="20" t="s">
        <v>177</v>
      </c>
      <c r="D386" s="22">
        <v>1</v>
      </c>
      <c r="E386" s="15" t="s">
        <v>178</v>
      </c>
      <c r="F386" s="23" t="str">
        <f>IF($B386="","",IFERROR(INDEX(ProdNome,MATCH($B386,ProdCod,0)),"Código não cadastrado"))</f>
        <v>Tinta guache (kit 6)</v>
      </c>
      <c r="G386" s="24">
        <f>IF(OR($B386="",$D386=""),"",$D386*IFERROR(INDEX(ProdCusto,MATCH($B386,ProdCod,0)),0))</f>
        <v>8.7</v>
      </c>
      <c r="H386" s="25" t="str">
        <f>IF($A386="","",IF(OR($B386="",$C386="",$D386=""),"Preencher tudo",IF($F386="Código não cadastrado","Código inválido","OK")))</f>
        <v>OK</v>
      </c>
    </row>
    <row r="387" spans="1:8">
      <c r="A387" s="16">
        <v>46254</v>
      </c>
      <c r="B387" s="15" t="s">
        <v>157</v>
      </c>
      <c r="C387" s="20" t="s">
        <v>177</v>
      </c>
      <c r="D387" s="22">
        <v>1</v>
      </c>
      <c r="E387" s="15" t="s">
        <v>178</v>
      </c>
      <c r="F387" s="23" t="str">
        <f>IF($B387="","",IFERROR(INDEX(ProdNome,MATCH($B387,ProdCod,0)),"Código não cadastrado"))</f>
        <v>Papel fotográfico A4 (pct 20)</v>
      </c>
      <c r="G387" s="24">
        <f>IF(OR($B387="",$D387=""),"",$D387*IFERROR(INDEX(ProdCusto,MATCH($B387,ProdCod,0)),0))</f>
        <v>12.5</v>
      </c>
      <c r="H387" s="25" t="str">
        <f>IF($A387="","",IF(OR($B387="",$C387="",$D387=""),"Preencher tudo",IF($F387="Código não cadastrado","Código inválido","OK")))</f>
        <v>OK</v>
      </c>
    </row>
    <row r="388" spans="1:8">
      <c r="A388" s="16">
        <v>46255</v>
      </c>
      <c r="B388" s="15" t="s">
        <v>91</v>
      </c>
      <c r="C388" s="20" t="s">
        <v>177</v>
      </c>
      <c r="D388" s="22">
        <v>11</v>
      </c>
      <c r="E388" s="15" t="s">
        <v>178</v>
      </c>
      <c r="F388" s="23" t="str">
        <f>IF($B388="","",IFERROR(INDEX(ProdNome,MATCH($B388,ProdCod,0)),"Código não cadastrado"))</f>
        <v>Caneta esferográfica azul (cx 50)</v>
      </c>
      <c r="G388" s="24">
        <f>IF(OR($B388="",$D388=""),"",$D388*IFERROR(INDEX(ProdCusto,MATCH($B388,ProdCod,0)),0))</f>
        <v>242</v>
      </c>
      <c r="H388" s="25" t="str">
        <f>IF($A388="","",IF(OR($B388="",$C388="",$D388=""),"Preencher tudo",IF($F388="Código não cadastrado","Código inválido","OK")))</f>
        <v>OK</v>
      </c>
    </row>
    <row r="389" spans="1:8">
      <c r="A389" s="16">
        <v>46255</v>
      </c>
      <c r="B389" s="15" t="s">
        <v>91</v>
      </c>
      <c r="C389" s="20" t="s">
        <v>179</v>
      </c>
      <c r="D389" s="22">
        <v>22</v>
      </c>
      <c r="E389" s="15" t="s">
        <v>290</v>
      </c>
      <c r="F389" s="23" t="str">
        <f>IF($B389="","",IFERROR(INDEX(ProdNome,MATCH($B389,ProdCod,0)),"Código não cadastrado"))</f>
        <v>Caneta esferográfica azul (cx 50)</v>
      </c>
      <c r="G389" s="24">
        <f>IF(OR($B389="",$D389=""),"",$D389*IFERROR(INDEX(ProdCusto,MATCH($B389,ProdCod,0)),0))</f>
        <v>484</v>
      </c>
      <c r="H389" s="25" t="str">
        <f>IF($A389="","",IF(OR($B389="",$C389="",$D389=""),"Preencher tudo",IF($F389="Código não cadastrado","Código inválido","OK")))</f>
        <v>OK</v>
      </c>
    </row>
    <row r="390" spans="1:8">
      <c r="A390" s="16">
        <v>46255</v>
      </c>
      <c r="B390" s="15" t="s">
        <v>93</v>
      </c>
      <c r="C390" s="20" t="s">
        <v>179</v>
      </c>
      <c r="D390" s="22">
        <v>55</v>
      </c>
      <c r="E390" s="15" t="s">
        <v>291</v>
      </c>
      <c r="F390" s="23" t="str">
        <f>IF($B390="","",IFERROR(INDEX(ProdNome,MATCH($B390,ProdCod,0)),"Código não cadastrado"))</f>
        <v>Papel A4 75g (resma)</v>
      </c>
      <c r="G390" s="24">
        <f>IF(OR($B390="",$D390=""),"",$D390*IFERROR(INDEX(ProdCusto,MATCH($B390,ProdCod,0)),0))</f>
        <v>1182.5</v>
      </c>
      <c r="H390" s="25" t="str">
        <f>IF($A390="","",IF(OR($B390="",$C390="",$D390=""),"Preencher tudo",IF($F390="Código não cadastrado","Código inválido","OK")))</f>
        <v>OK</v>
      </c>
    </row>
    <row r="391" spans="1:8">
      <c r="A391" s="16">
        <v>46255</v>
      </c>
      <c r="B391" s="15" t="s">
        <v>105</v>
      </c>
      <c r="C391" s="20" t="s">
        <v>177</v>
      </c>
      <c r="D391" s="22">
        <v>4</v>
      </c>
      <c r="E391" s="15" t="s">
        <v>178</v>
      </c>
      <c r="F391" s="23" t="str">
        <f>IF($B391="","",IFERROR(INDEX(ProdNome,MATCH($B391,ProdCod,0)),"Código não cadastrado"))</f>
        <v>Mochila escolar 20L</v>
      </c>
      <c r="G391" s="24">
        <f>IF(OR($B391="",$D391=""),"",$D391*IFERROR(INDEX(ProdCusto,MATCH($B391,ProdCod,0)),0))</f>
        <v>184</v>
      </c>
      <c r="H391" s="25" t="str">
        <f>IF($A391="","",IF(OR($B391="",$C391="",$D391=""),"Preencher tudo",IF($F391="Código não cadastrado","Código inválido","OK")))</f>
        <v>OK</v>
      </c>
    </row>
    <row r="392" spans="1:8">
      <c r="A392" s="16">
        <v>46255</v>
      </c>
      <c r="B392" s="15" t="s">
        <v>111</v>
      </c>
      <c r="C392" s="20" t="s">
        <v>177</v>
      </c>
      <c r="D392" s="22">
        <v>9</v>
      </c>
      <c r="E392" s="15" t="s">
        <v>178</v>
      </c>
      <c r="F392" s="23" t="str">
        <f>IF($B392="","",IFERROR(INDEX(ProdNome,MATCH($B392,ProdCod,0)),"Código não cadastrado"))</f>
        <v>Cola branca 90g</v>
      </c>
      <c r="G392" s="24">
        <f>IF(OR($B392="",$D392=""),"",$D392*IFERROR(INDEX(ProdCusto,MATCH($B392,ProdCod,0)),0))</f>
        <v>17.1</v>
      </c>
      <c r="H392" s="25" t="str">
        <f>IF($A392="","",IF(OR($B392="",$C392="",$D392=""),"Preencher tudo",IF($F392="Código não cadastrado","Código inválido","OK")))</f>
        <v>OK</v>
      </c>
    </row>
    <row r="393" spans="1:8">
      <c r="A393" s="16">
        <v>46255</v>
      </c>
      <c r="B393" s="15" t="s">
        <v>121</v>
      </c>
      <c r="C393" s="20" t="s">
        <v>179</v>
      </c>
      <c r="D393" s="22">
        <v>3</v>
      </c>
      <c r="E393" s="15" t="s">
        <v>292</v>
      </c>
      <c r="F393" s="23" t="str">
        <f>IF($B393="","",IFERROR(INDEX(ProdNome,MATCH($B393,ProdCod,0)),"Código não cadastrado"))</f>
        <v>Sacola kraft G (pct 50)</v>
      </c>
      <c r="G393" s="24">
        <f>IF(OR($B393="",$D393=""),"",$D393*IFERROR(INDEX(ProdCusto,MATCH($B393,ProdCod,0)),0))</f>
        <v>72</v>
      </c>
      <c r="H393" s="25" t="str">
        <f>IF($A393="","",IF(OR($B393="",$C393="",$D393=""),"Preencher tudo",IF($F393="Código não cadastrado","Código inválido","OK")))</f>
        <v>OK</v>
      </c>
    </row>
    <row r="394" spans="1:8">
      <c r="A394" s="16">
        <v>46255</v>
      </c>
      <c r="B394" s="15" t="s">
        <v>131</v>
      </c>
      <c r="C394" s="20" t="s">
        <v>179</v>
      </c>
      <c r="D394" s="22">
        <v>3</v>
      </c>
      <c r="E394" s="15" t="s">
        <v>293</v>
      </c>
      <c r="F394" s="23" t="str">
        <f>IF($B394="","",IFERROR(INDEX(ProdNome,MATCH($B394,ProdCod,0)),"Código não cadastrado"))</f>
        <v>Garrafa squeeze 600ml</v>
      </c>
      <c r="G394" s="24">
        <f>IF(OR($B394="",$D394=""),"",$D394*IFERROR(INDEX(ProdCusto,MATCH($B394,ProdCod,0)),0))</f>
        <v>29.7</v>
      </c>
      <c r="H394" s="25" t="str">
        <f>IF($A394="","",IF(OR($B394="",$C394="",$D394=""),"Preencher tudo",IF($F394="Código não cadastrado","Código inválido","OK")))</f>
        <v>OK</v>
      </c>
    </row>
    <row r="395" spans="1:8">
      <c r="A395" s="16">
        <v>46255</v>
      </c>
      <c r="B395" s="15" t="s">
        <v>141</v>
      </c>
      <c r="C395" s="20" t="s">
        <v>177</v>
      </c>
      <c r="D395" s="22">
        <v>1</v>
      </c>
      <c r="E395" s="15" t="s">
        <v>178</v>
      </c>
      <c r="F395" s="23" t="str">
        <f>IF($B395="","",IFERROR(INDEX(ProdNome,MATCH($B395,ProdCod,0)),"Código não cadastrado"))</f>
        <v>Fichário argolado</v>
      </c>
      <c r="G395" s="24">
        <f>IF(OR($B395="",$D395=""),"",$D395*IFERROR(INDEX(ProdCusto,MATCH($B395,ProdCod,0)),0))</f>
        <v>21</v>
      </c>
      <c r="H395" s="25" t="str">
        <f>IF($A395="","",IF(OR($B395="",$C395="",$D395=""),"Preencher tudo",IF($F395="Código não cadastrado","Código inválido","OK")))</f>
        <v>OK</v>
      </c>
    </row>
    <row r="396" spans="1:8">
      <c r="A396" s="16">
        <v>46255</v>
      </c>
      <c r="B396" s="15" t="s">
        <v>153</v>
      </c>
      <c r="C396" s="20" t="s">
        <v>177</v>
      </c>
      <c r="D396" s="22">
        <v>1</v>
      </c>
      <c r="E396" s="15" t="s">
        <v>178</v>
      </c>
      <c r="F396" s="23" t="str">
        <f>IF($B396="","",IFERROR(INDEX(ProdNome,MATCH($B396,ProdCod,0)),"Código não cadastrado"))</f>
        <v>Envelope A4 (pct 50)</v>
      </c>
      <c r="G396" s="24">
        <f>IF(OR($B396="",$D396=""),"",$D396*IFERROR(INDEX(ProdCusto,MATCH($B396,ProdCod,0)),0))</f>
        <v>14</v>
      </c>
      <c r="H396" s="25" t="str">
        <f>IF($A396="","",IF(OR($B396="",$C396="",$D396=""),"Preencher tudo",IF($F396="Código não cadastrado","Código inválido","OK")))</f>
        <v>OK</v>
      </c>
    </row>
    <row r="397" spans="1:8">
      <c r="A397" s="16">
        <v>46256</v>
      </c>
      <c r="B397" s="15" t="s">
        <v>89</v>
      </c>
      <c r="C397" s="20" t="s">
        <v>179</v>
      </c>
      <c r="D397" s="22">
        <v>66</v>
      </c>
      <c r="E397" s="15" t="s">
        <v>294</v>
      </c>
      <c r="F397" s="23" t="str">
        <f>IF($B397="","",IFERROR(INDEX(ProdNome,MATCH($B397,ProdCod,0)),"Código não cadastrado"))</f>
        <v>Caderno universitário 10 matérias</v>
      </c>
      <c r="G397" s="24">
        <f>IF(OR($B397="",$D397=""),"",$D397*IFERROR(INDEX(ProdCusto,MATCH($B397,ProdCod,0)),0))</f>
        <v>627</v>
      </c>
      <c r="H397" s="25" t="str">
        <f>IF($A397="","",IF(OR($B397="",$C397="",$D397=""),"Preencher tudo",IF($F397="Código não cadastrado","Código inválido","OK")))</f>
        <v>OK</v>
      </c>
    </row>
    <row r="398" spans="1:8">
      <c r="A398" s="16">
        <v>46256</v>
      </c>
      <c r="B398" s="15" t="s">
        <v>99</v>
      </c>
      <c r="C398" s="20" t="s">
        <v>177</v>
      </c>
      <c r="D398" s="22">
        <v>2</v>
      </c>
      <c r="E398" s="15" t="s">
        <v>178</v>
      </c>
      <c r="F398" s="23" t="str">
        <f>IF($B398="","",IFERROR(INDEX(ProdNome,MATCH($B398,ProdCod,0)),"Código não cadastrado"))</f>
        <v>Mouse óptico USB</v>
      </c>
      <c r="G398" s="24">
        <f>IF(OR($B398="",$D398=""),"",$D398*IFERROR(INDEX(ProdCusto,MATCH($B398,ProdCod,0)),0))</f>
        <v>22</v>
      </c>
      <c r="H398" s="25" t="str">
        <f>IF($A398="","",IF(OR($B398="",$C398="",$D398=""),"Preencher tudo",IF($F398="Código não cadastrado","Código inválido","OK")))</f>
        <v>OK</v>
      </c>
    </row>
    <row r="399" spans="1:8">
      <c r="A399" s="16">
        <v>46256</v>
      </c>
      <c r="B399" s="15" t="s">
        <v>101</v>
      </c>
      <c r="C399" s="20" t="s">
        <v>177</v>
      </c>
      <c r="D399" s="22">
        <v>5</v>
      </c>
      <c r="E399" s="15" t="s">
        <v>178</v>
      </c>
      <c r="F399" s="23" t="str">
        <f>IF($B399="","",IFERROR(INDEX(ProdNome,MATCH($B399,ProdCod,0)),"Código não cadastrado"))</f>
        <v>Pen drive 32GB</v>
      </c>
      <c r="G399" s="24">
        <f>IF(OR($B399="",$D399=""),"",$D399*IFERROR(INDEX(ProdCusto,MATCH($B399,ProdCod,0)),0))</f>
        <v>110</v>
      </c>
      <c r="H399" s="25" t="str">
        <f>IF($A399="","",IF(OR($B399="",$C399="",$D399=""),"Preencher tudo",IF($F399="Código não cadastrado","Código inválido","OK")))</f>
        <v>OK</v>
      </c>
    </row>
    <row r="400" spans="1:8">
      <c r="A400" s="16">
        <v>46256</v>
      </c>
      <c r="B400" s="15" t="s">
        <v>115</v>
      </c>
      <c r="C400" s="20" t="s">
        <v>179</v>
      </c>
      <c r="D400" s="22">
        <v>20</v>
      </c>
      <c r="E400" s="15" t="s">
        <v>295</v>
      </c>
      <c r="F400" s="23" t="str">
        <f>IF($B400="","",IFERROR(INDEX(ProdNome,MATCH($B400,ProdCod,0)),"Código não cadastrado"))</f>
        <v>Fita adesiva transparente</v>
      </c>
      <c r="G400" s="24">
        <f>IF(OR($B400="",$D400=""),"",$D400*IFERROR(INDEX(ProdCusto,MATCH($B400,ProdCod,0)),0))</f>
        <v>32</v>
      </c>
      <c r="H400" s="25" t="str">
        <f>IF($A400="","",IF(OR($B400="",$C400="",$D400=""),"Preencher tudo",IF($F400="Código não cadastrado","Código inválido","OK")))</f>
        <v>OK</v>
      </c>
    </row>
    <row r="401" spans="1:8">
      <c r="A401" s="16">
        <v>46256</v>
      </c>
      <c r="B401" s="15" t="s">
        <v>119</v>
      </c>
      <c r="C401" s="20" t="s">
        <v>177</v>
      </c>
      <c r="D401" s="22">
        <v>1</v>
      </c>
      <c r="E401" s="15" t="s">
        <v>178</v>
      </c>
      <c r="F401" s="23" t="str">
        <f>IF($B401="","",IFERROR(INDEX(ProdNome,MATCH($B401,ProdCod,0)),"Código não cadastrado"))</f>
        <v>Plástico bolha (rolo 50m)</v>
      </c>
      <c r="G401" s="24">
        <f>IF(OR($B401="",$D401=""),"",$D401*IFERROR(INDEX(ProdCusto,MATCH($B401,ProdCod,0)),0))</f>
        <v>32</v>
      </c>
      <c r="H401" s="25" t="str">
        <f>IF($A401="","",IF(OR($B401="",$C401="",$D401=""),"Preencher tudo",IF($F401="Código não cadastrado","Código inválido","OK")))</f>
        <v>OK</v>
      </c>
    </row>
    <row r="402" spans="1:8">
      <c r="A402" s="16">
        <v>46256</v>
      </c>
      <c r="B402" s="15" t="s">
        <v>123</v>
      </c>
      <c r="C402" s="20" t="s">
        <v>177</v>
      </c>
      <c r="D402" s="22">
        <v>1</v>
      </c>
      <c r="E402" s="15" t="s">
        <v>178</v>
      </c>
      <c r="F402" s="23" t="str">
        <f>IF($B402="","",IFERROR(INDEX(ProdNome,MATCH($B402,ProdCod,0)),"Código não cadastrado"))</f>
        <v>Álcool 70% 1L</v>
      </c>
      <c r="G402" s="24">
        <f>IF(OR($B402="",$D402=""),"",$D402*IFERROR(INDEX(ProdCusto,MATCH($B402,ProdCod,0)),0))</f>
        <v>6.2</v>
      </c>
      <c r="H402" s="25" t="str">
        <f>IF($A402="","",IF(OR($B402="",$C402="",$D402=""),"Preencher tudo",IF($F402="Código não cadastrado","Código inválido","OK")))</f>
        <v>OK</v>
      </c>
    </row>
    <row r="403" spans="1:8">
      <c r="A403" s="16">
        <v>46256</v>
      </c>
      <c r="B403" s="15" t="s">
        <v>129</v>
      </c>
      <c r="C403" s="20" t="s">
        <v>177</v>
      </c>
      <c r="D403" s="22">
        <v>3</v>
      </c>
      <c r="E403" s="15" t="s">
        <v>178</v>
      </c>
      <c r="F403" s="23" t="str">
        <f>IF($B403="","",IFERROR(INDEX(ProdNome,MATCH($B403,ProdCod,0)),"Código não cadastrado"))</f>
        <v>Caneca branca para sublimação</v>
      </c>
      <c r="G403" s="24">
        <f>IF(OR($B403="",$D403=""),"",$D403*IFERROR(INDEX(ProdCusto,MATCH($B403,ProdCod,0)),0))</f>
        <v>12.6</v>
      </c>
      <c r="H403" s="25" t="str">
        <f>IF($A403="","",IF(OR($B403="",$C403="",$D403=""),"Preencher tudo",IF($F403="Código não cadastrado","Código inválido","OK")))</f>
        <v>OK</v>
      </c>
    </row>
    <row r="404" spans="1:8">
      <c r="A404" s="16">
        <v>46256</v>
      </c>
      <c r="B404" s="15" t="s">
        <v>131</v>
      </c>
      <c r="C404" s="20" t="s">
        <v>177</v>
      </c>
      <c r="D404" s="22">
        <v>2</v>
      </c>
      <c r="E404" s="15" t="s">
        <v>178</v>
      </c>
      <c r="F404" s="23" t="str">
        <f>IF($B404="","",IFERROR(INDEX(ProdNome,MATCH($B404,ProdCod,0)),"Código não cadastrado"))</f>
        <v>Garrafa squeeze 600ml</v>
      </c>
      <c r="G404" s="24">
        <f>IF(OR($B404="",$D404=""),"",$D404*IFERROR(INDEX(ProdCusto,MATCH($B404,ProdCod,0)),0))</f>
        <v>19.8</v>
      </c>
      <c r="H404" s="25" t="str">
        <f>IF($A404="","",IF(OR($B404="",$C404="",$D404=""),"Preencher tudo",IF($F404="Código não cadastrado","Código inválido","OK")))</f>
        <v>OK</v>
      </c>
    </row>
    <row r="405" spans="1:8">
      <c r="A405" s="16">
        <v>46256</v>
      </c>
      <c r="B405" s="15" t="s">
        <v>133</v>
      </c>
      <c r="C405" s="20" t="s">
        <v>177</v>
      </c>
      <c r="D405" s="22">
        <v>1</v>
      </c>
      <c r="E405" s="15" t="s">
        <v>178</v>
      </c>
      <c r="F405" s="23" t="str">
        <f>IF($B405="","",IFERROR(INDEX(ProdNome,MATCH($B405,ProdCod,0)),"Código não cadastrado"))</f>
        <v>Agenda 2027</v>
      </c>
      <c r="G405" s="24">
        <f>IF(OR($B405="",$D405=""),"",$D405*IFERROR(INDEX(ProdCusto,MATCH($B405,ProdCod,0)),0))</f>
        <v>14</v>
      </c>
      <c r="H405" s="25" t="str">
        <f>IF($A405="","",IF(OR($B405="",$C405="",$D405=""),"Preencher tudo",IF($F405="Código não cadastrado","Código inválido","OK")))</f>
        <v>OK</v>
      </c>
    </row>
    <row r="406" spans="1:8">
      <c r="A406" s="16">
        <v>46256</v>
      </c>
      <c r="B406" s="15" t="s">
        <v>139</v>
      </c>
      <c r="C406" s="20" t="s">
        <v>177</v>
      </c>
      <c r="D406" s="22">
        <v>1</v>
      </c>
      <c r="E406" s="15" t="s">
        <v>178</v>
      </c>
      <c r="F406" s="23" t="str">
        <f>IF($B406="","",IFERROR(INDEX(ProdNome,MATCH($B406,ProdCod,0)),"Código não cadastrado"))</f>
        <v>Calculadora de mesa</v>
      </c>
      <c r="G406" s="24">
        <f>IF(OR($B406="",$D406=""),"",$D406*IFERROR(INDEX(ProdCusto,MATCH($B406,ProdCod,0)),0))</f>
        <v>17</v>
      </c>
      <c r="H406" s="25" t="str">
        <f>IF($A406="","",IF(OR($B406="",$C406="",$D406=""),"Preencher tudo",IF($F406="Código não cadastrado","Código inválido","OK")))</f>
        <v>OK</v>
      </c>
    </row>
    <row r="407" spans="1:8">
      <c r="A407" s="16">
        <v>46256</v>
      </c>
      <c r="B407" s="15" t="s">
        <v>163</v>
      </c>
      <c r="C407" s="20" t="s">
        <v>177</v>
      </c>
      <c r="D407" s="22">
        <v>1</v>
      </c>
      <c r="E407" s="15" t="s">
        <v>178</v>
      </c>
      <c r="F407" s="23" t="str">
        <f>IF($B407="","",IFERROR(INDEX(ProdNome,MATCH($B407,ProdCod,0)),"Código não cadastrado"))</f>
        <v>Caixa organizadora</v>
      </c>
      <c r="G407" s="24">
        <f>IF(OR($B407="",$D407=""),"",$D407*IFERROR(INDEX(ProdCusto,MATCH($B407,ProdCod,0)),0))</f>
        <v>18</v>
      </c>
      <c r="H407" s="25" t="str">
        <f>IF($A407="","",IF(OR($B407="",$C407="",$D407=""),"Preencher tudo",IF($F407="Código não cadastrado","Código inválido","OK")))</f>
        <v>OK</v>
      </c>
    </row>
    <row r="408" spans="1:8">
      <c r="A408" s="16">
        <v>46257</v>
      </c>
      <c r="B408" s="15" t="s">
        <v>107</v>
      </c>
      <c r="C408" s="20" t="s">
        <v>177</v>
      </c>
      <c r="D408" s="22">
        <v>2</v>
      </c>
      <c r="E408" s="15" t="s">
        <v>178</v>
      </c>
      <c r="F408" s="23" t="str">
        <f>IF($B408="","",IFERROR(INDEX(ProdNome,MATCH($B408,ProdCod,0)),"Código não cadastrado"))</f>
        <v>Estojo duplo</v>
      </c>
      <c r="G408" s="24">
        <f>IF(OR($B408="",$D408=""),"",$D408*IFERROR(INDEX(ProdCusto,MATCH($B408,ProdCod,0)),0))</f>
        <v>17</v>
      </c>
      <c r="H408" s="25" t="str">
        <f>IF($A408="","",IF(OR($B408="",$C408="",$D408=""),"Preencher tudo",IF($F408="Código não cadastrado","Código inválido","OK")))</f>
        <v>OK</v>
      </c>
    </row>
    <row r="409" spans="1:8">
      <c r="A409" s="16">
        <v>46257</v>
      </c>
      <c r="B409" s="15" t="s">
        <v>167</v>
      </c>
      <c r="C409" s="20" t="s">
        <v>177</v>
      </c>
      <c r="D409" s="22">
        <v>1</v>
      </c>
      <c r="E409" s="15" t="s">
        <v>178</v>
      </c>
      <c r="F409" s="23" t="str">
        <f>IF($B409="","",IFERROR(INDEX(ProdNome,MATCH($B409,ProdCod,0)),"Código não cadastrado"))</f>
        <v>Porta-retrato 10x15</v>
      </c>
      <c r="G409" s="24">
        <f>IF(OR($B409="",$D409=""),"",$D409*IFERROR(INDEX(ProdCusto,MATCH($B409,ProdCod,0)),0))</f>
        <v>6.2</v>
      </c>
      <c r="H409" s="25" t="str">
        <f>IF($A409="","",IF(OR($B409="",$C409="",$D409=""),"Preencher tudo",IF($F409="Código não cadastrado","Código inválido","OK")))</f>
        <v>OK</v>
      </c>
    </row>
    <row r="410" spans="1:8">
      <c r="A410" s="16">
        <v>46258</v>
      </c>
      <c r="B410" s="15" t="s">
        <v>93</v>
      </c>
      <c r="C410" s="20" t="s">
        <v>177</v>
      </c>
      <c r="D410" s="22">
        <v>55</v>
      </c>
      <c r="E410" s="15" t="s">
        <v>178</v>
      </c>
      <c r="F410" s="23" t="str">
        <f>IF($B410="","",IFERROR(INDEX(ProdNome,MATCH($B410,ProdCod,0)),"Código não cadastrado"))</f>
        <v>Papel A4 75g (resma)</v>
      </c>
      <c r="G410" s="24">
        <f>IF(OR($B410="",$D410=""),"",$D410*IFERROR(INDEX(ProdCusto,MATCH($B410,ProdCod,0)),0))</f>
        <v>1182.5</v>
      </c>
      <c r="H410" s="25" t="str">
        <f>IF($A410="","",IF(OR($B410="",$C410="",$D410=""),"Preencher tudo",IF($F410="Código não cadastrado","Código inválido","OK")))</f>
        <v>OK</v>
      </c>
    </row>
    <row r="411" spans="1:8">
      <c r="A411" s="16">
        <v>46258</v>
      </c>
      <c r="B411" s="15" t="s">
        <v>95</v>
      </c>
      <c r="C411" s="20" t="s">
        <v>177</v>
      </c>
      <c r="D411" s="22">
        <v>1</v>
      </c>
      <c r="E411" s="15" t="s">
        <v>178</v>
      </c>
      <c r="F411" s="23" t="str">
        <f>IF($B411="","",IFERROR(INDEX(ProdNome,MATCH($B411,ProdCod,0)),"Código não cadastrado"))</f>
        <v>Pasta suspensa (pct 25)</v>
      </c>
      <c r="G411" s="24">
        <f>IF(OR($B411="",$D411=""),"",$D411*IFERROR(INDEX(ProdCusto,MATCH($B411,ProdCod,0)),0))</f>
        <v>28</v>
      </c>
      <c r="H411" s="25" t="str">
        <f>IF($A411="","",IF(OR($B411="",$C411="",$D411=""),"Preencher tudo",IF($F411="Código não cadastrado","Código inválido","OK")))</f>
        <v>OK</v>
      </c>
    </row>
    <row r="412" spans="1:8">
      <c r="A412" s="16">
        <v>46258</v>
      </c>
      <c r="B412" s="15" t="s">
        <v>113</v>
      </c>
      <c r="C412" s="20" t="s">
        <v>177</v>
      </c>
      <c r="D412" s="22">
        <v>5</v>
      </c>
      <c r="E412" s="15" t="s">
        <v>178</v>
      </c>
      <c r="F412" s="23" t="str">
        <f>IF($B412="","",IFERROR(INDEX(ProdNome,MATCH($B412,ProdCod,0)),"Código não cadastrado"))</f>
        <v>Tesoura escolar</v>
      </c>
      <c r="G412" s="24">
        <f>IF(OR($B412="",$D412=""),"",$D412*IFERROR(INDEX(ProdCusto,MATCH($B412,ProdCod,0)),0))</f>
        <v>14</v>
      </c>
      <c r="H412" s="25" t="str">
        <f>IF($A412="","",IF(OR($B412="",$C412="",$D412=""),"Preencher tudo",IF($F412="Código não cadastrado","Código inválido","OK")))</f>
        <v>OK</v>
      </c>
    </row>
    <row r="413" spans="1:8">
      <c r="A413" s="16">
        <v>46258</v>
      </c>
      <c r="B413" s="15" t="s">
        <v>125</v>
      </c>
      <c r="C413" s="20" t="s">
        <v>177</v>
      </c>
      <c r="D413" s="22">
        <v>6</v>
      </c>
      <c r="E413" s="15" t="s">
        <v>178</v>
      </c>
      <c r="F413" s="23" t="str">
        <f>IF($B413="","",IFERROR(INDEX(ProdNome,MATCH($B413,ProdCod,0)),"Código não cadastrado"))</f>
        <v>Papel toalha (pct 2)</v>
      </c>
      <c r="G413" s="24">
        <f>IF(OR($B413="",$D413=""),"",$D413*IFERROR(INDEX(ProdCusto,MATCH($B413,ProdCod,0)),0))</f>
        <v>35.4</v>
      </c>
      <c r="H413" s="25" t="str">
        <f>IF($A413="","",IF(OR($B413="",$C413="",$D413=""),"Preencher tudo",IF($F413="Código não cadastrado","Código inválido","OK")))</f>
        <v>OK</v>
      </c>
    </row>
    <row r="414" spans="1:8">
      <c r="A414" s="16">
        <v>46258</v>
      </c>
      <c r="B414" s="15" t="s">
        <v>127</v>
      </c>
      <c r="C414" s="20" t="s">
        <v>177</v>
      </c>
      <c r="D414" s="22">
        <v>4</v>
      </c>
      <c r="E414" s="15" t="s">
        <v>178</v>
      </c>
      <c r="F414" s="23" t="str">
        <f>IF($B414="","",IFERROR(INDEX(ProdNome,MATCH($B414,ProdCod,0)),"Código não cadastrado"))</f>
        <v>Pilha AA (cartela 4)</v>
      </c>
      <c r="G414" s="24">
        <f>IF(OR($B414="",$D414=""),"",$D414*IFERROR(INDEX(ProdCusto,MATCH($B414,ProdCod,0)),0))</f>
        <v>30</v>
      </c>
      <c r="H414" s="25" t="str">
        <f>IF($A414="","",IF(OR($B414="",$C414="",$D414=""),"Preencher tudo",IF($F414="Código não cadastrado","Código inválido","OK")))</f>
        <v>OK</v>
      </c>
    </row>
    <row r="415" spans="1:8">
      <c r="A415" s="16">
        <v>46258</v>
      </c>
      <c r="B415" s="15" t="s">
        <v>149</v>
      </c>
      <c r="C415" s="20" t="s">
        <v>177</v>
      </c>
      <c r="D415" s="22">
        <v>2</v>
      </c>
      <c r="E415" s="15" t="s">
        <v>178</v>
      </c>
      <c r="F415" s="23" t="str">
        <f>IF($B415="","",IFERROR(INDEX(ProdNome,MATCH($B415,ProdCod,0)),"Código não cadastrado"))</f>
        <v>Mouse pad</v>
      </c>
      <c r="G415" s="24">
        <f>IF(OR($B415="",$D415=""),"",$D415*IFERROR(INDEX(ProdCusto,MATCH($B415,ProdCod,0)),0))</f>
        <v>9.8</v>
      </c>
      <c r="H415" s="25" t="str">
        <f>IF($A415="","",IF(OR($B415="",$C415="",$D415=""),"Preencher tudo",IF($F415="Código não cadastrado","Código inválido","OK")))</f>
        <v>OK</v>
      </c>
    </row>
    <row r="416" spans="1:8">
      <c r="A416" s="16">
        <v>46258</v>
      </c>
      <c r="B416" s="15" t="s">
        <v>159</v>
      </c>
      <c r="C416" s="20" t="s">
        <v>177</v>
      </c>
      <c r="D416" s="22">
        <v>1</v>
      </c>
      <c r="E416" s="15" t="s">
        <v>178</v>
      </c>
      <c r="F416" s="23" t="str">
        <f>IF($B416="","",IFERROR(INDEX(ProdNome,MATCH($B416,ProdCod,0)),"Código não cadastrado"))</f>
        <v>Luva descartável (cx 100)</v>
      </c>
      <c r="G416" s="24">
        <f>IF(OR($B416="",$D416=""),"",$D416*IFERROR(INDEX(ProdCusto,MATCH($B416,ProdCod,0)),0))</f>
        <v>21</v>
      </c>
      <c r="H416" s="25" t="str">
        <f>IF($A416="","",IF(OR($B416="",$C416="",$D416=""),"Preencher tudo",IF($F416="Código não cadastrado","Código inválido","OK")))</f>
        <v>OK</v>
      </c>
    </row>
    <row r="417" spans="1:8">
      <c r="A417" s="16">
        <v>46260</v>
      </c>
      <c r="B417" s="15" t="s">
        <v>105</v>
      </c>
      <c r="C417" s="20" t="s">
        <v>177</v>
      </c>
      <c r="D417" s="22">
        <v>5</v>
      </c>
      <c r="E417" s="15" t="s">
        <v>178</v>
      </c>
      <c r="F417" s="23" t="str">
        <f>IF($B417="","",IFERROR(INDEX(ProdNome,MATCH($B417,ProdCod,0)),"Código não cadastrado"))</f>
        <v>Mochila escolar 20L</v>
      </c>
      <c r="G417" s="24">
        <f>IF(OR($B417="",$D417=""),"",$D417*IFERROR(INDEX(ProdCusto,MATCH($B417,ProdCod,0)),0))</f>
        <v>230</v>
      </c>
      <c r="H417" s="25" t="str">
        <f>IF($A417="","",IF(OR($B417="",$C417="",$D417=""),"Preencher tudo",IF($F417="Código não cadastrado","Código inválido","OK")))</f>
        <v>OK</v>
      </c>
    </row>
    <row r="418" spans="1:8">
      <c r="A418" s="16">
        <v>46260</v>
      </c>
      <c r="B418" s="15" t="s">
        <v>125</v>
      </c>
      <c r="C418" s="20" t="s">
        <v>177</v>
      </c>
      <c r="D418" s="22">
        <v>6</v>
      </c>
      <c r="E418" s="15" t="s">
        <v>178</v>
      </c>
      <c r="F418" s="23" t="str">
        <f>IF($B418="","",IFERROR(INDEX(ProdNome,MATCH($B418,ProdCod,0)),"Código não cadastrado"))</f>
        <v>Papel toalha (pct 2)</v>
      </c>
      <c r="G418" s="24">
        <f>IF(OR($B418="",$D418=""),"",$D418*IFERROR(INDEX(ProdCusto,MATCH($B418,ProdCod,0)),0))</f>
        <v>35.4</v>
      </c>
      <c r="H418" s="25" t="str">
        <f>IF($A418="","",IF(OR($B418="",$C418="",$D418=""),"Preencher tudo",IF($F418="Código não cadastrado","Código inválido","OK")))</f>
        <v>OK</v>
      </c>
    </row>
    <row r="419" spans="1:8">
      <c r="A419" s="16">
        <v>46260</v>
      </c>
      <c r="B419" s="15" t="s">
        <v>133</v>
      </c>
      <c r="C419" s="20" t="s">
        <v>177</v>
      </c>
      <c r="D419" s="22">
        <v>1</v>
      </c>
      <c r="E419" s="15" t="s">
        <v>178</v>
      </c>
      <c r="F419" s="23" t="str">
        <f>IF($B419="","",IFERROR(INDEX(ProdNome,MATCH($B419,ProdCod,0)),"Código não cadastrado"))</f>
        <v>Agenda 2027</v>
      </c>
      <c r="G419" s="24">
        <f>IF(OR($B419="",$D419=""),"",$D419*IFERROR(INDEX(ProdCusto,MATCH($B419,ProdCod,0)),0))</f>
        <v>14</v>
      </c>
      <c r="H419" s="25" t="str">
        <f>IF($A419="","",IF(OR($B419="",$C419="",$D419=""),"Preencher tudo",IF($F419="Código não cadastrado","Código inválido","OK")))</f>
        <v>OK</v>
      </c>
    </row>
    <row r="420" spans="1:8">
      <c r="A420" s="16">
        <v>46260</v>
      </c>
      <c r="B420" s="15" t="s">
        <v>141</v>
      </c>
      <c r="C420" s="20" t="s">
        <v>177</v>
      </c>
      <c r="D420" s="22">
        <v>1</v>
      </c>
      <c r="E420" s="15" t="s">
        <v>178</v>
      </c>
      <c r="F420" s="23" t="str">
        <f>IF($B420="","",IFERROR(INDEX(ProdNome,MATCH($B420,ProdCod,0)),"Código não cadastrado"))</f>
        <v>Fichário argolado</v>
      </c>
      <c r="G420" s="24">
        <f>IF(OR($B420="",$D420=""),"",$D420*IFERROR(INDEX(ProdCusto,MATCH($B420,ProdCod,0)),0))</f>
        <v>21</v>
      </c>
      <c r="H420" s="25" t="str">
        <f>IF($A420="","",IF(OR($B420="",$C420="",$D420=""),"Preencher tudo",IF($F420="Código não cadastrado","Código inválido","OK")))</f>
        <v>OK</v>
      </c>
    </row>
    <row r="421" spans="1:8">
      <c r="A421" s="16">
        <v>46260</v>
      </c>
      <c r="B421" s="15" t="s">
        <v>153</v>
      </c>
      <c r="C421" s="20" t="s">
        <v>177</v>
      </c>
      <c r="D421" s="22">
        <v>1</v>
      </c>
      <c r="E421" s="15" t="s">
        <v>178</v>
      </c>
      <c r="F421" s="23" t="str">
        <f>IF($B421="","",IFERROR(INDEX(ProdNome,MATCH($B421,ProdCod,0)),"Código não cadastrado"))</f>
        <v>Envelope A4 (pct 50)</v>
      </c>
      <c r="G421" s="24">
        <f>IF(OR($B421="",$D421=""),"",$D421*IFERROR(INDEX(ProdCusto,MATCH($B421,ProdCod,0)),0))</f>
        <v>14</v>
      </c>
      <c r="H421" s="25" t="str">
        <f>IF($A421="","",IF(OR($B421="",$C421="",$D421=""),"Preencher tudo",IF($F421="Código não cadastrado","Código inválido","OK")))</f>
        <v>OK</v>
      </c>
    </row>
    <row r="422" spans="1:8">
      <c r="A422" s="16">
        <v>46260</v>
      </c>
      <c r="B422" s="15" t="s">
        <v>157</v>
      </c>
      <c r="C422" s="20" t="s">
        <v>177</v>
      </c>
      <c r="D422" s="22">
        <v>1</v>
      </c>
      <c r="E422" s="15" t="s">
        <v>178</v>
      </c>
      <c r="F422" s="23" t="str">
        <f>IF($B422="","",IFERROR(INDEX(ProdNome,MATCH($B422,ProdCod,0)),"Código não cadastrado"))</f>
        <v>Papel fotográfico A4 (pct 20)</v>
      </c>
      <c r="G422" s="24">
        <f>IF(OR($B422="",$D422=""),"",$D422*IFERROR(INDEX(ProdCusto,MATCH($B422,ProdCod,0)),0))</f>
        <v>12.5</v>
      </c>
      <c r="H422" s="25" t="str">
        <f>IF($A422="","",IF(OR($B422="",$C422="",$D422=""),"Preencher tudo",IF($F422="Código não cadastrado","Código inválido","OK")))</f>
        <v>OK</v>
      </c>
    </row>
    <row r="423" spans="1:8">
      <c r="A423" s="16">
        <v>46260</v>
      </c>
      <c r="B423" s="15" t="s">
        <v>163</v>
      </c>
      <c r="C423" s="20" t="s">
        <v>177</v>
      </c>
      <c r="D423" s="22">
        <v>1</v>
      </c>
      <c r="E423" s="15" t="s">
        <v>178</v>
      </c>
      <c r="F423" s="23" t="str">
        <f>IF($B423="","",IFERROR(INDEX(ProdNome,MATCH($B423,ProdCod,0)),"Código não cadastrado"))</f>
        <v>Caixa organizadora</v>
      </c>
      <c r="G423" s="24">
        <f>IF(OR($B423="",$D423=""),"",$D423*IFERROR(INDEX(ProdCusto,MATCH($B423,ProdCod,0)),0))</f>
        <v>18</v>
      </c>
      <c r="H423" s="25" t="str">
        <f>IF($A423="","",IF(OR($B423="",$C423="",$D423=""),"Preencher tudo",IF($F423="Código não cadastrado","Código inválido","OK")))</f>
        <v>OK</v>
      </c>
    </row>
    <row r="424" spans="1:8">
      <c r="A424" s="16">
        <v>46261</v>
      </c>
      <c r="B424" s="15" t="s">
        <v>99</v>
      </c>
      <c r="C424" s="20" t="s">
        <v>177</v>
      </c>
      <c r="D424" s="22">
        <v>2</v>
      </c>
      <c r="E424" s="15" t="s">
        <v>178</v>
      </c>
      <c r="F424" s="23" t="str">
        <f>IF($B424="","",IFERROR(INDEX(ProdNome,MATCH($B424,ProdCod,0)),"Código não cadastrado"))</f>
        <v>Mouse óptico USB</v>
      </c>
      <c r="G424" s="24">
        <f>IF(OR($B424="",$D424=""),"",$D424*IFERROR(INDEX(ProdCusto,MATCH($B424,ProdCod,0)),0))</f>
        <v>22</v>
      </c>
      <c r="H424" s="25" t="str">
        <f>IF($A424="","",IF(OR($B424="",$C424="",$D424=""),"Preencher tudo",IF($F424="Código não cadastrado","Código inválido","OK")))</f>
        <v>OK</v>
      </c>
    </row>
    <row r="425" spans="1:8">
      <c r="A425" s="16">
        <v>46261</v>
      </c>
      <c r="B425" s="15" t="s">
        <v>103</v>
      </c>
      <c r="C425" s="20" t="s">
        <v>179</v>
      </c>
      <c r="D425" s="22">
        <v>18</v>
      </c>
      <c r="E425" s="15" t="s">
        <v>296</v>
      </c>
      <c r="F425" s="23" t="str">
        <f>IF($B425="","",IFERROR(INDEX(ProdNome,MATCH($B425,ProdCod,0)),"Código não cadastrado"))</f>
        <v>Cabo USB-C 1m</v>
      </c>
      <c r="G425" s="24">
        <f>IF(OR($B425="",$D425=""),"",$D425*IFERROR(INDEX(ProdCusto,MATCH($B425,ProdCod,0)),0))</f>
        <v>117</v>
      </c>
      <c r="H425" s="25" t="str">
        <f>IF($A425="","",IF(OR($B425="",$C425="",$D425=""),"Preencher tudo",IF($F425="Código não cadastrado","Código inválido","OK")))</f>
        <v>OK</v>
      </c>
    </row>
    <row r="426" spans="1:8">
      <c r="A426" s="16">
        <v>46261</v>
      </c>
      <c r="B426" s="15" t="s">
        <v>107</v>
      </c>
      <c r="C426" s="20" t="s">
        <v>179</v>
      </c>
      <c r="D426" s="22">
        <v>4</v>
      </c>
      <c r="E426" s="15" t="s">
        <v>297</v>
      </c>
      <c r="F426" s="23" t="str">
        <f>IF($B426="","",IFERROR(INDEX(ProdNome,MATCH($B426,ProdCod,0)),"Código não cadastrado"))</f>
        <v>Estojo duplo</v>
      </c>
      <c r="G426" s="24">
        <f>IF(OR($B426="",$D426=""),"",$D426*IFERROR(INDEX(ProdCusto,MATCH($B426,ProdCod,0)),0))</f>
        <v>34</v>
      </c>
      <c r="H426" s="25" t="str">
        <f>IF($A426="","",IF(OR($B426="",$C426="",$D426=""),"Preencher tudo",IF($F426="Código não cadastrado","Código inválido","OK")))</f>
        <v>OK</v>
      </c>
    </row>
    <row r="427" spans="1:8">
      <c r="A427" s="16">
        <v>46261</v>
      </c>
      <c r="B427" s="15" t="s">
        <v>111</v>
      </c>
      <c r="C427" s="20" t="s">
        <v>177</v>
      </c>
      <c r="D427" s="22">
        <v>9</v>
      </c>
      <c r="E427" s="15" t="s">
        <v>178</v>
      </c>
      <c r="F427" s="23" t="str">
        <f>IF($B427="","",IFERROR(INDEX(ProdNome,MATCH($B427,ProdCod,0)),"Código não cadastrado"))</f>
        <v>Cola branca 90g</v>
      </c>
      <c r="G427" s="24">
        <f>IF(OR($B427="",$D427=""),"",$D427*IFERROR(INDEX(ProdCusto,MATCH($B427,ProdCod,0)),0))</f>
        <v>17.1</v>
      </c>
      <c r="H427" s="25" t="str">
        <f>IF($A427="","",IF(OR($B427="",$C427="",$D427=""),"Preencher tudo",IF($F427="Código não cadastrado","Código inválido","OK")))</f>
        <v>OK</v>
      </c>
    </row>
    <row r="428" spans="1:8">
      <c r="A428" s="16">
        <v>46261</v>
      </c>
      <c r="B428" s="15" t="s">
        <v>113</v>
      </c>
      <c r="C428" s="20" t="s">
        <v>177</v>
      </c>
      <c r="D428" s="22">
        <v>5</v>
      </c>
      <c r="E428" s="15" t="s">
        <v>178</v>
      </c>
      <c r="F428" s="23" t="str">
        <f>IF($B428="","",IFERROR(INDEX(ProdNome,MATCH($B428,ProdCod,0)),"Código não cadastrado"))</f>
        <v>Tesoura escolar</v>
      </c>
      <c r="G428" s="24">
        <f>IF(OR($B428="",$D428=""),"",$D428*IFERROR(INDEX(ProdCusto,MATCH($B428,ProdCod,0)),0))</f>
        <v>14</v>
      </c>
      <c r="H428" s="25" t="str">
        <f>IF($A428="","",IF(OR($B428="",$C428="",$D428=""),"Preencher tudo",IF($F428="Código não cadastrado","Código inválido","OK")))</f>
        <v>OK</v>
      </c>
    </row>
    <row r="429" spans="1:8">
      <c r="A429" s="16">
        <v>46261</v>
      </c>
      <c r="B429" s="15" t="s">
        <v>119</v>
      </c>
      <c r="C429" s="20" t="s">
        <v>177</v>
      </c>
      <c r="D429" s="22">
        <v>1</v>
      </c>
      <c r="E429" s="15" t="s">
        <v>178</v>
      </c>
      <c r="F429" s="23" t="str">
        <f>IF($B429="","",IFERROR(INDEX(ProdNome,MATCH($B429,ProdCod,0)),"Código não cadastrado"))</f>
        <v>Plástico bolha (rolo 50m)</v>
      </c>
      <c r="G429" s="24">
        <f>IF(OR($B429="",$D429=""),"",$D429*IFERROR(INDEX(ProdCusto,MATCH($B429,ProdCod,0)),0))</f>
        <v>32</v>
      </c>
      <c r="H429" s="25" t="str">
        <f>IF($A429="","",IF(OR($B429="",$C429="",$D429=""),"Preencher tudo",IF($F429="Código não cadastrado","Código inválido","OK")))</f>
        <v>OK</v>
      </c>
    </row>
    <row r="430" spans="1:8">
      <c r="A430" s="16">
        <v>46261</v>
      </c>
      <c r="B430" s="15" t="s">
        <v>127</v>
      </c>
      <c r="C430" s="20" t="s">
        <v>177</v>
      </c>
      <c r="D430" s="22">
        <v>3</v>
      </c>
      <c r="E430" s="15" t="s">
        <v>178</v>
      </c>
      <c r="F430" s="23" t="str">
        <f>IF($B430="","",IFERROR(INDEX(ProdNome,MATCH($B430,ProdCod,0)),"Código não cadastrado"))</f>
        <v>Pilha AA (cartela 4)</v>
      </c>
      <c r="G430" s="24">
        <f>IF(OR($B430="",$D430=""),"",$D430*IFERROR(INDEX(ProdCusto,MATCH($B430,ProdCod,0)),0))</f>
        <v>22.5</v>
      </c>
      <c r="H430" s="25" t="str">
        <f>IF($A430="","",IF(OR($B430="",$C430="",$D430=""),"Preencher tudo",IF($F430="Código não cadastrado","Código inválido","OK")))</f>
        <v>OK</v>
      </c>
    </row>
    <row r="431" spans="1:8">
      <c r="A431" s="16">
        <v>46261</v>
      </c>
      <c r="B431" s="15" t="s">
        <v>129</v>
      </c>
      <c r="C431" s="20" t="s">
        <v>179</v>
      </c>
      <c r="D431" s="22">
        <v>9</v>
      </c>
      <c r="E431" s="15" t="s">
        <v>298</v>
      </c>
      <c r="F431" s="23" t="str">
        <f>IF($B431="","",IFERROR(INDEX(ProdNome,MATCH($B431,ProdCod,0)),"Código não cadastrado"))</f>
        <v>Caneca branca para sublimação</v>
      </c>
      <c r="G431" s="24">
        <f>IF(OR($B431="",$D431=""),"",$D431*IFERROR(INDEX(ProdCusto,MATCH($B431,ProdCod,0)),0))</f>
        <v>37.8</v>
      </c>
      <c r="H431" s="25" t="str">
        <f>IF($A431="","",IF(OR($B431="",$C431="",$D431=""),"Preencher tudo",IF($F431="Código não cadastrado","Código inválido","OK")))</f>
        <v>OK</v>
      </c>
    </row>
    <row r="432" spans="1:8">
      <c r="A432" s="16">
        <v>46261</v>
      </c>
      <c r="B432" s="15" t="s">
        <v>131</v>
      </c>
      <c r="C432" s="20" t="s">
        <v>177</v>
      </c>
      <c r="D432" s="22">
        <v>2</v>
      </c>
      <c r="E432" s="15" t="s">
        <v>178</v>
      </c>
      <c r="F432" s="23" t="str">
        <f>IF($B432="","",IFERROR(INDEX(ProdNome,MATCH($B432,ProdCod,0)),"Código não cadastrado"))</f>
        <v>Garrafa squeeze 600ml</v>
      </c>
      <c r="G432" s="24">
        <f>IF(OR($B432="",$D432=""),"",$D432*IFERROR(INDEX(ProdCusto,MATCH($B432,ProdCod,0)),0))</f>
        <v>19.8</v>
      </c>
      <c r="H432" s="25" t="str">
        <f>IF($A432="","",IF(OR($B432="",$C432="",$D432=""),"Preencher tudo",IF($F432="Código não cadastrado","Código inválido","OK")))</f>
        <v>OK</v>
      </c>
    </row>
    <row r="433" spans="1:8">
      <c r="A433" s="16">
        <v>46261</v>
      </c>
      <c r="B433" s="15" t="s">
        <v>143</v>
      </c>
      <c r="C433" s="20" t="s">
        <v>177</v>
      </c>
      <c r="D433" s="22">
        <v>8</v>
      </c>
      <c r="E433" s="15" t="s">
        <v>178</v>
      </c>
      <c r="F433" s="23" t="str">
        <f>IF($B433="","",IFERROR(INDEX(ProdNome,MATCH($B433,ProdCod,0)),"Código não cadastrado"))</f>
        <v>Régua 30cm</v>
      </c>
      <c r="G433" s="24">
        <f>IF(OR($B433="",$D433=""),"",$D433*IFERROR(INDEX(ProdCusto,MATCH($B433,ProdCod,0)),0))</f>
        <v>7.2</v>
      </c>
      <c r="H433" s="25" t="str">
        <f>IF($A433="","",IF(OR($B433="",$C433="",$D433=""),"Preencher tudo",IF($F433="Código não cadastrado","Código inválido","OK")))</f>
        <v>OK</v>
      </c>
    </row>
    <row r="434" spans="1:8">
      <c r="A434" s="16">
        <v>46261</v>
      </c>
      <c r="B434" s="15" t="s">
        <v>143</v>
      </c>
      <c r="C434" s="20" t="s">
        <v>179</v>
      </c>
      <c r="D434" s="22">
        <v>14</v>
      </c>
      <c r="E434" s="15" t="s">
        <v>299</v>
      </c>
      <c r="F434" s="23" t="str">
        <f>IF($B434="","",IFERROR(INDEX(ProdNome,MATCH($B434,ProdCod,0)),"Código não cadastrado"))</f>
        <v>Régua 30cm</v>
      </c>
      <c r="G434" s="24">
        <f>IF(OR($B434="",$D434=""),"",$D434*IFERROR(INDEX(ProdCusto,MATCH($B434,ProdCod,0)),0))</f>
        <v>12.6</v>
      </c>
      <c r="H434" s="25" t="str">
        <f>IF($A434="","",IF(OR($B434="",$C434="",$D434=""),"Preencher tudo",IF($F434="Código não cadastrado","Código inválido","OK")))</f>
        <v>OK</v>
      </c>
    </row>
    <row r="435" spans="1:8">
      <c r="A435" s="16">
        <v>46261</v>
      </c>
      <c r="B435" s="15" t="s">
        <v>149</v>
      </c>
      <c r="C435" s="20" t="s">
        <v>177</v>
      </c>
      <c r="D435" s="22">
        <v>3</v>
      </c>
      <c r="E435" s="15" t="s">
        <v>178</v>
      </c>
      <c r="F435" s="23" t="str">
        <f>IF($B435="","",IFERROR(INDEX(ProdNome,MATCH($B435,ProdCod,0)),"Código não cadastrado"))</f>
        <v>Mouse pad</v>
      </c>
      <c r="G435" s="24">
        <f>IF(OR($B435="",$D435=""),"",$D435*IFERROR(INDEX(ProdCusto,MATCH($B435,ProdCod,0)),0))</f>
        <v>14.7</v>
      </c>
      <c r="H435" s="25" t="str">
        <f>IF($A435="","",IF(OR($B435="",$C435="",$D435=""),"Preencher tudo",IF($F435="Código não cadastrado","Código inválido","OK")))</f>
        <v>OK</v>
      </c>
    </row>
    <row r="436" spans="1:8">
      <c r="A436" s="16">
        <v>46261</v>
      </c>
      <c r="B436" s="15" t="s">
        <v>149</v>
      </c>
      <c r="C436" s="20" t="s">
        <v>179</v>
      </c>
      <c r="D436" s="22">
        <v>5</v>
      </c>
      <c r="E436" s="15" t="s">
        <v>300</v>
      </c>
      <c r="F436" s="23" t="str">
        <f>IF($B436="","",IFERROR(INDEX(ProdNome,MATCH($B436,ProdCod,0)),"Código não cadastrado"))</f>
        <v>Mouse pad</v>
      </c>
      <c r="G436" s="24">
        <f>IF(OR($B436="",$D436=""),"",$D436*IFERROR(INDEX(ProdCusto,MATCH($B436,ProdCod,0)),0))</f>
        <v>24.5</v>
      </c>
      <c r="H436" s="25" t="str">
        <f>IF($A436="","",IF(OR($B436="",$C436="",$D436=""),"Preencher tudo",IF($F436="Código não cadastrado","Código inválido","OK")))</f>
        <v>OK</v>
      </c>
    </row>
    <row r="437" spans="1:8">
      <c r="A437" s="16">
        <v>46261</v>
      </c>
      <c r="B437" s="15" t="s">
        <v>153</v>
      </c>
      <c r="C437" s="20" t="s">
        <v>179</v>
      </c>
      <c r="D437" s="22">
        <v>3</v>
      </c>
      <c r="E437" s="15" t="s">
        <v>301</v>
      </c>
      <c r="F437" s="23" t="str">
        <f>IF($B437="","",IFERROR(INDEX(ProdNome,MATCH($B437,ProdCod,0)),"Código não cadastrado"))</f>
        <v>Envelope A4 (pct 50)</v>
      </c>
      <c r="G437" s="24">
        <f>IF(OR($B437="",$D437=""),"",$D437*IFERROR(INDEX(ProdCusto,MATCH($B437,ProdCod,0)),0))</f>
        <v>42</v>
      </c>
      <c r="H437" s="25" t="str">
        <f>IF($A437="","",IF(OR($B437="",$C437="",$D437=""),"Preencher tudo",IF($F437="Código não cadastrado","Código inválido","OK")))</f>
        <v>OK</v>
      </c>
    </row>
    <row r="438" spans="1:8">
      <c r="A438" s="16">
        <v>46261</v>
      </c>
      <c r="B438" s="15" t="s">
        <v>159</v>
      </c>
      <c r="C438" s="20" t="s">
        <v>179</v>
      </c>
      <c r="D438" s="22">
        <v>3</v>
      </c>
      <c r="E438" s="15" t="s">
        <v>302</v>
      </c>
      <c r="F438" s="23" t="str">
        <f>IF($B438="","",IFERROR(INDEX(ProdNome,MATCH($B438,ProdCod,0)),"Código não cadastrado"))</f>
        <v>Luva descartável (cx 100)</v>
      </c>
      <c r="G438" s="24">
        <f>IF(OR($B438="",$D438=""),"",$D438*IFERROR(INDEX(ProdCusto,MATCH($B438,ProdCod,0)),0))</f>
        <v>63</v>
      </c>
      <c r="H438" s="25" t="str">
        <f>IF($A438="","",IF(OR($B438="",$C438="",$D438=""),"Preencher tudo",IF($F438="Código não cadastrado","Código inválido","OK")))</f>
        <v>OK</v>
      </c>
    </row>
    <row r="439" spans="1:8">
      <c r="A439" s="16">
        <v>46262</v>
      </c>
      <c r="B439" s="15" t="s">
        <v>89</v>
      </c>
      <c r="C439" s="20" t="s">
        <v>177</v>
      </c>
      <c r="D439" s="22">
        <v>40</v>
      </c>
      <c r="E439" s="15" t="s">
        <v>178</v>
      </c>
      <c r="F439" s="23" t="str">
        <f>IF($B439="","",IFERROR(INDEX(ProdNome,MATCH($B439,ProdCod,0)),"Código não cadastrado"))</f>
        <v>Caderno universitário 10 matérias</v>
      </c>
      <c r="G439" s="24">
        <f>IF(OR($B439="",$D439=""),"",$D439*IFERROR(INDEX(ProdCusto,MATCH($B439,ProdCod,0)),0))</f>
        <v>380</v>
      </c>
      <c r="H439" s="25" t="str">
        <f>IF($A439="","",IF(OR($B439="",$C439="",$D439=""),"Preencher tudo",IF($F439="Código não cadastrado","Código inválido","OK")))</f>
        <v>OK</v>
      </c>
    </row>
    <row r="440" spans="1:8">
      <c r="A440" s="16">
        <v>46262</v>
      </c>
      <c r="B440" s="15" t="s">
        <v>93</v>
      </c>
      <c r="C440" s="20" t="s">
        <v>177</v>
      </c>
      <c r="D440" s="22">
        <v>54</v>
      </c>
      <c r="E440" s="15" t="s">
        <v>178</v>
      </c>
      <c r="F440" s="23" t="str">
        <f>IF($B440="","",IFERROR(INDEX(ProdNome,MATCH($B440,ProdCod,0)),"Código não cadastrado"))</f>
        <v>Papel A4 75g (resma)</v>
      </c>
      <c r="G440" s="24">
        <f>IF(OR($B440="",$D440=""),"",$D440*IFERROR(INDEX(ProdCusto,MATCH($B440,ProdCod,0)),0))</f>
        <v>1161</v>
      </c>
      <c r="H440" s="25" t="str">
        <f>IF($A440="","",IF(OR($B440="",$C440="",$D440=""),"Preencher tudo",IF($F440="Código não cadastrado","Código inválido","OK")))</f>
        <v>OK</v>
      </c>
    </row>
    <row r="441" spans="1:8">
      <c r="A441" s="16">
        <v>46262</v>
      </c>
      <c r="B441" s="15" t="s">
        <v>93</v>
      </c>
      <c r="C441" s="20" t="s">
        <v>179</v>
      </c>
      <c r="D441" s="22">
        <v>54</v>
      </c>
      <c r="E441" s="15" t="s">
        <v>303</v>
      </c>
      <c r="F441" s="23" t="str">
        <f>IF($B441="","",IFERROR(INDEX(ProdNome,MATCH($B441,ProdCod,0)),"Código não cadastrado"))</f>
        <v>Papel A4 75g (resma)</v>
      </c>
      <c r="G441" s="24">
        <f>IF(OR($B441="",$D441=""),"",$D441*IFERROR(INDEX(ProdCusto,MATCH($B441,ProdCod,0)),0))</f>
        <v>1161</v>
      </c>
      <c r="H441" s="25" t="str">
        <f>IF($A441="","",IF(OR($B441="",$C441="",$D441=""),"Preencher tudo",IF($F441="Código não cadastrado","Código inválido","OK")))</f>
        <v>OK</v>
      </c>
    </row>
    <row r="442" spans="1:8">
      <c r="A442" s="16">
        <v>46262</v>
      </c>
      <c r="B442" s="15" t="s">
        <v>95</v>
      </c>
      <c r="C442" s="20" t="s">
        <v>177</v>
      </c>
      <c r="D442" s="22">
        <v>1</v>
      </c>
      <c r="E442" s="15" t="s">
        <v>178</v>
      </c>
      <c r="F442" s="23" t="str">
        <f>IF($B442="","",IFERROR(INDEX(ProdNome,MATCH($B442,ProdCod,0)),"Código não cadastrado"))</f>
        <v>Pasta suspensa (pct 25)</v>
      </c>
      <c r="G442" s="24">
        <f>IF(OR($B442="",$D442=""),"",$D442*IFERROR(INDEX(ProdCusto,MATCH($B442,ProdCod,0)),0))</f>
        <v>28</v>
      </c>
      <c r="H442" s="25" t="str">
        <f>IF($A442="","",IF(OR($B442="",$C442="",$D442=""),"Preencher tudo",IF($F442="Código não cadastrado","Código inválido","OK")))</f>
        <v>OK</v>
      </c>
    </row>
    <row r="443" spans="1:8">
      <c r="A443" s="16">
        <v>46262</v>
      </c>
      <c r="B443" s="15" t="s">
        <v>97</v>
      </c>
      <c r="C443" s="20" t="s">
        <v>177</v>
      </c>
      <c r="D443" s="22">
        <v>1</v>
      </c>
      <c r="E443" s="15" t="s">
        <v>178</v>
      </c>
      <c r="F443" s="23" t="str">
        <f>IF($B443="","",IFERROR(INDEX(ProdNome,MATCH($B443,ProdCod,0)),"Código não cadastrado"))</f>
        <v>Grampeador médio</v>
      </c>
      <c r="G443" s="24">
        <f>IF(OR($B443="",$D443=""),"",$D443*IFERROR(INDEX(ProdCusto,MATCH($B443,ProdCod,0)),0))</f>
        <v>14</v>
      </c>
      <c r="H443" s="25" t="str">
        <f>IF($A443="","",IF(OR($B443="",$C443="",$D443=""),"Preencher tudo",IF($F443="Código não cadastrado","Código inválido","OK")))</f>
        <v>OK</v>
      </c>
    </row>
    <row r="444" spans="1:8">
      <c r="A444" s="16">
        <v>46262</v>
      </c>
      <c r="B444" s="15" t="s">
        <v>121</v>
      </c>
      <c r="C444" s="20" t="s">
        <v>177</v>
      </c>
      <c r="D444" s="22">
        <v>2</v>
      </c>
      <c r="E444" s="15" t="s">
        <v>178</v>
      </c>
      <c r="F444" s="23" t="str">
        <f>IF($B444="","",IFERROR(INDEX(ProdNome,MATCH($B444,ProdCod,0)),"Código não cadastrado"))</f>
        <v>Sacola kraft G (pct 50)</v>
      </c>
      <c r="G444" s="24">
        <f>IF(OR($B444="",$D444=""),"",$D444*IFERROR(INDEX(ProdCusto,MATCH($B444,ProdCod,0)),0))</f>
        <v>48</v>
      </c>
      <c r="H444" s="25" t="str">
        <f>IF($A444="","",IF(OR($B444="",$C444="",$D444=""),"Preencher tudo",IF($F444="Código não cadastrado","Código inválido","OK")))</f>
        <v>OK</v>
      </c>
    </row>
    <row r="445" spans="1:8">
      <c r="A445" s="16">
        <v>46262</v>
      </c>
      <c r="B445" s="15" t="s">
        <v>139</v>
      </c>
      <c r="C445" s="20" t="s">
        <v>177</v>
      </c>
      <c r="D445" s="22">
        <v>1</v>
      </c>
      <c r="E445" s="15" t="s">
        <v>178</v>
      </c>
      <c r="F445" s="23" t="str">
        <f>IF($B445="","",IFERROR(INDEX(ProdNome,MATCH($B445,ProdCod,0)),"Código não cadastrado"))</f>
        <v>Calculadora de mesa</v>
      </c>
      <c r="G445" s="24">
        <f>IF(OR($B445="",$D445=""),"",$D445*IFERROR(INDEX(ProdCusto,MATCH($B445,ProdCod,0)),0))</f>
        <v>17</v>
      </c>
      <c r="H445" s="25" t="str">
        <f>IF($A445="","",IF(OR($B445="",$C445="",$D445=""),"Preencher tudo",IF($F445="Código não cadastrado","Código inválido","OK")))</f>
        <v>OK</v>
      </c>
    </row>
    <row r="446" spans="1:8">
      <c r="A446" s="16">
        <v>46262</v>
      </c>
      <c r="B446" s="15" t="s">
        <v>139</v>
      </c>
      <c r="C446" s="20" t="s">
        <v>179</v>
      </c>
      <c r="D446" s="22">
        <v>3</v>
      </c>
      <c r="E446" s="15" t="s">
        <v>304</v>
      </c>
      <c r="F446" s="23" t="str">
        <f>IF($B446="","",IFERROR(INDEX(ProdNome,MATCH($B446,ProdCod,0)),"Código não cadastrado"))</f>
        <v>Calculadora de mesa</v>
      </c>
      <c r="G446" s="24">
        <f>IF(OR($B446="",$D446=""),"",$D446*IFERROR(INDEX(ProdCusto,MATCH($B446,ProdCod,0)),0))</f>
        <v>51</v>
      </c>
      <c r="H446" s="25" t="str">
        <f>IF($A446="","",IF(OR($B446="",$C446="",$D446=""),"Preencher tudo",IF($F446="Código não cadastrado","Código inválido","OK")))</f>
        <v>OK</v>
      </c>
    </row>
    <row r="447" spans="1:8">
      <c r="A447" s="16">
        <v>46262</v>
      </c>
      <c r="B447" s="15" t="s">
        <v>155</v>
      </c>
      <c r="C447" s="20" t="s">
        <v>179</v>
      </c>
      <c r="D447" s="22">
        <v>3</v>
      </c>
      <c r="E447" s="15" t="s">
        <v>305</v>
      </c>
      <c r="F447" s="23" t="str">
        <f>IF($B447="","",IFERROR(INDEX(ProdNome,MATCH($B447,ProdCod,0)),"Código não cadastrado"))</f>
        <v>Tinta guache (kit 6)</v>
      </c>
      <c r="G447" s="24">
        <f>IF(OR($B447="",$D447=""),"",$D447*IFERROR(INDEX(ProdCusto,MATCH($B447,ProdCod,0)),0))</f>
        <v>26.1</v>
      </c>
      <c r="H447" s="25" t="str">
        <f>IF($A447="","",IF(OR($B447="",$C447="",$D447=""),"Preencher tudo",IF($F447="Código não cadastrado","Código inválido","OK")))</f>
        <v>OK</v>
      </c>
    </row>
    <row r="448" spans="1:8">
      <c r="A448" s="16">
        <v>46262</v>
      </c>
      <c r="B448" s="15" t="s">
        <v>157</v>
      </c>
      <c r="C448" s="20" t="s">
        <v>179</v>
      </c>
      <c r="D448" s="22">
        <v>3</v>
      </c>
      <c r="E448" s="15" t="s">
        <v>306</v>
      </c>
      <c r="F448" s="23" t="str">
        <f>IF($B448="","",IFERROR(INDEX(ProdNome,MATCH($B448,ProdCod,0)),"Código não cadastrado"))</f>
        <v>Papel fotográfico A4 (pct 20)</v>
      </c>
      <c r="G448" s="24">
        <f>IF(OR($B448="",$D448=""),"",$D448*IFERROR(INDEX(ProdCusto,MATCH($B448,ProdCod,0)),0))</f>
        <v>37.5</v>
      </c>
      <c r="H448" s="25" t="str">
        <f>IF($A448="","",IF(OR($B448="",$C448="",$D448=""),"Preencher tudo",IF($F448="Código não cadastrado","Código inválido","OK")))</f>
        <v>OK</v>
      </c>
    </row>
    <row r="449" spans="1:8">
      <c r="A449" s="16">
        <v>46263</v>
      </c>
      <c r="B449" s="15" t="s">
        <v>89</v>
      </c>
      <c r="C449" s="20" t="s">
        <v>179</v>
      </c>
      <c r="D449" s="22">
        <v>40</v>
      </c>
      <c r="E449" s="15" t="s">
        <v>307</v>
      </c>
      <c r="F449" s="23" t="str">
        <f>IF($B449="","",IFERROR(INDEX(ProdNome,MATCH($B449,ProdCod,0)),"Código não cadastrado"))</f>
        <v>Caderno universitário 10 matérias</v>
      </c>
      <c r="G449" s="24">
        <f>IF(OR($B449="",$D449=""),"",$D449*IFERROR(INDEX(ProdCusto,MATCH($B449,ProdCod,0)),0))</f>
        <v>380</v>
      </c>
      <c r="H449" s="25" t="str">
        <f>IF($A449="","",IF(OR($B449="",$C449="",$D449=""),"Preencher tudo",IF($F449="Código não cadastrado","Código inválido","OK")))</f>
        <v>OK</v>
      </c>
    </row>
    <row r="450" spans="1:8">
      <c r="A450" s="16">
        <v>46263</v>
      </c>
      <c r="B450" s="15" t="s">
        <v>91</v>
      </c>
      <c r="C450" s="20" t="s">
        <v>177</v>
      </c>
      <c r="D450" s="22">
        <v>7</v>
      </c>
      <c r="E450" s="15" t="s">
        <v>178</v>
      </c>
      <c r="F450" s="23" t="str">
        <f>IF($B450="","",IFERROR(INDEX(ProdNome,MATCH($B450,ProdCod,0)),"Código não cadastrado"))</f>
        <v>Caneta esferográfica azul (cx 50)</v>
      </c>
      <c r="G450" s="24">
        <f>IF(OR($B450="",$D450=""),"",$D450*IFERROR(INDEX(ProdCusto,MATCH($B450,ProdCod,0)),0))</f>
        <v>154</v>
      </c>
      <c r="H450" s="25" t="str">
        <f>IF($A450="","",IF(OR($B450="",$C450="",$D450=""),"Preencher tudo",IF($F450="Código não cadastrado","Código inválido","OK")))</f>
        <v>OK</v>
      </c>
    </row>
    <row r="451" spans="1:8">
      <c r="A451" s="16">
        <v>46263</v>
      </c>
      <c r="B451" s="15" t="s">
        <v>95</v>
      </c>
      <c r="C451" s="20" t="s">
        <v>179</v>
      </c>
      <c r="D451" s="22">
        <v>3</v>
      </c>
      <c r="E451" s="15" t="s">
        <v>308</v>
      </c>
      <c r="F451" s="23" t="str">
        <f>IF($B451="","",IFERROR(INDEX(ProdNome,MATCH($B451,ProdCod,0)),"Código não cadastrado"))</f>
        <v>Pasta suspensa (pct 25)</v>
      </c>
      <c r="G451" s="24">
        <f>IF(OR($B451="",$D451=""),"",$D451*IFERROR(INDEX(ProdCusto,MATCH($B451,ProdCod,0)),0))</f>
        <v>84</v>
      </c>
      <c r="H451" s="25" t="str">
        <f>IF($A451="","",IF(OR($B451="",$C451="",$D451=""),"Preencher tudo",IF($F451="Código não cadastrado","Código inválido","OK")))</f>
        <v>OK</v>
      </c>
    </row>
    <row r="452" spans="1:8">
      <c r="A452" s="16">
        <v>46263</v>
      </c>
      <c r="B452" s="15" t="s">
        <v>101</v>
      </c>
      <c r="C452" s="20" t="s">
        <v>177</v>
      </c>
      <c r="D452" s="22">
        <v>6</v>
      </c>
      <c r="E452" s="15" t="s">
        <v>178</v>
      </c>
      <c r="F452" s="23" t="str">
        <f>IF($B452="","",IFERROR(INDEX(ProdNome,MATCH($B452,ProdCod,0)),"Código não cadastrado"))</f>
        <v>Pen drive 32GB</v>
      </c>
      <c r="G452" s="24">
        <f>IF(OR($B452="",$D452=""),"",$D452*IFERROR(INDEX(ProdCusto,MATCH($B452,ProdCod,0)),0))</f>
        <v>132</v>
      </c>
      <c r="H452" s="25" t="str">
        <f>IF($A452="","",IF(OR($B452="",$C452="",$D452=""),"Preencher tudo",IF($F452="Código não cadastrado","Código inválido","OK")))</f>
        <v>OK</v>
      </c>
    </row>
    <row r="453" spans="1:8">
      <c r="A453" s="16">
        <v>46263</v>
      </c>
      <c r="B453" s="15" t="s">
        <v>105</v>
      </c>
      <c r="C453" s="20" t="s">
        <v>179</v>
      </c>
      <c r="D453" s="22">
        <v>9</v>
      </c>
      <c r="E453" s="15" t="s">
        <v>309</v>
      </c>
      <c r="F453" s="23" t="str">
        <f>IF($B453="","",IFERROR(INDEX(ProdNome,MATCH($B453,ProdCod,0)),"Código não cadastrado"))</f>
        <v>Mochila escolar 20L</v>
      </c>
      <c r="G453" s="24">
        <f>IF(OR($B453="",$D453=""),"",$D453*IFERROR(INDEX(ProdCusto,MATCH($B453,ProdCod,0)),0))</f>
        <v>414</v>
      </c>
      <c r="H453" s="25" t="str">
        <f>IF($A453="","",IF(OR($B453="",$C453="",$D453=""),"Preencher tudo",IF($F453="Código não cadastrado","Código inválido","OK")))</f>
        <v>OK</v>
      </c>
    </row>
    <row r="454" spans="1:8">
      <c r="A454" s="16">
        <v>46263</v>
      </c>
      <c r="B454" s="15" t="s">
        <v>113</v>
      </c>
      <c r="C454" s="20" t="s">
        <v>179</v>
      </c>
      <c r="D454" s="22">
        <v>10</v>
      </c>
      <c r="E454" s="15" t="s">
        <v>310</v>
      </c>
      <c r="F454" s="23" t="str">
        <f>IF($B454="","",IFERROR(INDEX(ProdNome,MATCH($B454,ProdCod,0)),"Código não cadastrado"))</f>
        <v>Tesoura escolar</v>
      </c>
      <c r="G454" s="24">
        <f>IF(OR($B454="",$D454=""),"",$D454*IFERROR(INDEX(ProdCusto,MATCH($B454,ProdCod,0)),0))</f>
        <v>28</v>
      </c>
      <c r="H454" s="25" t="str">
        <f>IF($A454="","",IF(OR($B454="",$C454="",$D454=""),"Preencher tudo",IF($F454="Código não cadastrado","Código inválido","OK")))</f>
        <v>OK</v>
      </c>
    </row>
    <row r="455" spans="1:8">
      <c r="A455" s="16">
        <v>46263</v>
      </c>
      <c r="B455" s="15" t="s">
        <v>119</v>
      </c>
      <c r="C455" s="20" t="s">
        <v>179</v>
      </c>
      <c r="D455" s="22">
        <v>3</v>
      </c>
      <c r="E455" s="15" t="s">
        <v>311</v>
      </c>
      <c r="F455" s="23" t="str">
        <f>IF($B455="","",IFERROR(INDEX(ProdNome,MATCH($B455,ProdCod,0)),"Código não cadastrado"))</f>
        <v>Plástico bolha (rolo 50m)</v>
      </c>
      <c r="G455" s="24">
        <f>IF(OR($B455="",$D455=""),"",$D455*IFERROR(INDEX(ProdCusto,MATCH($B455,ProdCod,0)),0))</f>
        <v>96</v>
      </c>
      <c r="H455" s="25" t="str">
        <f>IF($A455="","",IF(OR($B455="",$C455="",$D455=""),"Preencher tudo",IF($F455="Código não cadastrado","Código inválido","OK")))</f>
        <v>OK</v>
      </c>
    </row>
    <row r="456" spans="1:8">
      <c r="A456" s="16">
        <v>46263</v>
      </c>
      <c r="B456" s="15" t="s">
        <v>125</v>
      </c>
      <c r="C456" s="20" t="s">
        <v>179</v>
      </c>
      <c r="D456" s="22">
        <v>6</v>
      </c>
      <c r="E456" s="15" t="s">
        <v>312</v>
      </c>
      <c r="F456" s="23" t="str">
        <f>IF($B456="","",IFERROR(INDEX(ProdNome,MATCH($B456,ProdCod,0)),"Código não cadastrado"))</f>
        <v>Papel toalha (pct 2)</v>
      </c>
      <c r="G456" s="24">
        <f>IF(OR($B456="",$D456=""),"",$D456*IFERROR(INDEX(ProdCusto,MATCH($B456,ProdCod,0)),0))</f>
        <v>35.4</v>
      </c>
      <c r="H456" s="25" t="str">
        <f>IF($A456="","",IF(OR($B456="",$C456="",$D456=""),"Preencher tudo",IF($F456="Código não cadastrado","Código inválido","OK")))</f>
        <v>OK</v>
      </c>
    </row>
    <row r="457" spans="1:8">
      <c r="A457" s="16">
        <v>46263</v>
      </c>
      <c r="B457" s="15" t="s">
        <v>141</v>
      </c>
      <c r="C457" s="20" t="s">
        <v>179</v>
      </c>
      <c r="D457" s="22">
        <v>3</v>
      </c>
      <c r="E457" s="15" t="s">
        <v>313</v>
      </c>
      <c r="F457" s="23" t="str">
        <f>IF($B457="","",IFERROR(INDEX(ProdNome,MATCH($B457,ProdCod,0)),"Código não cadastrado"))</f>
        <v>Fichário argolado</v>
      </c>
      <c r="G457" s="24">
        <f>IF(OR($B457="",$D457=""),"",$D457*IFERROR(INDEX(ProdCusto,MATCH($B457,ProdCod,0)),0))</f>
        <v>63</v>
      </c>
      <c r="H457" s="25" t="str">
        <f>IF($A457="","",IF(OR($B457="",$C457="",$D457=""),"Preencher tudo",IF($F457="Código não cadastrado","Código inválido","OK")))</f>
        <v>OK</v>
      </c>
    </row>
    <row r="458" spans="1:8">
      <c r="A458" s="16">
        <v>46263</v>
      </c>
      <c r="B458" s="15" t="s">
        <v>147</v>
      </c>
      <c r="C458" s="20" t="s">
        <v>179</v>
      </c>
      <c r="D458" s="22">
        <v>3</v>
      </c>
      <c r="E458" s="15" t="s">
        <v>314</v>
      </c>
      <c r="F458" s="23" t="str">
        <f>IF($B458="","",IFERROR(INDEX(ProdNome,MATCH($B458,ProdCod,0)),"Código não cadastrado"))</f>
        <v>Toner genérico preto</v>
      </c>
      <c r="G458" s="24">
        <f>IF(OR($B458="",$D458=""),"",$D458*IFERROR(INDEX(ProdCusto,MATCH($B458,ProdCod,0)),0))</f>
        <v>186</v>
      </c>
      <c r="H458" s="25" t="str">
        <f>IF($A458="","",IF(OR($B458="",$C458="",$D458=""),"Preencher tudo",IF($F458="Código não cadastrado","Código inválido","OK")))</f>
        <v>OK</v>
      </c>
    </row>
    <row r="459" spans="1:8">
      <c r="A459" s="16">
        <v>46263</v>
      </c>
      <c r="B459" s="15" t="s">
        <v>159</v>
      </c>
      <c r="C459" s="20" t="s">
        <v>177</v>
      </c>
      <c r="D459" s="22">
        <v>1</v>
      </c>
      <c r="E459" s="15" t="s">
        <v>178</v>
      </c>
      <c r="F459" s="23" t="str">
        <f>IF($B459="","",IFERROR(INDEX(ProdNome,MATCH($B459,ProdCod,0)),"Código não cadastrado"))</f>
        <v>Luva descartável (cx 100)</v>
      </c>
      <c r="G459" s="24">
        <f>IF(OR($B459="",$D459=""),"",$D459*IFERROR(INDEX(ProdCusto,MATCH($B459,ProdCod,0)),0))</f>
        <v>21</v>
      </c>
      <c r="H459" s="25" t="str">
        <f>IF($A459="","",IF(OR($B459="",$C459="",$D459=""),"Preencher tudo",IF($F459="Código não cadastrado","Código inválido","OK")))</f>
        <v>OK</v>
      </c>
    </row>
    <row r="460" spans="1:8">
      <c r="A460" s="16">
        <v>46263</v>
      </c>
      <c r="B460" s="15" t="s">
        <v>161</v>
      </c>
      <c r="C460" s="20" t="s">
        <v>177</v>
      </c>
      <c r="D460" s="22">
        <v>1</v>
      </c>
      <c r="E460" s="15" t="s">
        <v>178</v>
      </c>
      <c r="F460" s="23" t="str">
        <f>IF($B460="","",IFERROR(INDEX(ProdNome,MATCH($B460,ProdCod,0)),"Código não cadastrado"))</f>
        <v>Pote plástico 500ml (pct 12)</v>
      </c>
      <c r="G460" s="24">
        <f>IF(OR($B460="",$D460=""),"",$D460*IFERROR(INDEX(ProdCusto,MATCH($B460,ProdCod,0)),0))</f>
        <v>11</v>
      </c>
      <c r="H460" s="25" t="str">
        <f>IF($A460="","",IF(OR($B460="",$C460="",$D460=""),"Preencher tudo",IF($F460="Código não cadastrado","Código inválido","OK")))</f>
        <v>OK</v>
      </c>
    </row>
    <row r="461" spans="1:8">
      <c r="A461" s="16">
        <v>46263</v>
      </c>
      <c r="B461" s="15" t="s">
        <v>163</v>
      </c>
      <c r="C461" s="20" t="s">
        <v>179</v>
      </c>
      <c r="D461" s="22">
        <v>3</v>
      </c>
      <c r="E461" s="15" t="s">
        <v>315</v>
      </c>
      <c r="F461" s="23" t="str">
        <f>IF($B461="","",IFERROR(INDEX(ProdNome,MATCH($B461,ProdCod,0)),"Código não cadastrado"))</f>
        <v>Caixa organizadora</v>
      </c>
      <c r="G461" s="24">
        <f>IF(OR($B461="",$D461=""),"",$D461*IFERROR(INDEX(ProdCusto,MATCH($B461,ProdCod,0)),0))</f>
        <v>54</v>
      </c>
      <c r="H461" s="25" t="str">
        <f>IF($A461="","",IF(OR($B461="",$C461="",$D461=""),"Preencher tudo",IF($F461="Código não cadastrado","Código inválido","OK")))</f>
        <v>OK</v>
      </c>
    </row>
    <row r="462" spans="1:8">
      <c r="A462" s="16">
        <v>46264</v>
      </c>
      <c r="B462" s="15" t="s">
        <v>103</v>
      </c>
      <c r="C462" s="20" t="s">
        <v>177</v>
      </c>
      <c r="D462" s="22">
        <v>18</v>
      </c>
      <c r="E462" s="15" t="s">
        <v>178</v>
      </c>
      <c r="F462" s="23" t="str">
        <f>IF($B462="","",IFERROR(INDEX(ProdNome,MATCH($B462,ProdCod,0)),"Código não cadastrado"))</f>
        <v>Cabo USB-C 1m</v>
      </c>
      <c r="G462" s="24">
        <f>IF(OR($B462="",$D462=""),"",$D462*IFERROR(INDEX(ProdCusto,MATCH($B462,ProdCod,0)),0))</f>
        <v>117</v>
      </c>
      <c r="H462" s="25" t="str">
        <f>IF($A462="","",IF(OR($B462="",$C462="",$D462=""),"Preencher tudo",IF($F462="Código não cadastrado","Código inválido","OK")))</f>
        <v>OK</v>
      </c>
    </row>
    <row r="463" spans="1:8">
      <c r="A463" s="16">
        <v>46264</v>
      </c>
      <c r="B463" s="15" t="s">
        <v>129</v>
      </c>
      <c r="C463" s="20" t="s">
        <v>177</v>
      </c>
      <c r="D463" s="22">
        <v>6</v>
      </c>
      <c r="E463" s="15" t="s">
        <v>178</v>
      </c>
      <c r="F463" s="23" t="str">
        <f>IF($B463="","",IFERROR(INDEX(ProdNome,MATCH($B463,ProdCod,0)),"Código não cadastrado"))</f>
        <v>Caneca branca para sublimação</v>
      </c>
      <c r="G463" s="24">
        <f>IF(OR($B463="",$D463=""),"",$D463*IFERROR(INDEX(ProdCusto,MATCH($B463,ProdCod,0)),0))</f>
        <v>25.2</v>
      </c>
      <c r="H463" s="25" t="str">
        <f>IF($A463="","",IF(OR($B463="",$C463="",$D463=""),"Preencher tudo",IF($F463="Código não cadastrado","Código inválido","OK")))</f>
        <v>OK</v>
      </c>
    </row>
    <row r="464" spans="1:8">
      <c r="A464" s="16">
        <v>46264</v>
      </c>
      <c r="B464" s="15" t="s">
        <v>135</v>
      </c>
      <c r="C464" s="20" t="s">
        <v>177</v>
      </c>
      <c r="D464" s="22">
        <v>1</v>
      </c>
      <c r="E464" s="15" t="s">
        <v>178</v>
      </c>
      <c r="F464" s="23" t="str">
        <f>IF($B464="","",IFERROR(INDEX(ProdNome,MATCH($B464,ProdCod,0)),"Código não cadastrado"))</f>
        <v>Marca-texto (cx 6)</v>
      </c>
      <c r="G464" s="24">
        <f>IF(OR($B464="",$D464=""),"",$D464*IFERROR(INDEX(ProdCusto,MATCH($B464,ProdCod,0)),0))</f>
        <v>9.8</v>
      </c>
      <c r="H464" s="25" t="str">
        <f>IF($A464="","",IF(OR($B464="",$C464="",$D464=""),"Preencher tudo",IF($F464="Código não cadastrado","Código inválido","OK")))</f>
        <v>OK</v>
      </c>
    </row>
    <row r="465" spans="1:8">
      <c r="A465" s="16">
        <v>46264</v>
      </c>
      <c r="B465" s="15" t="s">
        <v>167</v>
      </c>
      <c r="C465" s="20" t="s">
        <v>177</v>
      </c>
      <c r="D465" s="22">
        <v>1</v>
      </c>
      <c r="E465" s="15" t="s">
        <v>178</v>
      </c>
      <c r="F465" s="23" t="str">
        <f>IF($B465="","",IFERROR(INDEX(ProdNome,MATCH($B465,ProdCod,0)),"Código não cadastrado"))</f>
        <v>Porta-retrato 10x15</v>
      </c>
      <c r="G465" s="24">
        <f>IF(OR($B465="",$D465=""),"",$D465*IFERROR(INDEX(ProdCusto,MATCH($B465,ProdCod,0)),0))</f>
        <v>6.2</v>
      </c>
      <c r="H465" s="25" t="str">
        <f>IF($A465="","",IF(OR($B465="",$C465="",$D465=""),"Preencher tudo",IF($F465="Código não cadastrado","Código inválido","OK")))</f>
        <v>OK</v>
      </c>
    </row>
    <row r="466" spans="1:8">
      <c r="A466" s="16">
        <v>46265</v>
      </c>
      <c r="B466" s="15" t="s">
        <v>107</v>
      </c>
      <c r="C466" s="20" t="s">
        <v>177</v>
      </c>
      <c r="D466" s="22">
        <v>2</v>
      </c>
      <c r="E466" s="15" t="s">
        <v>178</v>
      </c>
      <c r="F466" s="23" t="str">
        <f>IF($B466="","",IFERROR(INDEX(ProdNome,MATCH($B466,ProdCod,0)),"Código não cadastrado"))</f>
        <v>Estojo duplo</v>
      </c>
      <c r="G466" s="24">
        <f>IF(OR($B466="",$D466=""),"",$D466*IFERROR(INDEX(ProdCusto,MATCH($B466,ProdCod,0)),0))</f>
        <v>17</v>
      </c>
      <c r="H466" s="25" t="str">
        <f>IF($A466="","",IF(OR($B466="",$C466="",$D466=""),"Preencher tudo",IF($F466="Código não cadastrado","Código inválido","OK")))</f>
        <v>OK</v>
      </c>
    </row>
    <row r="467" spans="1:8">
      <c r="A467" s="16">
        <v>46265</v>
      </c>
      <c r="B467" s="15" t="s">
        <v>115</v>
      </c>
      <c r="C467" s="20" t="s">
        <v>177</v>
      </c>
      <c r="D467" s="22">
        <v>8</v>
      </c>
      <c r="E467" s="15" t="s">
        <v>178</v>
      </c>
      <c r="F467" s="23" t="str">
        <f>IF($B467="","",IFERROR(INDEX(ProdNome,MATCH($B467,ProdCod,0)),"Código não cadastrado"))</f>
        <v>Fita adesiva transparente</v>
      </c>
      <c r="G467" s="24">
        <f>IF(OR($B467="",$D467=""),"",$D467*IFERROR(INDEX(ProdCusto,MATCH($B467,ProdCod,0)),0))</f>
        <v>12.8</v>
      </c>
      <c r="H467" s="25" t="str">
        <f>IF($A467="","",IF(OR($B467="",$C467="",$D467=""),"Preencher tudo",IF($F467="Código não cadastrado","Código inválido","OK")))</f>
        <v>OK</v>
      </c>
    </row>
    <row r="468" spans="1:8">
      <c r="A468" s="16">
        <v>46265</v>
      </c>
      <c r="B468" s="15" t="s">
        <v>117</v>
      </c>
      <c r="C468" s="20" t="s">
        <v>177</v>
      </c>
      <c r="D468" s="22">
        <v>1</v>
      </c>
      <c r="E468" s="15" t="s">
        <v>178</v>
      </c>
      <c r="F468" s="23" t="str">
        <f>IF($B468="","",IFERROR(INDEX(ProdNome,MATCH($B468,ProdCod,0)),"Código não cadastrado"))</f>
        <v>Caixa de papelão M (pct 10)</v>
      </c>
      <c r="G468" s="24">
        <f>IF(OR($B468="",$D468=""),"",$D468*IFERROR(INDEX(ProdCusto,MATCH($B468,ProdCod,0)),0))</f>
        <v>15</v>
      </c>
      <c r="H468" s="25" t="str">
        <f>IF($A468="","",IF(OR($B468="",$C468="",$D468=""),"Preencher tudo",IF($F468="Código não cadastrado","Código inválido","OK")))</f>
        <v>OK</v>
      </c>
    </row>
    <row r="469" spans="1:8">
      <c r="A469" s="16">
        <v>46265</v>
      </c>
      <c r="B469" s="15" t="s">
        <v>147</v>
      </c>
      <c r="C469" s="20" t="s">
        <v>177</v>
      </c>
      <c r="D469" s="22">
        <v>1</v>
      </c>
      <c r="E469" s="15" t="s">
        <v>178</v>
      </c>
      <c r="F469" s="23" t="str">
        <f>IF($B469="","",IFERROR(INDEX(ProdNome,MATCH($B469,ProdCod,0)),"Código não cadastrado"))</f>
        <v>Toner genérico preto</v>
      </c>
      <c r="G469" s="24">
        <f>IF(OR($B469="",$D469=""),"",$D469*IFERROR(INDEX(ProdCusto,MATCH($B469,ProdCod,0)),0))</f>
        <v>62</v>
      </c>
      <c r="H469" s="25" t="str">
        <f>IF($A469="","",IF(OR($B469="",$C469="",$D469=""),"Preencher tudo",IF($F469="Código não cadastrado","Código inválido","OK")))</f>
        <v>OK</v>
      </c>
    </row>
    <row r="470" spans="1:8">
      <c r="A470" s="16">
        <v>46265</v>
      </c>
      <c r="B470" s="15" t="s">
        <v>155</v>
      </c>
      <c r="C470" s="20" t="s">
        <v>177</v>
      </c>
      <c r="D470" s="22">
        <v>2</v>
      </c>
      <c r="E470" s="15" t="s">
        <v>178</v>
      </c>
      <c r="F470" s="23" t="str">
        <f>IF($B470="","",IFERROR(INDEX(ProdNome,MATCH($B470,ProdCod,0)),"Código não cadastrado"))</f>
        <v>Tinta guache (kit 6)</v>
      </c>
      <c r="G470" s="24">
        <f>IF(OR($B470="",$D470=""),"",$D470*IFERROR(INDEX(ProdCusto,MATCH($B470,ProdCod,0)),0))</f>
        <v>17.4</v>
      </c>
      <c r="H470" s="25" t="str">
        <f>IF($A470="","",IF(OR($B470="",$C470="",$D470=""),"Preencher tudo",IF($F470="Código não cadastrado","Código inválido","OK")))</f>
        <v>OK</v>
      </c>
    </row>
    <row r="471" spans="1:8">
      <c r="A471" s="16">
        <v>46267</v>
      </c>
      <c r="B471" s="15" t="s">
        <v>89</v>
      </c>
      <c r="C471" s="20" t="s">
        <v>177</v>
      </c>
      <c r="D471" s="22">
        <v>39</v>
      </c>
      <c r="E471" s="15" t="s">
        <v>178</v>
      </c>
      <c r="F471" s="23" t="str">
        <f>IF($B471="","",IFERROR(INDEX(ProdNome,MATCH($B471,ProdCod,0)),"Código não cadastrado"))</f>
        <v>Caderno universitário 10 matérias</v>
      </c>
      <c r="G471" s="24">
        <f>IF(OR($B471="",$D471=""),"",$D471*IFERROR(INDEX(ProdCusto,MATCH($B471,ProdCod,0)),0))</f>
        <v>370.5</v>
      </c>
      <c r="H471" s="25" t="str">
        <f>IF($A471="","",IF(OR($B471="",$C471="",$D471=""),"Preencher tudo",IF($F471="Código não cadastrado","Código inválido","OK")))</f>
        <v>OK</v>
      </c>
    </row>
    <row r="472" spans="1:8">
      <c r="A472" s="16">
        <v>46267</v>
      </c>
      <c r="B472" s="15" t="s">
        <v>93</v>
      </c>
      <c r="C472" s="20" t="s">
        <v>177</v>
      </c>
      <c r="D472" s="22">
        <v>51</v>
      </c>
      <c r="E472" s="15" t="s">
        <v>178</v>
      </c>
      <c r="F472" s="23" t="str">
        <f>IF($B472="","",IFERROR(INDEX(ProdNome,MATCH($B472,ProdCod,0)),"Código não cadastrado"))</f>
        <v>Papel A4 75g (resma)</v>
      </c>
      <c r="G472" s="24">
        <f>IF(OR($B472="",$D472=""),"",$D472*IFERROR(INDEX(ProdCusto,MATCH($B472,ProdCod,0)),0))</f>
        <v>1096.5</v>
      </c>
      <c r="H472" s="25" t="str">
        <f>IF($A472="","",IF(OR($B472="",$C472="",$D472=""),"Preencher tudo",IF($F472="Código não cadastrado","Código inválido","OK")))</f>
        <v>OK</v>
      </c>
    </row>
    <row r="473" spans="1:8">
      <c r="A473" s="16">
        <v>46267</v>
      </c>
      <c r="B473" s="15" t="s">
        <v>95</v>
      </c>
      <c r="C473" s="20" t="s">
        <v>177</v>
      </c>
      <c r="D473" s="22">
        <v>1</v>
      </c>
      <c r="E473" s="15" t="s">
        <v>178</v>
      </c>
      <c r="F473" s="23" t="str">
        <f>IF($B473="","",IFERROR(INDEX(ProdNome,MATCH($B473,ProdCod,0)),"Código não cadastrado"))</f>
        <v>Pasta suspensa (pct 25)</v>
      </c>
      <c r="G473" s="24">
        <f>IF(OR($B473="",$D473=""),"",$D473*IFERROR(INDEX(ProdCusto,MATCH($B473,ProdCod,0)),0))</f>
        <v>28</v>
      </c>
      <c r="H473" s="25" t="str">
        <f>IF($A473="","",IF(OR($B473="",$C473="",$D473=""),"Preencher tudo",IF($F473="Código não cadastrado","Código inválido","OK")))</f>
        <v>OK</v>
      </c>
    </row>
    <row r="474" spans="1:8">
      <c r="A474" s="16">
        <v>46267</v>
      </c>
      <c r="B474" s="15" t="s">
        <v>103</v>
      </c>
      <c r="C474" s="20" t="s">
        <v>177</v>
      </c>
      <c r="D474" s="22">
        <v>17</v>
      </c>
      <c r="E474" s="15" t="s">
        <v>178</v>
      </c>
      <c r="F474" s="23" t="str">
        <f>IF($B474="","",IFERROR(INDEX(ProdNome,MATCH($B474,ProdCod,0)),"Código não cadastrado"))</f>
        <v>Cabo USB-C 1m</v>
      </c>
      <c r="G474" s="24">
        <f>IF(OR($B474="",$D474=""),"",$D474*IFERROR(INDEX(ProdCusto,MATCH($B474,ProdCod,0)),0))</f>
        <v>110.5</v>
      </c>
      <c r="H474" s="25" t="str">
        <f>IF($A474="","",IF(OR($B474="",$C474="",$D474=""),"Preencher tudo",IF($F474="Código não cadastrado","Código inválido","OK")))</f>
        <v>OK</v>
      </c>
    </row>
    <row r="475" spans="1:8">
      <c r="A475" s="16">
        <v>46267</v>
      </c>
      <c r="B475" s="15" t="s">
        <v>119</v>
      </c>
      <c r="C475" s="20" t="s">
        <v>177</v>
      </c>
      <c r="D475" s="22">
        <v>1</v>
      </c>
      <c r="E475" s="15" t="s">
        <v>178</v>
      </c>
      <c r="F475" s="23" t="str">
        <f>IF($B475="","",IFERROR(INDEX(ProdNome,MATCH($B475,ProdCod,0)),"Código não cadastrado"))</f>
        <v>Plástico bolha (rolo 50m)</v>
      </c>
      <c r="G475" s="24">
        <f>IF(OR($B475="",$D475=""),"",$D475*IFERROR(INDEX(ProdCusto,MATCH($B475,ProdCod,0)),0))</f>
        <v>32</v>
      </c>
      <c r="H475" s="25" t="str">
        <f>IF($A475="","",IF(OR($B475="",$C475="",$D475=""),"Preencher tudo",IF($F475="Código não cadastrado","Código inválido","OK")))</f>
        <v>OK</v>
      </c>
    </row>
    <row r="476" spans="1:8">
      <c r="A476" s="16">
        <v>46267</v>
      </c>
      <c r="B476" s="15" t="s">
        <v>141</v>
      </c>
      <c r="C476" s="20" t="s">
        <v>177</v>
      </c>
      <c r="D476" s="22">
        <v>2</v>
      </c>
      <c r="E476" s="15" t="s">
        <v>178</v>
      </c>
      <c r="F476" s="23" t="str">
        <f>IF($B476="","",IFERROR(INDEX(ProdNome,MATCH($B476,ProdCod,0)),"Código não cadastrado"))</f>
        <v>Fichário argolado</v>
      </c>
      <c r="G476" s="24">
        <f>IF(OR($B476="",$D476=""),"",$D476*IFERROR(INDEX(ProdCusto,MATCH($B476,ProdCod,0)),0))</f>
        <v>42</v>
      </c>
      <c r="H476" s="25" t="str">
        <f>IF($A476="","",IF(OR($B476="",$C476="",$D476=""),"Preencher tudo",IF($F476="Código não cadastrado","Código inválido","OK")))</f>
        <v>OK</v>
      </c>
    </row>
    <row r="477" spans="1:8">
      <c r="A477" s="16">
        <v>46268</v>
      </c>
      <c r="B477" s="15" t="s">
        <v>105</v>
      </c>
      <c r="C477" s="20" t="s">
        <v>177</v>
      </c>
      <c r="D477" s="22">
        <v>6</v>
      </c>
      <c r="E477" s="15" t="s">
        <v>178</v>
      </c>
      <c r="F477" s="23" t="str">
        <f>IF($B477="","",IFERROR(INDEX(ProdNome,MATCH($B477,ProdCod,0)),"Código não cadastrado"))</f>
        <v>Mochila escolar 20L</v>
      </c>
      <c r="G477" s="24">
        <f>IF(OR($B477="",$D477=""),"",$D477*IFERROR(INDEX(ProdCusto,MATCH($B477,ProdCod,0)),0))</f>
        <v>276</v>
      </c>
      <c r="H477" s="25" t="str">
        <f>IF($A477="","",IF(OR($B477="",$C477="",$D477=""),"Preencher tudo",IF($F477="Código não cadastrado","Código inválido","OK")))</f>
        <v>OK</v>
      </c>
    </row>
    <row r="478" spans="1:8">
      <c r="A478" s="16">
        <v>46268</v>
      </c>
      <c r="B478" s="15" t="s">
        <v>121</v>
      </c>
      <c r="C478" s="20" t="s">
        <v>177</v>
      </c>
      <c r="D478" s="22">
        <v>1</v>
      </c>
      <c r="E478" s="15" t="s">
        <v>178</v>
      </c>
      <c r="F478" s="23" t="str">
        <f>IF($B478="","",IFERROR(INDEX(ProdNome,MATCH($B478,ProdCod,0)),"Código não cadastrado"))</f>
        <v>Sacola kraft G (pct 50)</v>
      </c>
      <c r="G478" s="24">
        <f>IF(OR($B478="",$D478=""),"",$D478*IFERROR(INDEX(ProdCusto,MATCH($B478,ProdCod,0)),0))</f>
        <v>24</v>
      </c>
      <c r="H478" s="25" t="str">
        <f>IF($A478="","",IF(OR($B478="",$C478="",$D478=""),"Preencher tudo",IF($F478="Código não cadastrado","Código inválido","OK")))</f>
        <v>OK</v>
      </c>
    </row>
    <row r="479" spans="1:8">
      <c r="A479" s="16">
        <v>46268</v>
      </c>
      <c r="B479" s="15" t="s">
        <v>127</v>
      </c>
      <c r="C479" s="20" t="s">
        <v>177</v>
      </c>
      <c r="D479" s="22">
        <v>2</v>
      </c>
      <c r="E479" s="15" t="s">
        <v>178</v>
      </c>
      <c r="F479" s="23" t="str">
        <f>IF($B479="","",IFERROR(INDEX(ProdNome,MATCH($B479,ProdCod,0)),"Código não cadastrado"))</f>
        <v>Pilha AA (cartela 4)</v>
      </c>
      <c r="G479" s="24">
        <f>IF(OR($B479="",$D479=""),"",$D479*IFERROR(INDEX(ProdCusto,MATCH($B479,ProdCod,0)),0))</f>
        <v>15</v>
      </c>
      <c r="H479" s="25" t="str">
        <f>IF($A479="","",IF(OR($B479="",$C479="",$D479=""),"Preencher tudo",IF($F479="Código não cadastrado","Código inválido","OK")))</f>
        <v>OK</v>
      </c>
    </row>
    <row r="480" spans="1:8">
      <c r="A480" s="16">
        <v>46268</v>
      </c>
      <c r="B480" s="15" t="s">
        <v>129</v>
      </c>
      <c r="C480" s="20" t="s">
        <v>177</v>
      </c>
      <c r="D480" s="22">
        <v>6</v>
      </c>
      <c r="E480" s="15" t="s">
        <v>178</v>
      </c>
      <c r="F480" s="23" t="str">
        <f>IF($B480="","",IFERROR(INDEX(ProdNome,MATCH($B480,ProdCod,0)),"Código não cadastrado"))</f>
        <v>Caneca branca para sublimação</v>
      </c>
      <c r="G480" s="24">
        <f>IF(OR($B480="",$D480=""),"",$D480*IFERROR(INDEX(ProdCusto,MATCH($B480,ProdCod,0)),0))</f>
        <v>25.2</v>
      </c>
      <c r="H480" s="25" t="str">
        <f>IF($A480="","",IF(OR($B480="",$C480="",$D480=""),"Preencher tudo",IF($F480="Código não cadastrado","Código inválido","OK")))</f>
        <v>OK</v>
      </c>
    </row>
    <row r="481" spans="1:8">
      <c r="A481" s="16">
        <v>46268</v>
      </c>
      <c r="B481" s="15" t="s">
        <v>135</v>
      </c>
      <c r="C481" s="20" t="s">
        <v>179</v>
      </c>
      <c r="D481" s="22">
        <v>3</v>
      </c>
      <c r="E481" s="15" t="s">
        <v>316</v>
      </c>
      <c r="F481" s="23" t="str">
        <f>IF($B481="","",IFERROR(INDEX(ProdNome,MATCH($B481,ProdCod,0)),"Código não cadastrado"))</f>
        <v>Marca-texto (cx 6)</v>
      </c>
      <c r="G481" s="24">
        <f>IF(OR($B481="",$D481=""),"",$D481*IFERROR(INDEX(ProdCusto,MATCH($B481,ProdCod,0)),0))</f>
        <v>29.4</v>
      </c>
      <c r="H481" s="25" t="str">
        <f>IF($A481="","",IF(OR($B481="",$C481="",$D481=""),"Preencher tudo",IF($F481="Código não cadastrado","Código inválido","OK")))</f>
        <v>OK</v>
      </c>
    </row>
    <row r="482" spans="1:8">
      <c r="A482" s="16">
        <v>46268</v>
      </c>
      <c r="B482" s="15" t="s">
        <v>143</v>
      </c>
      <c r="C482" s="20" t="s">
        <v>177</v>
      </c>
      <c r="D482" s="22">
        <v>7</v>
      </c>
      <c r="E482" s="15" t="s">
        <v>178</v>
      </c>
      <c r="F482" s="23" t="str">
        <f>IF($B482="","",IFERROR(INDEX(ProdNome,MATCH($B482,ProdCod,0)),"Código não cadastrado"))</f>
        <v>Régua 30cm</v>
      </c>
      <c r="G482" s="24">
        <f>IF(OR($B482="",$D482=""),"",$D482*IFERROR(INDEX(ProdCusto,MATCH($B482,ProdCod,0)),0))</f>
        <v>6.3</v>
      </c>
      <c r="H482" s="25" t="str">
        <f>IF($A482="","",IF(OR($B482="",$C482="",$D482=""),"Preencher tudo",IF($F482="Código não cadastrado","Código inválido","OK")))</f>
        <v>OK</v>
      </c>
    </row>
    <row r="483" spans="1:8">
      <c r="A483" s="16">
        <v>46268</v>
      </c>
      <c r="B483" s="15" t="s">
        <v>167</v>
      </c>
      <c r="C483" s="20" t="s">
        <v>179</v>
      </c>
      <c r="D483" s="22">
        <v>3</v>
      </c>
      <c r="E483" s="15" t="s">
        <v>317</v>
      </c>
      <c r="F483" s="23" t="str">
        <f>IF($B483="","",IFERROR(INDEX(ProdNome,MATCH($B483,ProdCod,0)),"Código não cadastrado"))</f>
        <v>Porta-retrato 10x15</v>
      </c>
      <c r="G483" s="24">
        <f>IF(OR($B483="",$D483=""),"",$D483*IFERROR(INDEX(ProdCusto,MATCH($B483,ProdCod,0)),0))</f>
        <v>18.6</v>
      </c>
      <c r="H483" s="25" t="str">
        <f>IF($A483="","",IF(OR($B483="",$C483="",$D483=""),"Preencher tudo",IF($F483="Código não cadastrado","Código inválido","OK")))</f>
        <v>OK</v>
      </c>
    </row>
    <row r="484" spans="1:8">
      <c r="A484" s="16">
        <v>46269</v>
      </c>
      <c r="B484" s="15" t="s">
        <v>89</v>
      </c>
      <c r="C484" s="20" t="s">
        <v>179</v>
      </c>
      <c r="D484" s="22">
        <v>39</v>
      </c>
      <c r="E484" s="15" t="s">
        <v>318</v>
      </c>
      <c r="F484" s="23" t="str">
        <f>IF($B484="","",IFERROR(INDEX(ProdNome,MATCH($B484,ProdCod,0)),"Código não cadastrado"))</f>
        <v>Caderno universitário 10 matérias</v>
      </c>
      <c r="G484" s="24">
        <f>IF(OR($B484="",$D484=""),"",$D484*IFERROR(INDEX(ProdCusto,MATCH($B484,ProdCod,0)),0))</f>
        <v>370.5</v>
      </c>
      <c r="H484" s="25" t="str">
        <f>IF($A484="","",IF(OR($B484="",$C484="",$D484=""),"Preencher tudo",IF($F484="Código não cadastrado","Código inválido","OK")))</f>
        <v>OK</v>
      </c>
    </row>
    <row r="485" spans="1:8">
      <c r="A485" s="16">
        <v>46269</v>
      </c>
      <c r="B485" s="15" t="s">
        <v>91</v>
      </c>
      <c r="C485" s="20" t="s">
        <v>179</v>
      </c>
      <c r="D485" s="22">
        <v>16</v>
      </c>
      <c r="E485" s="15" t="s">
        <v>319</v>
      </c>
      <c r="F485" s="23" t="str">
        <f>IF($B485="","",IFERROR(INDEX(ProdNome,MATCH($B485,ProdCod,0)),"Código não cadastrado"))</f>
        <v>Caneta esferográfica azul (cx 50)</v>
      </c>
      <c r="G485" s="24">
        <f>IF(OR($B485="",$D485=""),"",$D485*IFERROR(INDEX(ProdCusto,MATCH($B485,ProdCod,0)),0))</f>
        <v>352</v>
      </c>
      <c r="H485" s="25" t="str">
        <f>IF($A485="","",IF(OR($B485="",$C485="",$D485=""),"Preencher tudo",IF($F485="Código não cadastrado","Código inválido","OK")))</f>
        <v>OK</v>
      </c>
    </row>
    <row r="486" spans="1:8">
      <c r="A486" s="16">
        <v>46269</v>
      </c>
      <c r="B486" s="15" t="s">
        <v>101</v>
      </c>
      <c r="C486" s="20" t="s">
        <v>177</v>
      </c>
      <c r="D486" s="22">
        <v>6</v>
      </c>
      <c r="E486" s="15" t="s">
        <v>178</v>
      </c>
      <c r="F486" s="23" t="str">
        <f>IF($B486="","",IFERROR(INDEX(ProdNome,MATCH($B486,ProdCod,0)),"Código não cadastrado"))</f>
        <v>Pen drive 32GB</v>
      </c>
      <c r="G486" s="24">
        <f>IF(OR($B486="",$D486=""),"",$D486*IFERROR(INDEX(ProdCusto,MATCH($B486,ProdCod,0)),0))</f>
        <v>132</v>
      </c>
      <c r="H486" s="25" t="str">
        <f>IF($A486="","",IF(OR($B486="",$C486="",$D486=""),"Preencher tudo",IF($F486="Código não cadastrado","Código inválido","OK")))</f>
        <v>OK</v>
      </c>
    </row>
    <row r="487" spans="1:8">
      <c r="A487" s="16">
        <v>46269</v>
      </c>
      <c r="B487" s="15" t="s">
        <v>105</v>
      </c>
      <c r="C487" s="20" t="s">
        <v>179</v>
      </c>
      <c r="D487" s="22">
        <v>6</v>
      </c>
      <c r="E487" s="15" t="s">
        <v>320</v>
      </c>
      <c r="F487" s="23" t="str">
        <f>IF($B487="","",IFERROR(INDEX(ProdNome,MATCH($B487,ProdCod,0)),"Código não cadastrado"))</f>
        <v>Mochila escolar 20L</v>
      </c>
      <c r="G487" s="24">
        <f>IF(OR($B487="",$D487=""),"",$D487*IFERROR(INDEX(ProdCusto,MATCH($B487,ProdCod,0)),0))</f>
        <v>276</v>
      </c>
      <c r="H487" s="25" t="str">
        <f>IF($A487="","",IF(OR($B487="",$C487="",$D487=""),"Preencher tudo",IF($F487="Código não cadastrado","Código inválido","OK")))</f>
        <v>OK</v>
      </c>
    </row>
    <row r="488" spans="1:8">
      <c r="A488" s="16">
        <v>46269</v>
      </c>
      <c r="B488" s="15" t="s">
        <v>111</v>
      </c>
      <c r="C488" s="20" t="s">
        <v>179</v>
      </c>
      <c r="D488" s="22">
        <v>21</v>
      </c>
      <c r="E488" s="15" t="s">
        <v>321</v>
      </c>
      <c r="F488" s="23" t="str">
        <f>IF($B488="","",IFERROR(INDEX(ProdNome,MATCH($B488,ProdCod,0)),"Código não cadastrado"))</f>
        <v>Cola branca 90g</v>
      </c>
      <c r="G488" s="24">
        <f>IF(OR($B488="",$D488=""),"",$D488*IFERROR(INDEX(ProdCusto,MATCH($B488,ProdCod,0)),0))</f>
        <v>39.9</v>
      </c>
      <c r="H488" s="25" t="str">
        <f>IF($A488="","",IF(OR($B488="",$C488="",$D488=""),"Preencher tudo",IF($F488="Código não cadastrado","Código inválido","OK")))</f>
        <v>OK</v>
      </c>
    </row>
    <row r="489" spans="1:8">
      <c r="A489" s="16">
        <v>46269</v>
      </c>
      <c r="B489" s="15" t="s">
        <v>121</v>
      </c>
      <c r="C489" s="20" t="s">
        <v>179</v>
      </c>
      <c r="D489" s="22">
        <v>3</v>
      </c>
      <c r="E489" s="15" t="s">
        <v>322</v>
      </c>
      <c r="F489" s="23" t="str">
        <f>IF($B489="","",IFERROR(INDEX(ProdNome,MATCH($B489,ProdCod,0)),"Código não cadastrado"))</f>
        <v>Sacola kraft G (pct 50)</v>
      </c>
      <c r="G489" s="24">
        <f>IF(OR($B489="",$D489=""),"",$D489*IFERROR(INDEX(ProdCusto,MATCH($B489,ProdCod,0)),0))</f>
        <v>72</v>
      </c>
      <c r="H489" s="25" t="str">
        <f>IF($A489="","",IF(OR($B489="",$C489="",$D489=""),"Preencher tudo",IF($F489="Código não cadastrado","Código inválido","OK")))</f>
        <v>OK</v>
      </c>
    </row>
    <row r="490" spans="1:8">
      <c r="A490" s="16">
        <v>46269</v>
      </c>
      <c r="B490" s="15" t="s">
        <v>129</v>
      </c>
      <c r="C490" s="20" t="s">
        <v>179</v>
      </c>
      <c r="D490" s="22">
        <v>6</v>
      </c>
      <c r="E490" s="15" t="s">
        <v>323</v>
      </c>
      <c r="F490" s="23" t="str">
        <f>IF($B490="","",IFERROR(INDEX(ProdNome,MATCH($B490,ProdCod,0)),"Código não cadastrado"))</f>
        <v>Caneca branca para sublimação</v>
      </c>
      <c r="G490" s="24">
        <f>IF(OR($B490="",$D490=""),"",$D490*IFERROR(INDEX(ProdCusto,MATCH($B490,ProdCod,0)),0))</f>
        <v>25.2</v>
      </c>
      <c r="H490" s="25" t="str">
        <f>IF($A490="","",IF(OR($B490="",$C490="",$D490=""),"Preencher tudo",IF($F490="Código não cadastrado","Código inválido","OK")))</f>
        <v>OK</v>
      </c>
    </row>
    <row r="491" spans="1:8">
      <c r="A491" s="16">
        <v>46269</v>
      </c>
      <c r="B491" s="15" t="s">
        <v>131</v>
      </c>
      <c r="C491" s="20" t="s">
        <v>177</v>
      </c>
      <c r="D491" s="22">
        <v>1</v>
      </c>
      <c r="E491" s="15" t="s">
        <v>178</v>
      </c>
      <c r="F491" s="23" t="str">
        <f>IF($B491="","",IFERROR(INDEX(ProdNome,MATCH($B491,ProdCod,0)),"Código não cadastrado"))</f>
        <v>Garrafa squeeze 600ml</v>
      </c>
      <c r="G491" s="24">
        <f>IF(OR($B491="",$D491=""),"",$D491*IFERROR(INDEX(ProdCusto,MATCH($B491,ProdCod,0)),0))</f>
        <v>9.9</v>
      </c>
      <c r="H491" s="25" t="str">
        <f>IF($A491="","",IF(OR($B491="",$C491="",$D491=""),"Preencher tudo",IF($F491="Código não cadastrado","Código inválido","OK")))</f>
        <v>OK</v>
      </c>
    </row>
    <row r="492" spans="1:8">
      <c r="A492" s="16">
        <v>46269</v>
      </c>
      <c r="B492" s="15" t="s">
        <v>131</v>
      </c>
      <c r="C492" s="20" t="s">
        <v>179</v>
      </c>
      <c r="D492" s="22">
        <v>3</v>
      </c>
      <c r="E492" s="15" t="s">
        <v>324</v>
      </c>
      <c r="F492" s="23" t="str">
        <f>IF($B492="","",IFERROR(INDEX(ProdNome,MATCH($B492,ProdCod,0)),"Código não cadastrado"))</f>
        <v>Garrafa squeeze 600ml</v>
      </c>
      <c r="G492" s="24">
        <f>IF(OR($B492="",$D492=""),"",$D492*IFERROR(INDEX(ProdCusto,MATCH($B492,ProdCod,0)),0))</f>
        <v>29.7</v>
      </c>
      <c r="H492" s="25" t="str">
        <f>IF($A492="","",IF(OR($B492="",$C492="",$D492=""),"Preencher tudo",IF($F492="Código não cadastrado","Código inválido","OK")))</f>
        <v>OK</v>
      </c>
    </row>
    <row r="493" spans="1:8">
      <c r="A493" s="16">
        <v>46269</v>
      </c>
      <c r="B493" s="15" t="s">
        <v>133</v>
      </c>
      <c r="C493" s="20" t="s">
        <v>177</v>
      </c>
      <c r="D493" s="22">
        <v>1</v>
      </c>
      <c r="E493" s="15" t="s">
        <v>178</v>
      </c>
      <c r="F493" s="23" t="str">
        <f>IF($B493="","",IFERROR(INDEX(ProdNome,MATCH($B493,ProdCod,0)),"Código não cadastrado"))</f>
        <v>Agenda 2027</v>
      </c>
      <c r="G493" s="24">
        <f>IF(OR($B493="",$D493=""),"",$D493*IFERROR(INDEX(ProdCusto,MATCH($B493,ProdCod,0)),0))</f>
        <v>14</v>
      </c>
      <c r="H493" s="25" t="str">
        <f>IF($A493="","",IF(OR($B493="",$C493="",$D493=""),"Preencher tudo",IF($F493="Código não cadastrado","Código inválido","OK")))</f>
        <v>OK</v>
      </c>
    </row>
    <row r="494" spans="1:8">
      <c r="A494" s="16">
        <v>46269</v>
      </c>
      <c r="B494" s="15" t="s">
        <v>155</v>
      </c>
      <c r="C494" s="20" t="s">
        <v>177</v>
      </c>
      <c r="D494" s="22">
        <v>2</v>
      </c>
      <c r="E494" s="15" t="s">
        <v>178</v>
      </c>
      <c r="F494" s="23" t="str">
        <f>IF($B494="","",IFERROR(INDEX(ProdNome,MATCH($B494,ProdCod,0)),"Código não cadastrado"))</f>
        <v>Tinta guache (kit 6)</v>
      </c>
      <c r="G494" s="24">
        <f>IF(OR($B494="",$D494=""),"",$D494*IFERROR(INDEX(ProdCusto,MATCH($B494,ProdCod,0)),0))</f>
        <v>17.4</v>
      </c>
      <c r="H494" s="25" t="str">
        <f>IF($A494="","",IF(OR($B494="",$C494="",$D494=""),"Preencher tudo",IF($F494="Código não cadastrado","Código inválido","OK")))</f>
        <v>OK</v>
      </c>
    </row>
    <row r="495" spans="1:8">
      <c r="A495" s="16">
        <v>46269</v>
      </c>
      <c r="B495" s="15" t="s">
        <v>163</v>
      </c>
      <c r="C495" s="20" t="s">
        <v>177</v>
      </c>
      <c r="D495" s="22">
        <v>1</v>
      </c>
      <c r="E495" s="15" t="s">
        <v>178</v>
      </c>
      <c r="F495" s="23" t="str">
        <f>IF($B495="","",IFERROR(INDEX(ProdNome,MATCH($B495,ProdCod,0)),"Código não cadastrado"))</f>
        <v>Caixa organizadora</v>
      </c>
      <c r="G495" s="24">
        <f>IF(OR($B495="",$D495=""),"",$D495*IFERROR(INDEX(ProdCusto,MATCH($B495,ProdCod,0)),0))</f>
        <v>18</v>
      </c>
      <c r="H495" s="25" t="str">
        <f>IF($A495="","",IF(OR($B495="",$C495="",$D495=""),"Preencher tudo",IF($F495="Código não cadastrado","Código inválido","OK")))</f>
        <v>OK</v>
      </c>
    </row>
    <row r="496" spans="1:8">
      <c r="A496" s="16">
        <v>46269</v>
      </c>
      <c r="B496" s="15" t="s">
        <v>167</v>
      </c>
      <c r="C496" s="20" t="s">
        <v>177</v>
      </c>
      <c r="D496" s="22">
        <v>1</v>
      </c>
      <c r="E496" s="15" t="s">
        <v>178</v>
      </c>
      <c r="F496" s="23" t="str">
        <f>IF($B496="","",IFERROR(INDEX(ProdNome,MATCH($B496,ProdCod,0)),"Código não cadastrado"))</f>
        <v>Porta-retrato 10x15</v>
      </c>
      <c r="G496" s="24">
        <f>IF(OR($B496="",$D496=""),"",$D496*IFERROR(INDEX(ProdCusto,MATCH($B496,ProdCod,0)),0))</f>
        <v>6.2</v>
      </c>
      <c r="H496" s="25" t="str">
        <f>IF($A496="","",IF(OR($B496="",$C496="",$D496=""),"Preencher tudo",IF($F496="Código não cadastrado","Código inválido","OK")))</f>
        <v>OK</v>
      </c>
    </row>
    <row r="497" spans="1:8">
      <c r="A497" s="16">
        <v>46270</v>
      </c>
      <c r="B497" s="15" t="s">
        <v>91</v>
      </c>
      <c r="C497" s="20" t="s">
        <v>177</v>
      </c>
      <c r="D497" s="22">
        <v>9</v>
      </c>
      <c r="E497" s="15" t="s">
        <v>178</v>
      </c>
      <c r="F497" s="23" t="str">
        <f>IF($B497="","",IFERROR(INDEX(ProdNome,MATCH($B497,ProdCod,0)),"Código não cadastrado"))</f>
        <v>Caneta esferográfica azul (cx 50)</v>
      </c>
      <c r="G497" s="24">
        <f>IF(OR($B497="",$D497=""),"",$D497*IFERROR(INDEX(ProdCusto,MATCH($B497,ProdCod,0)),0))</f>
        <v>198</v>
      </c>
      <c r="H497" s="25" t="str">
        <f>IF($A497="","",IF(OR($B497="",$C497="",$D497=""),"Preencher tudo",IF($F497="Código não cadastrado","Código inválido","OK")))</f>
        <v>OK</v>
      </c>
    </row>
    <row r="498" spans="1:8">
      <c r="A498" s="16">
        <v>46270</v>
      </c>
      <c r="B498" s="15" t="s">
        <v>93</v>
      </c>
      <c r="C498" s="20" t="s">
        <v>179</v>
      </c>
      <c r="D498" s="22">
        <v>51</v>
      </c>
      <c r="E498" s="15" t="s">
        <v>325</v>
      </c>
      <c r="F498" s="23" t="str">
        <f>IF($B498="","",IFERROR(INDEX(ProdNome,MATCH($B498,ProdCod,0)),"Código não cadastrado"))</f>
        <v>Papel A4 75g (resma)</v>
      </c>
      <c r="G498" s="24">
        <f>IF(OR($B498="",$D498=""),"",$D498*IFERROR(INDEX(ProdCusto,MATCH($B498,ProdCod,0)),0))</f>
        <v>1096.5</v>
      </c>
      <c r="H498" s="25" t="str">
        <f>IF($A498="","",IF(OR($B498="",$C498="",$D498=""),"Preencher tudo",IF($F498="Código não cadastrado","Código inválido","OK")))</f>
        <v>OK</v>
      </c>
    </row>
    <row r="499" spans="1:8">
      <c r="A499" s="16">
        <v>46270</v>
      </c>
      <c r="B499" s="15" t="s">
        <v>99</v>
      </c>
      <c r="C499" s="20" t="s">
        <v>177</v>
      </c>
      <c r="D499" s="22">
        <v>2</v>
      </c>
      <c r="E499" s="15" t="s">
        <v>178</v>
      </c>
      <c r="F499" s="23" t="str">
        <f>IF($B499="","",IFERROR(INDEX(ProdNome,MATCH($B499,ProdCod,0)),"Código não cadastrado"))</f>
        <v>Mouse óptico USB</v>
      </c>
      <c r="G499" s="24">
        <f>IF(OR($B499="",$D499=""),"",$D499*IFERROR(INDEX(ProdCusto,MATCH($B499,ProdCod,0)),0))</f>
        <v>22</v>
      </c>
      <c r="H499" s="25" t="str">
        <f>IF($A499="","",IF(OR($B499="",$C499="",$D499=""),"Preencher tudo",IF($F499="Código não cadastrado","Código inválido","OK")))</f>
        <v>OK</v>
      </c>
    </row>
    <row r="500" spans="1:8">
      <c r="A500" s="16">
        <v>46270</v>
      </c>
      <c r="B500" s="15" t="s">
        <v>99</v>
      </c>
      <c r="C500" s="20" t="s">
        <v>179</v>
      </c>
      <c r="D500" s="22">
        <v>4</v>
      </c>
      <c r="E500" s="15" t="s">
        <v>326</v>
      </c>
      <c r="F500" s="23" t="str">
        <f>IF($B500="","",IFERROR(INDEX(ProdNome,MATCH($B500,ProdCod,0)),"Código não cadastrado"))</f>
        <v>Mouse óptico USB</v>
      </c>
      <c r="G500" s="24">
        <f>IF(OR($B500="",$D500=""),"",$D500*IFERROR(INDEX(ProdCusto,MATCH($B500,ProdCod,0)),0))</f>
        <v>44</v>
      </c>
      <c r="H500" s="25" t="str">
        <f>IF($A500="","",IF(OR($B500="",$C500="",$D500=""),"Preencher tudo",IF($F500="Código não cadastrado","Código inválido","OK")))</f>
        <v>OK</v>
      </c>
    </row>
    <row r="501" spans="1:8">
      <c r="A501" s="16">
        <v>46270</v>
      </c>
      <c r="B501" s="15" t="s">
        <v>101</v>
      </c>
      <c r="C501" s="20" t="s">
        <v>179</v>
      </c>
      <c r="D501" s="22">
        <v>12</v>
      </c>
      <c r="E501" s="15" t="s">
        <v>327</v>
      </c>
      <c r="F501" s="23" t="str">
        <f>IF($B501="","",IFERROR(INDEX(ProdNome,MATCH($B501,ProdCod,0)),"Código não cadastrado"))</f>
        <v>Pen drive 32GB</v>
      </c>
      <c r="G501" s="24">
        <f>IF(OR($B501="",$D501=""),"",$D501*IFERROR(INDEX(ProdCusto,MATCH($B501,ProdCod,0)),0))</f>
        <v>264</v>
      </c>
      <c r="H501" s="25" t="str">
        <f>IF($A501="","",IF(OR($B501="",$C501="",$D501=""),"Preencher tudo",IF($F501="Código não cadastrado","Código inválido","OK")))</f>
        <v>OK</v>
      </c>
    </row>
    <row r="502" spans="1:8">
      <c r="A502" s="16">
        <v>46270</v>
      </c>
      <c r="B502" s="15" t="s">
        <v>107</v>
      </c>
      <c r="C502" s="20" t="s">
        <v>179</v>
      </c>
      <c r="D502" s="22">
        <v>3</v>
      </c>
      <c r="E502" s="15" t="s">
        <v>328</v>
      </c>
      <c r="F502" s="23" t="str">
        <f>IF($B502="","",IFERROR(INDEX(ProdNome,MATCH($B502,ProdCod,0)),"Código não cadastrado"))</f>
        <v>Estojo duplo</v>
      </c>
      <c r="G502" s="24">
        <f>IF(OR($B502="",$D502=""),"",$D502*IFERROR(INDEX(ProdCusto,MATCH($B502,ProdCod,0)),0))</f>
        <v>25.5</v>
      </c>
      <c r="H502" s="25" t="str">
        <f>IF($A502="","",IF(OR($B502="",$C502="",$D502=""),"Preencher tudo",IF($F502="Código não cadastrado","Código inválido","OK")))</f>
        <v>OK</v>
      </c>
    </row>
    <row r="503" spans="1:8">
      <c r="A503" s="16">
        <v>46270</v>
      </c>
      <c r="B503" s="15" t="s">
        <v>111</v>
      </c>
      <c r="C503" s="20" t="s">
        <v>177</v>
      </c>
      <c r="D503" s="22">
        <v>12</v>
      </c>
      <c r="E503" s="15" t="s">
        <v>178</v>
      </c>
      <c r="F503" s="23" t="str">
        <f>IF($B503="","",IFERROR(INDEX(ProdNome,MATCH($B503,ProdCod,0)),"Código não cadastrado"))</f>
        <v>Cola branca 90g</v>
      </c>
      <c r="G503" s="24">
        <f>IF(OR($B503="",$D503=""),"",$D503*IFERROR(INDEX(ProdCusto,MATCH($B503,ProdCod,0)),0))</f>
        <v>22.8</v>
      </c>
      <c r="H503" s="25" t="str">
        <f>IF($A503="","",IF(OR($B503="",$C503="",$D503=""),"Preencher tudo",IF($F503="Código não cadastrado","Código inválido","OK")))</f>
        <v>OK</v>
      </c>
    </row>
    <row r="504" spans="1:8">
      <c r="A504" s="16">
        <v>46270</v>
      </c>
      <c r="B504" s="15" t="s">
        <v>115</v>
      </c>
      <c r="C504" s="20" t="s">
        <v>177</v>
      </c>
      <c r="D504" s="22">
        <v>16</v>
      </c>
      <c r="E504" s="15" t="s">
        <v>178</v>
      </c>
      <c r="F504" s="23" t="str">
        <f>IF($B504="","",IFERROR(INDEX(ProdNome,MATCH($B504,ProdCod,0)),"Código não cadastrado"))</f>
        <v>Fita adesiva transparente</v>
      </c>
      <c r="G504" s="24">
        <f>IF(OR($B504="",$D504=""),"",$D504*IFERROR(INDEX(ProdCusto,MATCH($B504,ProdCod,0)),0))</f>
        <v>25.6</v>
      </c>
      <c r="H504" s="25" t="str">
        <f>IF($A504="","",IF(OR($B504="",$C504="",$D504=""),"Preencher tudo",IF($F504="Código não cadastrado","Código inválido","OK")))</f>
        <v>OK</v>
      </c>
    </row>
    <row r="505" spans="1:8">
      <c r="A505" s="16">
        <v>46270</v>
      </c>
      <c r="B505" s="15" t="s">
        <v>115</v>
      </c>
      <c r="C505" s="20" t="s">
        <v>179</v>
      </c>
      <c r="D505" s="22">
        <v>24</v>
      </c>
      <c r="E505" s="15" t="s">
        <v>329</v>
      </c>
      <c r="F505" s="23" t="str">
        <f>IF($B505="","",IFERROR(INDEX(ProdNome,MATCH($B505,ProdCod,0)),"Código não cadastrado"))</f>
        <v>Fita adesiva transparente</v>
      </c>
      <c r="G505" s="24">
        <f>IF(OR($B505="",$D505=""),"",$D505*IFERROR(INDEX(ProdCusto,MATCH($B505,ProdCod,0)),0))</f>
        <v>38.4</v>
      </c>
      <c r="H505" s="25" t="str">
        <f>IF($A505="","",IF(OR($B505="",$C505="",$D505=""),"Preencher tudo",IF($F505="Código não cadastrado","Código inválido","OK")))</f>
        <v>OK</v>
      </c>
    </row>
    <row r="506" spans="1:8">
      <c r="A506" s="16">
        <v>46270</v>
      </c>
      <c r="B506" s="15" t="s">
        <v>153</v>
      </c>
      <c r="C506" s="20" t="s">
        <v>177</v>
      </c>
      <c r="D506" s="22">
        <v>1</v>
      </c>
      <c r="E506" s="15" t="s">
        <v>178</v>
      </c>
      <c r="F506" s="23" t="str">
        <f>IF($B506="","",IFERROR(INDEX(ProdNome,MATCH($B506,ProdCod,0)),"Código não cadastrado"))</f>
        <v>Envelope A4 (pct 50)</v>
      </c>
      <c r="G506" s="24">
        <f>IF(OR($B506="",$D506=""),"",$D506*IFERROR(INDEX(ProdCusto,MATCH($B506,ProdCod,0)),0))</f>
        <v>14</v>
      </c>
      <c r="H506" s="25" t="str">
        <f>IF($A506="","",IF(OR($B506="",$C506="",$D506=""),"Preencher tudo",IF($F506="Código não cadastrado","Código inválido","OK")))</f>
        <v>OK</v>
      </c>
    </row>
    <row r="507" spans="1:8">
      <c r="A507" s="16">
        <v>46270</v>
      </c>
      <c r="B507" s="15" t="s">
        <v>157</v>
      </c>
      <c r="C507" s="20" t="s">
        <v>177</v>
      </c>
      <c r="D507" s="22">
        <v>1</v>
      </c>
      <c r="E507" s="15" t="s">
        <v>178</v>
      </c>
      <c r="F507" s="23" t="str">
        <f>IF($B507="","",IFERROR(INDEX(ProdNome,MATCH($B507,ProdCod,0)),"Código não cadastrado"))</f>
        <v>Papel fotográfico A4 (pct 20)</v>
      </c>
      <c r="G507" s="24">
        <f>IF(OR($B507="",$D507=""),"",$D507*IFERROR(INDEX(ProdCusto,MATCH($B507,ProdCod,0)),0))</f>
        <v>12.5</v>
      </c>
      <c r="H507" s="25" t="str">
        <f>IF($A507="","",IF(OR($B507="",$C507="",$D507=""),"Preencher tudo",IF($F507="Código não cadastrado","Código inválido","OK")))</f>
        <v>OK</v>
      </c>
    </row>
    <row r="508" spans="1:8">
      <c r="A508" s="16">
        <v>46270</v>
      </c>
      <c r="B508" s="15" t="s">
        <v>161</v>
      </c>
      <c r="C508" s="20" t="s">
        <v>177</v>
      </c>
      <c r="D508" s="22">
        <v>1</v>
      </c>
      <c r="E508" s="15" t="s">
        <v>178</v>
      </c>
      <c r="F508" s="23" t="str">
        <f>IF($B508="","",IFERROR(INDEX(ProdNome,MATCH($B508,ProdCod,0)),"Código não cadastrado"))</f>
        <v>Pote plástico 500ml (pct 12)</v>
      </c>
      <c r="G508" s="24">
        <f>IF(OR($B508="",$D508=""),"",$D508*IFERROR(INDEX(ProdCusto,MATCH($B508,ProdCod,0)),0))</f>
        <v>11</v>
      </c>
      <c r="H508" s="25" t="str">
        <f>IF($A508="","",IF(OR($B508="",$C508="",$D508=""),"Preencher tudo",IF($F508="Código não cadastrado","Código inválido","OK")))</f>
        <v>OK</v>
      </c>
    </row>
    <row r="509" spans="1:8">
      <c r="A509" s="16">
        <v>46271</v>
      </c>
      <c r="B509" s="15" t="s">
        <v>113</v>
      </c>
      <c r="C509" s="20" t="s">
        <v>177</v>
      </c>
      <c r="D509" s="22">
        <v>5</v>
      </c>
      <c r="E509" s="15" t="s">
        <v>178</v>
      </c>
      <c r="F509" s="23" t="str">
        <f>IF($B509="","",IFERROR(INDEX(ProdNome,MATCH($B509,ProdCod,0)),"Código não cadastrado"))</f>
        <v>Tesoura escolar</v>
      </c>
      <c r="G509" s="24">
        <f>IF(OR($B509="",$D509=""),"",$D509*IFERROR(INDEX(ProdCusto,MATCH($B509,ProdCod,0)),0))</f>
        <v>14</v>
      </c>
      <c r="H509" s="25" t="str">
        <f>IF($A509="","",IF(OR($B509="",$C509="",$D509=""),"Preencher tudo",IF($F509="Código não cadastrado","Código inválido","OK")))</f>
        <v>OK</v>
      </c>
    </row>
    <row r="510" spans="1:8">
      <c r="A510" s="16">
        <v>46271</v>
      </c>
      <c r="B510" s="15" t="s">
        <v>125</v>
      </c>
      <c r="C510" s="20" t="s">
        <v>177</v>
      </c>
      <c r="D510" s="22">
        <v>5</v>
      </c>
      <c r="E510" s="15" t="s">
        <v>178</v>
      </c>
      <c r="F510" s="23" t="str">
        <f>IF($B510="","",IFERROR(INDEX(ProdNome,MATCH($B510,ProdCod,0)),"Código não cadastrado"))</f>
        <v>Papel toalha (pct 2)</v>
      </c>
      <c r="G510" s="24">
        <f>IF(OR($B510="",$D510=""),"",$D510*IFERROR(INDEX(ProdCusto,MATCH($B510,ProdCod,0)),0))</f>
        <v>29.5</v>
      </c>
      <c r="H510" s="25" t="str">
        <f>IF($A510="","",IF(OR($B510="",$C510="",$D510=""),"Preencher tudo",IF($F510="Código não cadastrado","Código inválido","OK")))</f>
        <v>OK</v>
      </c>
    </row>
    <row r="511" spans="1:8">
      <c r="A511" s="16">
        <v>46271</v>
      </c>
      <c r="B511" s="15" t="s">
        <v>135</v>
      </c>
      <c r="C511" s="20" t="s">
        <v>177</v>
      </c>
      <c r="D511" s="22">
        <v>2</v>
      </c>
      <c r="E511" s="15" t="s">
        <v>178</v>
      </c>
      <c r="F511" s="23" t="str">
        <f>IF($B511="","",IFERROR(INDEX(ProdNome,MATCH($B511,ProdCod,0)),"Código não cadastrado"))</f>
        <v>Marca-texto (cx 6)</v>
      </c>
      <c r="G511" s="24">
        <f>IF(OR($B511="",$D511=""),"",$D511*IFERROR(INDEX(ProdCusto,MATCH($B511,ProdCod,0)),0))</f>
        <v>19.6</v>
      </c>
      <c r="H511" s="25" t="str">
        <f>IF($A511="","",IF(OR($B511="",$C511="",$D511=""),"Preencher tudo",IF($F511="Código não cadastrado","Código inválido","OK")))</f>
        <v>OK</v>
      </c>
    </row>
    <row r="512" spans="1:8">
      <c r="A512" s="16">
        <v>46271</v>
      </c>
      <c r="B512" s="15" t="s">
        <v>139</v>
      </c>
      <c r="C512" s="20" t="s">
        <v>177</v>
      </c>
      <c r="D512" s="22">
        <v>1</v>
      </c>
      <c r="E512" s="15" t="s">
        <v>178</v>
      </c>
      <c r="F512" s="23" t="str">
        <f>IF($B512="","",IFERROR(INDEX(ProdNome,MATCH($B512,ProdCod,0)),"Código não cadastrado"))</f>
        <v>Calculadora de mesa</v>
      </c>
      <c r="G512" s="24">
        <f>IF(OR($B512="",$D512=""),"",$D512*IFERROR(INDEX(ProdCusto,MATCH($B512,ProdCod,0)),0))</f>
        <v>17</v>
      </c>
      <c r="H512" s="25" t="str">
        <f>IF($A512="","",IF(OR($B512="",$C512="",$D512=""),"Preencher tudo",IF($F512="Código não cadastrado","Código inválido","OK")))</f>
        <v>OK</v>
      </c>
    </row>
    <row r="513" spans="1:8">
      <c r="A513" s="16">
        <v>46271</v>
      </c>
      <c r="B513" s="15" t="s">
        <v>149</v>
      </c>
      <c r="C513" s="20" t="s">
        <v>177</v>
      </c>
      <c r="D513" s="22">
        <v>2</v>
      </c>
      <c r="E513" s="15" t="s">
        <v>178</v>
      </c>
      <c r="F513" s="23" t="str">
        <f>IF($B513="","",IFERROR(INDEX(ProdNome,MATCH($B513,ProdCod,0)),"Código não cadastrado"))</f>
        <v>Mouse pad</v>
      </c>
      <c r="G513" s="24">
        <f>IF(OR($B513="",$D513=""),"",$D513*IFERROR(INDEX(ProdCusto,MATCH($B513,ProdCod,0)),0))</f>
        <v>9.8</v>
      </c>
      <c r="H513" s="25" t="str">
        <f>IF($A513="","",IF(OR($B513="",$C513="",$D513=""),"Preencher tudo",IF($F513="Código não cadastrado","Código inválido","OK")))</f>
        <v>OK</v>
      </c>
    </row>
    <row r="514" spans="1:8">
      <c r="A514" s="16">
        <v>46271</v>
      </c>
      <c r="B514" s="15" t="s">
        <v>159</v>
      </c>
      <c r="C514" s="20" t="s">
        <v>177</v>
      </c>
      <c r="D514" s="22">
        <v>1</v>
      </c>
      <c r="E514" s="15" t="s">
        <v>178</v>
      </c>
      <c r="F514" s="23" t="str">
        <f>IF($B514="","",IFERROR(INDEX(ProdNome,MATCH($B514,ProdCod,0)),"Código não cadastrado"))</f>
        <v>Luva descartável (cx 100)</v>
      </c>
      <c r="G514" s="24">
        <f>IF(OR($B514="",$D514=""),"",$D514*IFERROR(INDEX(ProdCusto,MATCH($B514,ProdCod,0)),0))</f>
        <v>21</v>
      </c>
      <c r="H514" s="25" t="str">
        <f>IF($A514="","",IF(OR($B514="",$C514="",$D514=""),"Preencher tudo",IF($F514="Código não cadastrado","Código inválido","OK")))</f>
        <v>OK</v>
      </c>
    </row>
    <row r="515" spans="1:8">
      <c r="A515" s="16">
        <v>46272</v>
      </c>
      <c r="B515" s="15" t="s">
        <v>107</v>
      </c>
      <c r="C515" s="20" t="s">
        <v>177</v>
      </c>
      <c r="D515" s="22">
        <v>3</v>
      </c>
      <c r="E515" s="15" t="s">
        <v>178</v>
      </c>
      <c r="F515" s="23" t="str">
        <f>IF($B515="","",IFERROR(INDEX(ProdNome,MATCH($B515,ProdCod,0)),"Código não cadastrado"))</f>
        <v>Estojo duplo</v>
      </c>
      <c r="G515" s="24">
        <f>IF(OR($B515="",$D515=""),"",$D515*IFERROR(INDEX(ProdCusto,MATCH($B515,ProdCod,0)),0))</f>
        <v>25.5</v>
      </c>
      <c r="H515" s="25" t="str">
        <f>IF($A515="","",IF(OR($B515="",$C515="",$D515=""),"Preencher tudo",IF($F515="Código não cadastrado","Código inválido","OK")))</f>
        <v>OK</v>
      </c>
    </row>
    <row r="516" spans="1:8">
      <c r="A516" s="16">
        <v>46272</v>
      </c>
      <c r="B516" s="15" t="s">
        <v>117</v>
      </c>
      <c r="C516" s="20" t="s">
        <v>177</v>
      </c>
      <c r="D516" s="22">
        <v>1</v>
      </c>
      <c r="E516" s="15" t="s">
        <v>178</v>
      </c>
      <c r="F516" s="23" t="str">
        <f>IF($B516="","",IFERROR(INDEX(ProdNome,MATCH($B516,ProdCod,0)),"Código não cadastrado"))</f>
        <v>Caixa de papelão M (pct 10)</v>
      </c>
      <c r="G516" s="24">
        <f>IF(OR($B516="",$D516=""),"",$D516*IFERROR(INDEX(ProdCusto,MATCH($B516,ProdCod,0)),0))</f>
        <v>15</v>
      </c>
      <c r="H516" s="25" t="str">
        <f>IF($A516="","",IF(OR($B516="",$C516="",$D516=""),"Preencher tudo",IF($F516="Código não cadastrado","Código inválido","OK")))</f>
        <v>OK</v>
      </c>
    </row>
    <row r="517" spans="1:8">
      <c r="A517" s="16">
        <v>46272</v>
      </c>
      <c r="B517" s="15" t="s">
        <v>147</v>
      </c>
      <c r="C517" s="20" t="s">
        <v>177</v>
      </c>
      <c r="D517" s="22">
        <v>1</v>
      </c>
      <c r="E517" s="15" t="s">
        <v>178</v>
      </c>
      <c r="F517" s="23" t="str">
        <f>IF($B517="","",IFERROR(INDEX(ProdNome,MATCH($B517,ProdCod,0)),"Código não cadastrado"))</f>
        <v>Toner genérico preto</v>
      </c>
      <c r="G517" s="24">
        <f>IF(OR($B517="",$D517=""),"",$D517*IFERROR(INDEX(ProdCusto,MATCH($B517,ProdCod,0)),0))</f>
        <v>62</v>
      </c>
      <c r="H517" s="25" t="str">
        <f>IF($A517="","",IF(OR($B517="",$C517="",$D517=""),"Preencher tudo",IF($F517="Código não cadastrado","Código inválido","OK")))</f>
        <v>OK</v>
      </c>
    </row>
    <row r="518" spans="1:8">
      <c r="A518" s="16">
        <v>46274</v>
      </c>
      <c r="B518" s="15" t="s">
        <v>115</v>
      </c>
      <c r="C518" s="20" t="s">
        <v>177</v>
      </c>
      <c r="D518" s="22">
        <v>15</v>
      </c>
      <c r="E518" s="15" t="s">
        <v>178</v>
      </c>
      <c r="F518" s="23" t="str">
        <f>IF($B518="","",IFERROR(INDEX(ProdNome,MATCH($B518,ProdCod,0)),"Código não cadastrado"))</f>
        <v>Fita adesiva transparente</v>
      </c>
      <c r="G518" s="24">
        <f>IF(OR($B518="",$D518=""),"",$D518*IFERROR(INDEX(ProdCusto,MATCH($B518,ProdCod,0)),0))</f>
        <v>24</v>
      </c>
      <c r="H518" s="25" t="str">
        <f>IF($A518="","",IF(OR($B518="",$C518="",$D518=""),"Preencher tudo",IF($F518="Código não cadastrado","Código inválido","OK")))</f>
        <v>OK</v>
      </c>
    </row>
    <row r="519" spans="1:8">
      <c r="A519" s="16">
        <v>46274</v>
      </c>
      <c r="B519" s="15" t="s">
        <v>133</v>
      </c>
      <c r="C519" s="20" t="s">
        <v>177</v>
      </c>
      <c r="D519" s="22">
        <v>1</v>
      </c>
      <c r="E519" s="15" t="s">
        <v>178</v>
      </c>
      <c r="F519" s="23" t="str">
        <f>IF($B519="","",IFERROR(INDEX(ProdNome,MATCH($B519,ProdCod,0)),"Código não cadastrado"))</f>
        <v>Agenda 2027</v>
      </c>
      <c r="G519" s="24">
        <f>IF(OR($B519="",$D519=""),"",$D519*IFERROR(INDEX(ProdCusto,MATCH($B519,ProdCod,0)),0))</f>
        <v>14</v>
      </c>
      <c r="H519" s="25" t="str">
        <f>IF($A519="","",IF(OR($B519="",$C519="",$D519=""),"Preencher tudo",IF($F519="Código não cadastrado","Código inválido","OK")))</f>
        <v>OK</v>
      </c>
    </row>
    <row r="520" spans="1:8">
      <c r="A520" s="16">
        <v>46274</v>
      </c>
      <c r="B520" s="15" t="s">
        <v>141</v>
      </c>
      <c r="C520" s="20" t="s">
        <v>177</v>
      </c>
      <c r="D520" s="22">
        <v>1</v>
      </c>
      <c r="E520" s="15" t="s">
        <v>178</v>
      </c>
      <c r="F520" s="23" t="str">
        <f>IF($B520="","",IFERROR(INDEX(ProdNome,MATCH($B520,ProdCod,0)),"Código não cadastrado"))</f>
        <v>Fichário argolado</v>
      </c>
      <c r="G520" s="24">
        <f>IF(OR($B520="",$D520=""),"",$D520*IFERROR(INDEX(ProdCusto,MATCH($B520,ProdCod,0)),0))</f>
        <v>21</v>
      </c>
      <c r="H520" s="25" t="str">
        <f>IF($A520="","",IF(OR($B520="",$C520="",$D520=""),"Preencher tudo",IF($F520="Código não cadastrado","Código inválido","OK")))</f>
        <v>OK</v>
      </c>
    </row>
    <row r="521" spans="1:8">
      <c r="A521" s="16">
        <v>46274</v>
      </c>
      <c r="B521" s="15" t="s">
        <v>149</v>
      </c>
      <c r="C521" s="20" t="s">
        <v>177</v>
      </c>
      <c r="D521" s="22">
        <v>2</v>
      </c>
      <c r="E521" s="15" t="s">
        <v>178</v>
      </c>
      <c r="F521" s="23" t="str">
        <f>IF($B521="","",IFERROR(INDEX(ProdNome,MATCH($B521,ProdCod,0)),"Código não cadastrado"))</f>
        <v>Mouse pad</v>
      </c>
      <c r="G521" s="24">
        <f>IF(OR($B521="",$D521=""),"",$D521*IFERROR(INDEX(ProdCusto,MATCH($B521,ProdCod,0)),0))</f>
        <v>9.8</v>
      </c>
      <c r="H521" s="25" t="str">
        <f>IF($A521="","",IF(OR($B521="",$C521="",$D521=""),"Preencher tudo",IF($F521="Código não cadastrado","Código inválido","OK")))</f>
        <v>OK</v>
      </c>
    </row>
    <row r="522" spans="1:8">
      <c r="A522" s="16">
        <v>46274</v>
      </c>
      <c r="B522" s="15" t="s">
        <v>161</v>
      </c>
      <c r="C522" s="20" t="s">
        <v>177</v>
      </c>
      <c r="D522" s="22">
        <v>1</v>
      </c>
      <c r="E522" s="15" t="s">
        <v>178</v>
      </c>
      <c r="F522" s="23" t="str">
        <f>IF($B522="","",IFERROR(INDEX(ProdNome,MATCH($B522,ProdCod,0)),"Código não cadastrado"))</f>
        <v>Pote plástico 500ml (pct 12)</v>
      </c>
      <c r="G522" s="24">
        <f>IF(OR($B522="",$D522=""),"",$D522*IFERROR(INDEX(ProdCusto,MATCH($B522,ProdCod,0)),0))</f>
        <v>11</v>
      </c>
      <c r="H522" s="25" t="str">
        <f>IF($A522="","",IF(OR($B522="",$C522="",$D522=""),"Preencher tudo",IF($F522="Código não cadastrado","Código inválido","OK")))</f>
        <v>OK</v>
      </c>
    </row>
    <row r="523" spans="1:8">
      <c r="A523" s="16">
        <v>46274</v>
      </c>
      <c r="B523" s="15" t="s">
        <v>163</v>
      </c>
      <c r="C523" s="20" t="s">
        <v>177</v>
      </c>
      <c r="D523" s="22">
        <v>1</v>
      </c>
      <c r="E523" s="15" t="s">
        <v>178</v>
      </c>
      <c r="F523" s="23" t="str">
        <f>IF($B523="","",IFERROR(INDEX(ProdNome,MATCH($B523,ProdCod,0)),"Código não cadastrado"))</f>
        <v>Caixa organizadora</v>
      </c>
      <c r="G523" s="24">
        <f>IF(OR($B523="",$D523=""),"",$D523*IFERROR(INDEX(ProdCusto,MATCH($B523,ProdCod,0)),0))</f>
        <v>18</v>
      </c>
      <c r="H523" s="25" t="str">
        <f>IF($A523="","",IF(OR($B523="",$C523="",$D523=""),"Preencher tudo",IF($F523="Código não cadastrado","Código inválido","OK")))</f>
        <v>OK</v>
      </c>
    </row>
    <row r="524" spans="1:8">
      <c r="A524" s="16">
        <v>46274</v>
      </c>
      <c r="B524" s="15" t="s">
        <v>167</v>
      </c>
      <c r="C524" s="20" t="s">
        <v>177</v>
      </c>
      <c r="D524" s="22">
        <v>2</v>
      </c>
      <c r="E524" s="15" t="s">
        <v>178</v>
      </c>
      <c r="F524" s="23" t="str">
        <f>IF($B524="","",IFERROR(INDEX(ProdNome,MATCH($B524,ProdCod,0)),"Código não cadastrado"))</f>
        <v>Porta-retrato 10x15</v>
      </c>
      <c r="G524" s="24">
        <f>IF(OR($B524="",$D524=""),"",$D524*IFERROR(INDEX(ProdCusto,MATCH($B524,ProdCod,0)),0))</f>
        <v>12.4</v>
      </c>
      <c r="H524" s="25" t="str">
        <f>IF($A524="","",IF(OR($B524="",$C524="",$D524=""),"Preencher tudo",IF($F524="Código não cadastrado","Código inválido","OK")))</f>
        <v>OK</v>
      </c>
    </row>
    <row r="525" spans="1:8">
      <c r="A525" s="16">
        <v>46275</v>
      </c>
      <c r="B525" s="15" t="s">
        <v>89</v>
      </c>
      <c r="C525" s="20" t="s">
        <v>177</v>
      </c>
      <c r="D525" s="22">
        <v>42</v>
      </c>
      <c r="E525" s="15" t="s">
        <v>178</v>
      </c>
      <c r="F525" s="23" t="str">
        <f>IF($B525="","",IFERROR(INDEX(ProdNome,MATCH($B525,ProdCod,0)),"Código não cadastrado"))</f>
        <v>Caderno universitário 10 matérias</v>
      </c>
      <c r="G525" s="24">
        <f>IF(OR($B525="",$D525=""),"",$D525*IFERROR(INDEX(ProdCusto,MATCH($B525,ProdCod,0)),0))</f>
        <v>399</v>
      </c>
      <c r="H525" s="25" t="str">
        <f>IF($A525="","",IF(OR($B525="",$C525="",$D525=""),"Preencher tudo",IF($F525="Código não cadastrado","Código inválido","OK")))</f>
        <v>OK</v>
      </c>
    </row>
    <row r="526" spans="1:8">
      <c r="A526" s="16">
        <v>46275</v>
      </c>
      <c r="B526" s="15" t="s">
        <v>89</v>
      </c>
      <c r="C526" s="20" t="s">
        <v>179</v>
      </c>
      <c r="D526" s="22">
        <v>42</v>
      </c>
      <c r="E526" s="15" t="s">
        <v>330</v>
      </c>
      <c r="F526" s="23" t="str">
        <f>IF($B526="","",IFERROR(INDEX(ProdNome,MATCH($B526,ProdCod,0)),"Código não cadastrado"))</f>
        <v>Caderno universitário 10 matérias</v>
      </c>
      <c r="G526" s="24">
        <f>IF(OR($B526="",$D526=""),"",$D526*IFERROR(INDEX(ProdCusto,MATCH($B526,ProdCod,0)),0))</f>
        <v>399</v>
      </c>
      <c r="H526" s="25" t="str">
        <f>IF($A526="","",IF(OR($B526="",$C526="",$D526=""),"Preencher tudo",IF($F526="Código não cadastrado","Código inválido","OK")))</f>
        <v>OK</v>
      </c>
    </row>
    <row r="527" spans="1:8">
      <c r="A527" s="16">
        <v>46275</v>
      </c>
      <c r="B527" s="15" t="s">
        <v>91</v>
      </c>
      <c r="C527" s="20" t="s">
        <v>179</v>
      </c>
      <c r="D527" s="22">
        <v>13</v>
      </c>
      <c r="E527" s="15" t="s">
        <v>331</v>
      </c>
      <c r="F527" s="23" t="str">
        <f>IF($B527="","",IFERROR(INDEX(ProdNome,MATCH($B527,ProdCod,0)),"Código não cadastrado"))</f>
        <v>Caneta esferográfica azul (cx 50)</v>
      </c>
      <c r="G527" s="24">
        <f>IF(OR($B527="",$D527=""),"",$D527*IFERROR(INDEX(ProdCusto,MATCH($B527,ProdCod,0)),0))</f>
        <v>286</v>
      </c>
      <c r="H527" s="25" t="str">
        <f>IF($A527="","",IF(OR($B527="",$C527="",$D527=""),"Preencher tudo",IF($F527="Código não cadastrado","Código inválido","OK")))</f>
        <v>OK</v>
      </c>
    </row>
    <row r="528" spans="1:8">
      <c r="A528" s="16">
        <v>46275</v>
      </c>
      <c r="B528" s="15" t="s">
        <v>93</v>
      </c>
      <c r="C528" s="20" t="s">
        <v>177</v>
      </c>
      <c r="D528" s="22">
        <v>39</v>
      </c>
      <c r="E528" s="15" t="s">
        <v>178</v>
      </c>
      <c r="F528" s="23" t="str">
        <f>IF($B528="","",IFERROR(INDEX(ProdNome,MATCH($B528,ProdCod,0)),"Código não cadastrado"))</f>
        <v>Papel A4 75g (resma)</v>
      </c>
      <c r="G528" s="24">
        <f>IF(OR($B528="",$D528=""),"",$D528*IFERROR(INDEX(ProdCusto,MATCH($B528,ProdCod,0)),0))</f>
        <v>838.5</v>
      </c>
      <c r="H528" s="25" t="str">
        <f>IF($A528="","",IF(OR($B528="",$C528="",$D528=""),"Preencher tudo",IF($F528="Código não cadastrado","Código inválido","OK")))</f>
        <v>OK</v>
      </c>
    </row>
    <row r="529" spans="1:8">
      <c r="A529" s="16">
        <v>46275</v>
      </c>
      <c r="B529" s="15" t="s">
        <v>127</v>
      </c>
      <c r="C529" s="20" t="s">
        <v>177</v>
      </c>
      <c r="D529" s="22">
        <v>3</v>
      </c>
      <c r="E529" s="15" t="s">
        <v>178</v>
      </c>
      <c r="F529" s="23" t="str">
        <f>IF($B529="","",IFERROR(INDEX(ProdNome,MATCH($B529,ProdCod,0)),"Código não cadastrado"))</f>
        <v>Pilha AA (cartela 4)</v>
      </c>
      <c r="G529" s="24">
        <f>IF(OR($B529="",$D529=""),"",$D529*IFERROR(INDEX(ProdCusto,MATCH($B529,ProdCod,0)),0))</f>
        <v>22.5</v>
      </c>
      <c r="H529" s="25" t="str">
        <f>IF($A529="","",IF(OR($B529="",$C529="",$D529=""),"Preencher tudo",IF($F529="Código não cadastrado","Código inválido","OK")))</f>
        <v>OK</v>
      </c>
    </row>
    <row r="530" spans="1:8">
      <c r="A530" s="16">
        <v>46275</v>
      </c>
      <c r="B530" s="15" t="s">
        <v>129</v>
      </c>
      <c r="C530" s="20" t="s">
        <v>179</v>
      </c>
      <c r="D530" s="22">
        <v>6</v>
      </c>
      <c r="E530" s="15" t="s">
        <v>332</v>
      </c>
      <c r="F530" s="23" t="str">
        <f>IF($B530="","",IFERROR(INDEX(ProdNome,MATCH($B530,ProdCod,0)),"Código não cadastrado"))</f>
        <v>Caneca branca para sublimação</v>
      </c>
      <c r="G530" s="24">
        <f>IF(OR($B530="",$D530=""),"",$D530*IFERROR(INDEX(ProdCusto,MATCH($B530,ProdCod,0)),0))</f>
        <v>25.2</v>
      </c>
      <c r="H530" s="25" t="str">
        <f>IF($A530="","",IF(OR($B530="",$C530="",$D530=""),"Preencher tudo",IF($F530="Código não cadastrado","Código inválido","OK")))</f>
        <v>OK</v>
      </c>
    </row>
    <row r="531" spans="1:8">
      <c r="A531" s="16">
        <v>46275</v>
      </c>
      <c r="B531" s="15" t="s">
        <v>141</v>
      </c>
      <c r="C531" s="20" t="s">
        <v>179</v>
      </c>
      <c r="D531" s="22">
        <v>3</v>
      </c>
      <c r="E531" s="15" t="s">
        <v>333</v>
      </c>
      <c r="F531" s="23" t="str">
        <f>IF($B531="","",IFERROR(INDEX(ProdNome,MATCH($B531,ProdCod,0)),"Código não cadastrado"))</f>
        <v>Fichário argolado</v>
      </c>
      <c r="G531" s="24">
        <f>IF(OR($B531="",$D531=""),"",$D531*IFERROR(INDEX(ProdCusto,MATCH($B531,ProdCod,0)),0))</f>
        <v>63</v>
      </c>
      <c r="H531" s="25" t="str">
        <f>IF($A531="","",IF(OR($B531="",$C531="",$D531=""),"Preencher tudo",IF($F531="Código não cadastrado","Código inválido","OK")))</f>
        <v>OK</v>
      </c>
    </row>
    <row r="532" spans="1:8">
      <c r="A532" s="16">
        <v>46275</v>
      </c>
      <c r="B532" s="15" t="s">
        <v>149</v>
      </c>
      <c r="C532" s="20" t="s">
        <v>179</v>
      </c>
      <c r="D532" s="22">
        <v>4</v>
      </c>
      <c r="E532" s="15" t="s">
        <v>334</v>
      </c>
      <c r="F532" s="23" t="str">
        <f>IF($B532="","",IFERROR(INDEX(ProdNome,MATCH($B532,ProdCod,0)),"Código não cadastrado"))</f>
        <v>Mouse pad</v>
      </c>
      <c r="G532" s="24">
        <f>IF(OR($B532="",$D532=""),"",$D532*IFERROR(INDEX(ProdCusto,MATCH($B532,ProdCod,0)),0))</f>
        <v>19.6</v>
      </c>
      <c r="H532" s="25" t="str">
        <f>IF($A532="","",IF(OR($B532="",$C532="",$D532=""),"Preencher tudo",IF($F532="Código não cadastrado","Código inválido","OK")))</f>
        <v>OK</v>
      </c>
    </row>
    <row r="533" spans="1:8">
      <c r="A533" s="16">
        <v>46275</v>
      </c>
      <c r="B533" s="15" t="s">
        <v>157</v>
      </c>
      <c r="C533" s="20" t="s">
        <v>177</v>
      </c>
      <c r="D533" s="22">
        <v>1</v>
      </c>
      <c r="E533" s="15" t="s">
        <v>178</v>
      </c>
      <c r="F533" s="23" t="str">
        <f>IF($B533="","",IFERROR(INDEX(ProdNome,MATCH($B533,ProdCod,0)),"Código não cadastrado"))</f>
        <v>Papel fotográfico A4 (pct 20)</v>
      </c>
      <c r="G533" s="24">
        <f>IF(OR($B533="",$D533=""),"",$D533*IFERROR(INDEX(ProdCusto,MATCH($B533,ProdCod,0)),0))</f>
        <v>12.5</v>
      </c>
      <c r="H533" s="25" t="str">
        <f>IF($A533="","",IF(OR($B533="",$C533="",$D533=""),"Preencher tudo",IF($F533="Código não cadastrado","Código inválido","OK")))</f>
        <v>OK</v>
      </c>
    </row>
    <row r="534" spans="1:8">
      <c r="A534" s="16">
        <v>46275</v>
      </c>
      <c r="B534" s="15" t="s">
        <v>159</v>
      </c>
      <c r="C534" s="20" t="s">
        <v>177</v>
      </c>
      <c r="D534" s="22">
        <v>1</v>
      </c>
      <c r="E534" s="15" t="s">
        <v>178</v>
      </c>
      <c r="F534" s="23" t="str">
        <f>IF($B534="","",IFERROR(INDEX(ProdNome,MATCH($B534,ProdCod,0)),"Código não cadastrado"))</f>
        <v>Luva descartável (cx 100)</v>
      </c>
      <c r="G534" s="24">
        <f>IF(OR($B534="",$D534=""),"",$D534*IFERROR(INDEX(ProdCusto,MATCH($B534,ProdCod,0)),0))</f>
        <v>21</v>
      </c>
      <c r="H534" s="25" t="str">
        <f>IF($A534="","",IF(OR($B534="",$C534="",$D534=""),"Preencher tudo",IF($F534="Código não cadastrado","Código inválido","OK")))</f>
        <v>OK</v>
      </c>
    </row>
    <row r="535" spans="1:8">
      <c r="A535" s="16">
        <v>46276</v>
      </c>
      <c r="B535" s="15" t="s">
        <v>95</v>
      </c>
      <c r="C535" s="20" t="s">
        <v>177</v>
      </c>
      <c r="D535" s="22">
        <v>1</v>
      </c>
      <c r="E535" s="15" t="s">
        <v>178</v>
      </c>
      <c r="F535" s="23" t="str">
        <f>IF($B535="","",IFERROR(INDEX(ProdNome,MATCH($B535,ProdCod,0)),"Código não cadastrado"))</f>
        <v>Pasta suspensa (pct 25)</v>
      </c>
      <c r="G535" s="24">
        <f>IF(OR($B535="",$D535=""),"",$D535*IFERROR(INDEX(ProdCusto,MATCH($B535,ProdCod,0)),0))</f>
        <v>28</v>
      </c>
      <c r="H535" s="25" t="str">
        <f>IF($A535="","",IF(OR($B535="",$C535="",$D535=""),"Preencher tudo",IF($F535="Código não cadastrado","Código inválido","OK")))</f>
        <v>OK</v>
      </c>
    </row>
    <row r="536" spans="1:8">
      <c r="A536" s="16">
        <v>46276</v>
      </c>
      <c r="B536" s="15" t="s">
        <v>99</v>
      </c>
      <c r="C536" s="20" t="s">
        <v>177</v>
      </c>
      <c r="D536" s="22">
        <v>2</v>
      </c>
      <c r="E536" s="15" t="s">
        <v>178</v>
      </c>
      <c r="F536" s="23" t="str">
        <f>IF($B536="","",IFERROR(INDEX(ProdNome,MATCH($B536,ProdCod,0)),"Código não cadastrado"))</f>
        <v>Mouse óptico USB</v>
      </c>
      <c r="G536" s="24">
        <f>IF(OR($B536="",$D536=""),"",$D536*IFERROR(INDEX(ProdCusto,MATCH($B536,ProdCod,0)),0))</f>
        <v>22</v>
      </c>
      <c r="H536" s="25" t="str">
        <f>IF($A536="","",IF(OR($B536="",$C536="",$D536=""),"Preencher tudo",IF($F536="Código não cadastrado","Código inválido","OK")))</f>
        <v>OK</v>
      </c>
    </row>
    <row r="537" spans="1:8">
      <c r="A537" s="16">
        <v>46276</v>
      </c>
      <c r="B537" s="15" t="s">
        <v>101</v>
      </c>
      <c r="C537" s="20" t="s">
        <v>177</v>
      </c>
      <c r="D537" s="22">
        <v>9</v>
      </c>
      <c r="E537" s="15" t="s">
        <v>178</v>
      </c>
      <c r="F537" s="23" t="str">
        <f>IF($B537="","",IFERROR(INDEX(ProdNome,MATCH($B537,ProdCod,0)),"Código não cadastrado"))</f>
        <v>Pen drive 32GB</v>
      </c>
      <c r="G537" s="24">
        <f>IF(OR($B537="",$D537=""),"",$D537*IFERROR(INDEX(ProdCusto,MATCH($B537,ProdCod,0)),0))</f>
        <v>198</v>
      </c>
      <c r="H537" s="25" t="str">
        <f>IF($A537="","",IF(OR($B537="",$C537="",$D537=""),"Preencher tudo",IF($F537="Código não cadastrado","Código inválido","OK")))</f>
        <v>OK</v>
      </c>
    </row>
    <row r="538" spans="1:8">
      <c r="A538" s="16">
        <v>46276</v>
      </c>
      <c r="B538" s="15" t="s">
        <v>111</v>
      </c>
      <c r="C538" s="20" t="s">
        <v>177</v>
      </c>
      <c r="D538" s="22">
        <v>11</v>
      </c>
      <c r="E538" s="15" t="s">
        <v>178</v>
      </c>
      <c r="F538" s="23" t="str">
        <f>IF($B538="","",IFERROR(INDEX(ProdNome,MATCH($B538,ProdCod,0)),"Código não cadastrado"))</f>
        <v>Cola branca 90g</v>
      </c>
      <c r="G538" s="24">
        <f>IF(OR($B538="",$D538=""),"",$D538*IFERROR(INDEX(ProdCusto,MATCH($B538,ProdCod,0)),0))</f>
        <v>20.9</v>
      </c>
      <c r="H538" s="25" t="str">
        <f>IF($A538="","",IF(OR($B538="",$C538="",$D538=""),"Preencher tudo",IF($F538="Código não cadastrado","Código inválido","OK")))</f>
        <v>OK</v>
      </c>
    </row>
    <row r="539" spans="1:8">
      <c r="A539" s="16">
        <v>46276</v>
      </c>
      <c r="B539" s="15" t="s">
        <v>111</v>
      </c>
      <c r="C539" s="20" t="s">
        <v>179</v>
      </c>
      <c r="D539" s="22">
        <v>11</v>
      </c>
      <c r="E539" s="15" t="s">
        <v>335</v>
      </c>
      <c r="F539" s="23" t="str">
        <f>IF($B539="","",IFERROR(INDEX(ProdNome,MATCH($B539,ProdCod,0)),"Código não cadastrado"))</f>
        <v>Cola branca 90g</v>
      </c>
      <c r="G539" s="24">
        <f>IF(OR($B539="",$D539=""),"",$D539*IFERROR(INDEX(ProdCusto,MATCH($B539,ProdCod,0)),0))</f>
        <v>20.9</v>
      </c>
      <c r="H539" s="25" t="str">
        <f>IF($A539="","",IF(OR($B539="",$C539="",$D539=""),"Preencher tudo",IF($F539="Código não cadastrado","Código inválido","OK")))</f>
        <v>OK</v>
      </c>
    </row>
    <row r="540" spans="1:8">
      <c r="A540" s="16">
        <v>46276</v>
      </c>
      <c r="B540" s="15" t="s">
        <v>113</v>
      </c>
      <c r="C540" s="20" t="s">
        <v>177</v>
      </c>
      <c r="D540" s="22">
        <v>5</v>
      </c>
      <c r="E540" s="15" t="s">
        <v>178</v>
      </c>
      <c r="F540" s="23" t="str">
        <f>IF($B540="","",IFERROR(INDEX(ProdNome,MATCH($B540,ProdCod,0)),"Código não cadastrado"))</f>
        <v>Tesoura escolar</v>
      </c>
      <c r="G540" s="24">
        <f>IF(OR($B540="",$D540=""),"",$D540*IFERROR(INDEX(ProdCusto,MATCH($B540,ProdCod,0)),0))</f>
        <v>14</v>
      </c>
      <c r="H540" s="25" t="str">
        <f>IF($A540="","",IF(OR($B540="",$C540="",$D540=""),"Preencher tudo",IF($F540="Código não cadastrado","Código inválido","OK")))</f>
        <v>OK</v>
      </c>
    </row>
    <row r="541" spans="1:8">
      <c r="A541" s="16">
        <v>46276</v>
      </c>
      <c r="B541" s="15" t="s">
        <v>113</v>
      </c>
      <c r="C541" s="20" t="s">
        <v>179</v>
      </c>
      <c r="D541" s="22">
        <v>10</v>
      </c>
      <c r="E541" s="15" t="s">
        <v>336</v>
      </c>
      <c r="F541" s="23" t="str">
        <f>IF($B541="","",IFERROR(INDEX(ProdNome,MATCH($B541,ProdCod,0)),"Código não cadastrado"))</f>
        <v>Tesoura escolar</v>
      </c>
      <c r="G541" s="24">
        <f>IF(OR($B541="",$D541=""),"",$D541*IFERROR(INDEX(ProdCusto,MATCH($B541,ProdCod,0)),0))</f>
        <v>28</v>
      </c>
      <c r="H541" s="25" t="str">
        <f>IF($A541="","",IF(OR($B541="",$C541="",$D541=""),"Preencher tudo",IF($F541="Código não cadastrado","Código inválido","OK")))</f>
        <v>OK</v>
      </c>
    </row>
    <row r="542" spans="1:8">
      <c r="A542" s="16">
        <v>46276</v>
      </c>
      <c r="B542" s="15" t="s">
        <v>139</v>
      </c>
      <c r="C542" s="20" t="s">
        <v>177</v>
      </c>
      <c r="D542" s="22">
        <v>1</v>
      </c>
      <c r="E542" s="15" t="s">
        <v>178</v>
      </c>
      <c r="F542" s="23" t="str">
        <f>IF($B542="","",IFERROR(INDEX(ProdNome,MATCH($B542,ProdCod,0)),"Código não cadastrado"))</f>
        <v>Calculadora de mesa</v>
      </c>
      <c r="G542" s="24">
        <f>IF(OR($B542="",$D542=""),"",$D542*IFERROR(INDEX(ProdCusto,MATCH($B542,ProdCod,0)),0))</f>
        <v>17</v>
      </c>
      <c r="H542" s="25" t="str">
        <f>IF($A542="","",IF(OR($B542="",$C542="",$D542=""),"Preencher tudo",IF($F542="Código não cadastrado","Código inválido","OK")))</f>
        <v>OK</v>
      </c>
    </row>
    <row r="543" spans="1:8">
      <c r="A543" s="16">
        <v>46276</v>
      </c>
      <c r="B543" s="15" t="s">
        <v>143</v>
      </c>
      <c r="C543" s="20" t="s">
        <v>179</v>
      </c>
      <c r="D543" s="22">
        <v>17</v>
      </c>
      <c r="E543" s="15" t="s">
        <v>337</v>
      </c>
      <c r="F543" s="23" t="str">
        <f>IF($B543="","",IFERROR(INDEX(ProdNome,MATCH($B543,ProdCod,0)),"Código não cadastrado"))</f>
        <v>Régua 30cm</v>
      </c>
      <c r="G543" s="24">
        <f>IF(OR($B543="",$D543=""),"",$D543*IFERROR(INDEX(ProdCusto,MATCH($B543,ProdCod,0)),0))</f>
        <v>15.3</v>
      </c>
      <c r="H543" s="25" t="str">
        <f>IF($A543="","",IF(OR($B543="",$C543="",$D543=""),"Preencher tudo",IF($F543="Código não cadastrado","Código inválido","OK")))</f>
        <v>OK</v>
      </c>
    </row>
    <row r="544" spans="1:8">
      <c r="A544" s="16">
        <v>46277</v>
      </c>
      <c r="B544" s="15" t="s">
        <v>105</v>
      </c>
      <c r="C544" s="20" t="s">
        <v>177</v>
      </c>
      <c r="D544" s="22">
        <v>4</v>
      </c>
      <c r="E544" s="15" t="s">
        <v>178</v>
      </c>
      <c r="F544" s="23" t="str">
        <f>IF($B544="","",IFERROR(INDEX(ProdNome,MATCH($B544,ProdCod,0)),"Código não cadastrado"))</f>
        <v>Mochila escolar 20L</v>
      </c>
      <c r="G544" s="24">
        <f>IF(OR($B544="",$D544=""),"",$D544*IFERROR(INDEX(ProdCusto,MATCH($B544,ProdCod,0)),0))</f>
        <v>184</v>
      </c>
      <c r="H544" s="25" t="str">
        <f>IF($A544="","",IF(OR($B544="",$C544="",$D544=""),"Preencher tudo",IF($F544="Código não cadastrado","Código inválido","OK")))</f>
        <v>OK</v>
      </c>
    </row>
    <row r="545" spans="1:8">
      <c r="A545" s="16">
        <v>46277</v>
      </c>
      <c r="B545" s="15" t="s">
        <v>107</v>
      </c>
      <c r="C545" s="20" t="s">
        <v>177</v>
      </c>
      <c r="D545" s="22">
        <v>1</v>
      </c>
      <c r="E545" s="15" t="s">
        <v>178</v>
      </c>
      <c r="F545" s="23" t="str">
        <f>IF($B545="","",IFERROR(INDEX(ProdNome,MATCH($B545,ProdCod,0)),"Código não cadastrado"))</f>
        <v>Estojo duplo</v>
      </c>
      <c r="G545" s="24">
        <f>IF(OR($B545="",$D545=""),"",$D545*IFERROR(INDEX(ProdCusto,MATCH($B545,ProdCod,0)),0))</f>
        <v>8.5</v>
      </c>
      <c r="H545" s="25" t="str">
        <f>IF($A545="","",IF(OR($B545="",$C545="",$D545=""),"Preencher tudo",IF($F545="Código não cadastrado","Código inválido","OK")))</f>
        <v>OK</v>
      </c>
    </row>
    <row r="546" spans="1:8">
      <c r="A546" s="16">
        <v>46277</v>
      </c>
      <c r="B546" s="15" t="s">
        <v>115</v>
      </c>
      <c r="C546" s="20" t="s">
        <v>179</v>
      </c>
      <c r="D546" s="22">
        <v>15</v>
      </c>
      <c r="E546" s="15" t="s">
        <v>338</v>
      </c>
      <c r="F546" s="23" t="str">
        <f>IF($B546="","",IFERROR(INDEX(ProdNome,MATCH($B546,ProdCod,0)),"Código não cadastrado"))</f>
        <v>Fita adesiva transparente</v>
      </c>
      <c r="G546" s="24">
        <f>IF(OR($B546="",$D546=""),"",$D546*IFERROR(INDEX(ProdCusto,MATCH($B546,ProdCod,0)),0))</f>
        <v>24</v>
      </c>
      <c r="H546" s="25" t="str">
        <f>IF($A546="","",IF(OR($B546="",$C546="",$D546=""),"Preencher tudo",IF($F546="Código não cadastrado","Código inválido","OK")))</f>
        <v>OK</v>
      </c>
    </row>
    <row r="547" spans="1:8">
      <c r="A547" s="16">
        <v>46277</v>
      </c>
      <c r="B547" s="15" t="s">
        <v>117</v>
      </c>
      <c r="C547" s="20" t="s">
        <v>177</v>
      </c>
      <c r="D547" s="22">
        <v>1</v>
      </c>
      <c r="E547" s="15" t="s">
        <v>178</v>
      </c>
      <c r="F547" s="23" t="str">
        <f>IF($B547="","",IFERROR(INDEX(ProdNome,MATCH($B547,ProdCod,0)),"Código não cadastrado"))</f>
        <v>Caixa de papelão M (pct 10)</v>
      </c>
      <c r="G547" s="24">
        <f>IF(OR($B547="",$D547=""),"",$D547*IFERROR(INDEX(ProdCusto,MATCH($B547,ProdCod,0)),0))</f>
        <v>15</v>
      </c>
      <c r="H547" s="25" t="str">
        <f>IF($A547="","",IF(OR($B547="",$C547="",$D547=""),"Preencher tudo",IF($F547="Código não cadastrado","Código inválido","OK")))</f>
        <v>OK</v>
      </c>
    </row>
    <row r="548" spans="1:8">
      <c r="A548" s="16">
        <v>46277</v>
      </c>
      <c r="B548" s="15" t="s">
        <v>119</v>
      </c>
      <c r="C548" s="20" t="s">
        <v>177</v>
      </c>
      <c r="D548" s="22">
        <v>1</v>
      </c>
      <c r="E548" s="15" t="s">
        <v>178</v>
      </c>
      <c r="F548" s="23" t="str">
        <f>IF($B548="","",IFERROR(INDEX(ProdNome,MATCH($B548,ProdCod,0)),"Código não cadastrado"))</f>
        <v>Plástico bolha (rolo 50m)</v>
      </c>
      <c r="G548" s="24">
        <f>IF(OR($B548="",$D548=""),"",$D548*IFERROR(INDEX(ProdCusto,MATCH($B548,ProdCod,0)),0))</f>
        <v>32</v>
      </c>
      <c r="H548" s="25" t="str">
        <f>IF($A548="","",IF(OR($B548="",$C548="",$D548=""),"Preencher tudo",IF($F548="Código não cadastrado","Código inválido","OK")))</f>
        <v>OK</v>
      </c>
    </row>
    <row r="549" spans="1:8">
      <c r="A549" s="16">
        <v>46277</v>
      </c>
      <c r="B549" s="15" t="s">
        <v>125</v>
      </c>
      <c r="C549" s="20" t="s">
        <v>177</v>
      </c>
      <c r="D549" s="22">
        <v>4</v>
      </c>
      <c r="E549" s="15" t="s">
        <v>178</v>
      </c>
      <c r="F549" s="23" t="str">
        <f>IF($B549="","",IFERROR(INDEX(ProdNome,MATCH($B549,ProdCod,0)),"Código não cadastrado"))</f>
        <v>Papel toalha (pct 2)</v>
      </c>
      <c r="G549" s="24">
        <f>IF(OR($B549="",$D549=""),"",$D549*IFERROR(INDEX(ProdCusto,MATCH($B549,ProdCod,0)),0))</f>
        <v>23.6</v>
      </c>
      <c r="H549" s="25" t="str">
        <f>IF($A549="","",IF(OR($B549="",$C549="",$D549=""),"Preencher tudo",IF($F549="Código não cadastrado","Código inválido","OK")))</f>
        <v>OK</v>
      </c>
    </row>
    <row r="550" spans="1:8">
      <c r="A550" s="16">
        <v>46277</v>
      </c>
      <c r="B550" s="15" t="s">
        <v>125</v>
      </c>
      <c r="C550" s="20" t="s">
        <v>179</v>
      </c>
      <c r="D550" s="22">
        <v>9</v>
      </c>
      <c r="E550" s="15" t="s">
        <v>339</v>
      </c>
      <c r="F550" s="23" t="str">
        <f>IF($B550="","",IFERROR(INDEX(ProdNome,MATCH($B550,ProdCod,0)),"Código não cadastrado"))</f>
        <v>Papel toalha (pct 2)</v>
      </c>
      <c r="G550" s="24">
        <f>IF(OR($B550="",$D550=""),"",$D550*IFERROR(INDEX(ProdCusto,MATCH($B550,ProdCod,0)),0))</f>
        <v>53.1</v>
      </c>
      <c r="H550" s="25" t="str">
        <f>IF($A550="","",IF(OR($B550="",$C550="",$D550=""),"Preencher tudo",IF($F550="Código não cadastrado","Código inválido","OK")))</f>
        <v>OK</v>
      </c>
    </row>
    <row r="551" spans="1:8">
      <c r="A551" s="16">
        <v>46277</v>
      </c>
      <c r="B551" s="15" t="s">
        <v>135</v>
      </c>
      <c r="C551" s="20" t="s">
        <v>177</v>
      </c>
      <c r="D551" s="22">
        <v>2</v>
      </c>
      <c r="E551" s="15" t="s">
        <v>178</v>
      </c>
      <c r="F551" s="23" t="str">
        <f>IF($B551="","",IFERROR(INDEX(ProdNome,MATCH($B551,ProdCod,0)),"Código não cadastrado"))</f>
        <v>Marca-texto (cx 6)</v>
      </c>
      <c r="G551" s="24">
        <f>IF(OR($B551="",$D551=""),"",$D551*IFERROR(INDEX(ProdCusto,MATCH($B551,ProdCod,0)),0))</f>
        <v>19.6</v>
      </c>
      <c r="H551" s="25" t="str">
        <f>IF($A551="","",IF(OR($B551="",$C551="",$D551=""),"Preencher tudo",IF($F551="Código não cadastrado","Código inválido","OK")))</f>
        <v>OK</v>
      </c>
    </row>
    <row r="552" spans="1:8">
      <c r="A552" s="16">
        <v>46277</v>
      </c>
      <c r="B552" s="15" t="s">
        <v>155</v>
      </c>
      <c r="C552" s="20" t="s">
        <v>177</v>
      </c>
      <c r="D552" s="22">
        <v>2</v>
      </c>
      <c r="E552" s="15" t="s">
        <v>178</v>
      </c>
      <c r="F552" s="23" t="str">
        <f>IF($B552="","",IFERROR(INDEX(ProdNome,MATCH($B552,ProdCod,0)),"Código não cadastrado"))</f>
        <v>Tinta guache (kit 6)</v>
      </c>
      <c r="G552" s="24">
        <f>IF(OR($B552="",$D552=""),"",$D552*IFERROR(INDEX(ProdCusto,MATCH($B552,ProdCod,0)),0))</f>
        <v>17.4</v>
      </c>
      <c r="H552" s="25" t="str">
        <f>IF($A552="","",IF(OR($B552="",$C552="",$D552=""),"Preencher tudo",IF($F552="Código não cadastrado","Código inválido","OK")))</f>
        <v>OK</v>
      </c>
    </row>
    <row r="553" spans="1:8">
      <c r="A553" s="16">
        <v>46278</v>
      </c>
      <c r="B553" s="15" t="s">
        <v>103</v>
      </c>
      <c r="C553" s="20" t="s">
        <v>177</v>
      </c>
      <c r="D553" s="22">
        <v>11</v>
      </c>
      <c r="E553" s="15" t="s">
        <v>178</v>
      </c>
      <c r="F553" s="23" t="str">
        <f>IF($B553="","",IFERROR(INDEX(ProdNome,MATCH($B553,ProdCod,0)),"Código não cadastrado"))</f>
        <v>Cabo USB-C 1m</v>
      </c>
      <c r="G553" s="24">
        <f>IF(OR($B553="",$D553=""),"",$D553*IFERROR(INDEX(ProdCusto,MATCH($B553,ProdCod,0)),0))</f>
        <v>71.5</v>
      </c>
      <c r="H553" s="25" t="str">
        <f>IF($A553="","",IF(OR($B553="",$C553="",$D553=""),"Preencher tudo",IF($F553="Código não cadastrado","Código inválido","OK")))</f>
        <v>OK</v>
      </c>
    </row>
    <row r="554" spans="1:8">
      <c r="A554" s="16">
        <v>46278</v>
      </c>
      <c r="B554" s="15" t="s">
        <v>121</v>
      </c>
      <c r="C554" s="20" t="s">
        <v>177</v>
      </c>
      <c r="D554" s="22">
        <v>1</v>
      </c>
      <c r="E554" s="15" t="s">
        <v>178</v>
      </c>
      <c r="F554" s="23" t="str">
        <f>IF($B554="","",IFERROR(INDEX(ProdNome,MATCH($B554,ProdCod,0)),"Código não cadastrado"))</f>
        <v>Sacola kraft G (pct 50)</v>
      </c>
      <c r="G554" s="24">
        <f>IF(OR($B554="",$D554=""),"",$D554*IFERROR(INDEX(ProdCusto,MATCH($B554,ProdCod,0)),0))</f>
        <v>24</v>
      </c>
      <c r="H554" s="25" t="str">
        <f>IF($A554="","",IF(OR($B554="",$C554="",$D554=""),"Preencher tudo",IF($F554="Código não cadastrado","Código inválido","OK")))</f>
        <v>OK</v>
      </c>
    </row>
    <row r="555" spans="1:8">
      <c r="A555" s="16">
        <v>46278</v>
      </c>
      <c r="B555" s="15" t="s">
        <v>129</v>
      </c>
      <c r="C555" s="20" t="s">
        <v>177</v>
      </c>
      <c r="D555" s="22">
        <v>6</v>
      </c>
      <c r="E555" s="15" t="s">
        <v>178</v>
      </c>
      <c r="F555" s="23" t="str">
        <f>IF($B555="","",IFERROR(INDEX(ProdNome,MATCH($B555,ProdCod,0)),"Código não cadastrado"))</f>
        <v>Caneca branca para sublimação</v>
      </c>
      <c r="G555" s="24">
        <f>IF(OR($B555="",$D555=""),"",$D555*IFERROR(INDEX(ProdCusto,MATCH($B555,ProdCod,0)),0))</f>
        <v>25.2</v>
      </c>
      <c r="H555" s="25" t="str">
        <f>IF($A555="","",IF(OR($B555="",$C555="",$D555=""),"Preencher tudo",IF($F555="Código não cadastrado","Código inválido","OK")))</f>
        <v>OK</v>
      </c>
    </row>
    <row r="556" spans="1:8">
      <c r="A556" s="16">
        <v>46278</v>
      </c>
      <c r="B556" s="15" t="s">
        <v>143</v>
      </c>
      <c r="C556" s="20" t="s">
        <v>177</v>
      </c>
      <c r="D556" s="22">
        <v>10</v>
      </c>
      <c r="E556" s="15" t="s">
        <v>178</v>
      </c>
      <c r="F556" s="23" t="str">
        <f>IF($B556="","",IFERROR(INDEX(ProdNome,MATCH($B556,ProdCod,0)),"Código não cadastrado"))</f>
        <v>Régua 30cm</v>
      </c>
      <c r="G556" s="24">
        <f>IF(OR($B556="",$D556=""),"",$D556*IFERROR(INDEX(ProdCusto,MATCH($B556,ProdCod,0)),0))</f>
        <v>9</v>
      </c>
      <c r="H556" s="25" t="str">
        <f>IF($A556="","",IF(OR($B556="",$C556="",$D556=""),"Preencher tudo",IF($F556="Código não cadastrado","Código inválido","OK")))</f>
        <v>OK</v>
      </c>
    </row>
    <row r="557" spans="1:8">
      <c r="A557" s="16">
        <v>46278</v>
      </c>
      <c r="B557" s="15" t="s">
        <v>153</v>
      </c>
      <c r="C557" s="20" t="s">
        <v>177</v>
      </c>
      <c r="D557" s="22">
        <v>1</v>
      </c>
      <c r="E557" s="15" t="s">
        <v>178</v>
      </c>
      <c r="F557" s="23" t="str">
        <f>IF($B557="","",IFERROR(INDEX(ProdNome,MATCH($B557,ProdCod,0)),"Código não cadastrado"))</f>
        <v>Envelope A4 (pct 50)</v>
      </c>
      <c r="G557" s="24">
        <f>IF(OR($B557="",$D557=""),"",$D557*IFERROR(INDEX(ProdCusto,MATCH($B557,ProdCod,0)),0))</f>
        <v>14</v>
      </c>
      <c r="H557" s="25" t="str">
        <f>IF($A557="","",IF(OR($B557="",$C557="",$D557=""),"Preencher tudo",IF($F557="Código não cadastrado","Código inválido","OK")))</f>
        <v>OK</v>
      </c>
    </row>
    <row r="558" spans="1:8">
      <c r="A558" s="16">
        <v>46279</v>
      </c>
      <c r="B558" s="15" t="s">
        <v>91</v>
      </c>
      <c r="C558" s="20" t="s">
        <v>177</v>
      </c>
      <c r="D558" s="22">
        <v>13</v>
      </c>
      <c r="E558" s="15" t="s">
        <v>178</v>
      </c>
      <c r="F558" s="23" t="str">
        <f>IF($B558="","",IFERROR(INDEX(ProdNome,MATCH($B558,ProdCod,0)),"Código não cadastrado"))</f>
        <v>Caneta esferográfica azul (cx 50)</v>
      </c>
      <c r="G558" s="24">
        <f>IF(OR($B558="",$D558=""),"",$D558*IFERROR(INDEX(ProdCusto,MATCH($B558,ProdCod,0)),0))</f>
        <v>286</v>
      </c>
      <c r="H558" s="25" t="str">
        <f>IF($A558="","",IF(OR($B558="",$C558="",$D558=""),"Preencher tudo",IF($F558="Código não cadastrado","Código inválido","OK")))</f>
        <v>OK</v>
      </c>
    </row>
    <row r="559" spans="1:8">
      <c r="A559" s="16">
        <v>46279</v>
      </c>
      <c r="B559" s="15" t="s">
        <v>131</v>
      </c>
      <c r="C559" s="20" t="s">
        <v>177</v>
      </c>
      <c r="D559" s="22">
        <v>2</v>
      </c>
      <c r="E559" s="15" t="s">
        <v>178</v>
      </c>
      <c r="F559" s="23" t="str">
        <f>IF($B559="","",IFERROR(INDEX(ProdNome,MATCH($B559,ProdCod,0)),"Código não cadastrado"))</f>
        <v>Garrafa squeeze 600ml</v>
      </c>
      <c r="G559" s="24">
        <f>IF(OR($B559="",$D559=""),"",$D559*IFERROR(INDEX(ProdCusto,MATCH($B559,ProdCod,0)),0))</f>
        <v>19.8</v>
      </c>
      <c r="H559" s="25" t="str">
        <f>IF($A559="","",IF(OR($B559="",$C559="",$D559=""),"Preencher tudo",IF($F559="Código não cadastrado","Código inválido","OK")))</f>
        <v>OK</v>
      </c>
    </row>
    <row r="560" spans="1:8">
      <c r="A560" s="16">
        <v>46281</v>
      </c>
      <c r="B560" s="15" t="s">
        <v>89</v>
      </c>
      <c r="C560" s="20" t="s">
        <v>177</v>
      </c>
      <c r="D560" s="22">
        <v>34</v>
      </c>
      <c r="E560" s="15" t="s">
        <v>178</v>
      </c>
      <c r="F560" s="23" t="str">
        <f>IF($B560="","",IFERROR(INDEX(ProdNome,MATCH($B560,ProdCod,0)),"Código não cadastrado"))</f>
        <v>Caderno universitário 10 matérias</v>
      </c>
      <c r="G560" s="24">
        <f>IF(OR($B560="",$D560=""),"",$D560*IFERROR(INDEX(ProdCusto,MATCH($B560,ProdCod,0)),0))</f>
        <v>323</v>
      </c>
      <c r="H560" s="25" t="str">
        <f>IF($A560="","",IF(OR($B560="",$C560="",$D560=""),"Preencher tudo",IF($F560="Código não cadastrado","Código inválido","OK")))</f>
        <v>OK</v>
      </c>
    </row>
    <row r="561" spans="1:8">
      <c r="A561" s="16">
        <v>46281</v>
      </c>
      <c r="B561" s="15" t="s">
        <v>103</v>
      </c>
      <c r="C561" s="20" t="s">
        <v>177</v>
      </c>
      <c r="D561" s="22">
        <v>4</v>
      </c>
      <c r="E561" s="15" t="s">
        <v>178</v>
      </c>
      <c r="F561" s="23" t="str">
        <f>IF($B561="","",IFERROR(INDEX(ProdNome,MATCH($B561,ProdCod,0)),"Código não cadastrado"))</f>
        <v>Cabo USB-C 1m</v>
      </c>
      <c r="G561" s="24">
        <f>IF(OR($B561="",$D561=""),"",$D561*IFERROR(INDEX(ProdCusto,MATCH($B561,ProdCod,0)),0))</f>
        <v>26</v>
      </c>
      <c r="H561" s="25" t="str">
        <f>IF($A561="","",IF(OR($B561="",$C561="",$D561=""),"Preencher tudo",IF($F561="Código não cadastrado","Código inválido","OK")))</f>
        <v>OK</v>
      </c>
    </row>
    <row r="562" spans="1:8">
      <c r="A562" s="16">
        <v>46282</v>
      </c>
      <c r="B562" s="15" t="s">
        <v>93</v>
      </c>
      <c r="C562" s="20" t="s">
        <v>179</v>
      </c>
      <c r="D562" s="22">
        <v>90</v>
      </c>
      <c r="E562" s="15" t="s">
        <v>340</v>
      </c>
      <c r="F562" s="23" t="str">
        <f>IF($B562="","",IFERROR(INDEX(ProdNome,MATCH($B562,ProdCod,0)),"Código não cadastrado"))</f>
        <v>Papel A4 75g (resma)</v>
      </c>
      <c r="G562" s="24">
        <f>IF(OR($B562="",$D562=""),"",$D562*IFERROR(INDEX(ProdCusto,MATCH($B562,ProdCod,0)),0))</f>
        <v>1935</v>
      </c>
      <c r="H562" s="25" t="str">
        <f>IF($A562="","",IF(OR($B562="",$C562="",$D562=""),"Preencher tudo",IF($F562="Código não cadastrado","Código inválido","OK")))</f>
        <v>OK</v>
      </c>
    </row>
    <row r="563" spans="1:8">
      <c r="A563" s="16">
        <v>46282</v>
      </c>
      <c r="B563" s="15" t="s">
        <v>99</v>
      </c>
      <c r="C563" s="20" t="s">
        <v>179</v>
      </c>
      <c r="D563" s="22">
        <v>4</v>
      </c>
      <c r="E563" s="15" t="s">
        <v>341</v>
      </c>
      <c r="F563" s="23" t="str">
        <f>IF($B563="","",IFERROR(INDEX(ProdNome,MATCH($B563,ProdCod,0)),"Código não cadastrado"))</f>
        <v>Mouse óptico USB</v>
      </c>
      <c r="G563" s="24">
        <f>IF(OR($B563="",$D563=""),"",$D563*IFERROR(INDEX(ProdCusto,MATCH($B563,ProdCod,0)),0))</f>
        <v>44</v>
      </c>
      <c r="H563" s="25" t="str">
        <f>IF($A563="","",IF(OR($B563="",$C563="",$D563=""),"Preencher tudo",IF($F563="Código não cadastrado","Código inválido","OK")))</f>
        <v>OK</v>
      </c>
    </row>
    <row r="564" spans="1:8">
      <c r="A564" s="16">
        <v>46282</v>
      </c>
      <c r="B564" s="15" t="s">
        <v>111</v>
      </c>
      <c r="C564" s="20" t="s">
        <v>177</v>
      </c>
      <c r="D564" s="22">
        <v>8</v>
      </c>
      <c r="E564" s="15" t="s">
        <v>178</v>
      </c>
      <c r="F564" s="23" t="str">
        <f>IF($B564="","",IFERROR(INDEX(ProdNome,MATCH($B564,ProdCod,0)),"Código não cadastrado"))</f>
        <v>Cola branca 90g</v>
      </c>
      <c r="G564" s="24">
        <f>IF(OR($B564="",$D564=""),"",$D564*IFERROR(INDEX(ProdCusto,MATCH($B564,ProdCod,0)),0))</f>
        <v>15.2</v>
      </c>
      <c r="H564" s="25" t="str">
        <f>IF($A564="","",IF(OR($B564="",$C564="",$D564=""),"Preencher tudo",IF($F564="Código não cadastrado","Código inválido","OK")))</f>
        <v>OK</v>
      </c>
    </row>
    <row r="565" spans="1:8">
      <c r="A565" s="16">
        <v>46282</v>
      </c>
      <c r="B565" s="15" t="s">
        <v>113</v>
      </c>
      <c r="C565" s="20" t="s">
        <v>177</v>
      </c>
      <c r="D565" s="22">
        <v>6</v>
      </c>
      <c r="E565" s="15" t="s">
        <v>178</v>
      </c>
      <c r="F565" s="23" t="str">
        <f>IF($B565="","",IFERROR(INDEX(ProdNome,MATCH($B565,ProdCod,0)),"Código não cadastrado"))</f>
        <v>Tesoura escolar</v>
      </c>
      <c r="G565" s="24">
        <f>IF(OR($B565="",$D565=""),"",$D565*IFERROR(INDEX(ProdCusto,MATCH($B565,ProdCod,0)),0))</f>
        <v>16.8</v>
      </c>
      <c r="H565" s="25" t="str">
        <f>IF($A565="","",IF(OR($B565="",$C565="",$D565=""),"Preencher tudo",IF($F565="Código não cadastrado","Código inválido","OK")))</f>
        <v>OK</v>
      </c>
    </row>
    <row r="566" spans="1:8">
      <c r="A566" s="16">
        <v>46282</v>
      </c>
      <c r="B566" s="15" t="s">
        <v>113</v>
      </c>
      <c r="C566" s="20" t="s">
        <v>179</v>
      </c>
      <c r="D566" s="22">
        <v>6</v>
      </c>
      <c r="E566" s="15" t="s">
        <v>342</v>
      </c>
      <c r="F566" s="23" t="str">
        <f>IF($B566="","",IFERROR(INDEX(ProdNome,MATCH($B566,ProdCod,0)),"Código não cadastrado"))</f>
        <v>Tesoura escolar</v>
      </c>
      <c r="G566" s="24">
        <f>IF(OR($B566="",$D566=""),"",$D566*IFERROR(INDEX(ProdCusto,MATCH($B566,ProdCod,0)),0))</f>
        <v>16.8</v>
      </c>
      <c r="H566" s="25" t="str">
        <f>IF($A566="","",IF(OR($B566="",$C566="",$D566=""),"Preencher tudo",IF($F566="Código não cadastrado","Código inválido","OK")))</f>
        <v>OK</v>
      </c>
    </row>
    <row r="567" spans="1:8">
      <c r="A567" s="16">
        <v>46282</v>
      </c>
      <c r="B567" s="15" t="s">
        <v>121</v>
      </c>
      <c r="C567" s="20" t="s">
        <v>177</v>
      </c>
      <c r="D567" s="22">
        <v>1</v>
      </c>
      <c r="E567" s="15" t="s">
        <v>178</v>
      </c>
      <c r="F567" s="23" t="str">
        <f>IF($B567="","",IFERROR(INDEX(ProdNome,MATCH($B567,ProdCod,0)),"Código não cadastrado"))</f>
        <v>Sacola kraft G (pct 50)</v>
      </c>
      <c r="G567" s="24">
        <f>IF(OR($B567="",$D567=""),"",$D567*IFERROR(INDEX(ProdCusto,MATCH($B567,ProdCod,0)),0))</f>
        <v>24</v>
      </c>
      <c r="H567" s="25" t="str">
        <f>IF($A567="","",IF(OR($B567="",$C567="",$D567=""),"Preencher tudo",IF($F567="Código não cadastrado","Código inválido","OK")))</f>
        <v>OK</v>
      </c>
    </row>
    <row r="568" spans="1:8">
      <c r="A568" s="16">
        <v>46282</v>
      </c>
      <c r="B568" s="15" t="s">
        <v>129</v>
      </c>
      <c r="C568" s="20" t="s">
        <v>177</v>
      </c>
      <c r="D568" s="22">
        <v>6</v>
      </c>
      <c r="E568" s="15" t="s">
        <v>178</v>
      </c>
      <c r="F568" s="23" t="str">
        <f>IF($B568="","",IFERROR(INDEX(ProdNome,MATCH($B568,ProdCod,0)),"Código não cadastrado"))</f>
        <v>Caneca branca para sublimação</v>
      </c>
      <c r="G568" s="24">
        <f>IF(OR($B568="",$D568=""),"",$D568*IFERROR(INDEX(ProdCusto,MATCH($B568,ProdCod,0)),0))</f>
        <v>25.2</v>
      </c>
      <c r="H568" s="25" t="str">
        <f>IF($A568="","",IF(OR($B568="",$C568="",$D568=""),"Preencher tudo",IF($F568="Código não cadastrado","Código inválido","OK")))</f>
        <v>OK</v>
      </c>
    </row>
    <row r="569" spans="1:8">
      <c r="A569" s="16">
        <v>46282</v>
      </c>
      <c r="B569" s="15" t="s">
        <v>135</v>
      </c>
      <c r="C569" s="20" t="s">
        <v>179</v>
      </c>
      <c r="D569" s="22">
        <v>3</v>
      </c>
      <c r="E569" s="15" t="s">
        <v>343</v>
      </c>
      <c r="F569" s="23" t="str">
        <f>IF($B569="","",IFERROR(INDEX(ProdNome,MATCH($B569,ProdCod,0)),"Código não cadastrado"))</f>
        <v>Marca-texto (cx 6)</v>
      </c>
      <c r="G569" s="24">
        <f>IF(OR($B569="",$D569=""),"",$D569*IFERROR(INDEX(ProdCusto,MATCH($B569,ProdCod,0)),0))</f>
        <v>29.4</v>
      </c>
      <c r="H569" s="25" t="str">
        <f>IF($A569="","",IF(OR($B569="",$C569="",$D569=""),"Preencher tudo",IF($F569="Código não cadastrado","Código inválido","OK")))</f>
        <v>OK</v>
      </c>
    </row>
    <row r="570" spans="1:8">
      <c r="A570" s="16">
        <v>46282</v>
      </c>
      <c r="B570" s="15" t="s">
        <v>153</v>
      </c>
      <c r="C570" s="20" t="s">
        <v>179</v>
      </c>
      <c r="D570" s="22">
        <v>3</v>
      </c>
      <c r="E570" s="15" t="s">
        <v>344</v>
      </c>
      <c r="F570" s="23" t="str">
        <f>IF($B570="","",IFERROR(INDEX(ProdNome,MATCH($B570,ProdCod,0)),"Código não cadastrado"))</f>
        <v>Envelope A4 (pct 50)</v>
      </c>
      <c r="G570" s="24">
        <f>IF(OR($B570="",$D570=""),"",$D570*IFERROR(INDEX(ProdCusto,MATCH($B570,ProdCod,0)),0))</f>
        <v>42</v>
      </c>
      <c r="H570" s="25" t="str">
        <f>IF($A570="","",IF(OR($B570="",$C570="",$D570=""),"Preencher tudo",IF($F570="Código não cadastrado","Código inválido","OK")))</f>
        <v>OK</v>
      </c>
    </row>
    <row r="571" spans="1:8">
      <c r="A571" s="16">
        <v>46282</v>
      </c>
      <c r="B571" s="15" t="s">
        <v>157</v>
      </c>
      <c r="C571" s="20" t="s">
        <v>179</v>
      </c>
      <c r="D571" s="22">
        <v>3</v>
      </c>
      <c r="E571" s="15" t="s">
        <v>345</v>
      </c>
      <c r="F571" s="23" t="str">
        <f>IF($B571="","",IFERROR(INDEX(ProdNome,MATCH($B571,ProdCod,0)),"Código não cadastrado"))</f>
        <v>Papel fotográfico A4 (pct 20)</v>
      </c>
      <c r="G571" s="24">
        <f>IF(OR($B571="",$D571=""),"",$D571*IFERROR(INDEX(ProdCusto,MATCH($B571,ProdCod,0)),0))</f>
        <v>37.5</v>
      </c>
      <c r="H571" s="25" t="str">
        <f>IF($A571="","",IF(OR($B571="",$C571="",$D571=""),"Preencher tudo",IF($F571="Código não cadastrado","Código inválido","OK")))</f>
        <v>OK</v>
      </c>
    </row>
    <row r="572" spans="1:8">
      <c r="A572" s="16">
        <v>46282</v>
      </c>
      <c r="B572" s="15" t="s">
        <v>163</v>
      </c>
      <c r="C572" s="20" t="s">
        <v>179</v>
      </c>
      <c r="D572" s="22">
        <v>3</v>
      </c>
      <c r="E572" s="15" t="s">
        <v>346</v>
      </c>
      <c r="F572" s="23" t="str">
        <f>IF($B572="","",IFERROR(INDEX(ProdNome,MATCH($B572,ProdCod,0)),"Código não cadastrado"))</f>
        <v>Caixa organizadora</v>
      </c>
      <c r="G572" s="24">
        <f>IF(OR($B572="",$D572=""),"",$D572*IFERROR(INDEX(ProdCusto,MATCH($B572,ProdCod,0)),0))</f>
        <v>54</v>
      </c>
      <c r="H572" s="25" t="str">
        <f>IF($A572="","",IF(OR($B572="",$C572="",$D572=""),"Preencher tudo",IF($F572="Código não cadastrado","Código inválido","OK")))</f>
        <v>OK</v>
      </c>
    </row>
    <row r="573" spans="1:8">
      <c r="A573" s="16">
        <v>46282</v>
      </c>
      <c r="B573" s="15" t="s">
        <v>167</v>
      </c>
      <c r="C573" s="20" t="s">
        <v>179</v>
      </c>
      <c r="D573" s="22">
        <v>3</v>
      </c>
      <c r="E573" s="15" t="s">
        <v>347</v>
      </c>
      <c r="F573" s="23" t="str">
        <f>IF($B573="","",IFERROR(INDEX(ProdNome,MATCH($B573,ProdCod,0)),"Código não cadastrado"))</f>
        <v>Porta-retrato 10x15</v>
      </c>
      <c r="G573" s="24">
        <f>IF(OR($B573="",$D573=""),"",$D573*IFERROR(INDEX(ProdCusto,MATCH($B573,ProdCod,0)),0))</f>
        <v>18.6</v>
      </c>
      <c r="H573" s="25" t="str">
        <f>IF($A573="","",IF(OR($B573="",$C573="",$D573=""),"Preencher tudo",IF($F573="Código não cadastrado","Código inválido","OK")))</f>
        <v>OK</v>
      </c>
    </row>
    <row r="574" spans="1:8">
      <c r="A574" s="16">
        <v>46283</v>
      </c>
      <c r="B574" s="15" t="s">
        <v>93</v>
      </c>
      <c r="C574" s="20" t="s">
        <v>177</v>
      </c>
      <c r="D574" s="22">
        <v>51</v>
      </c>
      <c r="E574" s="15" t="s">
        <v>178</v>
      </c>
      <c r="F574" s="23" t="str">
        <f>IF($B574="","",IFERROR(INDEX(ProdNome,MATCH($B574,ProdCod,0)),"Código não cadastrado"))</f>
        <v>Papel A4 75g (resma)</v>
      </c>
      <c r="G574" s="24">
        <f>IF(OR($B574="",$D574=""),"",$D574*IFERROR(INDEX(ProdCusto,MATCH($B574,ProdCod,0)),0))</f>
        <v>1096.5</v>
      </c>
      <c r="H574" s="25" t="str">
        <f>IF($A574="","",IF(OR($B574="",$C574="",$D574=""),"Preencher tudo",IF($F574="Código não cadastrado","Código inválido","OK")))</f>
        <v>OK</v>
      </c>
    </row>
    <row r="575" spans="1:8">
      <c r="A575" s="16">
        <v>46283</v>
      </c>
      <c r="B575" s="15" t="s">
        <v>95</v>
      </c>
      <c r="C575" s="20" t="s">
        <v>177</v>
      </c>
      <c r="D575" s="22">
        <v>1</v>
      </c>
      <c r="E575" s="15" t="s">
        <v>178</v>
      </c>
      <c r="F575" s="23" t="str">
        <f>IF($B575="","",IFERROR(INDEX(ProdNome,MATCH($B575,ProdCod,0)),"Código não cadastrado"))</f>
        <v>Pasta suspensa (pct 25)</v>
      </c>
      <c r="G575" s="24">
        <f>IF(OR($B575="",$D575=""),"",$D575*IFERROR(INDEX(ProdCusto,MATCH($B575,ProdCod,0)),0))</f>
        <v>28</v>
      </c>
      <c r="H575" s="25" t="str">
        <f>IF($A575="","",IF(OR($B575="",$C575="",$D575=""),"Preencher tudo",IF($F575="Código não cadastrado","Código inválido","OK")))</f>
        <v>OK</v>
      </c>
    </row>
    <row r="576" spans="1:8">
      <c r="A576" s="16">
        <v>46283</v>
      </c>
      <c r="B576" s="15" t="s">
        <v>99</v>
      </c>
      <c r="C576" s="20" t="s">
        <v>177</v>
      </c>
      <c r="D576" s="22">
        <v>2</v>
      </c>
      <c r="E576" s="15" t="s">
        <v>178</v>
      </c>
      <c r="F576" s="23" t="str">
        <f>IF($B576="","",IFERROR(INDEX(ProdNome,MATCH($B576,ProdCod,0)),"Código não cadastrado"))</f>
        <v>Mouse óptico USB</v>
      </c>
      <c r="G576" s="24">
        <f>IF(OR($B576="",$D576=""),"",$D576*IFERROR(INDEX(ProdCusto,MATCH($B576,ProdCod,0)),0))</f>
        <v>22</v>
      </c>
      <c r="H576" s="25" t="str">
        <f>IF($A576="","",IF(OR($B576="",$C576="",$D576=""),"Preencher tudo",IF($F576="Código não cadastrado","Código inválido","OK")))</f>
        <v>OK</v>
      </c>
    </row>
    <row r="577" spans="1:8">
      <c r="A577" s="16">
        <v>46283</v>
      </c>
      <c r="B577" s="15" t="s">
        <v>101</v>
      </c>
      <c r="C577" s="20" t="s">
        <v>179</v>
      </c>
      <c r="D577" s="22">
        <v>16</v>
      </c>
      <c r="E577" s="15" t="s">
        <v>348</v>
      </c>
      <c r="F577" s="23" t="str">
        <f>IF($B577="","",IFERROR(INDEX(ProdNome,MATCH($B577,ProdCod,0)),"Código não cadastrado"))</f>
        <v>Pen drive 32GB</v>
      </c>
      <c r="G577" s="24">
        <f>IF(OR($B577="",$D577=""),"",$D577*IFERROR(INDEX(ProdCusto,MATCH($B577,ProdCod,0)),0))</f>
        <v>352</v>
      </c>
      <c r="H577" s="25" t="str">
        <f>IF($A577="","",IF(OR($B577="",$C577="",$D577=""),"Preencher tudo",IF($F577="Código não cadastrado","Código inválido","OK")))</f>
        <v>OK</v>
      </c>
    </row>
    <row r="578" spans="1:8">
      <c r="A578" s="16">
        <v>46283</v>
      </c>
      <c r="B578" s="15" t="s">
        <v>107</v>
      </c>
      <c r="C578" s="20" t="s">
        <v>179</v>
      </c>
      <c r="D578" s="22">
        <v>3</v>
      </c>
      <c r="E578" s="15" t="s">
        <v>349</v>
      </c>
      <c r="F578" s="23" t="str">
        <f>IF($B578="","",IFERROR(INDEX(ProdNome,MATCH($B578,ProdCod,0)),"Código não cadastrado"))</f>
        <v>Estojo duplo</v>
      </c>
      <c r="G578" s="24">
        <f>IF(OR($B578="",$D578=""),"",$D578*IFERROR(INDEX(ProdCusto,MATCH($B578,ProdCod,0)),0))</f>
        <v>25.5</v>
      </c>
      <c r="H578" s="25" t="str">
        <f>IF($A578="","",IF(OR($B578="",$C578="",$D578=""),"Preencher tudo",IF($F578="Código não cadastrado","Código inválido","OK")))</f>
        <v>OK</v>
      </c>
    </row>
    <row r="579" spans="1:8">
      <c r="A579" s="16">
        <v>46283</v>
      </c>
      <c r="B579" s="15" t="s">
        <v>115</v>
      </c>
      <c r="C579" s="20" t="s">
        <v>177</v>
      </c>
      <c r="D579" s="22">
        <v>14</v>
      </c>
      <c r="E579" s="15" t="s">
        <v>178</v>
      </c>
      <c r="F579" s="23" t="str">
        <f>IF($B579="","",IFERROR(INDEX(ProdNome,MATCH($B579,ProdCod,0)),"Código não cadastrado"))</f>
        <v>Fita adesiva transparente</v>
      </c>
      <c r="G579" s="24">
        <f>IF(OR($B579="",$D579=""),"",$D579*IFERROR(INDEX(ProdCusto,MATCH($B579,ProdCod,0)),0))</f>
        <v>22.4</v>
      </c>
      <c r="H579" s="25" t="str">
        <f>IF($A579="","",IF(OR($B579="",$C579="",$D579=""),"Preencher tudo",IF($F579="Código não cadastrado","Código inválido","OK")))</f>
        <v>OK</v>
      </c>
    </row>
    <row r="580" spans="1:8">
      <c r="A580" s="16">
        <v>46283</v>
      </c>
      <c r="B580" s="15" t="s">
        <v>133</v>
      </c>
      <c r="C580" s="20" t="s">
        <v>177</v>
      </c>
      <c r="D580" s="22">
        <v>1</v>
      </c>
      <c r="E580" s="15" t="s">
        <v>178</v>
      </c>
      <c r="F580" s="23" t="str">
        <f>IF($B580="","",IFERROR(INDEX(ProdNome,MATCH($B580,ProdCod,0)),"Código não cadastrado"))</f>
        <v>Agenda 2027</v>
      </c>
      <c r="G580" s="24">
        <f>IF(OR($B580="",$D580=""),"",$D580*IFERROR(INDEX(ProdCusto,MATCH($B580,ProdCod,0)),0))</f>
        <v>14</v>
      </c>
      <c r="H580" s="25" t="str">
        <f>IF($A580="","",IF(OR($B580="",$C580="",$D580=""),"Preencher tudo",IF($F580="Código não cadastrado","Código inválido","OK")))</f>
        <v>OK</v>
      </c>
    </row>
    <row r="581" spans="1:8">
      <c r="A581" s="16">
        <v>46283</v>
      </c>
      <c r="B581" s="15" t="s">
        <v>135</v>
      </c>
      <c r="C581" s="20" t="s">
        <v>177</v>
      </c>
      <c r="D581" s="22">
        <v>1</v>
      </c>
      <c r="E581" s="15" t="s">
        <v>178</v>
      </c>
      <c r="F581" s="23" t="str">
        <f>IF($B581="","",IFERROR(INDEX(ProdNome,MATCH($B581,ProdCod,0)),"Código não cadastrado"))</f>
        <v>Marca-texto (cx 6)</v>
      </c>
      <c r="G581" s="24">
        <f>IF(OR($B581="",$D581=""),"",$D581*IFERROR(INDEX(ProdCusto,MATCH($B581,ProdCod,0)),0))</f>
        <v>9.8</v>
      </c>
      <c r="H581" s="25" t="str">
        <f>IF($A581="","",IF(OR($B581="",$C581="",$D581=""),"Preencher tudo",IF($F581="Código não cadastrado","Código inválido","OK")))</f>
        <v>OK</v>
      </c>
    </row>
    <row r="582" spans="1:8">
      <c r="A582" s="16">
        <v>46283</v>
      </c>
      <c r="B582" s="15" t="s">
        <v>139</v>
      </c>
      <c r="C582" s="20" t="s">
        <v>179</v>
      </c>
      <c r="D582" s="22">
        <v>3</v>
      </c>
      <c r="E582" s="15" t="s">
        <v>350</v>
      </c>
      <c r="F582" s="23" t="str">
        <f>IF($B582="","",IFERROR(INDEX(ProdNome,MATCH($B582,ProdCod,0)),"Código não cadastrado"))</f>
        <v>Calculadora de mesa</v>
      </c>
      <c r="G582" s="24">
        <f>IF(OR($B582="",$D582=""),"",$D582*IFERROR(INDEX(ProdCusto,MATCH($B582,ProdCod,0)),0))</f>
        <v>51</v>
      </c>
      <c r="H582" s="25" t="str">
        <f>IF($A582="","",IF(OR($B582="",$C582="",$D582=""),"Preencher tudo",IF($F582="Código não cadastrado","Código inválido","OK")))</f>
        <v>OK</v>
      </c>
    </row>
    <row r="583" spans="1:8">
      <c r="A583" s="16">
        <v>46283</v>
      </c>
      <c r="B583" s="15" t="s">
        <v>147</v>
      </c>
      <c r="C583" s="20" t="s">
        <v>177</v>
      </c>
      <c r="D583" s="22">
        <v>1</v>
      </c>
      <c r="E583" s="15" t="s">
        <v>178</v>
      </c>
      <c r="F583" s="23" t="str">
        <f>IF($B583="","",IFERROR(INDEX(ProdNome,MATCH($B583,ProdCod,0)),"Código não cadastrado"))</f>
        <v>Toner genérico preto</v>
      </c>
      <c r="G583" s="24">
        <f>IF(OR($B583="",$D583=""),"",$D583*IFERROR(INDEX(ProdCusto,MATCH($B583,ProdCod,0)),0))</f>
        <v>62</v>
      </c>
      <c r="H583" s="25" t="str">
        <f>IF($A583="","",IF(OR($B583="",$C583="",$D583=""),"Preencher tudo",IF($F583="Código não cadastrado","Código inválido","OK")))</f>
        <v>OK</v>
      </c>
    </row>
    <row r="584" spans="1:8">
      <c r="A584" s="16">
        <v>46283</v>
      </c>
      <c r="B584" s="15" t="s">
        <v>157</v>
      </c>
      <c r="C584" s="20" t="s">
        <v>177</v>
      </c>
      <c r="D584" s="22">
        <v>1</v>
      </c>
      <c r="E584" s="15" t="s">
        <v>178</v>
      </c>
      <c r="F584" s="23" t="str">
        <f>IF($B584="","",IFERROR(INDEX(ProdNome,MATCH($B584,ProdCod,0)),"Código não cadastrado"))</f>
        <v>Papel fotográfico A4 (pct 20)</v>
      </c>
      <c r="G584" s="24">
        <f>IF(OR($B584="",$D584=""),"",$D584*IFERROR(INDEX(ProdCusto,MATCH($B584,ProdCod,0)),0))</f>
        <v>12.5</v>
      </c>
      <c r="H584" s="25" t="str">
        <f>IF($A584="","",IF(OR($B584="",$C584="",$D584=""),"Preencher tudo",IF($F584="Código não cadastrado","Código inválido","OK")))</f>
        <v>OK</v>
      </c>
    </row>
    <row r="585" spans="1:8">
      <c r="A585" s="16">
        <v>46283</v>
      </c>
      <c r="B585" s="15" t="s">
        <v>159</v>
      </c>
      <c r="C585" s="20" t="s">
        <v>177</v>
      </c>
      <c r="D585" s="22">
        <v>1</v>
      </c>
      <c r="E585" s="15" t="s">
        <v>178</v>
      </c>
      <c r="F585" s="23" t="str">
        <f>IF($B585="","",IFERROR(INDEX(ProdNome,MATCH($B585,ProdCod,0)),"Código não cadastrado"))</f>
        <v>Luva descartável (cx 100)</v>
      </c>
      <c r="G585" s="24">
        <f>IF(OR($B585="",$D585=""),"",$D585*IFERROR(INDEX(ProdCusto,MATCH($B585,ProdCod,0)),0))</f>
        <v>21</v>
      </c>
      <c r="H585" s="25" t="str">
        <f>IF($A585="","",IF(OR($B585="",$C585="",$D585=""),"Preencher tudo",IF($F585="Código não cadastrado","Código inválido","OK")))</f>
        <v>OK</v>
      </c>
    </row>
    <row r="586" spans="1:8">
      <c r="A586" s="16">
        <v>46283</v>
      </c>
      <c r="B586" s="15" t="s">
        <v>163</v>
      </c>
      <c r="C586" s="20" t="s">
        <v>177</v>
      </c>
      <c r="D586" s="22">
        <v>1</v>
      </c>
      <c r="E586" s="15" t="s">
        <v>178</v>
      </c>
      <c r="F586" s="23" t="str">
        <f>IF($B586="","",IFERROR(INDEX(ProdNome,MATCH($B586,ProdCod,0)),"Código não cadastrado"))</f>
        <v>Caixa organizadora</v>
      </c>
      <c r="G586" s="24">
        <f>IF(OR($B586="",$D586=""),"",$D586*IFERROR(INDEX(ProdCusto,MATCH($B586,ProdCod,0)),0))</f>
        <v>18</v>
      </c>
      <c r="H586" s="25" t="str">
        <f>IF($A586="","",IF(OR($B586="",$C586="",$D586=""),"Preencher tudo",IF($F586="Código não cadastrado","Código inválido","OK")))</f>
        <v>OK</v>
      </c>
    </row>
    <row r="587" spans="1:8">
      <c r="A587" s="16">
        <v>46284</v>
      </c>
      <c r="B587" s="15" t="s">
        <v>95</v>
      </c>
      <c r="C587" s="20" t="s">
        <v>179</v>
      </c>
      <c r="D587" s="22">
        <v>3</v>
      </c>
      <c r="E587" s="15" t="s">
        <v>351</v>
      </c>
      <c r="F587" s="23" t="str">
        <f>IF($B587="","",IFERROR(INDEX(ProdNome,MATCH($B587,ProdCod,0)),"Código não cadastrado"))</f>
        <v>Pasta suspensa (pct 25)</v>
      </c>
      <c r="G587" s="24">
        <f>IF(OR($B587="",$D587=""),"",$D587*IFERROR(INDEX(ProdCusto,MATCH($B587,ProdCod,0)),0))</f>
        <v>84</v>
      </c>
      <c r="H587" s="25" t="str">
        <f>IF($A587="","",IF(OR($B587="",$C587="",$D587=""),"Preencher tudo",IF($F587="Código não cadastrado","Código inválido","OK")))</f>
        <v>OK</v>
      </c>
    </row>
    <row r="588" spans="1:8">
      <c r="A588" s="16">
        <v>46284</v>
      </c>
      <c r="B588" s="15" t="s">
        <v>105</v>
      </c>
      <c r="C588" s="20" t="s">
        <v>179</v>
      </c>
      <c r="D588" s="22">
        <v>10</v>
      </c>
      <c r="E588" s="15" t="s">
        <v>352</v>
      </c>
      <c r="F588" s="23" t="str">
        <f>IF($B588="","",IFERROR(INDEX(ProdNome,MATCH($B588,ProdCod,0)),"Código não cadastrado"))</f>
        <v>Mochila escolar 20L</v>
      </c>
      <c r="G588" s="24">
        <f>IF(OR($B588="",$D588=""),"",$D588*IFERROR(INDEX(ProdCusto,MATCH($B588,ProdCod,0)),0))</f>
        <v>460</v>
      </c>
      <c r="H588" s="25" t="str">
        <f>IF($A588="","",IF(OR($B588="",$C588="",$D588=""),"Preencher tudo",IF($F588="Código não cadastrado","Código inválido","OK")))</f>
        <v>OK</v>
      </c>
    </row>
    <row r="589" spans="1:8">
      <c r="A589" s="16">
        <v>46284</v>
      </c>
      <c r="B589" s="15" t="s">
        <v>129</v>
      </c>
      <c r="C589" s="20" t="s">
        <v>179</v>
      </c>
      <c r="D589" s="22">
        <v>6</v>
      </c>
      <c r="E589" s="15" t="s">
        <v>353</v>
      </c>
      <c r="F589" s="23" t="str">
        <f>IF($B589="","",IFERROR(INDEX(ProdNome,MATCH($B589,ProdCod,0)),"Código não cadastrado"))</f>
        <v>Caneca branca para sublimação</v>
      </c>
      <c r="G589" s="24">
        <f>IF(OR($B589="",$D589=""),"",$D589*IFERROR(INDEX(ProdCusto,MATCH($B589,ProdCod,0)),0))</f>
        <v>25.2</v>
      </c>
      <c r="H589" s="25" t="str">
        <f>IF($A589="","",IF(OR($B589="",$C589="",$D589=""),"Preencher tudo",IF($F589="Código não cadastrado","Código inválido","OK")))</f>
        <v>OK</v>
      </c>
    </row>
    <row r="590" spans="1:8">
      <c r="A590" s="16">
        <v>46284</v>
      </c>
      <c r="B590" s="15" t="s">
        <v>131</v>
      </c>
      <c r="C590" s="20" t="s">
        <v>179</v>
      </c>
      <c r="D590" s="22">
        <v>4</v>
      </c>
      <c r="E590" s="15" t="s">
        <v>354</v>
      </c>
      <c r="F590" s="23" t="str">
        <f>IF($B590="","",IFERROR(INDEX(ProdNome,MATCH($B590,ProdCod,0)),"Código não cadastrado"))</f>
        <v>Garrafa squeeze 600ml</v>
      </c>
      <c r="G590" s="24">
        <f>IF(OR($B590="",$D590=""),"",$D590*IFERROR(INDEX(ProdCusto,MATCH($B590,ProdCod,0)),0))</f>
        <v>39.6</v>
      </c>
      <c r="H590" s="25" t="str">
        <f>IF($A590="","",IF(OR($B590="",$C590="",$D590=""),"Preencher tudo",IF($F590="Código não cadastrado","Código inválido","OK")))</f>
        <v>OK</v>
      </c>
    </row>
    <row r="591" spans="1:8">
      <c r="A591" s="16">
        <v>46284</v>
      </c>
      <c r="B591" s="15" t="s">
        <v>149</v>
      </c>
      <c r="C591" s="20" t="s">
        <v>177</v>
      </c>
      <c r="D591" s="22">
        <v>3</v>
      </c>
      <c r="E591" s="15" t="s">
        <v>178</v>
      </c>
      <c r="F591" s="23" t="str">
        <f>IF($B591="","",IFERROR(INDEX(ProdNome,MATCH($B591,ProdCod,0)),"Código não cadastrado"))</f>
        <v>Mouse pad</v>
      </c>
      <c r="G591" s="24">
        <f>IF(OR($B591="",$D591=""),"",$D591*IFERROR(INDEX(ProdCusto,MATCH($B591,ProdCod,0)),0))</f>
        <v>14.7</v>
      </c>
      <c r="H591" s="25" t="str">
        <f>IF($A591="","",IF(OR($B591="",$C591="",$D591=""),"Preencher tudo",IF($F591="Código não cadastrado","Código inválido","OK")))</f>
        <v>OK</v>
      </c>
    </row>
    <row r="592" spans="1:8">
      <c r="A592" s="16">
        <v>46284</v>
      </c>
      <c r="B592" s="15" t="s">
        <v>149</v>
      </c>
      <c r="C592" s="20" t="s">
        <v>179</v>
      </c>
      <c r="D592" s="22">
        <v>3</v>
      </c>
      <c r="E592" s="15" t="s">
        <v>355</v>
      </c>
      <c r="F592" s="23" t="str">
        <f>IF($B592="","",IFERROR(INDEX(ProdNome,MATCH($B592,ProdCod,0)),"Código não cadastrado"))</f>
        <v>Mouse pad</v>
      </c>
      <c r="G592" s="24">
        <f>IF(OR($B592="",$D592=""),"",$D592*IFERROR(INDEX(ProdCusto,MATCH($B592,ProdCod,0)),0))</f>
        <v>14.7</v>
      </c>
      <c r="H592" s="25" t="str">
        <f>IF($A592="","",IF(OR($B592="",$C592="",$D592=""),"Preencher tudo",IF($F592="Código não cadastrado","Código inválido","OK")))</f>
        <v>OK</v>
      </c>
    </row>
    <row r="593" spans="1:8">
      <c r="A593" s="16">
        <v>46284</v>
      </c>
      <c r="B593" s="15" t="s">
        <v>153</v>
      </c>
      <c r="C593" s="20" t="s">
        <v>177</v>
      </c>
      <c r="D593" s="22">
        <v>1</v>
      </c>
      <c r="E593" s="15" t="s">
        <v>178</v>
      </c>
      <c r="F593" s="23" t="str">
        <f>IF($B593="","",IFERROR(INDEX(ProdNome,MATCH($B593,ProdCod,0)),"Código não cadastrado"))</f>
        <v>Envelope A4 (pct 50)</v>
      </c>
      <c r="G593" s="24">
        <f>IF(OR($B593="",$D593=""),"",$D593*IFERROR(INDEX(ProdCusto,MATCH($B593,ProdCod,0)),0))</f>
        <v>14</v>
      </c>
      <c r="H593" s="25" t="str">
        <f>IF($A593="","",IF(OR($B593="",$C593="",$D593=""),"Preencher tudo",IF($F593="Código não cadastrado","Código inválido","OK")))</f>
        <v>OK</v>
      </c>
    </row>
    <row r="594" spans="1:8">
      <c r="A594" s="16">
        <v>46284</v>
      </c>
      <c r="B594" s="15" t="s">
        <v>159</v>
      </c>
      <c r="C594" s="20" t="s">
        <v>179</v>
      </c>
      <c r="D594" s="22">
        <v>3</v>
      </c>
      <c r="E594" s="15" t="s">
        <v>356</v>
      </c>
      <c r="F594" s="23" t="str">
        <f>IF($B594="","",IFERROR(INDEX(ProdNome,MATCH($B594,ProdCod,0)),"Código não cadastrado"))</f>
        <v>Luva descartável (cx 100)</v>
      </c>
      <c r="G594" s="24">
        <f>IF(OR($B594="",$D594=""),"",$D594*IFERROR(INDEX(ProdCusto,MATCH($B594,ProdCod,0)),0))</f>
        <v>63</v>
      </c>
      <c r="H594" s="25" t="str">
        <f>IF($A594="","",IF(OR($B594="",$C594="",$D594=""),"Preencher tudo",IF($F594="Código não cadastrado","Código inválido","OK")))</f>
        <v>OK</v>
      </c>
    </row>
    <row r="595" spans="1:8">
      <c r="A595" s="16">
        <v>46284</v>
      </c>
      <c r="B595" s="15" t="s">
        <v>161</v>
      </c>
      <c r="C595" s="20" t="s">
        <v>177</v>
      </c>
      <c r="D595" s="22">
        <v>1</v>
      </c>
      <c r="E595" s="15" t="s">
        <v>178</v>
      </c>
      <c r="F595" s="23" t="str">
        <f>IF($B595="","",IFERROR(INDEX(ProdNome,MATCH($B595,ProdCod,0)),"Código não cadastrado"))</f>
        <v>Pote plástico 500ml (pct 12)</v>
      </c>
      <c r="G595" s="24">
        <f>IF(OR($B595="",$D595=""),"",$D595*IFERROR(INDEX(ProdCusto,MATCH($B595,ProdCod,0)),0))</f>
        <v>11</v>
      </c>
      <c r="H595" s="25" t="str">
        <f>IF($A595="","",IF(OR($B595="",$C595="",$D595=""),"Preencher tudo",IF($F595="Código não cadastrado","Código inválido","OK")))</f>
        <v>OK</v>
      </c>
    </row>
    <row r="596" spans="1:8">
      <c r="A596" s="16">
        <v>46285</v>
      </c>
      <c r="B596" s="15" t="s">
        <v>107</v>
      </c>
      <c r="C596" s="20" t="s">
        <v>177</v>
      </c>
      <c r="D596" s="22">
        <v>2</v>
      </c>
      <c r="E596" s="15" t="s">
        <v>178</v>
      </c>
      <c r="F596" s="23" t="str">
        <f>IF($B596="","",IFERROR(INDEX(ProdNome,MATCH($B596,ProdCod,0)),"Código não cadastrado"))</f>
        <v>Estojo duplo</v>
      </c>
      <c r="G596" s="24">
        <f>IF(OR($B596="",$D596=""),"",$D596*IFERROR(INDEX(ProdCusto,MATCH($B596,ProdCod,0)),0))</f>
        <v>17</v>
      </c>
      <c r="H596" s="25" t="str">
        <f>IF($A596="","",IF(OR($B596="",$C596="",$D596=""),"Preencher tudo",IF($F596="Código não cadastrado","Código inválido","OK")))</f>
        <v>OK</v>
      </c>
    </row>
    <row r="597" spans="1:8">
      <c r="A597" s="16">
        <v>46285</v>
      </c>
      <c r="B597" s="15" t="s">
        <v>117</v>
      </c>
      <c r="C597" s="20" t="s">
        <v>177</v>
      </c>
      <c r="D597" s="22">
        <v>1</v>
      </c>
      <c r="E597" s="15" t="s">
        <v>178</v>
      </c>
      <c r="F597" s="23" t="str">
        <f>IF($B597="","",IFERROR(INDEX(ProdNome,MATCH($B597,ProdCod,0)),"Código não cadastrado"))</f>
        <v>Caixa de papelão M (pct 10)</v>
      </c>
      <c r="G597" s="24">
        <f>IF(OR($B597="",$D597=""),"",$D597*IFERROR(INDEX(ProdCusto,MATCH($B597,ProdCod,0)),0))</f>
        <v>15</v>
      </c>
      <c r="H597" s="25" t="str">
        <f>IF($A597="","",IF(OR($B597="",$C597="",$D597=""),"Preencher tudo",IF($F597="Código não cadastrado","Código inválido","OK")))</f>
        <v>OK</v>
      </c>
    </row>
    <row r="598" spans="1:8">
      <c r="A598" s="16">
        <v>46285</v>
      </c>
      <c r="B598" s="15" t="s">
        <v>139</v>
      </c>
      <c r="C598" s="20" t="s">
        <v>177</v>
      </c>
      <c r="D598" s="22">
        <v>1</v>
      </c>
      <c r="E598" s="15" t="s">
        <v>178</v>
      </c>
      <c r="F598" s="23" t="str">
        <f>IF($B598="","",IFERROR(INDEX(ProdNome,MATCH($B598,ProdCod,0)),"Código não cadastrado"))</f>
        <v>Calculadora de mesa</v>
      </c>
      <c r="G598" s="24">
        <f>IF(OR($B598="",$D598=""),"",$D598*IFERROR(INDEX(ProdCusto,MATCH($B598,ProdCod,0)),0))</f>
        <v>17</v>
      </c>
      <c r="H598" s="25" t="str">
        <f>IF($A598="","",IF(OR($B598="",$C598="",$D598=""),"Preencher tudo",IF($F598="Código não cadastrado","Código inválido","OK")))</f>
        <v>OK</v>
      </c>
    </row>
    <row r="599" spans="1:8">
      <c r="A599" s="16">
        <v>46285</v>
      </c>
      <c r="B599" s="15" t="s">
        <v>141</v>
      </c>
      <c r="C599" s="20" t="s">
        <v>177</v>
      </c>
      <c r="D599" s="22">
        <v>1</v>
      </c>
      <c r="E599" s="15" t="s">
        <v>178</v>
      </c>
      <c r="F599" s="23" t="str">
        <f>IF($B599="","",IFERROR(INDEX(ProdNome,MATCH($B599,ProdCod,0)),"Código não cadastrado"))</f>
        <v>Fichário argolado</v>
      </c>
      <c r="G599" s="24">
        <f>IF(OR($B599="",$D599=""),"",$D599*IFERROR(INDEX(ProdCusto,MATCH($B599,ProdCod,0)),0))</f>
        <v>21</v>
      </c>
      <c r="H599" s="25" t="str">
        <f>IF($A599="","",IF(OR($B599="",$C599="",$D599=""),"Preencher tudo",IF($F599="Código não cadastrado","Código inválido","OK")))</f>
        <v>OK</v>
      </c>
    </row>
    <row r="600" spans="1:8">
      <c r="A600" s="16">
        <v>46285</v>
      </c>
      <c r="B600" s="15" t="s">
        <v>143</v>
      </c>
      <c r="C600" s="20" t="s">
        <v>177</v>
      </c>
      <c r="D600" s="22">
        <v>5</v>
      </c>
      <c r="E600" s="15" t="s">
        <v>178</v>
      </c>
      <c r="F600" s="23" t="str">
        <f>IF($B600="","",IFERROR(INDEX(ProdNome,MATCH($B600,ProdCod,0)),"Código não cadastrado"))</f>
        <v>Régua 30cm</v>
      </c>
      <c r="G600" s="24">
        <f>IF(OR($B600="",$D600=""),"",$D600*IFERROR(INDEX(ProdCusto,MATCH($B600,ProdCod,0)),0))</f>
        <v>4.5</v>
      </c>
      <c r="H600" s="25" t="str">
        <f>IF($A600="","",IF(OR($B600="",$C600="",$D600=""),"Preencher tudo",IF($F600="Código não cadastrado","Código inválido","OK")))</f>
        <v>OK</v>
      </c>
    </row>
    <row r="601" spans="1:8">
      <c r="A601" s="16">
        <v>46285</v>
      </c>
      <c r="B601" s="15" t="s">
        <v>155</v>
      </c>
      <c r="C601" s="20" t="s">
        <v>177</v>
      </c>
      <c r="D601" s="22">
        <v>2</v>
      </c>
      <c r="E601" s="15" t="s">
        <v>178</v>
      </c>
      <c r="F601" s="23" t="str">
        <f>IF($B601="","",IFERROR(INDEX(ProdNome,MATCH($B601,ProdCod,0)),"Código não cadastrado"))</f>
        <v>Tinta guache (kit 6)</v>
      </c>
      <c r="G601" s="24">
        <f>IF(OR($B601="",$D601=""),"",$D601*IFERROR(INDEX(ProdCusto,MATCH($B601,ProdCod,0)),0))</f>
        <v>17.4</v>
      </c>
      <c r="H601" s="25" t="str">
        <f>IF($A601="","",IF(OR($B601="",$C601="",$D601=""),"Preencher tudo",IF($F601="Código não cadastrado","Código inválido","OK")))</f>
        <v>OK</v>
      </c>
    </row>
    <row r="602" spans="1:8">
      <c r="A602" s="16">
        <v>46286</v>
      </c>
      <c r="B602" s="15" t="s">
        <v>91</v>
      </c>
      <c r="C602" s="20" t="s">
        <v>177</v>
      </c>
      <c r="D602" s="22">
        <v>10</v>
      </c>
      <c r="E602" s="15" t="s">
        <v>178</v>
      </c>
      <c r="F602" s="23" t="str">
        <f>IF($B602="","",IFERROR(INDEX(ProdNome,MATCH($B602,ProdCod,0)),"Código não cadastrado"))</f>
        <v>Caneta esferográfica azul (cx 50)</v>
      </c>
      <c r="G602" s="24">
        <f>IF(OR($B602="",$D602=""),"",$D602*IFERROR(INDEX(ProdCusto,MATCH($B602,ProdCod,0)),0))</f>
        <v>220</v>
      </c>
      <c r="H602" s="25" t="str">
        <f>IF($A602="","",IF(OR($B602="",$C602="",$D602=""),"Preencher tudo",IF($F602="Código não cadastrado","Código inválido","OK")))</f>
        <v>OK</v>
      </c>
    </row>
    <row r="603" spans="1:8">
      <c r="A603" s="16">
        <v>46286</v>
      </c>
      <c r="B603" s="15" t="s">
        <v>101</v>
      </c>
      <c r="C603" s="20" t="s">
        <v>177</v>
      </c>
      <c r="D603" s="22">
        <v>7</v>
      </c>
      <c r="E603" s="15" t="s">
        <v>178</v>
      </c>
      <c r="F603" s="23" t="str">
        <f>IF($B603="","",IFERROR(INDEX(ProdNome,MATCH($B603,ProdCod,0)),"Código não cadastrado"))</f>
        <v>Pen drive 32GB</v>
      </c>
      <c r="G603" s="24">
        <f>IF(OR($B603="",$D603=""),"",$D603*IFERROR(INDEX(ProdCusto,MATCH($B603,ProdCod,0)),0))</f>
        <v>154</v>
      </c>
      <c r="H603" s="25" t="str">
        <f>IF($A603="","",IF(OR($B603="",$C603="",$D603=""),"Preencher tudo",IF($F603="Código não cadastrado","Código inválido","OK")))</f>
        <v>OK</v>
      </c>
    </row>
    <row r="604" spans="1:8">
      <c r="A604" s="16">
        <v>46286</v>
      </c>
      <c r="B604" s="15" t="s">
        <v>105</v>
      </c>
      <c r="C604" s="20" t="s">
        <v>177</v>
      </c>
      <c r="D604" s="22">
        <v>6</v>
      </c>
      <c r="E604" s="15" t="s">
        <v>178</v>
      </c>
      <c r="F604" s="23" t="str">
        <f>IF($B604="","",IFERROR(INDEX(ProdNome,MATCH($B604,ProdCod,0)),"Código não cadastrado"))</f>
        <v>Mochila escolar 20L</v>
      </c>
      <c r="G604" s="24">
        <f>IF(OR($B604="",$D604=""),"",$D604*IFERROR(INDEX(ProdCusto,MATCH($B604,ProdCod,0)),0))</f>
        <v>276</v>
      </c>
      <c r="H604" s="25" t="str">
        <f>IF($A604="","",IF(OR($B604="",$C604="",$D604=""),"Preencher tudo",IF($F604="Código não cadastrado","Código inválido","OK")))</f>
        <v>OK</v>
      </c>
    </row>
    <row r="605" spans="1:8">
      <c r="A605" s="16">
        <v>46286</v>
      </c>
      <c r="B605" s="15" t="s">
        <v>125</v>
      </c>
      <c r="C605" s="20" t="s">
        <v>177</v>
      </c>
      <c r="D605" s="22">
        <v>3</v>
      </c>
      <c r="E605" s="15" t="s">
        <v>178</v>
      </c>
      <c r="F605" s="23" t="str">
        <f>IF($B605="","",IFERROR(INDEX(ProdNome,MATCH($B605,ProdCod,0)),"Código não cadastrado"))</f>
        <v>Papel toalha (pct 2)</v>
      </c>
      <c r="G605" s="24">
        <f>IF(OR($B605="",$D605=""),"",$D605*IFERROR(INDEX(ProdCusto,MATCH($B605,ProdCod,0)),0))</f>
        <v>17.7</v>
      </c>
      <c r="H605" s="25" t="str">
        <f>IF($A605="","",IF(OR($B605="",$C605="",$D605=""),"Preencher tudo",IF($F605="Código não cadastrado","Código inválido","OK")))</f>
        <v>OK</v>
      </c>
    </row>
    <row r="606" spans="1:8">
      <c r="A606" s="16">
        <v>46286</v>
      </c>
      <c r="B606" s="15" t="s">
        <v>131</v>
      </c>
      <c r="C606" s="20" t="s">
        <v>177</v>
      </c>
      <c r="D606" s="22">
        <v>2</v>
      </c>
      <c r="E606" s="15" t="s">
        <v>178</v>
      </c>
      <c r="F606" s="23" t="str">
        <f>IF($B606="","",IFERROR(INDEX(ProdNome,MATCH($B606,ProdCod,0)),"Código não cadastrado"))</f>
        <v>Garrafa squeeze 600ml</v>
      </c>
      <c r="G606" s="24">
        <f>IF(OR($B606="",$D606=""),"",$D606*IFERROR(INDEX(ProdCusto,MATCH($B606,ProdCod,0)),0))</f>
        <v>19.8</v>
      </c>
      <c r="H606" s="25" t="str">
        <f>IF($A606="","",IF(OR($B606="",$C606="",$D606=""),"Preencher tudo",IF($F606="Código não cadastrado","Código inválido","OK")))</f>
        <v>OK</v>
      </c>
    </row>
    <row r="607" spans="1:8">
      <c r="A607" s="16">
        <v>46286</v>
      </c>
      <c r="B607" s="15" t="s">
        <v>167</v>
      </c>
      <c r="C607" s="20" t="s">
        <v>177</v>
      </c>
      <c r="D607" s="22">
        <v>1</v>
      </c>
      <c r="E607" s="15" t="s">
        <v>178</v>
      </c>
      <c r="F607" s="23" t="str">
        <f>IF($B607="","",IFERROR(INDEX(ProdNome,MATCH($B607,ProdCod,0)),"Código não cadastrado"))</f>
        <v>Porta-retrato 10x15</v>
      </c>
      <c r="G607" s="24">
        <f>IF(OR($B607="",$D607=""),"",$D607*IFERROR(INDEX(ProdCusto,MATCH($B607,ProdCod,0)),0))</f>
        <v>6.2</v>
      </c>
      <c r="H607" s="25" t="str">
        <f>IF($A607="","",IF(OR($B607="",$C607="",$D607=""),"Preencher tudo",IF($F607="Código não cadastrado","Código inválido","OK")))</f>
        <v>OK</v>
      </c>
    </row>
    <row r="608" spans="1:8">
      <c r="A608" s="16">
        <v>46288</v>
      </c>
      <c r="B608" s="15" t="s">
        <v>95</v>
      </c>
      <c r="C608" s="20" t="s">
        <v>177</v>
      </c>
      <c r="D608" s="22">
        <v>1</v>
      </c>
      <c r="E608" s="15" t="s">
        <v>178</v>
      </c>
      <c r="F608" s="23" t="str">
        <f>IF($B608="","",IFERROR(INDEX(ProdNome,MATCH($B608,ProdCod,0)),"Código não cadastrado"))</f>
        <v>Pasta suspensa (pct 25)</v>
      </c>
      <c r="G608" s="24">
        <f>IF(OR($B608="",$D608=""),"",$D608*IFERROR(INDEX(ProdCusto,MATCH($B608,ProdCod,0)),0))</f>
        <v>28</v>
      </c>
      <c r="H608" s="25" t="str">
        <f>IF($A608="","",IF(OR($B608="",$C608="",$D608=""),"Preencher tudo",IF($F608="Código não cadastrado","Código inválido","OK")))</f>
        <v>OK</v>
      </c>
    </row>
    <row r="609" spans="1:8">
      <c r="A609" s="16">
        <v>46288</v>
      </c>
      <c r="B609" s="15" t="s">
        <v>117</v>
      </c>
      <c r="C609" s="20" t="s">
        <v>177</v>
      </c>
      <c r="D609" s="22">
        <v>1</v>
      </c>
      <c r="E609" s="15" t="s">
        <v>178</v>
      </c>
      <c r="F609" s="23" t="str">
        <f>IF($B609="","",IFERROR(INDEX(ProdNome,MATCH($B609,ProdCod,0)),"Código não cadastrado"))</f>
        <v>Caixa de papelão M (pct 10)</v>
      </c>
      <c r="G609" s="24">
        <f>IF(OR($B609="",$D609=""),"",$D609*IFERROR(INDEX(ProdCusto,MATCH($B609,ProdCod,0)),0))</f>
        <v>15</v>
      </c>
      <c r="H609" s="25" t="str">
        <f>IF($A609="","",IF(OR($B609="",$C609="",$D609=""),"Preencher tudo",IF($F609="Código não cadastrado","Código inválido","OK")))</f>
        <v>OK</v>
      </c>
    </row>
    <row r="610" spans="1:8">
      <c r="A610" s="16">
        <v>46289</v>
      </c>
      <c r="B610" s="15" t="s">
        <v>89</v>
      </c>
      <c r="C610" s="20" t="s">
        <v>177</v>
      </c>
      <c r="D610" s="22">
        <v>30</v>
      </c>
      <c r="E610" s="15" t="s">
        <v>178</v>
      </c>
      <c r="F610" s="23" t="str">
        <f>IF($B610="","",IFERROR(INDEX(ProdNome,MATCH($B610,ProdCod,0)),"Código não cadastrado"))</f>
        <v>Caderno universitário 10 matérias</v>
      </c>
      <c r="G610" s="24">
        <f>IF(OR($B610="",$D610=""),"",$D610*IFERROR(INDEX(ProdCusto,MATCH($B610,ProdCod,0)),0))</f>
        <v>285</v>
      </c>
      <c r="H610" s="25" t="str">
        <f>IF($A610="","",IF(OR($B610="",$C610="",$D610=""),"Preencher tudo",IF($F610="Código não cadastrado","Código inválido","OK")))</f>
        <v>OK</v>
      </c>
    </row>
    <row r="611" spans="1:8">
      <c r="A611" s="16">
        <v>46289</v>
      </c>
      <c r="B611" s="15" t="s">
        <v>93</v>
      </c>
      <c r="C611" s="20" t="s">
        <v>177</v>
      </c>
      <c r="D611" s="22">
        <v>52</v>
      </c>
      <c r="E611" s="15" t="s">
        <v>178</v>
      </c>
      <c r="F611" s="23" t="str">
        <f>IF($B611="","",IFERROR(INDEX(ProdNome,MATCH($B611,ProdCod,0)),"Código não cadastrado"))</f>
        <v>Papel A4 75g (resma)</v>
      </c>
      <c r="G611" s="24">
        <f>IF(OR($B611="",$D611=""),"",$D611*IFERROR(INDEX(ProdCusto,MATCH($B611,ProdCod,0)),0))</f>
        <v>1118</v>
      </c>
      <c r="H611" s="25" t="str">
        <f>IF($A611="","",IF(OR($B611="",$C611="",$D611=""),"Preencher tudo",IF($F611="Código não cadastrado","Código inválido","OK")))</f>
        <v>OK</v>
      </c>
    </row>
    <row r="612" spans="1:8">
      <c r="A612" s="16">
        <v>46289</v>
      </c>
      <c r="B612" s="15" t="s">
        <v>93</v>
      </c>
      <c r="C612" s="20" t="s">
        <v>179</v>
      </c>
      <c r="D612" s="22">
        <v>52</v>
      </c>
      <c r="E612" s="15" t="s">
        <v>357</v>
      </c>
      <c r="F612" s="23" t="str">
        <f>IF($B612="","",IFERROR(INDEX(ProdNome,MATCH($B612,ProdCod,0)),"Código não cadastrado"))</f>
        <v>Papel A4 75g (resma)</v>
      </c>
      <c r="G612" s="24">
        <f>IF(OR($B612="",$D612=""),"",$D612*IFERROR(INDEX(ProdCusto,MATCH($B612,ProdCod,0)),0))</f>
        <v>1118</v>
      </c>
      <c r="H612" s="25" t="str">
        <f>IF($A612="","",IF(OR($B612="",$C612="",$D612=""),"Preencher tudo",IF($F612="Código não cadastrado","Código inválido","OK")))</f>
        <v>OK</v>
      </c>
    </row>
    <row r="613" spans="1:8">
      <c r="A613" s="16">
        <v>46289</v>
      </c>
      <c r="B613" s="15" t="s">
        <v>107</v>
      </c>
      <c r="C613" s="20" t="s">
        <v>177</v>
      </c>
      <c r="D613" s="22">
        <v>3</v>
      </c>
      <c r="E613" s="15" t="s">
        <v>178</v>
      </c>
      <c r="F613" s="23" t="str">
        <f>IF($B613="","",IFERROR(INDEX(ProdNome,MATCH($B613,ProdCod,0)),"Código não cadastrado"))</f>
        <v>Estojo duplo</v>
      </c>
      <c r="G613" s="24">
        <f>IF(OR($B613="",$D613=""),"",$D613*IFERROR(INDEX(ProdCusto,MATCH($B613,ProdCod,0)),0))</f>
        <v>25.5</v>
      </c>
      <c r="H613" s="25" t="str">
        <f>IF($A613="","",IF(OR($B613="",$C613="",$D613=""),"Preencher tudo",IF($F613="Código não cadastrado","Código inválido","OK")))</f>
        <v>OK</v>
      </c>
    </row>
    <row r="614" spans="1:8">
      <c r="A614" s="16">
        <v>46289</v>
      </c>
      <c r="B614" s="15" t="s">
        <v>115</v>
      </c>
      <c r="C614" s="20" t="s">
        <v>177</v>
      </c>
      <c r="D614" s="22">
        <v>15</v>
      </c>
      <c r="E614" s="15" t="s">
        <v>178</v>
      </c>
      <c r="F614" s="23" t="str">
        <f>IF($B614="","",IFERROR(INDEX(ProdNome,MATCH($B614,ProdCod,0)),"Código não cadastrado"))</f>
        <v>Fita adesiva transparente</v>
      </c>
      <c r="G614" s="24">
        <f>IF(OR($B614="",$D614=""),"",$D614*IFERROR(INDEX(ProdCusto,MATCH($B614,ProdCod,0)),0))</f>
        <v>24</v>
      </c>
      <c r="H614" s="25" t="str">
        <f>IF($A614="","",IF(OR($B614="",$C614="",$D614=""),"Preencher tudo",IF($F614="Código não cadastrado","Código inválido","OK")))</f>
        <v>OK</v>
      </c>
    </row>
    <row r="615" spans="1:8">
      <c r="A615" s="16">
        <v>46289</v>
      </c>
      <c r="B615" s="15" t="s">
        <v>121</v>
      </c>
      <c r="C615" s="20" t="s">
        <v>179</v>
      </c>
      <c r="D615" s="22">
        <v>3</v>
      </c>
      <c r="E615" s="15" t="s">
        <v>358</v>
      </c>
      <c r="F615" s="23" t="str">
        <f>IF($B615="","",IFERROR(INDEX(ProdNome,MATCH($B615,ProdCod,0)),"Código não cadastrado"))</f>
        <v>Sacola kraft G (pct 50)</v>
      </c>
      <c r="G615" s="24">
        <f>IF(OR($B615="",$D615=""),"",$D615*IFERROR(INDEX(ProdCusto,MATCH($B615,ProdCod,0)),0))</f>
        <v>72</v>
      </c>
      <c r="H615" s="25" t="str">
        <f>IF($A615="","",IF(OR($B615="",$C615="",$D615=""),"Preencher tudo",IF($F615="Código não cadastrado","Código inválido","OK")))</f>
        <v>OK</v>
      </c>
    </row>
    <row r="616" spans="1:8">
      <c r="A616" s="16">
        <v>46289</v>
      </c>
      <c r="B616" s="15" t="s">
        <v>125</v>
      </c>
      <c r="C616" s="20" t="s">
        <v>179</v>
      </c>
      <c r="D616" s="22">
        <v>7</v>
      </c>
      <c r="E616" s="15" t="s">
        <v>359</v>
      </c>
      <c r="F616" s="23" t="str">
        <f>IF($B616="","",IFERROR(INDEX(ProdNome,MATCH($B616,ProdCod,0)),"Código não cadastrado"))</f>
        <v>Papel toalha (pct 2)</v>
      </c>
      <c r="G616" s="24">
        <f>IF(OR($B616="",$D616=""),"",$D616*IFERROR(INDEX(ProdCusto,MATCH($B616,ProdCod,0)),0))</f>
        <v>41.3</v>
      </c>
      <c r="H616" s="25" t="str">
        <f>IF($A616="","",IF(OR($B616="",$C616="",$D616=""),"Preencher tudo",IF($F616="Código não cadastrado","Código inválido","OK")))</f>
        <v>OK</v>
      </c>
    </row>
    <row r="617" spans="1:8">
      <c r="A617" s="16">
        <v>46289</v>
      </c>
      <c r="B617" s="15" t="s">
        <v>141</v>
      </c>
      <c r="C617" s="20" t="s">
        <v>179</v>
      </c>
      <c r="D617" s="22">
        <v>3</v>
      </c>
      <c r="E617" s="15" t="s">
        <v>360</v>
      </c>
      <c r="F617" s="23" t="str">
        <f>IF($B617="","",IFERROR(INDEX(ProdNome,MATCH($B617,ProdCod,0)),"Código não cadastrado"))</f>
        <v>Fichário argolado</v>
      </c>
      <c r="G617" s="24">
        <f>IF(OR($B617="",$D617=""),"",$D617*IFERROR(INDEX(ProdCusto,MATCH($B617,ProdCod,0)),0))</f>
        <v>63</v>
      </c>
      <c r="H617" s="25" t="str">
        <f>IF($A617="","",IF(OR($B617="",$C617="",$D617=""),"Preencher tudo",IF($F617="Código não cadastrado","Código inválido","OK")))</f>
        <v>OK</v>
      </c>
    </row>
    <row r="618" spans="1:8">
      <c r="A618" s="16">
        <v>46289</v>
      </c>
      <c r="B618" s="15" t="s">
        <v>147</v>
      </c>
      <c r="C618" s="20" t="s">
        <v>179</v>
      </c>
      <c r="D618" s="22">
        <v>3</v>
      </c>
      <c r="E618" s="15" t="s">
        <v>361</v>
      </c>
      <c r="F618" s="23" t="str">
        <f>IF($B618="","",IFERROR(INDEX(ProdNome,MATCH($B618,ProdCod,0)),"Código não cadastrado"))</f>
        <v>Toner genérico preto</v>
      </c>
      <c r="G618" s="24">
        <f>IF(OR($B618="",$D618=""),"",$D618*IFERROR(INDEX(ProdCusto,MATCH($B618,ProdCod,0)),0))</f>
        <v>186</v>
      </c>
      <c r="H618" s="25" t="str">
        <f>IF($A618="","",IF(OR($B618="",$C618="",$D618=""),"Preencher tudo",IF($F618="Código não cadastrado","Código inválido","OK")))</f>
        <v>OK</v>
      </c>
    </row>
    <row r="619" spans="1:8">
      <c r="A619" s="16">
        <v>46289</v>
      </c>
      <c r="B619" s="15" t="s">
        <v>157</v>
      </c>
      <c r="C619" s="20" t="s">
        <v>177</v>
      </c>
      <c r="D619" s="22">
        <v>1</v>
      </c>
      <c r="E619" s="15" t="s">
        <v>178</v>
      </c>
      <c r="F619" s="23" t="str">
        <f>IF($B619="","",IFERROR(INDEX(ProdNome,MATCH($B619,ProdCod,0)),"Código não cadastrado"))</f>
        <v>Papel fotográfico A4 (pct 20)</v>
      </c>
      <c r="G619" s="24">
        <f>IF(OR($B619="",$D619=""),"",$D619*IFERROR(INDEX(ProdCusto,MATCH($B619,ProdCod,0)),0))</f>
        <v>12.5</v>
      </c>
      <c r="H619" s="25" t="str">
        <f>IF($A619="","",IF(OR($B619="",$C619="",$D619=""),"Preencher tudo",IF($F619="Código não cadastrado","Código inválido","OK")))</f>
        <v>OK</v>
      </c>
    </row>
    <row r="620" spans="1:8">
      <c r="A620" s="16">
        <v>46290</v>
      </c>
      <c r="B620" s="15" t="s">
        <v>89</v>
      </c>
      <c r="C620" s="20" t="s">
        <v>179</v>
      </c>
      <c r="D620" s="22">
        <v>64</v>
      </c>
      <c r="E620" s="15" t="s">
        <v>362</v>
      </c>
      <c r="F620" s="23" t="str">
        <f>IF($B620="","",IFERROR(INDEX(ProdNome,MATCH($B620,ProdCod,0)),"Código não cadastrado"))</f>
        <v>Caderno universitário 10 matérias</v>
      </c>
      <c r="G620" s="24">
        <f>IF(OR($B620="",$D620=""),"",$D620*IFERROR(INDEX(ProdCusto,MATCH($B620,ProdCod,0)),0))</f>
        <v>608</v>
      </c>
      <c r="H620" s="25" t="str">
        <f>IF($A620="","",IF(OR($B620="",$C620="",$D620=""),"Preencher tudo",IF($F620="Código não cadastrado","Código inválido","OK")))</f>
        <v>OK</v>
      </c>
    </row>
    <row r="621" spans="1:8">
      <c r="A621" s="16">
        <v>46290</v>
      </c>
      <c r="B621" s="15" t="s">
        <v>91</v>
      </c>
      <c r="C621" s="20" t="s">
        <v>177</v>
      </c>
      <c r="D621" s="22">
        <v>13</v>
      </c>
      <c r="E621" s="15" t="s">
        <v>178</v>
      </c>
      <c r="F621" s="23" t="str">
        <f>IF($B621="","",IFERROR(INDEX(ProdNome,MATCH($B621,ProdCod,0)),"Código não cadastrado"))</f>
        <v>Caneta esferográfica azul (cx 50)</v>
      </c>
      <c r="G621" s="24">
        <f>IF(OR($B621="",$D621=""),"",$D621*IFERROR(INDEX(ProdCusto,MATCH($B621,ProdCod,0)),0))</f>
        <v>286</v>
      </c>
      <c r="H621" s="25" t="str">
        <f>IF($A621="","",IF(OR($B621="",$C621="",$D621=""),"Preencher tudo",IF($F621="Código não cadastrado","Código inválido","OK")))</f>
        <v>OK</v>
      </c>
    </row>
    <row r="622" spans="1:8">
      <c r="A622" s="16">
        <v>46290</v>
      </c>
      <c r="B622" s="15" t="s">
        <v>101</v>
      </c>
      <c r="C622" s="20" t="s">
        <v>177</v>
      </c>
      <c r="D622" s="22">
        <v>6</v>
      </c>
      <c r="E622" s="15" t="s">
        <v>178</v>
      </c>
      <c r="F622" s="23" t="str">
        <f>IF($B622="","",IFERROR(INDEX(ProdNome,MATCH($B622,ProdCod,0)),"Código não cadastrado"))</f>
        <v>Pen drive 32GB</v>
      </c>
      <c r="G622" s="24">
        <f>IF(OR($B622="",$D622=""),"",$D622*IFERROR(INDEX(ProdCusto,MATCH($B622,ProdCod,0)),0))</f>
        <v>132</v>
      </c>
      <c r="H622" s="25" t="str">
        <f>IF($A622="","",IF(OR($B622="",$C622="",$D622=""),"Preencher tudo",IF($F622="Código não cadastrado","Código inválido","OK")))</f>
        <v>OK</v>
      </c>
    </row>
    <row r="623" spans="1:8">
      <c r="A623" s="16">
        <v>46290</v>
      </c>
      <c r="B623" s="15" t="s">
        <v>113</v>
      </c>
      <c r="C623" s="20" t="s">
        <v>179</v>
      </c>
      <c r="D623" s="22">
        <v>6</v>
      </c>
      <c r="E623" s="15" t="s">
        <v>363</v>
      </c>
      <c r="F623" s="23" t="str">
        <f>IF($B623="","",IFERROR(INDEX(ProdNome,MATCH($B623,ProdCod,0)),"Código não cadastrado"))</f>
        <v>Tesoura escolar</v>
      </c>
      <c r="G623" s="24">
        <f>IF(OR($B623="",$D623=""),"",$D623*IFERROR(INDEX(ProdCusto,MATCH($B623,ProdCod,0)),0))</f>
        <v>16.8</v>
      </c>
      <c r="H623" s="25" t="str">
        <f>IF($A623="","",IF(OR($B623="",$C623="",$D623=""),"Preencher tudo",IF($F623="Código não cadastrado","Código inválido","OK")))</f>
        <v>OK</v>
      </c>
    </row>
    <row r="624" spans="1:8">
      <c r="A624" s="16">
        <v>46290</v>
      </c>
      <c r="B624" s="15" t="s">
        <v>115</v>
      </c>
      <c r="C624" s="20" t="s">
        <v>179</v>
      </c>
      <c r="D624" s="22">
        <v>29</v>
      </c>
      <c r="E624" s="15" t="s">
        <v>364</v>
      </c>
      <c r="F624" s="23" t="str">
        <f>IF($B624="","",IFERROR(INDEX(ProdNome,MATCH($B624,ProdCod,0)),"Código não cadastrado"))</f>
        <v>Fita adesiva transparente</v>
      </c>
      <c r="G624" s="24">
        <f>IF(OR($B624="",$D624=""),"",$D624*IFERROR(INDEX(ProdCusto,MATCH($B624,ProdCod,0)),0))</f>
        <v>46.4</v>
      </c>
      <c r="H624" s="25" t="str">
        <f>IF($A624="","",IF(OR($B624="",$C624="",$D624=""),"Preencher tudo",IF($F624="Código não cadastrado","Código inválido","OK")))</f>
        <v>OK</v>
      </c>
    </row>
    <row r="625" spans="1:8">
      <c r="A625" s="16">
        <v>46290</v>
      </c>
      <c r="B625" s="15" t="s">
        <v>119</v>
      </c>
      <c r="C625" s="20" t="s">
        <v>179</v>
      </c>
      <c r="D625" s="22">
        <v>3</v>
      </c>
      <c r="E625" s="15" t="s">
        <v>365</v>
      </c>
      <c r="F625" s="23" t="str">
        <f>IF($B625="","",IFERROR(INDEX(ProdNome,MATCH($B625,ProdCod,0)),"Código não cadastrado"))</f>
        <v>Plástico bolha (rolo 50m)</v>
      </c>
      <c r="G625" s="24">
        <f>IF(OR($B625="",$D625=""),"",$D625*IFERROR(INDEX(ProdCusto,MATCH($B625,ProdCod,0)),0))</f>
        <v>96</v>
      </c>
      <c r="H625" s="25" t="str">
        <f>IF($A625="","",IF(OR($B625="",$C625="",$D625=""),"Preencher tudo",IF($F625="Código não cadastrado","Código inválido","OK")))</f>
        <v>OK</v>
      </c>
    </row>
    <row r="626" spans="1:8">
      <c r="A626" s="16">
        <v>46290</v>
      </c>
      <c r="B626" s="15" t="s">
        <v>131</v>
      </c>
      <c r="C626" s="20" t="s">
        <v>177</v>
      </c>
      <c r="D626" s="22">
        <v>2</v>
      </c>
      <c r="E626" s="15" t="s">
        <v>178</v>
      </c>
      <c r="F626" s="23" t="str">
        <f>IF($B626="","",IFERROR(INDEX(ProdNome,MATCH($B626,ProdCod,0)),"Código não cadastrado"))</f>
        <v>Garrafa squeeze 600ml</v>
      </c>
      <c r="G626" s="24">
        <f>IF(OR($B626="",$D626=""),"",$D626*IFERROR(INDEX(ProdCusto,MATCH($B626,ProdCod,0)),0))</f>
        <v>19.8</v>
      </c>
      <c r="H626" s="25" t="str">
        <f>IF($A626="","",IF(OR($B626="",$C626="",$D626=""),"Preencher tudo",IF($F626="Código não cadastrado","Código inválido","OK")))</f>
        <v>OK</v>
      </c>
    </row>
    <row r="627" spans="1:8">
      <c r="A627" s="16">
        <v>46290</v>
      </c>
      <c r="B627" s="15" t="s">
        <v>143</v>
      </c>
      <c r="C627" s="20" t="s">
        <v>177</v>
      </c>
      <c r="D627" s="22">
        <v>5</v>
      </c>
      <c r="E627" s="15" t="s">
        <v>178</v>
      </c>
      <c r="F627" s="23" t="str">
        <f>IF($B627="","",IFERROR(INDEX(ProdNome,MATCH($B627,ProdCod,0)),"Código não cadastrado"))</f>
        <v>Régua 30cm</v>
      </c>
      <c r="G627" s="24">
        <f>IF(OR($B627="",$D627=""),"",$D627*IFERROR(INDEX(ProdCusto,MATCH($B627,ProdCod,0)),0))</f>
        <v>4.5</v>
      </c>
      <c r="H627" s="25" t="str">
        <f>IF($A627="","",IF(OR($B627="",$C627="",$D627=""),"Preencher tudo",IF($F627="Código não cadastrado","Código inválido","OK")))</f>
        <v>OK</v>
      </c>
    </row>
    <row r="628" spans="1:8">
      <c r="A628" s="16">
        <v>46290</v>
      </c>
      <c r="B628" s="15" t="s">
        <v>149</v>
      </c>
      <c r="C628" s="20" t="s">
        <v>177</v>
      </c>
      <c r="D628" s="22">
        <v>2</v>
      </c>
      <c r="E628" s="15" t="s">
        <v>178</v>
      </c>
      <c r="F628" s="23" t="str">
        <f>IF($B628="","",IFERROR(INDEX(ProdNome,MATCH($B628,ProdCod,0)),"Código não cadastrado"))</f>
        <v>Mouse pad</v>
      </c>
      <c r="G628" s="24">
        <f>IF(OR($B628="",$D628=""),"",$D628*IFERROR(INDEX(ProdCusto,MATCH($B628,ProdCod,0)),0))</f>
        <v>9.8</v>
      </c>
      <c r="H628" s="25" t="str">
        <f>IF($A628="","",IF(OR($B628="",$C628="",$D628=""),"Preencher tudo",IF($F628="Código não cadastrado","Código inválido","OK")))</f>
        <v>OK</v>
      </c>
    </row>
    <row r="629" spans="1:8">
      <c r="A629" s="16">
        <v>46290</v>
      </c>
      <c r="B629" s="15" t="s">
        <v>167</v>
      </c>
      <c r="C629" s="20" t="s">
        <v>177</v>
      </c>
      <c r="D629" s="22">
        <v>1</v>
      </c>
      <c r="E629" s="15" t="s">
        <v>178</v>
      </c>
      <c r="F629" s="23" t="str">
        <f>IF($B629="","",IFERROR(INDEX(ProdNome,MATCH($B629,ProdCod,0)),"Código não cadastrado"))</f>
        <v>Porta-retrato 10x15</v>
      </c>
      <c r="G629" s="24">
        <f>IF(OR($B629="",$D629=""),"",$D629*IFERROR(INDEX(ProdCusto,MATCH($B629,ProdCod,0)),0))</f>
        <v>6.2</v>
      </c>
      <c r="H629" s="25" t="str">
        <f>IF($A629="","",IF(OR($B629="",$C629="",$D629=""),"Preencher tudo",IF($F629="Código não cadastrado","Código inválido","OK")))</f>
        <v>OK</v>
      </c>
    </row>
    <row r="630" spans="1:8">
      <c r="A630" s="16">
        <v>46291</v>
      </c>
      <c r="B630" s="15" t="s">
        <v>91</v>
      </c>
      <c r="C630" s="20" t="s">
        <v>179</v>
      </c>
      <c r="D630" s="22">
        <v>23</v>
      </c>
      <c r="E630" s="15" t="s">
        <v>366</v>
      </c>
      <c r="F630" s="23" t="str">
        <f>IF($B630="","",IFERROR(INDEX(ProdNome,MATCH($B630,ProdCod,0)),"Código não cadastrado"))</f>
        <v>Caneta esferográfica azul (cx 50)</v>
      </c>
      <c r="G630" s="24">
        <f>IF(OR($B630="",$D630=""),"",$D630*IFERROR(INDEX(ProdCusto,MATCH($B630,ProdCod,0)),0))</f>
        <v>506</v>
      </c>
      <c r="H630" s="25" t="str">
        <f>IF($A630="","",IF(OR($B630="",$C630="",$D630=""),"Preencher tudo",IF($F630="Código não cadastrado","Código inválido","OK")))</f>
        <v>OK</v>
      </c>
    </row>
    <row r="631" spans="1:8">
      <c r="A631" s="16">
        <v>46291</v>
      </c>
      <c r="B631" s="15" t="s">
        <v>99</v>
      </c>
      <c r="C631" s="20" t="s">
        <v>177</v>
      </c>
      <c r="D631" s="22">
        <v>1</v>
      </c>
      <c r="E631" s="15" t="s">
        <v>178</v>
      </c>
      <c r="F631" s="23" t="str">
        <f>IF($B631="","",IFERROR(INDEX(ProdNome,MATCH($B631,ProdCod,0)),"Código não cadastrado"))</f>
        <v>Mouse óptico USB</v>
      </c>
      <c r="G631" s="24">
        <f>IF(OR($B631="",$D631=""),"",$D631*IFERROR(INDEX(ProdCusto,MATCH($B631,ProdCod,0)),0))</f>
        <v>11</v>
      </c>
      <c r="H631" s="25" t="str">
        <f>IF($A631="","",IF(OR($B631="",$C631="",$D631=""),"Preencher tudo",IF($F631="Código não cadastrado","Código inválido","OK")))</f>
        <v>OK</v>
      </c>
    </row>
    <row r="632" spans="1:8">
      <c r="A632" s="16">
        <v>46291</v>
      </c>
      <c r="B632" s="15" t="s">
        <v>105</v>
      </c>
      <c r="C632" s="20" t="s">
        <v>177</v>
      </c>
      <c r="D632" s="22">
        <v>5</v>
      </c>
      <c r="E632" s="15" t="s">
        <v>178</v>
      </c>
      <c r="F632" s="23" t="str">
        <f>IF($B632="","",IFERROR(INDEX(ProdNome,MATCH($B632,ProdCod,0)),"Código não cadastrado"))</f>
        <v>Mochila escolar 20L</v>
      </c>
      <c r="G632" s="24">
        <f>IF(OR($B632="",$D632=""),"",$D632*IFERROR(INDEX(ProdCusto,MATCH($B632,ProdCod,0)),0))</f>
        <v>230</v>
      </c>
      <c r="H632" s="25" t="str">
        <f>IF($A632="","",IF(OR($B632="",$C632="",$D632=""),"Preencher tudo",IF($F632="Código não cadastrado","Código inválido","OK")))</f>
        <v>OK</v>
      </c>
    </row>
    <row r="633" spans="1:8">
      <c r="A633" s="16">
        <v>46291</v>
      </c>
      <c r="B633" s="15" t="s">
        <v>107</v>
      </c>
      <c r="C633" s="20" t="s">
        <v>179</v>
      </c>
      <c r="D633" s="22">
        <v>3</v>
      </c>
      <c r="E633" s="15" t="s">
        <v>367</v>
      </c>
      <c r="F633" s="23" t="str">
        <f>IF($B633="","",IFERROR(INDEX(ProdNome,MATCH($B633,ProdCod,0)),"Código não cadastrado"))</f>
        <v>Estojo duplo</v>
      </c>
      <c r="G633" s="24">
        <f>IF(OR($B633="",$D633=""),"",$D633*IFERROR(INDEX(ProdCusto,MATCH($B633,ProdCod,0)),0))</f>
        <v>25.5</v>
      </c>
      <c r="H633" s="25" t="str">
        <f>IF($A633="","",IF(OR($B633="",$C633="",$D633=""),"Preencher tudo",IF($F633="Código não cadastrado","Código inválido","OK")))</f>
        <v>OK</v>
      </c>
    </row>
    <row r="634" spans="1:8">
      <c r="A634" s="16">
        <v>46291</v>
      </c>
      <c r="B634" s="15" t="s">
        <v>111</v>
      </c>
      <c r="C634" s="20" t="s">
        <v>179</v>
      </c>
      <c r="D634" s="22">
        <v>19</v>
      </c>
      <c r="E634" s="15" t="s">
        <v>368</v>
      </c>
      <c r="F634" s="23" t="str">
        <f>IF($B634="","",IFERROR(INDEX(ProdNome,MATCH($B634,ProdCod,0)),"Código não cadastrado"))</f>
        <v>Cola branca 90g</v>
      </c>
      <c r="G634" s="24">
        <f>IF(OR($B634="",$D634=""),"",$D634*IFERROR(INDEX(ProdCusto,MATCH($B634,ProdCod,0)),0))</f>
        <v>36.1</v>
      </c>
      <c r="H634" s="25" t="str">
        <f>IF($A634="","",IF(OR($B634="",$C634="",$D634=""),"Preencher tudo",IF($F634="Código não cadastrado","Código inválido","OK")))</f>
        <v>OK</v>
      </c>
    </row>
    <row r="635" spans="1:8">
      <c r="A635" s="16">
        <v>46291</v>
      </c>
      <c r="B635" s="15" t="s">
        <v>121</v>
      </c>
      <c r="C635" s="20" t="s">
        <v>177</v>
      </c>
      <c r="D635" s="22">
        <v>1</v>
      </c>
      <c r="E635" s="15" t="s">
        <v>178</v>
      </c>
      <c r="F635" s="23" t="str">
        <f>IF($B635="","",IFERROR(INDEX(ProdNome,MATCH($B635,ProdCod,0)),"Código não cadastrado"))</f>
        <v>Sacola kraft G (pct 50)</v>
      </c>
      <c r="G635" s="24">
        <f>IF(OR($B635="",$D635=""),"",$D635*IFERROR(INDEX(ProdCusto,MATCH($B635,ProdCod,0)),0))</f>
        <v>24</v>
      </c>
      <c r="H635" s="25" t="str">
        <f>IF($A635="","",IF(OR($B635="",$C635="",$D635=""),"Preencher tudo",IF($F635="Código não cadastrado","Código inválido","OK")))</f>
        <v>OK</v>
      </c>
    </row>
    <row r="636" spans="1:8">
      <c r="A636" s="16">
        <v>46291</v>
      </c>
      <c r="B636" s="15" t="s">
        <v>125</v>
      </c>
      <c r="C636" s="20" t="s">
        <v>177</v>
      </c>
      <c r="D636" s="22">
        <v>4</v>
      </c>
      <c r="E636" s="15" t="s">
        <v>178</v>
      </c>
      <c r="F636" s="23" t="str">
        <f>IF($B636="","",IFERROR(INDEX(ProdNome,MATCH($B636,ProdCod,0)),"Código não cadastrado"))</f>
        <v>Papel toalha (pct 2)</v>
      </c>
      <c r="G636" s="24">
        <f>IF(OR($B636="",$D636=""),"",$D636*IFERROR(INDEX(ProdCusto,MATCH($B636,ProdCod,0)),0))</f>
        <v>23.6</v>
      </c>
      <c r="H636" s="25" t="str">
        <f>IF($A636="","",IF(OR($B636="",$C636="",$D636=""),"Preencher tudo",IF($F636="Código não cadastrado","Código inválido","OK")))</f>
        <v>OK</v>
      </c>
    </row>
    <row r="637" spans="1:8">
      <c r="A637" s="16">
        <v>46291</v>
      </c>
      <c r="B637" s="15" t="s">
        <v>141</v>
      </c>
      <c r="C637" s="20" t="s">
        <v>177</v>
      </c>
      <c r="D637" s="22">
        <v>2</v>
      </c>
      <c r="E637" s="15" t="s">
        <v>178</v>
      </c>
      <c r="F637" s="23" t="str">
        <f>IF($B637="","",IFERROR(INDEX(ProdNome,MATCH($B637,ProdCod,0)),"Código não cadastrado"))</f>
        <v>Fichário argolado</v>
      </c>
      <c r="G637" s="24">
        <f>IF(OR($B637="",$D637=""),"",$D637*IFERROR(INDEX(ProdCusto,MATCH($B637,ProdCod,0)),0))</f>
        <v>42</v>
      </c>
      <c r="H637" s="25" t="str">
        <f>IF($A637="","",IF(OR($B637="",$C637="",$D637=""),"Preencher tudo",IF($F637="Código não cadastrado","Código inválido","OK")))</f>
        <v>OK</v>
      </c>
    </row>
    <row r="638" spans="1:8">
      <c r="A638" s="16">
        <v>46291</v>
      </c>
      <c r="B638" s="15" t="s">
        <v>143</v>
      </c>
      <c r="C638" s="20" t="s">
        <v>179</v>
      </c>
      <c r="D638" s="22">
        <v>10</v>
      </c>
      <c r="E638" s="15" t="s">
        <v>369</v>
      </c>
      <c r="F638" s="23" t="str">
        <f>IF($B638="","",IFERROR(INDEX(ProdNome,MATCH($B638,ProdCod,0)),"Código não cadastrado"))</f>
        <v>Régua 30cm</v>
      </c>
      <c r="G638" s="24">
        <f>IF(OR($B638="",$D638=""),"",$D638*IFERROR(INDEX(ProdCusto,MATCH($B638,ProdCod,0)),0))</f>
        <v>9</v>
      </c>
      <c r="H638" s="25" t="str">
        <f>IF($A638="","",IF(OR($B638="",$C638="",$D638=""),"Preencher tudo",IF($F638="Código não cadastrado","Código inválido","OK")))</f>
        <v>OK</v>
      </c>
    </row>
    <row r="639" spans="1:8">
      <c r="A639" s="16">
        <v>46291</v>
      </c>
      <c r="B639" s="15" t="s">
        <v>163</v>
      </c>
      <c r="C639" s="20" t="s">
        <v>177</v>
      </c>
      <c r="D639" s="22">
        <v>1</v>
      </c>
      <c r="E639" s="15" t="s">
        <v>178</v>
      </c>
      <c r="F639" s="23" t="str">
        <f>IF($B639="","",IFERROR(INDEX(ProdNome,MATCH($B639,ProdCod,0)),"Código não cadastrado"))</f>
        <v>Caixa organizadora</v>
      </c>
      <c r="G639" s="24">
        <f>IF(OR($B639="",$D639=""),"",$D639*IFERROR(INDEX(ProdCusto,MATCH($B639,ProdCod,0)),0))</f>
        <v>18</v>
      </c>
      <c r="H639" s="25" t="str">
        <f>IF($A639="","",IF(OR($B639="",$C639="",$D639=""),"Preencher tudo",IF($F639="Código não cadastrado","Código inválido","OK")))</f>
        <v>OK</v>
      </c>
    </row>
    <row r="640" spans="1:8">
      <c r="A640" s="16">
        <v>46292</v>
      </c>
      <c r="B640" s="15" t="s">
        <v>111</v>
      </c>
      <c r="C640" s="20" t="s">
        <v>177</v>
      </c>
      <c r="D640" s="22">
        <v>11</v>
      </c>
      <c r="E640" s="15" t="s">
        <v>178</v>
      </c>
      <c r="F640" s="23" t="str">
        <f>IF($B640="","",IFERROR(INDEX(ProdNome,MATCH($B640,ProdCod,0)),"Código não cadastrado"))</f>
        <v>Cola branca 90g</v>
      </c>
      <c r="G640" s="24">
        <f>IF(OR($B640="",$D640=""),"",$D640*IFERROR(INDEX(ProdCusto,MATCH($B640,ProdCod,0)),0))</f>
        <v>20.9</v>
      </c>
      <c r="H640" s="25" t="str">
        <f>IF($A640="","",IF(OR($B640="",$C640="",$D640=""),"Preencher tudo",IF($F640="Código não cadastrado","Código inválido","OK")))</f>
        <v>OK</v>
      </c>
    </row>
    <row r="641" spans="1:8">
      <c r="A641" s="16">
        <v>46292</v>
      </c>
      <c r="B641" s="15" t="s">
        <v>113</v>
      </c>
      <c r="C641" s="20" t="s">
        <v>177</v>
      </c>
      <c r="D641" s="22">
        <v>6</v>
      </c>
      <c r="E641" s="15" t="s">
        <v>178</v>
      </c>
      <c r="F641" s="23" t="str">
        <f>IF($B641="","",IFERROR(INDEX(ProdNome,MATCH($B641,ProdCod,0)),"Código não cadastrado"))</f>
        <v>Tesoura escolar</v>
      </c>
      <c r="G641" s="24">
        <f>IF(OR($B641="",$D641=""),"",$D641*IFERROR(INDEX(ProdCusto,MATCH($B641,ProdCod,0)),0))</f>
        <v>16.8</v>
      </c>
      <c r="H641" s="25" t="str">
        <f>IF($A641="","",IF(OR($B641="",$C641="",$D641=""),"Preencher tudo",IF($F641="Código não cadastrado","Código inválido","OK")))</f>
        <v>OK</v>
      </c>
    </row>
    <row r="642" spans="1:8">
      <c r="A642" s="16">
        <v>46292</v>
      </c>
      <c r="B642" s="15" t="s">
        <v>133</v>
      </c>
      <c r="C642" s="20" t="s">
        <v>177</v>
      </c>
      <c r="D642" s="22">
        <v>1</v>
      </c>
      <c r="E642" s="15" t="s">
        <v>178</v>
      </c>
      <c r="F642" s="23" t="str">
        <f>IF($B642="","",IFERROR(INDEX(ProdNome,MATCH($B642,ProdCod,0)),"Código não cadastrado"))</f>
        <v>Agenda 2027</v>
      </c>
      <c r="G642" s="24">
        <f>IF(OR($B642="",$D642=""),"",$D642*IFERROR(INDEX(ProdCusto,MATCH($B642,ProdCod,0)),0))</f>
        <v>14</v>
      </c>
      <c r="H642" s="25" t="str">
        <f>IF($A642="","",IF(OR($B642="",$C642="",$D642=""),"Preencher tudo",IF($F642="Código não cadastrado","Código inválido","OK")))</f>
        <v>OK</v>
      </c>
    </row>
    <row r="643" spans="1:8">
      <c r="A643" s="16">
        <v>46292</v>
      </c>
      <c r="B643" s="15" t="s">
        <v>153</v>
      </c>
      <c r="C643" s="20" t="s">
        <v>177</v>
      </c>
      <c r="D643" s="22">
        <v>1</v>
      </c>
      <c r="E643" s="15" t="s">
        <v>178</v>
      </c>
      <c r="F643" s="23" t="str">
        <f>IF($B643="","",IFERROR(INDEX(ProdNome,MATCH($B643,ProdCod,0)),"Código não cadastrado"))</f>
        <v>Envelope A4 (pct 50)</v>
      </c>
      <c r="G643" s="24">
        <f>IF(OR($B643="",$D643=""),"",$D643*IFERROR(INDEX(ProdCusto,MATCH($B643,ProdCod,0)),0))</f>
        <v>14</v>
      </c>
      <c r="H643" s="25" t="str">
        <f>IF($A643="","",IF(OR($B643="",$C643="",$D643=""),"Preencher tudo",IF($F643="Código não cadastrado","Código inválido","OK")))</f>
        <v>OK</v>
      </c>
    </row>
    <row r="644" spans="1:8">
      <c r="A644" s="16">
        <v>46292</v>
      </c>
      <c r="B644" s="15" t="s">
        <v>159</v>
      </c>
      <c r="C644" s="20" t="s">
        <v>177</v>
      </c>
      <c r="D644" s="22">
        <v>1</v>
      </c>
      <c r="E644" s="15" t="s">
        <v>178</v>
      </c>
      <c r="F644" s="23" t="str">
        <f>IF($B644="","",IFERROR(INDEX(ProdNome,MATCH($B644,ProdCod,0)),"Código não cadastrado"))</f>
        <v>Luva descartável (cx 100)</v>
      </c>
      <c r="G644" s="24">
        <f>IF(OR($B644="",$D644=""),"",$D644*IFERROR(INDEX(ProdCusto,MATCH($B644,ProdCod,0)),0))</f>
        <v>21</v>
      </c>
      <c r="H644" s="25" t="str">
        <f>IF($A644="","",IF(OR($B644="",$C644="",$D644=""),"Preencher tudo",IF($F644="Código não cadastrado","Código inválido","OK")))</f>
        <v>OK</v>
      </c>
    </row>
    <row r="645" spans="1:8">
      <c r="A645" s="16">
        <v>46292</v>
      </c>
      <c r="B645" s="15" t="s">
        <v>161</v>
      </c>
      <c r="C645" s="20" t="s">
        <v>177</v>
      </c>
      <c r="D645" s="22">
        <v>1</v>
      </c>
      <c r="E645" s="15" t="s">
        <v>178</v>
      </c>
      <c r="F645" s="23" t="str">
        <f>IF($B645="","",IFERROR(INDEX(ProdNome,MATCH($B645,ProdCod,0)),"Código não cadastrado"))</f>
        <v>Pote plástico 500ml (pct 12)</v>
      </c>
      <c r="G645" s="24">
        <f>IF(OR($B645="",$D645=""),"",$D645*IFERROR(INDEX(ProdCusto,MATCH($B645,ProdCod,0)),0))</f>
        <v>11</v>
      </c>
      <c r="H645" s="25" t="str">
        <f>IF($A645="","",IF(OR($B645="",$C645="",$D645=""),"Preencher tudo",IF($F645="Código não cadastrado","Código inválido","OK")))</f>
        <v>OK</v>
      </c>
    </row>
    <row r="646" spans="1:8">
      <c r="A646" s="16">
        <v>46293</v>
      </c>
      <c r="B646" s="15" t="s">
        <v>119</v>
      </c>
      <c r="C646" s="20" t="s">
        <v>177</v>
      </c>
      <c r="D646" s="22">
        <v>1</v>
      </c>
      <c r="E646" s="15" t="s">
        <v>178</v>
      </c>
      <c r="F646" s="23" t="str">
        <f>IF($B646="","",IFERROR(INDEX(ProdNome,MATCH($B646,ProdCod,0)),"Código não cadastrado"))</f>
        <v>Plástico bolha (rolo 50m)</v>
      </c>
      <c r="G646" s="24">
        <f>IF(OR($B646="",$D646=""),"",$D646*IFERROR(INDEX(ProdCusto,MATCH($B646,ProdCod,0)),0))</f>
        <v>32</v>
      </c>
      <c r="H646" s="25" t="str">
        <f>IF($A646="","",IF(OR($B646="",$C646="",$D646=""),"Preencher tudo",IF($F646="Código não cadastrado","Código inválido","OK")))</f>
        <v>OK</v>
      </c>
    </row>
    <row r="647" spans="1:8">
      <c r="A647" s="16">
        <v>46293</v>
      </c>
      <c r="B647" s="15" t="s">
        <v>129</v>
      </c>
      <c r="C647" s="20" t="s">
        <v>177</v>
      </c>
      <c r="D647" s="22">
        <v>4</v>
      </c>
      <c r="E647" s="15" t="s">
        <v>178</v>
      </c>
      <c r="F647" s="23" t="str">
        <f>IF($B647="","",IFERROR(INDEX(ProdNome,MATCH($B647,ProdCod,0)),"Código não cadastrado"))</f>
        <v>Caneca branca para sublimação</v>
      </c>
      <c r="G647" s="24">
        <f>IF(OR($B647="",$D647=""),"",$D647*IFERROR(INDEX(ProdCusto,MATCH($B647,ProdCod,0)),0))</f>
        <v>16.8</v>
      </c>
      <c r="H647" s="25" t="str">
        <f>IF($A647="","",IF(OR($B647="",$C647="",$D647=""),"Preencher tudo",IF($F647="Código não cadastrado","Código inválido","OK")))</f>
        <v>OK</v>
      </c>
    </row>
    <row r="648" spans="1:8">
      <c r="A648" s="16">
        <v>46293</v>
      </c>
      <c r="B648" s="15" t="s">
        <v>135</v>
      </c>
      <c r="C648" s="20" t="s">
        <v>177</v>
      </c>
      <c r="D648" s="22">
        <v>1</v>
      </c>
      <c r="E648" s="15" t="s">
        <v>178</v>
      </c>
      <c r="F648" s="23" t="str">
        <f>IF($B648="","",IFERROR(INDEX(ProdNome,MATCH($B648,ProdCod,0)),"Código não cadastrado"))</f>
        <v>Marca-texto (cx 6)</v>
      </c>
      <c r="G648" s="24">
        <f>IF(OR($B648="",$D648=""),"",$D648*IFERROR(INDEX(ProdCusto,MATCH($B648,ProdCod,0)),0))</f>
        <v>9.8</v>
      </c>
      <c r="H648" s="25" t="str">
        <f>IF($A648="","",IF(OR($B648="",$C648="",$D648=""),"Preencher tudo",IF($F648="Código não cadastrado","Código inválido","OK")))</f>
        <v>OK</v>
      </c>
    </row>
    <row r="649" spans="1:8">
      <c r="A649" s="16">
        <v>46293</v>
      </c>
      <c r="B649" s="15" t="s">
        <v>139</v>
      </c>
      <c r="C649" s="20" t="s">
        <v>177</v>
      </c>
      <c r="D649" s="22">
        <v>1</v>
      </c>
      <c r="E649" s="15" t="s">
        <v>178</v>
      </c>
      <c r="F649" s="23" t="str">
        <f>IF($B649="","",IFERROR(INDEX(ProdNome,MATCH($B649,ProdCod,0)),"Código não cadastrado"))</f>
        <v>Calculadora de mesa</v>
      </c>
      <c r="G649" s="24">
        <f>IF(OR($B649="",$D649=""),"",$D649*IFERROR(INDEX(ProdCusto,MATCH($B649,ProdCod,0)),0))</f>
        <v>17</v>
      </c>
      <c r="H649" s="25" t="str">
        <f>IF($A649="","",IF(OR($B649="",$C649="",$D649=""),"Preencher tudo",IF($F649="Código não cadastrado","Código inválido","OK")))</f>
        <v>OK</v>
      </c>
    </row>
    <row r="650" spans="1:8">
      <c r="A650" s="16">
        <v>46293</v>
      </c>
      <c r="B650" s="15" t="s">
        <v>147</v>
      </c>
      <c r="C650" s="20" t="s">
        <v>177</v>
      </c>
      <c r="D650" s="22">
        <v>1</v>
      </c>
      <c r="E650" s="15" t="s">
        <v>178</v>
      </c>
      <c r="F650" s="23" t="str">
        <f>IF($B650="","",IFERROR(INDEX(ProdNome,MATCH($B650,ProdCod,0)),"Código não cadastrado"))</f>
        <v>Toner genérico preto</v>
      </c>
      <c r="G650" s="24">
        <f>IF(OR($B650="",$D650=""),"",$D650*IFERROR(INDEX(ProdCusto,MATCH($B650,ProdCod,0)),0))</f>
        <v>62</v>
      </c>
      <c r="H650" s="25" t="str">
        <f>IF($A650="","",IF(OR($B650="",$C650="",$D650=""),"Preencher tudo",IF($F650="Código não cadastrado","Código inválido","OK")))</f>
        <v>OK</v>
      </c>
    </row>
    <row r="651" spans="1:8">
      <c r="A651" s="16">
        <v>46295</v>
      </c>
      <c r="B651" s="15" t="s">
        <v>93</v>
      </c>
      <c r="C651" s="20" t="s">
        <v>177</v>
      </c>
      <c r="D651" s="22">
        <v>54</v>
      </c>
      <c r="E651" s="15" t="s">
        <v>178</v>
      </c>
      <c r="F651" s="23" t="str">
        <f>IF($B651="","",IFERROR(INDEX(ProdNome,MATCH($B651,ProdCod,0)),"Código não cadastrado"))</f>
        <v>Papel A4 75g (resma)</v>
      </c>
      <c r="G651" s="24">
        <f>IF(OR($B651="",$D651=""),"",$D651*IFERROR(INDEX(ProdCusto,MATCH($B651,ProdCod,0)),0))</f>
        <v>1161</v>
      </c>
      <c r="H651" s="25" t="str">
        <f>IF($A651="","",IF(OR($B651="",$C651="",$D651=""),"Preencher tudo",IF($F651="Código não cadastrado","Código inválido","OK")))</f>
        <v>OK</v>
      </c>
    </row>
    <row r="652" spans="1:8">
      <c r="A652" s="16">
        <v>46295</v>
      </c>
      <c r="B652" s="15" t="s">
        <v>143</v>
      </c>
      <c r="C652" s="20" t="s">
        <v>177</v>
      </c>
      <c r="D652" s="22">
        <v>6</v>
      </c>
      <c r="E652" s="15" t="s">
        <v>178</v>
      </c>
      <c r="F652" s="23" t="str">
        <f>IF($B652="","",IFERROR(INDEX(ProdNome,MATCH($B652,ProdCod,0)),"Código não cadastrado"))</f>
        <v>Régua 30cm</v>
      </c>
      <c r="G652" s="24">
        <f>IF(OR($B652="",$D652=""),"",$D652*IFERROR(INDEX(ProdCusto,MATCH($B652,ProdCod,0)),0))</f>
        <v>5.4</v>
      </c>
      <c r="H652" s="25" t="str">
        <f>IF($A652="","",IF(OR($B652="",$C652="",$D652=""),"Preencher tudo",IF($F652="Código não cadastrado","Código inválido","OK")))</f>
        <v>OK</v>
      </c>
    </row>
    <row r="653" spans="1:8">
      <c r="A653" s="16">
        <v>46296</v>
      </c>
      <c r="B653" s="15" t="s">
        <v>93</v>
      </c>
      <c r="C653" s="20" t="s">
        <v>179</v>
      </c>
      <c r="D653" s="22">
        <v>54</v>
      </c>
      <c r="E653" s="15" t="s">
        <v>370</v>
      </c>
      <c r="F653" s="23" t="str">
        <f>IF($B653="","",IFERROR(INDEX(ProdNome,MATCH($B653,ProdCod,0)),"Código não cadastrado"))</f>
        <v>Papel A4 75g (resma)</v>
      </c>
      <c r="G653" s="24">
        <f>IF(OR($B653="",$D653=""),"",$D653*IFERROR(INDEX(ProdCusto,MATCH($B653,ProdCod,0)),0))</f>
        <v>1161</v>
      </c>
      <c r="H653" s="25" t="str">
        <f>IF($A653="","",IF(OR($B653="",$C653="",$D653=""),"Preencher tudo",IF($F653="Código não cadastrado","Código inválido","OK")))</f>
        <v>OK</v>
      </c>
    </row>
    <row r="654" spans="1:8">
      <c r="A654" s="16">
        <v>46296</v>
      </c>
      <c r="B654" s="15" t="s">
        <v>101</v>
      </c>
      <c r="C654" s="20" t="s">
        <v>179</v>
      </c>
      <c r="D654" s="22">
        <v>13</v>
      </c>
      <c r="E654" s="15" t="s">
        <v>371</v>
      </c>
      <c r="F654" s="23" t="str">
        <f>IF($B654="","",IFERROR(INDEX(ProdNome,MATCH($B654,ProdCod,0)),"Código não cadastrado"))</f>
        <v>Pen drive 32GB</v>
      </c>
      <c r="G654" s="24">
        <f>IF(OR($B654="",$D654=""),"",$D654*IFERROR(INDEX(ProdCusto,MATCH($B654,ProdCod,0)),0))</f>
        <v>286</v>
      </c>
      <c r="H654" s="25" t="str">
        <f>IF($A654="","",IF(OR($B654="",$C654="",$D654=""),"Preencher tudo",IF($F654="Código não cadastrado","Código inválido","OK")))</f>
        <v>OK</v>
      </c>
    </row>
    <row r="655" spans="1:8">
      <c r="A655" s="16">
        <v>46296</v>
      </c>
      <c r="B655" s="15" t="s">
        <v>105</v>
      </c>
      <c r="C655" s="20" t="s">
        <v>177</v>
      </c>
      <c r="D655" s="22">
        <v>6</v>
      </c>
      <c r="E655" s="15" t="s">
        <v>178</v>
      </c>
      <c r="F655" s="23" t="str">
        <f>IF($B655="","",IFERROR(INDEX(ProdNome,MATCH($B655,ProdCod,0)),"Código não cadastrado"))</f>
        <v>Mochila escolar 20L</v>
      </c>
      <c r="G655" s="24">
        <f>IF(OR($B655="",$D655=""),"",$D655*IFERROR(INDEX(ProdCusto,MATCH($B655,ProdCod,0)),0))</f>
        <v>276</v>
      </c>
      <c r="H655" s="25" t="str">
        <f>IF($A655="","",IF(OR($B655="",$C655="",$D655=""),"Preencher tudo",IF($F655="Código não cadastrado","Código inválido","OK")))</f>
        <v>OK</v>
      </c>
    </row>
    <row r="656" spans="1:8">
      <c r="A656" s="16">
        <v>46296</v>
      </c>
      <c r="B656" s="15" t="s">
        <v>121</v>
      </c>
      <c r="C656" s="20" t="s">
        <v>177</v>
      </c>
      <c r="D656" s="22">
        <v>2</v>
      </c>
      <c r="E656" s="15" t="s">
        <v>178</v>
      </c>
      <c r="F656" s="23" t="str">
        <f>IF($B656="","",IFERROR(INDEX(ProdNome,MATCH($B656,ProdCod,0)),"Código não cadastrado"))</f>
        <v>Sacola kraft G (pct 50)</v>
      </c>
      <c r="G656" s="24">
        <f>IF(OR($B656="",$D656=""),"",$D656*IFERROR(INDEX(ProdCusto,MATCH($B656,ProdCod,0)),0))</f>
        <v>48</v>
      </c>
      <c r="H656" s="25" t="str">
        <f>IF($A656="","",IF(OR($B656="",$C656="",$D656=""),"Preencher tudo",IF($F656="Código não cadastrado","Código inválido","OK")))</f>
        <v>OK</v>
      </c>
    </row>
    <row r="657" spans="1:8">
      <c r="A657" s="16">
        <v>46296</v>
      </c>
      <c r="B657" s="15" t="s">
        <v>125</v>
      </c>
      <c r="C657" s="20" t="s">
        <v>177</v>
      </c>
      <c r="D657" s="22">
        <v>4</v>
      </c>
      <c r="E657" s="15" t="s">
        <v>178</v>
      </c>
      <c r="F657" s="23" t="str">
        <f>IF($B657="","",IFERROR(INDEX(ProdNome,MATCH($B657,ProdCod,0)),"Código não cadastrado"))</f>
        <v>Papel toalha (pct 2)</v>
      </c>
      <c r="G657" s="24">
        <f>IF(OR($B657="",$D657=""),"",$D657*IFERROR(INDEX(ProdCusto,MATCH($B657,ProdCod,0)),0))</f>
        <v>23.6</v>
      </c>
      <c r="H657" s="25" t="str">
        <f>IF($A657="","",IF(OR($B657="",$C657="",$D657=""),"Preencher tudo",IF($F657="Código não cadastrado","Código inválido","OK")))</f>
        <v>OK</v>
      </c>
    </row>
    <row r="658" spans="1:8">
      <c r="A658" s="16">
        <v>46296</v>
      </c>
      <c r="B658" s="15" t="s">
        <v>139</v>
      </c>
      <c r="C658" s="20" t="s">
        <v>177</v>
      </c>
      <c r="D658" s="22">
        <v>1</v>
      </c>
      <c r="E658" s="15" t="s">
        <v>178</v>
      </c>
      <c r="F658" s="23" t="str">
        <f>IF($B658="","",IFERROR(INDEX(ProdNome,MATCH($B658,ProdCod,0)),"Código não cadastrado"))</f>
        <v>Calculadora de mesa</v>
      </c>
      <c r="G658" s="24">
        <f>IF(OR($B658="",$D658=""),"",$D658*IFERROR(INDEX(ProdCusto,MATCH($B658,ProdCod,0)),0))</f>
        <v>17</v>
      </c>
      <c r="H658" s="25" t="str">
        <f>IF($A658="","",IF(OR($B658="",$C658="",$D658=""),"Preencher tudo",IF($F658="Código não cadastrado","Código inválido","OK")))</f>
        <v>OK</v>
      </c>
    </row>
    <row r="659" spans="1:8">
      <c r="A659" s="16">
        <v>46296</v>
      </c>
      <c r="B659" s="15" t="s">
        <v>141</v>
      </c>
      <c r="C659" s="20" t="s">
        <v>177</v>
      </c>
      <c r="D659" s="22">
        <v>1</v>
      </c>
      <c r="E659" s="15" t="s">
        <v>178</v>
      </c>
      <c r="F659" s="23" t="str">
        <f>IF($B659="","",IFERROR(INDEX(ProdNome,MATCH($B659,ProdCod,0)),"Código não cadastrado"))</f>
        <v>Fichário argolado</v>
      </c>
      <c r="G659" s="24">
        <f>IF(OR($B659="",$D659=""),"",$D659*IFERROR(INDEX(ProdCusto,MATCH($B659,ProdCod,0)),0))</f>
        <v>21</v>
      </c>
      <c r="H659" s="25" t="str">
        <f>IF($A659="","",IF(OR($B659="",$C659="",$D659=""),"Preencher tudo",IF($F659="Código não cadastrado","Código inválido","OK")))</f>
        <v>OK</v>
      </c>
    </row>
    <row r="660" spans="1:8">
      <c r="A660" s="16">
        <v>46296</v>
      </c>
      <c r="B660" s="15" t="s">
        <v>147</v>
      </c>
      <c r="C660" s="20" t="s">
        <v>177</v>
      </c>
      <c r="D660" s="22">
        <v>1</v>
      </c>
      <c r="E660" s="15" t="s">
        <v>178</v>
      </c>
      <c r="F660" s="23" t="str">
        <f>IF($B660="","",IFERROR(INDEX(ProdNome,MATCH($B660,ProdCod,0)),"Código não cadastrado"))</f>
        <v>Toner genérico preto</v>
      </c>
      <c r="G660" s="24">
        <f>IF(OR($B660="",$D660=""),"",$D660*IFERROR(INDEX(ProdCusto,MATCH($B660,ProdCod,0)),0))</f>
        <v>62</v>
      </c>
      <c r="H660" s="25" t="str">
        <f>IF($A660="","",IF(OR($B660="",$C660="",$D660=""),"Preencher tudo",IF($F660="Código não cadastrado","Código inválido","OK")))</f>
        <v>OK</v>
      </c>
    </row>
    <row r="661" spans="1:8">
      <c r="A661" s="16">
        <v>46296</v>
      </c>
      <c r="B661" s="15" t="s">
        <v>167</v>
      </c>
      <c r="C661" s="20" t="s">
        <v>179</v>
      </c>
      <c r="D661" s="22">
        <v>3</v>
      </c>
      <c r="E661" s="15" t="s">
        <v>372</v>
      </c>
      <c r="F661" s="23" t="str">
        <f>IF($B661="","",IFERROR(INDEX(ProdNome,MATCH($B661,ProdCod,0)),"Código não cadastrado"))</f>
        <v>Porta-retrato 10x15</v>
      </c>
      <c r="G661" s="24">
        <f>IF(OR($B661="",$D661=""),"",$D661*IFERROR(INDEX(ProdCusto,MATCH($B661,ProdCod,0)),0))</f>
        <v>18.6</v>
      </c>
      <c r="H661" s="25" t="str">
        <f>IF($A661="","",IF(OR($B661="",$C661="",$D661=""),"Preencher tudo",IF($F661="Código não cadastrado","Código inválido","OK")))</f>
        <v>OK</v>
      </c>
    </row>
    <row r="662" spans="1:8">
      <c r="A662" s="16">
        <v>46297</v>
      </c>
      <c r="B662" s="15" t="s">
        <v>89</v>
      </c>
      <c r="C662" s="20" t="s">
        <v>177</v>
      </c>
      <c r="D662" s="22">
        <v>31</v>
      </c>
      <c r="E662" s="15" t="s">
        <v>178</v>
      </c>
      <c r="F662" s="23" t="str">
        <f>IF($B662="","",IFERROR(INDEX(ProdNome,MATCH($B662,ProdCod,0)),"Código não cadastrado"))</f>
        <v>Caderno universitário 10 matérias</v>
      </c>
      <c r="G662" s="24">
        <f>IF(OR($B662="",$D662=""),"",$D662*IFERROR(INDEX(ProdCusto,MATCH($B662,ProdCod,0)),0))</f>
        <v>294.5</v>
      </c>
      <c r="H662" s="25" t="str">
        <f>IF($A662="","",IF(OR($B662="",$C662="",$D662=""),"Preencher tudo",IF($F662="Código não cadastrado","Código inválido","OK")))</f>
        <v>OK</v>
      </c>
    </row>
    <row r="663" spans="1:8">
      <c r="A663" s="16">
        <v>46297</v>
      </c>
      <c r="B663" s="15" t="s">
        <v>91</v>
      </c>
      <c r="C663" s="20" t="s">
        <v>179</v>
      </c>
      <c r="D663" s="22">
        <v>12</v>
      </c>
      <c r="E663" s="15" t="s">
        <v>373</v>
      </c>
      <c r="F663" s="23" t="str">
        <f>IF($B663="","",IFERROR(INDEX(ProdNome,MATCH($B663,ProdCod,0)),"Código não cadastrado"))</f>
        <v>Caneta esferográfica azul (cx 50)</v>
      </c>
      <c r="G663" s="24">
        <f>IF(OR($B663="",$D663=""),"",$D663*IFERROR(INDEX(ProdCusto,MATCH($B663,ProdCod,0)),0))</f>
        <v>264</v>
      </c>
      <c r="H663" s="25" t="str">
        <f>IF($A663="","",IF(OR($B663="",$C663="",$D663=""),"Preencher tudo",IF($F663="Código não cadastrado","Código inválido","OK")))</f>
        <v>OK</v>
      </c>
    </row>
    <row r="664" spans="1:8">
      <c r="A664" s="16">
        <v>46297</v>
      </c>
      <c r="B664" s="15" t="s">
        <v>99</v>
      </c>
      <c r="C664" s="20" t="s">
        <v>179</v>
      </c>
      <c r="D664" s="22">
        <v>3</v>
      </c>
      <c r="E664" s="15" t="s">
        <v>374</v>
      </c>
      <c r="F664" s="23" t="str">
        <f>IF($B664="","",IFERROR(INDEX(ProdNome,MATCH($B664,ProdCod,0)),"Código não cadastrado"))</f>
        <v>Mouse óptico USB</v>
      </c>
      <c r="G664" s="24">
        <f>IF(OR($B664="",$D664=""),"",$D664*IFERROR(INDEX(ProdCusto,MATCH($B664,ProdCod,0)),0))</f>
        <v>33</v>
      </c>
      <c r="H664" s="25" t="str">
        <f>IF($A664="","",IF(OR($B664="",$C664="",$D664=""),"Preencher tudo",IF($F664="Código não cadastrado","Código inválido","OK")))</f>
        <v>OK</v>
      </c>
    </row>
    <row r="665" spans="1:8">
      <c r="A665" s="16">
        <v>46297</v>
      </c>
      <c r="B665" s="15" t="s">
        <v>105</v>
      </c>
      <c r="C665" s="20" t="s">
        <v>179</v>
      </c>
      <c r="D665" s="22">
        <v>11</v>
      </c>
      <c r="E665" s="15" t="s">
        <v>375</v>
      </c>
      <c r="F665" s="23" t="str">
        <f>IF($B665="","",IFERROR(INDEX(ProdNome,MATCH($B665,ProdCod,0)),"Código não cadastrado"))</f>
        <v>Mochila escolar 20L</v>
      </c>
      <c r="G665" s="24">
        <f>IF(OR($B665="",$D665=""),"",$D665*IFERROR(INDEX(ProdCusto,MATCH($B665,ProdCod,0)),0))</f>
        <v>506</v>
      </c>
      <c r="H665" s="25" t="str">
        <f>IF($A665="","",IF(OR($B665="",$C665="",$D665=""),"Preencher tudo",IF($F665="Código não cadastrado","Código inválido","OK")))</f>
        <v>OK</v>
      </c>
    </row>
    <row r="666" spans="1:8">
      <c r="A666" s="16">
        <v>46297</v>
      </c>
      <c r="B666" s="15" t="s">
        <v>131</v>
      </c>
      <c r="C666" s="20" t="s">
        <v>179</v>
      </c>
      <c r="D666" s="22">
        <v>4</v>
      </c>
      <c r="E666" s="15" t="s">
        <v>376</v>
      </c>
      <c r="F666" s="23" t="str">
        <f>IF($B666="","",IFERROR(INDEX(ProdNome,MATCH($B666,ProdCod,0)),"Código não cadastrado"))</f>
        <v>Garrafa squeeze 600ml</v>
      </c>
      <c r="G666" s="24">
        <f>IF(OR($B666="",$D666=""),"",$D666*IFERROR(INDEX(ProdCusto,MATCH($B666,ProdCod,0)),0))</f>
        <v>39.6</v>
      </c>
      <c r="H666" s="25" t="str">
        <f>IF($A666="","",IF(OR($B666="",$C666="",$D666=""),"Preencher tudo",IF($F666="Código não cadastrado","Código inválido","OK")))</f>
        <v>OK</v>
      </c>
    </row>
    <row r="667" spans="1:8">
      <c r="A667" s="16">
        <v>46297</v>
      </c>
      <c r="B667" s="15" t="s">
        <v>135</v>
      </c>
      <c r="C667" s="20" t="s">
        <v>179</v>
      </c>
      <c r="D667" s="22">
        <v>3</v>
      </c>
      <c r="E667" s="15" t="s">
        <v>377</v>
      </c>
      <c r="F667" s="23" t="str">
        <f>IF($B667="","",IFERROR(INDEX(ProdNome,MATCH($B667,ProdCod,0)),"Código não cadastrado"))</f>
        <v>Marca-texto (cx 6)</v>
      </c>
      <c r="G667" s="24">
        <f>IF(OR($B667="",$D667=""),"",$D667*IFERROR(INDEX(ProdCusto,MATCH($B667,ProdCod,0)),0))</f>
        <v>29.4</v>
      </c>
      <c r="H667" s="25" t="str">
        <f>IF($A667="","",IF(OR($B667="",$C667="",$D667=""),"Preencher tudo",IF($F667="Código não cadastrado","Código inválido","OK")))</f>
        <v>OK</v>
      </c>
    </row>
    <row r="668" spans="1:8">
      <c r="A668" s="16">
        <v>46297</v>
      </c>
      <c r="B668" s="15" t="s">
        <v>149</v>
      </c>
      <c r="C668" s="20" t="s">
        <v>179</v>
      </c>
      <c r="D668" s="22">
        <v>5</v>
      </c>
      <c r="E668" s="15" t="s">
        <v>378</v>
      </c>
      <c r="F668" s="23" t="str">
        <f>IF($B668="","",IFERROR(INDEX(ProdNome,MATCH($B668,ProdCod,0)),"Código não cadastrado"))</f>
        <v>Mouse pad</v>
      </c>
      <c r="G668" s="24">
        <f>IF(OR($B668="",$D668=""),"",$D668*IFERROR(INDEX(ProdCusto,MATCH($B668,ProdCod,0)),0))</f>
        <v>24.5</v>
      </c>
      <c r="H668" s="25" t="str">
        <f>IF($A668="","",IF(OR($B668="",$C668="",$D668=""),"Preencher tudo",IF($F668="Código não cadastrado","Código inválido","OK")))</f>
        <v>OK</v>
      </c>
    </row>
    <row r="669" spans="1:8">
      <c r="A669" s="16">
        <v>46297</v>
      </c>
      <c r="B669" s="15" t="s">
        <v>153</v>
      </c>
      <c r="C669" s="20" t="s">
        <v>177</v>
      </c>
      <c r="D669" s="22">
        <v>1</v>
      </c>
      <c r="E669" s="15" t="s">
        <v>178</v>
      </c>
      <c r="F669" s="23" t="str">
        <f>IF($B669="","",IFERROR(INDEX(ProdNome,MATCH($B669,ProdCod,0)),"Código não cadastrado"))</f>
        <v>Envelope A4 (pct 50)</v>
      </c>
      <c r="G669" s="24">
        <f>IF(OR($B669="",$D669=""),"",$D669*IFERROR(INDEX(ProdCusto,MATCH($B669,ProdCod,0)),0))</f>
        <v>14</v>
      </c>
      <c r="H669" s="25" t="str">
        <f>IF($A669="","",IF(OR($B669="",$C669="",$D669=""),"Preencher tudo",IF($F669="Código não cadastrado","Código inválido","OK")))</f>
        <v>OK</v>
      </c>
    </row>
    <row r="670" spans="1:8">
      <c r="A670" s="16">
        <v>46297</v>
      </c>
      <c r="B670" s="15" t="s">
        <v>159</v>
      </c>
      <c r="C670" s="20" t="s">
        <v>177</v>
      </c>
      <c r="D670" s="22">
        <v>1</v>
      </c>
      <c r="E670" s="15" t="s">
        <v>178</v>
      </c>
      <c r="F670" s="23" t="str">
        <f>IF($B670="","",IFERROR(INDEX(ProdNome,MATCH($B670,ProdCod,0)),"Código não cadastrado"))</f>
        <v>Luva descartável (cx 100)</v>
      </c>
      <c r="G670" s="24">
        <f>IF(OR($B670="",$D670=""),"",$D670*IFERROR(INDEX(ProdCusto,MATCH($B670,ProdCod,0)),0))</f>
        <v>21</v>
      </c>
      <c r="H670" s="25" t="str">
        <f>IF($A670="","",IF(OR($B670="",$C670="",$D670=""),"Preencher tudo",IF($F670="Código não cadastrado","Código inválido","OK")))</f>
        <v>OK</v>
      </c>
    </row>
    <row r="671" spans="1:8">
      <c r="A671" s="16">
        <v>46297</v>
      </c>
      <c r="B671" s="15" t="s">
        <v>163</v>
      </c>
      <c r="C671" s="20" t="s">
        <v>177</v>
      </c>
      <c r="D671" s="22">
        <v>1</v>
      </c>
      <c r="E671" s="15" t="s">
        <v>178</v>
      </c>
      <c r="F671" s="23" t="str">
        <f>IF($B671="","",IFERROR(INDEX(ProdNome,MATCH($B671,ProdCod,0)),"Código não cadastrado"))</f>
        <v>Caixa organizadora</v>
      </c>
      <c r="G671" s="24">
        <f>IF(OR($B671="",$D671=""),"",$D671*IFERROR(INDEX(ProdCusto,MATCH($B671,ProdCod,0)),0))</f>
        <v>18</v>
      </c>
      <c r="H671" s="25" t="str">
        <f>IF($A671="","",IF(OR($B671="",$C671="",$D671=""),"Preencher tudo",IF($F671="Código não cadastrado","Código inválido","OK")))</f>
        <v>OK</v>
      </c>
    </row>
    <row r="672" spans="1:8">
      <c r="A672" s="16">
        <v>46297</v>
      </c>
      <c r="B672" s="15" t="s">
        <v>167</v>
      </c>
      <c r="C672" s="20" t="s">
        <v>177</v>
      </c>
      <c r="D672" s="22">
        <v>2</v>
      </c>
      <c r="E672" s="15" t="s">
        <v>178</v>
      </c>
      <c r="F672" s="23" t="str">
        <f>IF($B672="","",IFERROR(INDEX(ProdNome,MATCH($B672,ProdCod,0)),"Código não cadastrado"))</f>
        <v>Porta-retrato 10x15</v>
      </c>
      <c r="G672" s="24">
        <f>IF(OR($B672="",$D672=""),"",$D672*IFERROR(INDEX(ProdCusto,MATCH($B672,ProdCod,0)),0))</f>
        <v>12.4</v>
      </c>
      <c r="H672" s="25" t="str">
        <f>IF($A672="","",IF(OR($B672="",$C672="",$D672=""),"Preencher tudo",IF($F672="Código não cadastrado","Código inválido","OK")))</f>
        <v>OK</v>
      </c>
    </row>
    <row r="673" spans="1:8">
      <c r="A673" s="16">
        <v>46298</v>
      </c>
      <c r="B673" s="15" t="s">
        <v>91</v>
      </c>
      <c r="C673" s="20" t="s">
        <v>177</v>
      </c>
      <c r="D673" s="22">
        <v>12</v>
      </c>
      <c r="E673" s="15" t="s">
        <v>178</v>
      </c>
      <c r="F673" s="23" t="str">
        <f>IF($B673="","",IFERROR(INDEX(ProdNome,MATCH($B673,ProdCod,0)),"Código não cadastrado"))</f>
        <v>Caneta esferográfica azul (cx 50)</v>
      </c>
      <c r="G673" s="24">
        <f>IF(OR($B673="",$D673=""),"",$D673*IFERROR(INDEX(ProdCusto,MATCH($B673,ProdCod,0)),0))</f>
        <v>264</v>
      </c>
      <c r="H673" s="25" t="str">
        <f>IF($A673="","",IF(OR($B673="",$C673="",$D673=""),"Preencher tudo",IF($F673="Código não cadastrado","Código inválido","OK")))</f>
        <v>OK</v>
      </c>
    </row>
    <row r="674" spans="1:8">
      <c r="A674" s="16">
        <v>46298</v>
      </c>
      <c r="B674" s="15" t="s">
        <v>95</v>
      </c>
      <c r="C674" s="20" t="s">
        <v>177</v>
      </c>
      <c r="D674" s="22">
        <v>1</v>
      </c>
      <c r="E674" s="15" t="s">
        <v>178</v>
      </c>
      <c r="F674" s="23" t="str">
        <f>IF($B674="","",IFERROR(INDEX(ProdNome,MATCH($B674,ProdCod,0)),"Código não cadastrado"))</f>
        <v>Pasta suspensa (pct 25)</v>
      </c>
      <c r="G674" s="24">
        <f>IF(OR($B674="",$D674=""),"",$D674*IFERROR(INDEX(ProdCusto,MATCH($B674,ProdCod,0)),0))</f>
        <v>28</v>
      </c>
      <c r="H674" s="25" t="str">
        <f>IF($A674="","",IF(OR($B674="",$C674="",$D674=""),"Preencher tudo",IF($F674="Código não cadastrado","Código inválido","OK")))</f>
        <v>OK</v>
      </c>
    </row>
    <row r="675" spans="1:8">
      <c r="A675" s="16">
        <v>46298</v>
      </c>
      <c r="B675" s="15" t="s">
        <v>99</v>
      </c>
      <c r="C675" s="20" t="s">
        <v>177</v>
      </c>
      <c r="D675" s="22">
        <v>2</v>
      </c>
      <c r="E675" s="15" t="s">
        <v>178</v>
      </c>
      <c r="F675" s="23" t="str">
        <f>IF($B675="","",IFERROR(INDEX(ProdNome,MATCH($B675,ProdCod,0)),"Código não cadastrado"))</f>
        <v>Mouse óptico USB</v>
      </c>
      <c r="G675" s="24">
        <f>IF(OR($B675="",$D675=""),"",$D675*IFERROR(INDEX(ProdCusto,MATCH($B675,ProdCod,0)),0))</f>
        <v>22</v>
      </c>
      <c r="H675" s="25" t="str">
        <f>IF($A675="","",IF(OR($B675="",$C675="",$D675=""),"Preencher tudo",IF($F675="Código não cadastrado","Código inválido","OK")))</f>
        <v>OK</v>
      </c>
    </row>
    <row r="676" spans="1:8">
      <c r="A676" s="16">
        <v>46298</v>
      </c>
      <c r="B676" s="15" t="s">
        <v>101</v>
      </c>
      <c r="C676" s="20" t="s">
        <v>177</v>
      </c>
      <c r="D676" s="22">
        <v>7</v>
      </c>
      <c r="E676" s="15" t="s">
        <v>178</v>
      </c>
      <c r="F676" s="23" t="str">
        <f>IF($B676="","",IFERROR(INDEX(ProdNome,MATCH($B676,ProdCod,0)),"Código não cadastrado"))</f>
        <v>Pen drive 32GB</v>
      </c>
      <c r="G676" s="24">
        <f>IF(OR($B676="",$D676=""),"",$D676*IFERROR(INDEX(ProdCusto,MATCH($B676,ProdCod,0)),0))</f>
        <v>154</v>
      </c>
      <c r="H676" s="25" t="str">
        <f>IF($A676="","",IF(OR($B676="",$C676="",$D676=""),"Preencher tudo",IF($F676="Código não cadastrado","Código inválido","OK")))</f>
        <v>OK</v>
      </c>
    </row>
    <row r="677" spans="1:8">
      <c r="A677" s="16">
        <v>46298</v>
      </c>
      <c r="B677" s="15" t="s">
        <v>107</v>
      </c>
      <c r="C677" s="20" t="s">
        <v>177</v>
      </c>
      <c r="D677" s="22">
        <v>2</v>
      </c>
      <c r="E677" s="15" t="s">
        <v>178</v>
      </c>
      <c r="F677" s="23" t="str">
        <f>IF($B677="","",IFERROR(INDEX(ProdNome,MATCH($B677,ProdCod,0)),"Código não cadastrado"))</f>
        <v>Estojo duplo</v>
      </c>
      <c r="G677" s="24">
        <f>IF(OR($B677="",$D677=""),"",$D677*IFERROR(INDEX(ProdCusto,MATCH($B677,ProdCod,0)),0))</f>
        <v>17</v>
      </c>
      <c r="H677" s="25" t="str">
        <f>IF($A677="","",IF(OR($B677="",$C677="",$D677=""),"Preencher tudo",IF($F677="Código não cadastrado","Código inválido","OK")))</f>
        <v>OK</v>
      </c>
    </row>
    <row r="678" spans="1:8">
      <c r="A678" s="16">
        <v>46298</v>
      </c>
      <c r="B678" s="15" t="s">
        <v>111</v>
      </c>
      <c r="C678" s="20" t="s">
        <v>177</v>
      </c>
      <c r="D678" s="22">
        <v>8</v>
      </c>
      <c r="E678" s="15" t="s">
        <v>178</v>
      </c>
      <c r="F678" s="23" t="str">
        <f>IF($B678="","",IFERROR(INDEX(ProdNome,MATCH($B678,ProdCod,0)),"Código não cadastrado"))</f>
        <v>Cola branca 90g</v>
      </c>
      <c r="G678" s="24">
        <f>IF(OR($B678="",$D678=""),"",$D678*IFERROR(INDEX(ProdCusto,MATCH($B678,ProdCod,0)),0))</f>
        <v>15.2</v>
      </c>
      <c r="H678" s="25" t="str">
        <f>IF($A678="","",IF(OR($B678="",$C678="",$D678=""),"Preencher tudo",IF($F678="Código não cadastrado","Código inválido","OK")))</f>
        <v>OK</v>
      </c>
    </row>
    <row r="679" spans="1:8">
      <c r="A679" s="16">
        <v>46298</v>
      </c>
      <c r="B679" s="15" t="s">
        <v>115</v>
      </c>
      <c r="C679" s="20" t="s">
        <v>177</v>
      </c>
      <c r="D679" s="22">
        <v>8</v>
      </c>
      <c r="E679" s="15" t="s">
        <v>178</v>
      </c>
      <c r="F679" s="23" t="str">
        <f>IF($B679="","",IFERROR(INDEX(ProdNome,MATCH($B679,ProdCod,0)),"Código não cadastrado"))</f>
        <v>Fita adesiva transparente</v>
      </c>
      <c r="G679" s="24">
        <f>IF(OR($B679="",$D679=""),"",$D679*IFERROR(INDEX(ProdCusto,MATCH($B679,ProdCod,0)),0))</f>
        <v>12.8</v>
      </c>
      <c r="H679" s="25" t="str">
        <f>IF($A679="","",IF(OR($B679="",$C679="",$D679=""),"Preencher tudo",IF($F679="Código não cadastrado","Código inválido","OK")))</f>
        <v>OK</v>
      </c>
    </row>
    <row r="680" spans="1:8">
      <c r="A680" s="16">
        <v>46298</v>
      </c>
      <c r="B680" s="15" t="s">
        <v>119</v>
      </c>
      <c r="C680" s="20" t="s">
        <v>177</v>
      </c>
      <c r="D680" s="22">
        <v>1</v>
      </c>
      <c r="E680" s="15" t="s">
        <v>178</v>
      </c>
      <c r="F680" s="23" t="str">
        <f>IF($B680="","",IFERROR(INDEX(ProdNome,MATCH($B680,ProdCod,0)),"Código não cadastrado"))</f>
        <v>Plástico bolha (rolo 50m)</v>
      </c>
      <c r="G680" s="24">
        <f>IF(OR($B680="",$D680=""),"",$D680*IFERROR(INDEX(ProdCusto,MATCH($B680,ProdCod,0)),0))</f>
        <v>32</v>
      </c>
      <c r="H680" s="25" t="str">
        <f>IF($A680="","",IF(OR($B680="",$C680="",$D680=""),"Preencher tudo",IF($F680="Código não cadastrado","Código inválido","OK")))</f>
        <v>OK</v>
      </c>
    </row>
    <row r="681" spans="1:8">
      <c r="A681" s="16">
        <v>46298</v>
      </c>
      <c r="B681" s="15" t="s">
        <v>129</v>
      </c>
      <c r="C681" s="20" t="s">
        <v>179</v>
      </c>
      <c r="D681" s="22">
        <v>7</v>
      </c>
      <c r="E681" s="15" t="s">
        <v>379</v>
      </c>
      <c r="F681" s="23" t="str">
        <f>IF($B681="","",IFERROR(INDEX(ProdNome,MATCH($B681,ProdCod,0)),"Código não cadastrado"))</f>
        <v>Caneca branca para sublimação</v>
      </c>
      <c r="G681" s="24">
        <f>IF(OR($B681="",$D681=""),"",$D681*IFERROR(INDEX(ProdCusto,MATCH($B681,ProdCod,0)),0))</f>
        <v>29.4</v>
      </c>
      <c r="H681" s="25" t="str">
        <f>IF($A681="","",IF(OR($B681="",$C681="",$D681=""),"Preencher tudo",IF($F681="Código não cadastrado","Código inválido","OK")))</f>
        <v>OK</v>
      </c>
    </row>
    <row r="682" spans="1:8">
      <c r="A682" s="16">
        <v>46298</v>
      </c>
      <c r="B682" s="15" t="s">
        <v>157</v>
      </c>
      <c r="C682" s="20" t="s">
        <v>177</v>
      </c>
      <c r="D682" s="22">
        <v>1</v>
      </c>
      <c r="E682" s="15" t="s">
        <v>178</v>
      </c>
      <c r="F682" s="23" t="str">
        <f>IF($B682="","",IFERROR(INDEX(ProdNome,MATCH($B682,ProdCod,0)),"Código não cadastrado"))</f>
        <v>Papel fotográfico A4 (pct 20)</v>
      </c>
      <c r="G682" s="24">
        <f>IF(OR($B682="",$D682=""),"",$D682*IFERROR(INDEX(ProdCusto,MATCH($B682,ProdCod,0)),0))</f>
        <v>12.5</v>
      </c>
      <c r="H682" s="25" t="str">
        <f>IF($A682="","",IF(OR($B682="",$C682="",$D682=""),"Preencher tudo",IF($F682="Código não cadastrado","Código inválido","OK")))</f>
        <v>OK</v>
      </c>
    </row>
    <row r="683" spans="1:8">
      <c r="A683" s="16">
        <v>46298</v>
      </c>
      <c r="B683" s="15" t="s">
        <v>161</v>
      </c>
      <c r="C683" s="20" t="s">
        <v>177</v>
      </c>
      <c r="D683" s="22">
        <v>1</v>
      </c>
      <c r="E683" s="15" t="s">
        <v>178</v>
      </c>
      <c r="F683" s="23" t="str">
        <f>IF($B683="","",IFERROR(INDEX(ProdNome,MATCH($B683,ProdCod,0)),"Código não cadastrado"))</f>
        <v>Pote plástico 500ml (pct 12)</v>
      </c>
      <c r="G683" s="24">
        <f>IF(OR($B683="",$D683=""),"",$D683*IFERROR(INDEX(ProdCusto,MATCH($B683,ProdCod,0)),0))</f>
        <v>11</v>
      </c>
      <c r="H683" s="25" t="str">
        <f>IF($A683="","",IF(OR($B683="",$C683="",$D683=""),"Preencher tudo",IF($F683="Código não cadastrado","Código inválido","OK")))</f>
        <v>OK</v>
      </c>
    </row>
    <row r="684" spans="1:8">
      <c r="A684" s="16">
        <v>46299</v>
      </c>
      <c r="B684" s="15" t="s">
        <v>113</v>
      </c>
      <c r="C684" s="20" t="s">
        <v>177</v>
      </c>
      <c r="D684" s="22">
        <v>4</v>
      </c>
      <c r="E684" s="15" t="s">
        <v>178</v>
      </c>
      <c r="F684" s="23" t="str">
        <f>IF($B684="","",IFERROR(INDEX(ProdNome,MATCH($B684,ProdCod,0)),"Código não cadastrado"))</f>
        <v>Tesoura escolar</v>
      </c>
      <c r="G684" s="24">
        <f>IF(OR($B684="",$D684=""),"",$D684*IFERROR(INDEX(ProdCusto,MATCH($B684,ProdCod,0)),0))</f>
        <v>11.2</v>
      </c>
      <c r="H684" s="25" t="str">
        <f>IF($A684="","",IF(OR($B684="",$C684="",$D684=""),"Preencher tudo",IF($F684="Código não cadastrado","Código inválido","OK")))</f>
        <v>OK</v>
      </c>
    </row>
    <row r="685" spans="1:8">
      <c r="A685" s="16">
        <v>46299</v>
      </c>
      <c r="B685" s="15" t="s">
        <v>117</v>
      </c>
      <c r="C685" s="20" t="s">
        <v>177</v>
      </c>
      <c r="D685" s="22">
        <v>1</v>
      </c>
      <c r="E685" s="15" t="s">
        <v>178</v>
      </c>
      <c r="F685" s="23" t="str">
        <f>IF($B685="","",IFERROR(INDEX(ProdNome,MATCH($B685,ProdCod,0)),"Código não cadastrado"))</f>
        <v>Caixa de papelão M (pct 10)</v>
      </c>
      <c r="G685" s="24">
        <f>IF(OR($B685="",$D685=""),"",$D685*IFERROR(INDEX(ProdCusto,MATCH($B685,ProdCod,0)),0))</f>
        <v>15</v>
      </c>
      <c r="H685" s="25" t="str">
        <f>IF($A685="","",IF(OR($B685="",$C685="",$D685=""),"Preencher tudo",IF($F685="Código não cadastrado","Código inválido","OK")))</f>
        <v>OK</v>
      </c>
    </row>
    <row r="686" spans="1:8">
      <c r="A686" s="16">
        <v>46299</v>
      </c>
      <c r="B686" s="15" t="s">
        <v>129</v>
      </c>
      <c r="C686" s="20" t="s">
        <v>177</v>
      </c>
      <c r="D686" s="22">
        <v>3</v>
      </c>
      <c r="E686" s="15" t="s">
        <v>178</v>
      </c>
      <c r="F686" s="23" t="str">
        <f>IF($B686="","",IFERROR(INDEX(ProdNome,MATCH($B686,ProdCod,0)),"Código não cadastrado"))</f>
        <v>Caneca branca para sublimação</v>
      </c>
      <c r="G686" s="24">
        <f>IF(OR($B686="",$D686=""),"",$D686*IFERROR(INDEX(ProdCusto,MATCH($B686,ProdCod,0)),0))</f>
        <v>12.6</v>
      </c>
      <c r="H686" s="25" t="str">
        <f>IF($A686="","",IF(OR($B686="",$C686="",$D686=""),"Preencher tudo",IF($F686="Código não cadastrado","Código inválido","OK")))</f>
        <v>OK</v>
      </c>
    </row>
    <row r="687" spans="1:8">
      <c r="A687" s="16">
        <v>46300</v>
      </c>
      <c r="B687" s="15" t="s">
        <v>131</v>
      </c>
      <c r="C687" s="20" t="s">
        <v>177</v>
      </c>
      <c r="D687" s="22">
        <v>2</v>
      </c>
      <c r="E687" s="15" t="s">
        <v>178</v>
      </c>
      <c r="F687" s="23" t="str">
        <f>IF($B687="","",IFERROR(INDEX(ProdNome,MATCH($B687,ProdCod,0)),"Código não cadastrado"))</f>
        <v>Garrafa squeeze 600ml</v>
      </c>
      <c r="G687" s="24">
        <f>IF(OR($B687="",$D687=""),"",$D687*IFERROR(INDEX(ProdCusto,MATCH($B687,ProdCod,0)),0))</f>
        <v>19.8</v>
      </c>
      <c r="H687" s="25" t="str">
        <f>IF($A687="","",IF(OR($B687="",$C687="",$D687=""),"Preencher tudo",IF($F687="Código não cadastrado","Código inválido","OK")))</f>
        <v>OK</v>
      </c>
    </row>
    <row r="688" spans="1:8">
      <c r="A688" s="16">
        <v>46300</v>
      </c>
      <c r="B688" s="15" t="s">
        <v>133</v>
      </c>
      <c r="C688" s="20" t="s">
        <v>177</v>
      </c>
      <c r="D688" s="22">
        <v>1</v>
      </c>
      <c r="E688" s="15" t="s">
        <v>178</v>
      </c>
      <c r="F688" s="23" t="str">
        <f>IF($B688="","",IFERROR(INDEX(ProdNome,MATCH($B688,ProdCod,0)),"Código não cadastrado"))</f>
        <v>Agenda 2027</v>
      </c>
      <c r="G688" s="24">
        <f>IF(OR($B688="",$D688=""),"",$D688*IFERROR(INDEX(ProdCusto,MATCH($B688,ProdCod,0)),0))</f>
        <v>14</v>
      </c>
      <c r="H688" s="25" t="str">
        <f>IF($A688="","",IF(OR($B688="",$C688="",$D688=""),"Preencher tudo",IF($F688="Código não cadastrado","Código inválido","OK")))</f>
        <v>OK</v>
      </c>
    </row>
    <row r="689" spans="1:8">
      <c r="A689" s="16">
        <v>46300</v>
      </c>
      <c r="B689" s="15" t="s">
        <v>135</v>
      </c>
      <c r="C689" s="20" t="s">
        <v>177</v>
      </c>
      <c r="D689" s="22">
        <v>2</v>
      </c>
      <c r="E689" s="15" t="s">
        <v>178</v>
      </c>
      <c r="F689" s="23" t="str">
        <f>IF($B689="","",IFERROR(INDEX(ProdNome,MATCH($B689,ProdCod,0)),"Código não cadastrado"))</f>
        <v>Marca-texto (cx 6)</v>
      </c>
      <c r="G689" s="24">
        <f>IF(OR($B689="",$D689=""),"",$D689*IFERROR(INDEX(ProdCusto,MATCH($B689,ProdCod,0)),0))</f>
        <v>19.6</v>
      </c>
      <c r="H689" s="25" t="str">
        <f>IF($A689="","",IF(OR($B689="",$C689="",$D689=""),"Preencher tudo",IF($F689="Código não cadastrado","Código inválido","OK")))</f>
        <v>OK</v>
      </c>
    </row>
    <row r="690" spans="1:8">
      <c r="A690" s="16">
        <v>46300</v>
      </c>
      <c r="B690" s="15" t="s">
        <v>149</v>
      </c>
      <c r="C690" s="20" t="s">
        <v>177</v>
      </c>
      <c r="D690" s="22">
        <v>3</v>
      </c>
      <c r="E690" s="15" t="s">
        <v>178</v>
      </c>
      <c r="F690" s="23" t="str">
        <f>IF($B690="","",IFERROR(INDEX(ProdNome,MATCH($B690,ProdCod,0)),"Código não cadastrado"))</f>
        <v>Mouse pad</v>
      </c>
      <c r="G690" s="24">
        <f>IF(OR($B690="",$D690=""),"",$D690*IFERROR(INDEX(ProdCusto,MATCH($B690,ProdCod,0)),0))</f>
        <v>14.7</v>
      </c>
      <c r="H690" s="25" t="str">
        <f>IF($A690="","",IF(OR($B690="",$C690="",$D690=""),"Preencher tudo",IF($F690="Código não cadastrado","Código inválido","OK")))</f>
        <v>OK</v>
      </c>
    </row>
    <row r="691" spans="1:8">
      <c r="A691" s="16">
        <v>46302</v>
      </c>
      <c r="B691" s="15" t="s">
        <v>105</v>
      </c>
      <c r="C691" s="20" t="s">
        <v>177</v>
      </c>
      <c r="D691" s="22">
        <v>5</v>
      </c>
      <c r="E691" s="15" t="s">
        <v>178</v>
      </c>
      <c r="F691" s="23" t="str">
        <f>IF($B691="","",IFERROR(INDEX(ProdNome,MATCH($B691,ProdCod,0)),"Código não cadastrado"))</f>
        <v>Mochila escolar 20L</v>
      </c>
      <c r="G691" s="24">
        <f>IF(OR($B691="",$D691=""),"",$D691*IFERROR(INDEX(ProdCusto,MATCH($B691,ProdCod,0)),0))</f>
        <v>230</v>
      </c>
      <c r="H691" s="25" t="str">
        <f>IF($A691="","",IF(OR($B691="",$C691="",$D691=""),"Preencher tudo",IF($F691="Código não cadastrado","Código inválido","OK")))</f>
        <v>OK</v>
      </c>
    </row>
    <row r="692" spans="1:8">
      <c r="A692" s="16">
        <v>46302</v>
      </c>
      <c r="B692" s="15" t="s">
        <v>125</v>
      </c>
      <c r="C692" s="20" t="s">
        <v>177</v>
      </c>
      <c r="D692" s="22">
        <v>3</v>
      </c>
      <c r="E692" s="15" t="s">
        <v>178</v>
      </c>
      <c r="F692" s="23" t="str">
        <f>IF($B692="","",IFERROR(INDEX(ProdNome,MATCH($B692,ProdCod,0)),"Código não cadastrado"))</f>
        <v>Papel toalha (pct 2)</v>
      </c>
      <c r="G692" s="24">
        <f>IF(OR($B692="",$D692=""),"",$D692*IFERROR(INDEX(ProdCusto,MATCH($B692,ProdCod,0)),0))</f>
        <v>17.7</v>
      </c>
      <c r="H692" s="25" t="str">
        <f>IF($A692="","",IF(OR($B692="",$C692="",$D692=""),"Preencher tudo",IF($F692="Código não cadastrado","Código inválido","OK")))</f>
        <v>OK</v>
      </c>
    </row>
    <row r="693" spans="1:8">
      <c r="A693" s="16">
        <v>46302</v>
      </c>
      <c r="B693" s="15" t="s">
        <v>133</v>
      </c>
      <c r="C693" s="20" t="s">
        <v>177</v>
      </c>
      <c r="D693" s="22">
        <v>1</v>
      </c>
      <c r="E693" s="15" t="s">
        <v>178</v>
      </c>
      <c r="F693" s="23" t="str">
        <f>IF($B693="","",IFERROR(INDEX(ProdNome,MATCH($B693,ProdCod,0)),"Código não cadastrado"))</f>
        <v>Agenda 2027</v>
      </c>
      <c r="G693" s="24">
        <f>IF(OR($B693="",$D693=""),"",$D693*IFERROR(INDEX(ProdCusto,MATCH($B693,ProdCod,0)),0))</f>
        <v>14</v>
      </c>
      <c r="H693" s="25" t="str">
        <f>IF($A693="","",IF(OR($B693="",$C693="",$D693=""),"Preencher tudo",IF($F693="Código não cadastrado","Código inválido","OK")))</f>
        <v>OK</v>
      </c>
    </row>
    <row r="694" spans="1:8">
      <c r="A694" s="16">
        <v>46302</v>
      </c>
      <c r="B694" s="15" t="s">
        <v>157</v>
      </c>
      <c r="C694" s="20" t="s">
        <v>177</v>
      </c>
      <c r="D694" s="22">
        <v>1</v>
      </c>
      <c r="E694" s="15" t="s">
        <v>178</v>
      </c>
      <c r="F694" s="23" t="str">
        <f>IF($B694="","",IFERROR(INDEX(ProdNome,MATCH($B694,ProdCod,0)),"Código não cadastrado"))</f>
        <v>Papel fotográfico A4 (pct 20)</v>
      </c>
      <c r="G694" s="24">
        <f>IF(OR($B694="",$D694=""),"",$D694*IFERROR(INDEX(ProdCusto,MATCH($B694,ProdCod,0)),0))</f>
        <v>12.5</v>
      </c>
      <c r="H694" s="25" t="str">
        <f>IF($A694="","",IF(OR($B694="",$C694="",$D694=""),"Preencher tudo",IF($F694="Código não cadastrado","Código inválido","OK")))</f>
        <v>OK</v>
      </c>
    </row>
    <row r="695" spans="1:8">
      <c r="A695" s="16">
        <v>46302</v>
      </c>
      <c r="B695" s="15" t="s">
        <v>163</v>
      </c>
      <c r="C695" s="20" t="s">
        <v>177</v>
      </c>
      <c r="D695" s="22">
        <v>1</v>
      </c>
      <c r="E695" s="15" t="s">
        <v>178</v>
      </c>
      <c r="F695" s="23" t="str">
        <f>IF($B695="","",IFERROR(INDEX(ProdNome,MATCH($B695,ProdCod,0)),"Código não cadastrado"))</f>
        <v>Caixa organizadora</v>
      </c>
      <c r="G695" s="24">
        <f>IF(OR($B695="",$D695=""),"",$D695*IFERROR(INDEX(ProdCusto,MATCH($B695,ProdCod,0)),0))</f>
        <v>18</v>
      </c>
      <c r="H695" s="25" t="str">
        <f>IF($A695="","",IF(OR($B695="",$C695="",$D695=""),"Preencher tudo",IF($F695="Código não cadastrado","Código inválido","OK")))</f>
        <v>OK</v>
      </c>
    </row>
    <row r="696" spans="1:8">
      <c r="A696" s="16">
        <v>46303</v>
      </c>
      <c r="B696" s="15" t="s">
        <v>99</v>
      </c>
      <c r="C696" s="20" t="s">
        <v>177</v>
      </c>
      <c r="D696" s="22">
        <v>1</v>
      </c>
      <c r="E696" s="15" t="s">
        <v>178</v>
      </c>
      <c r="F696" s="23" t="str">
        <f>IF($B696="","",IFERROR(INDEX(ProdNome,MATCH($B696,ProdCod,0)),"Código não cadastrado"))</f>
        <v>Mouse óptico USB</v>
      </c>
      <c r="G696" s="24">
        <f>IF(OR($B696="",$D696=""),"",$D696*IFERROR(INDEX(ProdCusto,MATCH($B696,ProdCod,0)),0))</f>
        <v>11</v>
      </c>
      <c r="H696" s="25" t="str">
        <f>IF($A696="","",IF(OR($B696="",$C696="",$D696=""),"Preencher tudo",IF($F696="Código não cadastrado","Código inválido","OK")))</f>
        <v>OK</v>
      </c>
    </row>
    <row r="697" spans="1:8">
      <c r="A697" s="16">
        <v>46303</v>
      </c>
      <c r="B697" s="15" t="s">
        <v>115</v>
      </c>
      <c r="C697" s="20" t="s">
        <v>177</v>
      </c>
      <c r="D697" s="22">
        <v>15</v>
      </c>
      <c r="E697" s="15" t="s">
        <v>178</v>
      </c>
      <c r="F697" s="23" t="str">
        <f>IF($B697="","",IFERROR(INDEX(ProdNome,MATCH($B697,ProdCod,0)),"Código não cadastrado"))</f>
        <v>Fita adesiva transparente</v>
      </c>
      <c r="G697" s="24">
        <f>IF(OR($B697="",$D697=""),"",$D697*IFERROR(INDEX(ProdCusto,MATCH($B697,ProdCod,0)),0))</f>
        <v>24</v>
      </c>
      <c r="H697" s="25" t="str">
        <f>IF($A697="","",IF(OR($B697="",$C697="",$D697=""),"Preencher tudo",IF($F697="Código não cadastrado","Código inválido","OK")))</f>
        <v>OK</v>
      </c>
    </row>
    <row r="698" spans="1:8">
      <c r="A698" s="16">
        <v>46303</v>
      </c>
      <c r="B698" s="15" t="s">
        <v>131</v>
      </c>
      <c r="C698" s="20" t="s">
        <v>177</v>
      </c>
      <c r="D698" s="22">
        <v>2</v>
      </c>
      <c r="E698" s="15" t="s">
        <v>178</v>
      </c>
      <c r="F698" s="23" t="str">
        <f>IF($B698="","",IFERROR(INDEX(ProdNome,MATCH($B698,ProdCod,0)),"Código não cadastrado"))</f>
        <v>Garrafa squeeze 600ml</v>
      </c>
      <c r="G698" s="24">
        <f>IF(OR($B698="",$D698=""),"",$D698*IFERROR(INDEX(ProdCusto,MATCH($B698,ProdCod,0)),0))</f>
        <v>19.8</v>
      </c>
      <c r="H698" s="25" t="str">
        <f>IF($A698="","",IF(OR($B698="",$C698="",$D698=""),"Preencher tudo",IF($F698="Código não cadastrado","Código inválido","OK")))</f>
        <v>OK</v>
      </c>
    </row>
    <row r="699" spans="1:8">
      <c r="A699" s="16"/>
      <c r="B699" s="15"/>
      <c r="C699" s="20"/>
      <c r="D699" s="22"/>
      <c r="E699" s="15"/>
      <c r="F699" s="23">
        <f>IF($B699="","",IFERROR(INDEX(ProdNome,MATCH($B699,ProdCod,0)),"Código não cadastrado"))</f>
        <v>0</v>
      </c>
      <c r="G699" s="24">
        <f>IF(OR($B699="",$D699=""),"",$D699*IFERROR(INDEX(ProdCusto,MATCH($B699,ProdCod,0)),0))</f>
        <v>0</v>
      </c>
      <c r="H699" s="25">
        <f>IF($A699="","",IF(OR($B699="",$C699="",$D699=""),"Preencher tudo",IF($F699="Código não cadastrado","Código inválido","OK")))</f>
        <v>0</v>
      </c>
    </row>
    <row r="700" spans="1:8">
      <c r="A700" s="16"/>
      <c r="B700" s="15"/>
      <c r="C700" s="20"/>
      <c r="D700" s="22"/>
      <c r="E700" s="15"/>
      <c r="F700" s="23">
        <f>IF($B700="","",IFERROR(INDEX(ProdNome,MATCH($B700,ProdCod,0)),"Código não cadastrado"))</f>
        <v>0</v>
      </c>
      <c r="G700" s="24">
        <f>IF(OR($B700="",$D700=""),"",$D700*IFERROR(INDEX(ProdCusto,MATCH($B700,ProdCod,0)),0))</f>
        <v>0</v>
      </c>
      <c r="H700" s="25">
        <f>IF($A700="","",IF(OR($B700="",$C700="",$D700=""),"Preencher tudo",IF($F700="Código não cadastrado","Código inválido","OK")))</f>
        <v>0</v>
      </c>
    </row>
    <row r="701" spans="1:8">
      <c r="A701" s="16"/>
      <c r="B701" s="15"/>
      <c r="C701" s="20"/>
      <c r="D701" s="22"/>
      <c r="E701" s="15"/>
      <c r="F701" s="23">
        <f>IF($B701="","",IFERROR(INDEX(ProdNome,MATCH($B701,ProdCod,0)),"Código não cadastrado"))</f>
        <v>0</v>
      </c>
      <c r="G701" s="24">
        <f>IF(OR($B701="",$D701=""),"",$D701*IFERROR(INDEX(ProdCusto,MATCH($B701,ProdCod,0)),0))</f>
        <v>0</v>
      </c>
      <c r="H701" s="25">
        <f>IF($A701="","",IF(OR($B701="",$C701="",$D701=""),"Preencher tudo",IF($F701="Código não cadastrado","Código inválido","OK")))</f>
        <v>0</v>
      </c>
    </row>
    <row r="702" spans="1:8">
      <c r="A702" s="16"/>
      <c r="B702" s="15"/>
      <c r="C702" s="20"/>
      <c r="D702" s="22"/>
      <c r="E702" s="15"/>
      <c r="F702" s="23">
        <f>IF($B702="","",IFERROR(INDEX(ProdNome,MATCH($B702,ProdCod,0)),"Código não cadastrado"))</f>
        <v>0</v>
      </c>
      <c r="G702" s="24">
        <f>IF(OR($B702="",$D702=""),"",$D702*IFERROR(INDEX(ProdCusto,MATCH($B702,ProdCod,0)),0))</f>
        <v>0</v>
      </c>
      <c r="H702" s="25">
        <f>IF($A702="","",IF(OR($B702="",$C702="",$D702=""),"Preencher tudo",IF($F702="Código não cadastrado","Código inválido","OK")))</f>
        <v>0</v>
      </c>
    </row>
    <row r="703" spans="1:8">
      <c r="A703" s="16"/>
      <c r="B703" s="15"/>
      <c r="C703" s="20"/>
      <c r="D703" s="22"/>
      <c r="E703" s="15"/>
      <c r="F703" s="23">
        <f>IF($B703="","",IFERROR(INDEX(ProdNome,MATCH($B703,ProdCod,0)),"Código não cadastrado"))</f>
        <v>0</v>
      </c>
      <c r="G703" s="24">
        <f>IF(OR($B703="",$D703=""),"",$D703*IFERROR(INDEX(ProdCusto,MATCH($B703,ProdCod,0)),0))</f>
        <v>0</v>
      </c>
      <c r="H703" s="25">
        <f>IF($A703="","",IF(OR($B703="",$C703="",$D703=""),"Preencher tudo",IF($F703="Código não cadastrado","Código inválido","OK")))</f>
        <v>0</v>
      </c>
    </row>
    <row r="704" spans="1:8">
      <c r="A704" s="16"/>
      <c r="B704" s="15"/>
      <c r="C704" s="20"/>
      <c r="D704" s="22"/>
      <c r="E704" s="15"/>
      <c r="F704" s="23">
        <f>IF($B704="","",IFERROR(INDEX(ProdNome,MATCH($B704,ProdCod,0)),"Código não cadastrado"))</f>
        <v>0</v>
      </c>
      <c r="G704" s="24">
        <f>IF(OR($B704="",$D704=""),"",$D704*IFERROR(INDEX(ProdCusto,MATCH($B704,ProdCod,0)),0))</f>
        <v>0</v>
      </c>
      <c r="H704" s="25">
        <f>IF($A704="","",IF(OR($B704="",$C704="",$D704=""),"Preencher tudo",IF($F704="Código não cadastrado","Código inválido","OK")))</f>
        <v>0</v>
      </c>
    </row>
    <row r="705" spans="1:8">
      <c r="A705" s="16"/>
      <c r="B705" s="15"/>
      <c r="C705" s="20"/>
      <c r="D705" s="22"/>
      <c r="E705" s="15"/>
      <c r="F705" s="23">
        <f>IF($B705="","",IFERROR(INDEX(ProdNome,MATCH($B705,ProdCod,0)),"Código não cadastrado"))</f>
        <v>0</v>
      </c>
      <c r="G705" s="24">
        <f>IF(OR($B705="",$D705=""),"",$D705*IFERROR(INDEX(ProdCusto,MATCH($B705,ProdCod,0)),0))</f>
        <v>0</v>
      </c>
      <c r="H705" s="25">
        <f>IF($A705="","",IF(OR($B705="",$C705="",$D705=""),"Preencher tudo",IF($F705="Código não cadastrado","Código inválido","OK")))</f>
        <v>0</v>
      </c>
    </row>
    <row r="706" spans="1:8">
      <c r="A706" s="16"/>
      <c r="B706" s="15"/>
      <c r="C706" s="20"/>
      <c r="D706" s="22"/>
      <c r="E706" s="15"/>
      <c r="F706" s="23">
        <f>IF($B706="","",IFERROR(INDEX(ProdNome,MATCH($B706,ProdCod,0)),"Código não cadastrado"))</f>
        <v>0</v>
      </c>
      <c r="G706" s="24">
        <f>IF(OR($B706="",$D706=""),"",$D706*IFERROR(INDEX(ProdCusto,MATCH($B706,ProdCod,0)),0))</f>
        <v>0</v>
      </c>
      <c r="H706" s="25">
        <f>IF($A706="","",IF(OR($B706="",$C706="",$D706=""),"Preencher tudo",IF($F706="Código não cadastrado","Código inválido","OK")))</f>
        <v>0</v>
      </c>
    </row>
    <row r="707" spans="1:8">
      <c r="A707" s="16"/>
      <c r="B707" s="15"/>
      <c r="C707" s="20"/>
      <c r="D707" s="22"/>
      <c r="E707" s="15"/>
      <c r="F707" s="23">
        <f>IF($B707="","",IFERROR(INDEX(ProdNome,MATCH($B707,ProdCod,0)),"Código não cadastrado"))</f>
        <v>0</v>
      </c>
      <c r="G707" s="24">
        <f>IF(OR($B707="",$D707=""),"",$D707*IFERROR(INDEX(ProdCusto,MATCH($B707,ProdCod,0)),0))</f>
        <v>0</v>
      </c>
      <c r="H707" s="25">
        <f>IF($A707="","",IF(OR($B707="",$C707="",$D707=""),"Preencher tudo",IF($F707="Código não cadastrado","Código inválido","OK")))</f>
        <v>0</v>
      </c>
    </row>
    <row r="708" spans="1:8">
      <c r="A708" s="16"/>
      <c r="B708" s="15"/>
      <c r="C708" s="20"/>
      <c r="D708" s="22"/>
      <c r="E708" s="15"/>
      <c r="F708" s="23">
        <f>IF($B708="","",IFERROR(INDEX(ProdNome,MATCH($B708,ProdCod,0)),"Código não cadastrado"))</f>
        <v>0</v>
      </c>
      <c r="G708" s="24">
        <f>IF(OR($B708="",$D708=""),"",$D708*IFERROR(INDEX(ProdCusto,MATCH($B708,ProdCod,0)),0))</f>
        <v>0</v>
      </c>
      <c r="H708" s="25">
        <f>IF($A708="","",IF(OR($B708="",$C708="",$D708=""),"Preencher tudo",IF($F708="Código não cadastrado","Código inválido","OK")))</f>
        <v>0</v>
      </c>
    </row>
    <row r="709" spans="1:8">
      <c r="A709" s="16"/>
      <c r="B709" s="15"/>
      <c r="C709" s="20"/>
      <c r="D709" s="22"/>
      <c r="E709" s="15"/>
      <c r="F709" s="23">
        <f>IF($B709="","",IFERROR(INDEX(ProdNome,MATCH($B709,ProdCod,0)),"Código não cadastrado"))</f>
        <v>0</v>
      </c>
      <c r="G709" s="24">
        <f>IF(OR($B709="",$D709=""),"",$D709*IFERROR(INDEX(ProdCusto,MATCH($B709,ProdCod,0)),0))</f>
        <v>0</v>
      </c>
      <c r="H709" s="25">
        <f>IF($A709="","",IF(OR($B709="",$C709="",$D709=""),"Preencher tudo",IF($F709="Código não cadastrado","Código inválido","OK")))</f>
        <v>0</v>
      </c>
    </row>
    <row r="710" spans="1:8">
      <c r="A710" s="16"/>
      <c r="B710" s="15"/>
      <c r="C710" s="20"/>
      <c r="D710" s="22"/>
      <c r="E710" s="15"/>
      <c r="F710" s="23">
        <f>IF($B710="","",IFERROR(INDEX(ProdNome,MATCH($B710,ProdCod,0)),"Código não cadastrado"))</f>
        <v>0</v>
      </c>
      <c r="G710" s="24">
        <f>IF(OR($B710="",$D710=""),"",$D710*IFERROR(INDEX(ProdCusto,MATCH($B710,ProdCod,0)),0))</f>
        <v>0</v>
      </c>
      <c r="H710" s="25">
        <f>IF($A710="","",IF(OR($B710="",$C710="",$D710=""),"Preencher tudo",IF($F710="Código não cadastrado","Código inválido","OK")))</f>
        <v>0</v>
      </c>
    </row>
    <row r="711" spans="1:8">
      <c r="A711" s="16"/>
      <c r="B711" s="15"/>
      <c r="C711" s="20"/>
      <c r="D711" s="22"/>
      <c r="E711" s="15"/>
      <c r="F711" s="23">
        <f>IF($B711="","",IFERROR(INDEX(ProdNome,MATCH($B711,ProdCod,0)),"Código não cadastrado"))</f>
        <v>0</v>
      </c>
      <c r="G711" s="24">
        <f>IF(OR($B711="",$D711=""),"",$D711*IFERROR(INDEX(ProdCusto,MATCH($B711,ProdCod,0)),0))</f>
        <v>0</v>
      </c>
      <c r="H711" s="25">
        <f>IF($A711="","",IF(OR($B711="",$C711="",$D711=""),"Preencher tudo",IF($F711="Código não cadastrado","Código inválido","OK")))</f>
        <v>0</v>
      </c>
    </row>
    <row r="712" spans="1:8">
      <c r="A712" s="16"/>
      <c r="B712" s="15"/>
      <c r="C712" s="20"/>
      <c r="D712" s="22"/>
      <c r="E712" s="15"/>
      <c r="F712" s="23">
        <f>IF($B712="","",IFERROR(INDEX(ProdNome,MATCH($B712,ProdCod,0)),"Código não cadastrado"))</f>
        <v>0</v>
      </c>
      <c r="G712" s="24">
        <f>IF(OR($B712="",$D712=""),"",$D712*IFERROR(INDEX(ProdCusto,MATCH($B712,ProdCod,0)),0))</f>
        <v>0</v>
      </c>
      <c r="H712" s="25">
        <f>IF($A712="","",IF(OR($B712="",$C712="",$D712=""),"Preencher tudo",IF($F712="Código não cadastrado","Código inválido","OK")))</f>
        <v>0</v>
      </c>
    </row>
    <row r="713" spans="1:8">
      <c r="A713" s="16"/>
      <c r="B713" s="15"/>
      <c r="C713" s="20"/>
      <c r="D713" s="22"/>
      <c r="E713" s="15"/>
      <c r="F713" s="23">
        <f>IF($B713="","",IFERROR(INDEX(ProdNome,MATCH($B713,ProdCod,0)),"Código não cadastrado"))</f>
        <v>0</v>
      </c>
      <c r="G713" s="24">
        <f>IF(OR($B713="",$D713=""),"",$D713*IFERROR(INDEX(ProdCusto,MATCH($B713,ProdCod,0)),0))</f>
        <v>0</v>
      </c>
      <c r="H713" s="25">
        <f>IF($A713="","",IF(OR($B713="",$C713="",$D713=""),"Preencher tudo",IF($F713="Código não cadastrado","Código inválido","OK")))</f>
        <v>0</v>
      </c>
    </row>
    <row r="714" spans="1:8">
      <c r="A714" s="16"/>
      <c r="B714" s="15"/>
      <c r="C714" s="20"/>
      <c r="D714" s="22"/>
      <c r="E714" s="15"/>
      <c r="F714" s="23">
        <f>IF($B714="","",IFERROR(INDEX(ProdNome,MATCH($B714,ProdCod,0)),"Código não cadastrado"))</f>
        <v>0</v>
      </c>
      <c r="G714" s="24">
        <f>IF(OR($B714="",$D714=""),"",$D714*IFERROR(INDEX(ProdCusto,MATCH($B714,ProdCod,0)),0))</f>
        <v>0</v>
      </c>
      <c r="H714" s="25">
        <f>IF($A714="","",IF(OR($B714="",$C714="",$D714=""),"Preencher tudo",IF($F714="Código não cadastrado","Código inválido","OK")))</f>
        <v>0</v>
      </c>
    </row>
    <row r="715" spans="1:8">
      <c r="A715" s="16"/>
      <c r="B715" s="15"/>
      <c r="C715" s="20"/>
      <c r="D715" s="22"/>
      <c r="E715" s="15"/>
      <c r="F715" s="23">
        <f>IF($B715="","",IFERROR(INDEX(ProdNome,MATCH($B715,ProdCod,0)),"Código não cadastrado"))</f>
        <v>0</v>
      </c>
      <c r="G715" s="24">
        <f>IF(OR($B715="",$D715=""),"",$D715*IFERROR(INDEX(ProdCusto,MATCH($B715,ProdCod,0)),0))</f>
        <v>0</v>
      </c>
      <c r="H715" s="25">
        <f>IF($A715="","",IF(OR($B715="",$C715="",$D715=""),"Preencher tudo",IF($F715="Código não cadastrado","Código inválido","OK")))</f>
        <v>0</v>
      </c>
    </row>
    <row r="716" spans="1:8">
      <c r="A716" s="16"/>
      <c r="B716" s="15"/>
      <c r="C716" s="20"/>
      <c r="D716" s="22"/>
      <c r="E716" s="15"/>
      <c r="F716" s="23">
        <f>IF($B716="","",IFERROR(INDEX(ProdNome,MATCH($B716,ProdCod,0)),"Código não cadastrado"))</f>
        <v>0</v>
      </c>
      <c r="G716" s="24">
        <f>IF(OR($B716="",$D716=""),"",$D716*IFERROR(INDEX(ProdCusto,MATCH($B716,ProdCod,0)),0))</f>
        <v>0</v>
      </c>
      <c r="H716" s="25">
        <f>IF($A716="","",IF(OR($B716="",$C716="",$D716=""),"Preencher tudo",IF($F716="Código não cadastrado","Código inválido","OK")))</f>
        <v>0</v>
      </c>
    </row>
    <row r="717" spans="1:8">
      <c r="A717" s="16"/>
      <c r="B717" s="15"/>
      <c r="C717" s="20"/>
      <c r="D717" s="22"/>
      <c r="E717" s="15"/>
      <c r="F717" s="23">
        <f>IF($B717="","",IFERROR(INDEX(ProdNome,MATCH($B717,ProdCod,0)),"Código não cadastrado"))</f>
        <v>0</v>
      </c>
      <c r="G717" s="24">
        <f>IF(OR($B717="",$D717=""),"",$D717*IFERROR(INDEX(ProdCusto,MATCH($B717,ProdCod,0)),0))</f>
        <v>0</v>
      </c>
      <c r="H717" s="25">
        <f>IF($A717="","",IF(OR($B717="",$C717="",$D717=""),"Preencher tudo",IF($F717="Código não cadastrado","Código inválido","OK")))</f>
        <v>0</v>
      </c>
    </row>
    <row r="718" spans="1:8">
      <c r="A718" s="16"/>
      <c r="B718" s="15"/>
      <c r="C718" s="20"/>
      <c r="D718" s="22"/>
      <c r="E718" s="15"/>
      <c r="F718" s="23">
        <f>IF($B718="","",IFERROR(INDEX(ProdNome,MATCH($B718,ProdCod,0)),"Código não cadastrado"))</f>
        <v>0</v>
      </c>
      <c r="G718" s="24">
        <f>IF(OR($B718="",$D718=""),"",$D718*IFERROR(INDEX(ProdCusto,MATCH($B718,ProdCod,0)),0))</f>
        <v>0</v>
      </c>
      <c r="H718" s="25">
        <f>IF($A718="","",IF(OR($B718="",$C718="",$D718=""),"Preencher tudo",IF($F718="Código não cadastrado","Código inválido","OK")))</f>
        <v>0</v>
      </c>
    </row>
    <row r="719" spans="1:8">
      <c r="A719" s="16"/>
      <c r="B719" s="15"/>
      <c r="C719" s="20"/>
      <c r="D719" s="22"/>
      <c r="E719" s="15"/>
      <c r="F719" s="23">
        <f>IF($B719="","",IFERROR(INDEX(ProdNome,MATCH($B719,ProdCod,0)),"Código não cadastrado"))</f>
        <v>0</v>
      </c>
      <c r="G719" s="24">
        <f>IF(OR($B719="",$D719=""),"",$D719*IFERROR(INDEX(ProdCusto,MATCH($B719,ProdCod,0)),0))</f>
        <v>0</v>
      </c>
      <c r="H719" s="25">
        <f>IF($A719="","",IF(OR($B719="",$C719="",$D719=""),"Preencher tudo",IF($F719="Código não cadastrado","Código inválido","OK")))</f>
        <v>0</v>
      </c>
    </row>
    <row r="720" spans="1:8">
      <c r="A720" s="16"/>
      <c r="B720" s="15"/>
      <c r="C720" s="20"/>
      <c r="D720" s="22"/>
      <c r="E720" s="15"/>
      <c r="F720" s="23">
        <f>IF($B720="","",IFERROR(INDEX(ProdNome,MATCH($B720,ProdCod,0)),"Código não cadastrado"))</f>
        <v>0</v>
      </c>
      <c r="G720" s="24">
        <f>IF(OR($B720="",$D720=""),"",$D720*IFERROR(INDEX(ProdCusto,MATCH($B720,ProdCod,0)),0))</f>
        <v>0</v>
      </c>
      <c r="H720" s="25">
        <f>IF($A720="","",IF(OR($B720="",$C720="",$D720=""),"Preencher tudo",IF($F720="Código não cadastrado","Código inválido","OK")))</f>
        <v>0</v>
      </c>
    </row>
    <row r="721" spans="1:8">
      <c r="A721" s="16"/>
      <c r="B721" s="15"/>
      <c r="C721" s="20"/>
      <c r="D721" s="22"/>
      <c r="E721" s="15"/>
      <c r="F721" s="23">
        <f>IF($B721="","",IFERROR(INDEX(ProdNome,MATCH($B721,ProdCod,0)),"Código não cadastrado"))</f>
        <v>0</v>
      </c>
      <c r="G721" s="24">
        <f>IF(OR($B721="",$D721=""),"",$D721*IFERROR(INDEX(ProdCusto,MATCH($B721,ProdCod,0)),0))</f>
        <v>0</v>
      </c>
      <c r="H721" s="25">
        <f>IF($A721="","",IF(OR($B721="",$C721="",$D721=""),"Preencher tudo",IF($F721="Código não cadastrado","Código inválido","OK")))</f>
        <v>0</v>
      </c>
    </row>
    <row r="722" spans="1:8">
      <c r="A722" s="16"/>
      <c r="B722" s="15"/>
      <c r="C722" s="20"/>
      <c r="D722" s="22"/>
      <c r="E722" s="15"/>
      <c r="F722" s="23">
        <f>IF($B722="","",IFERROR(INDEX(ProdNome,MATCH($B722,ProdCod,0)),"Código não cadastrado"))</f>
        <v>0</v>
      </c>
      <c r="G722" s="24">
        <f>IF(OR($B722="",$D722=""),"",$D722*IFERROR(INDEX(ProdCusto,MATCH($B722,ProdCod,0)),0))</f>
        <v>0</v>
      </c>
      <c r="H722" s="25">
        <f>IF($A722="","",IF(OR($B722="",$C722="",$D722=""),"Preencher tudo",IF($F722="Código não cadastrado","Código inválido","OK")))</f>
        <v>0</v>
      </c>
    </row>
    <row r="723" spans="1:8">
      <c r="A723" s="16"/>
      <c r="B723" s="15"/>
      <c r="C723" s="20"/>
      <c r="D723" s="22"/>
      <c r="E723" s="15"/>
      <c r="F723" s="23">
        <f>IF($B723="","",IFERROR(INDEX(ProdNome,MATCH($B723,ProdCod,0)),"Código não cadastrado"))</f>
        <v>0</v>
      </c>
      <c r="G723" s="24">
        <f>IF(OR($B723="",$D723=""),"",$D723*IFERROR(INDEX(ProdCusto,MATCH($B723,ProdCod,0)),0))</f>
        <v>0</v>
      </c>
      <c r="H723" s="25">
        <f>IF($A723="","",IF(OR($B723="",$C723="",$D723=""),"Preencher tudo",IF($F723="Código não cadastrado","Código inválido","OK")))</f>
        <v>0</v>
      </c>
    </row>
    <row r="724" spans="1:8">
      <c r="A724" s="16"/>
      <c r="B724" s="15"/>
      <c r="C724" s="20"/>
      <c r="D724" s="22"/>
      <c r="E724" s="15"/>
      <c r="F724" s="23">
        <f>IF($B724="","",IFERROR(INDEX(ProdNome,MATCH($B724,ProdCod,0)),"Código não cadastrado"))</f>
        <v>0</v>
      </c>
      <c r="G724" s="24">
        <f>IF(OR($B724="",$D724=""),"",$D724*IFERROR(INDEX(ProdCusto,MATCH($B724,ProdCod,0)),0))</f>
        <v>0</v>
      </c>
      <c r="H724" s="25">
        <f>IF($A724="","",IF(OR($B724="",$C724="",$D724=""),"Preencher tudo",IF($F724="Código não cadastrado","Código inválido","OK")))</f>
        <v>0</v>
      </c>
    </row>
    <row r="725" spans="1:8">
      <c r="A725" s="16"/>
      <c r="B725" s="15"/>
      <c r="C725" s="20"/>
      <c r="D725" s="22"/>
      <c r="E725" s="15"/>
      <c r="F725" s="23">
        <f>IF($B725="","",IFERROR(INDEX(ProdNome,MATCH($B725,ProdCod,0)),"Código não cadastrado"))</f>
        <v>0</v>
      </c>
      <c r="G725" s="24">
        <f>IF(OR($B725="",$D725=""),"",$D725*IFERROR(INDEX(ProdCusto,MATCH($B725,ProdCod,0)),0))</f>
        <v>0</v>
      </c>
      <c r="H725" s="25">
        <f>IF($A725="","",IF(OR($B725="",$C725="",$D725=""),"Preencher tudo",IF($F725="Código não cadastrado","Código inválido","OK")))</f>
        <v>0</v>
      </c>
    </row>
    <row r="726" spans="1:8">
      <c r="A726" s="16"/>
      <c r="B726" s="15"/>
      <c r="C726" s="20"/>
      <c r="D726" s="22"/>
      <c r="E726" s="15"/>
      <c r="F726" s="23">
        <f>IF($B726="","",IFERROR(INDEX(ProdNome,MATCH($B726,ProdCod,0)),"Código não cadastrado"))</f>
        <v>0</v>
      </c>
      <c r="G726" s="24">
        <f>IF(OR($B726="",$D726=""),"",$D726*IFERROR(INDEX(ProdCusto,MATCH($B726,ProdCod,0)),0))</f>
        <v>0</v>
      </c>
      <c r="H726" s="25">
        <f>IF($A726="","",IF(OR($B726="",$C726="",$D726=""),"Preencher tudo",IF($F726="Código não cadastrado","Código inválido","OK")))</f>
        <v>0</v>
      </c>
    </row>
    <row r="727" spans="1:8">
      <c r="A727" s="16"/>
      <c r="B727" s="15"/>
      <c r="C727" s="20"/>
      <c r="D727" s="22"/>
      <c r="E727" s="15"/>
      <c r="F727" s="23">
        <f>IF($B727="","",IFERROR(INDEX(ProdNome,MATCH($B727,ProdCod,0)),"Código não cadastrado"))</f>
        <v>0</v>
      </c>
      <c r="G727" s="24">
        <f>IF(OR($B727="",$D727=""),"",$D727*IFERROR(INDEX(ProdCusto,MATCH($B727,ProdCod,0)),0))</f>
        <v>0</v>
      </c>
      <c r="H727" s="25">
        <f>IF($A727="","",IF(OR($B727="",$C727="",$D727=""),"Preencher tudo",IF($F727="Código não cadastrado","Código inválido","OK")))</f>
        <v>0</v>
      </c>
    </row>
    <row r="728" spans="1:8">
      <c r="A728" s="16"/>
      <c r="B728" s="15"/>
      <c r="C728" s="20"/>
      <c r="D728" s="22"/>
      <c r="E728" s="15"/>
      <c r="F728" s="23">
        <f>IF($B728="","",IFERROR(INDEX(ProdNome,MATCH($B728,ProdCod,0)),"Código não cadastrado"))</f>
        <v>0</v>
      </c>
      <c r="G728" s="24">
        <f>IF(OR($B728="",$D728=""),"",$D728*IFERROR(INDEX(ProdCusto,MATCH($B728,ProdCod,0)),0))</f>
        <v>0</v>
      </c>
      <c r="H728" s="25">
        <f>IF($A728="","",IF(OR($B728="",$C728="",$D728=""),"Preencher tudo",IF($F728="Código não cadastrado","Código inválido","OK")))</f>
        <v>0</v>
      </c>
    </row>
    <row r="729" spans="1:8">
      <c r="A729" s="16"/>
      <c r="B729" s="15"/>
      <c r="C729" s="20"/>
      <c r="D729" s="22"/>
      <c r="E729" s="15"/>
      <c r="F729" s="23">
        <f>IF($B729="","",IFERROR(INDEX(ProdNome,MATCH($B729,ProdCod,0)),"Código não cadastrado"))</f>
        <v>0</v>
      </c>
      <c r="G729" s="24">
        <f>IF(OR($B729="",$D729=""),"",$D729*IFERROR(INDEX(ProdCusto,MATCH($B729,ProdCod,0)),0))</f>
        <v>0</v>
      </c>
      <c r="H729" s="25">
        <f>IF($A729="","",IF(OR($B729="",$C729="",$D729=""),"Preencher tudo",IF($F729="Código não cadastrado","Código inválido","OK")))</f>
        <v>0</v>
      </c>
    </row>
    <row r="730" spans="1:8">
      <c r="A730" s="16"/>
      <c r="B730" s="15"/>
      <c r="C730" s="20"/>
      <c r="D730" s="22"/>
      <c r="E730" s="15"/>
      <c r="F730" s="23">
        <f>IF($B730="","",IFERROR(INDEX(ProdNome,MATCH($B730,ProdCod,0)),"Código não cadastrado"))</f>
        <v>0</v>
      </c>
      <c r="G730" s="24">
        <f>IF(OR($B730="",$D730=""),"",$D730*IFERROR(INDEX(ProdCusto,MATCH($B730,ProdCod,0)),0))</f>
        <v>0</v>
      </c>
      <c r="H730" s="25">
        <f>IF($A730="","",IF(OR($B730="",$C730="",$D730=""),"Preencher tudo",IF($F730="Código não cadastrado","Código inválido","OK")))</f>
        <v>0</v>
      </c>
    </row>
    <row r="731" spans="1:8">
      <c r="A731" s="16"/>
      <c r="B731" s="15"/>
      <c r="C731" s="20"/>
      <c r="D731" s="22"/>
      <c r="E731" s="15"/>
      <c r="F731" s="23">
        <f>IF($B731="","",IFERROR(INDEX(ProdNome,MATCH($B731,ProdCod,0)),"Código não cadastrado"))</f>
        <v>0</v>
      </c>
      <c r="G731" s="24">
        <f>IF(OR($B731="",$D731=""),"",$D731*IFERROR(INDEX(ProdCusto,MATCH($B731,ProdCod,0)),0))</f>
        <v>0</v>
      </c>
      <c r="H731" s="25">
        <f>IF($A731="","",IF(OR($B731="",$C731="",$D731=""),"Preencher tudo",IF($F731="Código não cadastrado","Código inválido","OK")))</f>
        <v>0</v>
      </c>
    </row>
    <row r="732" spans="1:8">
      <c r="A732" s="16"/>
      <c r="B732" s="15"/>
      <c r="C732" s="20"/>
      <c r="D732" s="22"/>
      <c r="E732" s="15"/>
      <c r="F732" s="23">
        <f>IF($B732="","",IFERROR(INDEX(ProdNome,MATCH($B732,ProdCod,0)),"Código não cadastrado"))</f>
        <v>0</v>
      </c>
      <c r="G732" s="24">
        <f>IF(OR($B732="",$D732=""),"",$D732*IFERROR(INDEX(ProdCusto,MATCH($B732,ProdCod,0)),0))</f>
        <v>0</v>
      </c>
      <c r="H732" s="25">
        <f>IF($A732="","",IF(OR($B732="",$C732="",$D732=""),"Preencher tudo",IF($F732="Código não cadastrado","Código inválido","OK")))</f>
        <v>0</v>
      </c>
    </row>
    <row r="733" spans="1:8">
      <c r="A733" s="16"/>
      <c r="B733" s="15"/>
      <c r="C733" s="20"/>
      <c r="D733" s="22"/>
      <c r="E733" s="15"/>
      <c r="F733" s="23">
        <f>IF($B733="","",IFERROR(INDEX(ProdNome,MATCH($B733,ProdCod,0)),"Código não cadastrado"))</f>
        <v>0</v>
      </c>
      <c r="G733" s="24">
        <f>IF(OR($B733="",$D733=""),"",$D733*IFERROR(INDEX(ProdCusto,MATCH($B733,ProdCod,0)),0))</f>
        <v>0</v>
      </c>
      <c r="H733" s="25">
        <f>IF($A733="","",IF(OR($B733="",$C733="",$D733=""),"Preencher tudo",IF($F733="Código não cadastrado","Código inválido","OK")))</f>
        <v>0</v>
      </c>
    </row>
    <row r="734" spans="1:8">
      <c r="A734" s="16"/>
      <c r="B734" s="15"/>
      <c r="C734" s="20"/>
      <c r="D734" s="22"/>
      <c r="E734" s="15"/>
      <c r="F734" s="23">
        <f>IF($B734="","",IFERROR(INDEX(ProdNome,MATCH($B734,ProdCod,0)),"Código não cadastrado"))</f>
        <v>0</v>
      </c>
      <c r="G734" s="24">
        <f>IF(OR($B734="",$D734=""),"",$D734*IFERROR(INDEX(ProdCusto,MATCH($B734,ProdCod,0)),0))</f>
        <v>0</v>
      </c>
      <c r="H734" s="25">
        <f>IF($A734="","",IF(OR($B734="",$C734="",$D734=""),"Preencher tudo",IF($F734="Código não cadastrado","Código inválido","OK")))</f>
        <v>0</v>
      </c>
    </row>
    <row r="735" spans="1:8">
      <c r="A735" s="16"/>
      <c r="B735" s="15"/>
      <c r="C735" s="20"/>
      <c r="D735" s="22"/>
      <c r="E735" s="15"/>
      <c r="F735" s="23">
        <f>IF($B735="","",IFERROR(INDEX(ProdNome,MATCH($B735,ProdCod,0)),"Código não cadastrado"))</f>
        <v>0</v>
      </c>
      <c r="G735" s="24">
        <f>IF(OR($B735="",$D735=""),"",$D735*IFERROR(INDEX(ProdCusto,MATCH($B735,ProdCod,0)),0))</f>
        <v>0</v>
      </c>
      <c r="H735" s="25">
        <f>IF($A735="","",IF(OR($B735="",$C735="",$D735=""),"Preencher tudo",IF($F735="Código não cadastrado","Código inválido","OK")))</f>
        <v>0</v>
      </c>
    </row>
    <row r="736" spans="1:8">
      <c r="A736" s="16"/>
      <c r="B736" s="15"/>
      <c r="C736" s="20"/>
      <c r="D736" s="22"/>
      <c r="E736" s="15"/>
      <c r="F736" s="23">
        <f>IF($B736="","",IFERROR(INDEX(ProdNome,MATCH($B736,ProdCod,0)),"Código não cadastrado"))</f>
        <v>0</v>
      </c>
      <c r="G736" s="24">
        <f>IF(OR($B736="",$D736=""),"",$D736*IFERROR(INDEX(ProdCusto,MATCH($B736,ProdCod,0)),0))</f>
        <v>0</v>
      </c>
      <c r="H736" s="25">
        <f>IF($A736="","",IF(OR($B736="",$C736="",$D736=""),"Preencher tudo",IF($F736="Código não cadastrado","Código inválido","OK")))</f>
        <v>0</v>
      </c>
    </row>
    <row r="737" spans="1:8">
      <c r="A737" s="16"/>
      <c r="B737" s="15"/>
      <c r="C737" s="20"/>
      <c r="D737" s="22"/>
      <c r="E737" s="15"/>
      <c r="F737" s="23">
        <f>IF($B737="","",IFERROR(INDEX(ProdNome,MATCH($B737,ProdCod,0)),"Código não cadastrado"))</f>
        <v>0</v>
      </c>
      <c r="G737" s="24">
        <f>IF(OR($B737="",$D737=""),"",$D737*IFERROR(INDEX(ProdCusto,MATCH($B737,ProdCod,0)),0))</f>
        <v>0</v>
      </c>
      <c r="H737" s="25">
        <f>IF($A737="","",IF(OR($B737="",$C737="",$D737=""),"Preencher tudo",IF($F737="Código não cadastrado","Código inválido","OK")))</f>
        <v>0</v>
      </c>
    </row>
    <row r="738" spans="1:8">
      <c r="A738" s="16"/>
      <c r="B738" s="15"/>
      <c r="C738" s="20"/>
      <c r="D738" s="22"/>
      <c r="E738" s="15"/>
      <c r="F738" s="23">
        <f>IF($B738="","",IFERROR(INDEX(ProdNome,MATCH($B738,ProdCod,0)),"Código não cadastrado"))</f>
        <v>0</v>
      </c>
      <c r="G738" s="24">
        <f>IF(OR($B738="",$D738=""),"",$D738*IFERROR(INDEX(ProdCusto,MATCH($B738,ProdCod,0)),0))</f>
        <v>0</v>
      </c>
      <c r="H738" s="25">
        <f>IF($A738="","",IF(OR($B738="",$C738="",$D738=""),"Preencher tudo",IF($F738="Código não cadastrado","Código inválido","OK")))</f>
        <v>0</v>
      </c>
    </row>
    <row r="739" spans="1:8">
      <c r="A739" s="16"/>
      <c r="B739" s="15"/>
      <c r="C739" s="20"/>
      <c r="D739" s="22"/>
      <c r="E739" s="15"/>
      <c r="F739" s="23">
        <f>IF($B739="","",IFERROR(INDEX(ProdNome,MATCH($B739,ProdCod,0)),"Código não cadastrado"))</f>
        <v>0</v>
      </c>
      <c r="G739" s="24">
        <f>IF(OR($B739="",$D739=""),"",$D739*IFERROR(INDEX(ProdCusto,MATCH($B739,ProdCod,0)),0))</f>
        <v>0</v>
      </c>
      <c r="H739" s="25">
        <f>IF($A739="","",IF(OR($B739="",$C739="",$D739=""),"Preencher tudo",IF($F739="Código não cadastrado","Código inválido","OK")))</f>
        <v>0</v>
      </c>
    </row>
    <row r="740" spans="1:8">
      <c r="A740" s="16"/>
      <c r="B740" s="15"/>
      <c r="C740" s="20"/>
      <c r="D740" s="22"/>
      <c r="E740" s="15"/>
      <c r="F740" s="23">
        <f>IF($B740="","",IFERROR(INDEX(ProdNome,MATCH($B740,ProdCod,0)),"Código não cadastrado"))</f>
        <v>0</v>
      </c>
      <c r="G740" s="24">
        <f>IF(OR($B740="",$D740=""),"",$D740*IFERROR(INDEX(ProdCusto,MATCH($B740,ProdCod,0)),0))</f>
        <v>0</v>
      </c>
      <c r="H740" s="25">
        <f>IF($A740="","",IF(OR($B740="",$C740="",$D740=""),"Preencher tudo",IF($F740="Código não cadastrado","Código inválido","OK")))</f>
        <v>0</v>
      </c>
    </row>
    <row r="741" spans="1:8">
      <c r="A741" s="16"/>
      <c r="B741" s="15"/>
      <c r="C741" s="20"/>
      <c r="D741" s="22"/>
      <c r="E741" s="15"/>
      <c r="F741" s="23">
        <f>IF($B741="","",IFERROR(INDEX(ProdNome,MATCH($B741,ProdCod,0)),"Código não cadastrado"))</f>
        <v>0</v>
      </c>
      <c r="G741" s="24">
        <f>IF(OR($B741="",$D741=""),"",$D741*IFERROR(INDEX(ProdCusto,MATCH($B741,ProdCod,0)),0))</f>
        <v>0</v>
      </c>
      <c r="H741" s="25">
        <f>IF($A741="","",IF(OR($B741="",$C741="",$D741=""),"Preencher tudo",IF($F741="Código não cadastrado","Código inválido","OK")))</f>
        <v>0</v>
      </c>
    </row>
    <row r="742" spans="1:8">
      <c r="A742" s="16"/>
      <c r="B742" s="15"/>
      <c r="C742" s="20"/>
      <c r="D742" s="22"/>
      <c r="E742" s="15"/>
      <c r="F742" s="23">
        <f>IF($B742="","",IFERROR(INDEX(ProdNome,MATCH($B742,ProdCod,0)),"Código não cadastrado"))</f>
        <v>0</v>
      </c>
      <c r="G742" s="24">
        <f>IF(OR($B742="",$D742=""),"",$D742*IFERROR(INDEX(ProdCusto,MATCH($B742,ProdCod,0)),0))</f>
        <v>0</v>
      </c>
      <c r="H742" s="25">
        <f>IF($A742="","",IF(OR($B742="",$C742="",$D742=""),"Preencher tudo",IF($F742="Código não cadastrado","Código inválido","OK")))</f>
        <v>0</v>
      </c>
    </row>
    <row r="743" spans="1:8">
      <c r="A743" s="16"/>
      <c r="B743" s="15"/>
      <c r="C743" s="20"/>
      <c r="D743" s="22"/>
      <c r="E743" s="15"/>
      <c r="F743" s="23">
        <f>IF($B743="","",IFERROR(INDEX(ProdNome,MATCH($B743,ProdCod,0)),"Código não cadastrado"))</f>
        <v>0</v>
      </c>
      <c r="G743" s="24">
        <f>IF(OR($B743="",$D743=""),"",$D743*IFERROR(INDEX(ProdCusto,MATCH($B743,ProdCod,0)),0))</f>
        <v>0</v>
      </c>
      <c r="H743" s="25">
        <f>IF($A743="","",IF(OR($B743="",$C743="",$D743=""),"Preencher tudo",IF($F743="Código não cadastrado","Código inválido","OK")))</f>
        <v>0</v>
      </c>
    </row>
    <row r="744" spans="1:8">
      <c r="A744" s="16"/>
      <c r="B744" s="15"/>
      <c r="C744" s="20"/>
      <c r="D744" s="22"/>
      <c r="E744" s="15"/>
      <c r="F744" s="23">
        <f>IF($B744="","",IFERROR(INDEX(ProdNome,MATCH($B744,ProdCod,0)),"Código não cadastrado"))</f>
        <v>0</v>
      </c>
      <c r="G744" s="24">
        <f>IF(OR($B744="",$D744=""),"",$D744*IFERROR(INDEX(ProdCusto,MATCH($B744,ProdCod,0)),0))</f>
        <v>0</v>
      </c>
      <c r="H744" s="25">
        <f>IF($A744="","",IF(OR($B744="",$C744="",$D744=""),"Preencher tudo",IF($F744="Código não cadastrado","Código inválido","OK")))</f>
        <v>0</v>
      </c>
    </row>
    <row r="745" spans="1:8">
      <c r="A745" s="16"/>
      <c r="B745" s="15"/>
      <c r="C745" s="20"/>
      <c r="D745" s="22"/>
      <c r="E745" s="15"/>
      <c r="F745" s="23">
        <f>IF($B745="","",IFERROR(INDEX(ProdNome,MATCH($B745,ProdCod,0)),"Código não cadastrado"))</f>
        <v>0</v>
      </c>
      <c r="G745" s="24">
        <f>IF(OR($B745="",$D745=""),"",$D745*IFERROR(INDEX(ProdCusto,MATCH($B745,ProdCod,0)),0))</f>
        <v>0</v>
      </c>
      <c r="H745" s="25">
        <f>IF($A745="","",IF(OR($B745="",$C745="",$D745=""),"Preencher tudo",IF($F745="Código não cadastrado","Código inválido","OK")))</f>
        <v>0</v>
      </c>
    </row>
    <row r="746" spans="1:8">
      <c r="A746" s="16"/>
      <c r="B746" s="15"/>
      <c r="C746" s="20"/>
      <c r="D746" s="22"/>
      <c r="E746" s="15"/>
      <c r="F746" s="23">
        <f>IF($B746="","",IFERROR(INDEX(ProdNome,MATCH($B746,ProdCod,0)),"Código não cadastrado"))</f>
        <v>0</v>
      </c>
      <c r="G746" s="24">
        <f>IF(OR($B746="",$D746=""),"",$D746*IFERROR(INDEX(ProdCusto,MATCH($B746,ProdCod,0)),0))</f>
        <v>0</v>
      </c>
      <c r="H746" s="25">
        <f>IF($A746="","",IF(OR($B746="",$C746="",$D746=""),"Preencher tudo",IF($F746="Código não cadastrado","Código inválido","OK")))</f>
        <v>0</v>
      </c>
    </row>
    <row r="747" spans="1:8">
      <c r="A747" s="16"/>
      <c r="B747" s="15"/>
      <c r="C747" s="20"/>
      <c r="D747" s="22"/>
      <c r="E747" s="15"/>
      <c r="F747" s="23">
        <f>IF($B747="","",IFERROR(INDEX(ProdNome,MATCH($B747,ProdCod,0)),"Código não cadastrado"))</f>
        <v>0</v>
      </c>
      <c r="G747" s="24">
        <f>IF(OR($B747="",$D747=""),"",$D747*IFERROR(INDEX(ProdCusto,MATCH($B747,ProdCod,0)),0))</f>
        <v>0</v>
      </c>
      <c r="H747" s="25">
        <f>IF($A747="","",IF(OR($B747="",$C747="",$D747=""),"Preencher tudo",IF($F747="Código não cadastrado","Código inválido","OK")))</f>
        <v>0</v>
      </c>
    </row>
    <row r="748" spans="1:8">
      <c r="A748" s="16"/>
      <c r="B748" s="15"/>
      <c r="C748" s="20"/>
      <c r="D748" s="22"/>
      <c r="E748" s="15"/>
      <c r="F748" s="23">
        <f>IF($B748="","",IFERROR(INDEX(ProdNome,MATCH($B748,ProdCod,0)),"Código não cadastrado"))</f>
        <v>0</v>
      </c>
      <c r="G748" s="24">
        <f>IF(OR($B748="",$D748=""),"",$D748*IFERROR(INDEX(ProdCusto,MATCH($B748,ProdCod,0)),0))</f>
        <v>0</v>
      </c>
      <c r="H748" s="25">
        <f>IF($A748="","",IF(OR($B748="",$C748="",$D748=""),"Preencher tudo",IF($F748="Código não cadastrado","Código inválido","OK")))</f>
        <v>0</v>
      </c>
    </row>
    <row r="749" spans="1:8">
      <c r="A749" s="16"/>
      <c r="B749" s="15"/>
      <c r="C749" s="20"/>
      <c r="D749" s="22"/>
      <c r="E749" s="15"/>
      <c r="F749" s="23">
        <f>IF($B749="","",IFERROR(INDEX(ProdNome,MATCH($B749,ProdCod,0)),"Código não cadastrado"))</f>
        <v>0</v>
      </c>
      <c r="G749" s="24">
        <f>IF(OR($B749="",$D749=""),"",$D749*IFERROR(INDEX(ProdCusto,MATCH($B749,ProdCod,0)),0))</f>
        <v>0</v>
      </c>
      <c r="H749" s="25">
        <f>IF($A749="","",IF(OR($B749="",$C749="",$D749=""),"Preencher tudo",IF($F749="Código não cadastrado","Código inválido","OK")))</f>
        <v>0</v>
      </c>
    </row>
    <row r="750" spans="1:8">
      <c r="A750" s="16"/>
      <c r="B750" s="15"/>
      <c r="C750" s="20"/>
      <c r="D750" s="22"/>
      <c r="E750" s="15"/>
      <c r="F750" s="23">
        <f>IF($B750="","",IFERROR(INDEX(ProdNome,MATCH($B750,ProdCod,0)),"Código não cadastrado"))</f>
        <v>0</v>
      </c>
      <c r="G750" s="24">
        <f>IF(OR($B750="",$D750=""),"",$D750*IFERROR(INDEX(ProdCusto,MATCH($B750,ProdCod,0)),0))</f>
        <v>0</v>
      </c>
      <c r="H750" s="25">
        <f>IF($A750="","",IF(OR($B750="",$C750="",$D750=""),"Preencher tudo",IF($F750="Código não cadastrado","Código inválido","OK")))</f>
        <v>0</v>
      </c>
    </row>
    <row r="751" spans="1:8">
      <c r="A751" s="16"/>
      <c r="B751" s="15"/>
      <c r="C751" s="20"/>
      <c r="D751" s="22"/>
      <c r="E751" s="15"/>
      <c r="F751" s="23">
        <f>IF($B751="","",IFERROR(INDEX(ProdNome,MATCH($B751,ProdCod,0)),"Código não cadastrado"))</f>
        <v>0</v>
      </c>
      <c r="G751" s="24">
        <f>IF(OR($B751="",$D751=""),"",$D751*IFERROR(INDEX(ProdCusto,MATCH($B751,ProdCod,0)),0))</f>
        <v>0</v>
      </c>
      <c r="H751" s="25">
        <f>IF($A751="","",IF(OR($B751="",$C751="",$D751=""),"Preencher tudo",IF($F751="Código não cadastrado","Código inválido","OK")))</f>
        <v>0</v>
      </c>
    </row>
    <row r="752" spans="1:8">
      <c r="A752" s="16"/>
      <c r="B752" s="15"/>
      <c r="C752" s="20"/>
      <c r="D752" s="22"/>
      <c r="E752" s="15"/>
      <c r="F752" s="23">
        <f>IF($B752="","",IFERROR(INDEX(ProdNome,MATCH($B752,ProdCod,0)),"Código não cadastrado"))</f>
        <v>0</v>
      </c>
      <c r="G752" s="24">
        <f>IF(OR($B752="",$D752=""),"",$D752*IFERROR(INDEX(ProdCusto,MATCH($B752,ProdCod,0)),0))</f>
        <v>0</v>
      </c>
      <c r="H752" s="25">
        <f>IF($A752="","",IF(OR($B752="",$C752="",$D752=""),"Preencher tudo",IF($F752="Código não cadastrado","Código inválido","OK")))</f>
        <v>0</v>
      </c>
    </row>
    <row r="753" spans="1:8">
      <c r="A753" s="16"/>
      <c r="B753" s="15"/>
      <c r="C753" s="20"/>
      <c r="D753" s="22"/>
      <c r="E753" s="15"/>
      <c r="F753" s="23">
        <f>IF($B753="","",IFERROR(INDEX(ProdNome,MATCH($B753,ProdCod,0)),"Código não cadastrado"))</f>
        <v>0</v>
      </c>
      <c r="G753" s="24">
        <f>IF(OR($B753="",$D753=""),"",$D753*IFERROR(INDEX(ProdCusto,MATCH($B753,ProdCod,0)),0))</f>
        <v>0</v>
      </c>
      <c r="H753" s="25">
        <f>IF($A753="","",IF(OR($B753="",$C753="",$D753=""),"Preencher tudo",IF($F753="Código não cadastrado","Código inválido","OK")))</f>
        <v>0</v>
      </c>
    </row>
    <row r="754" spans="1:8">
      <c r="A754" s="16"/>
      <c r="B754" s="15"/>
      <c r="C754" s="20"/>
      <c r="D754" s="22"/>
      <c r="E754" s="15"/>
      <c r="F754" s="23">
        <f>IF($B754="","",IFERROR(INDEX(ProdNome,MATCH($B754,ProdCod,0)),"Código não cadastrado"))</f>
        <v>0</v>
      </c>
      <c r="G754" s="24">
        <f>IF(OR($B754="",$D754=""),"",$D754*IFERROR(INDEX(ProdCusto,MATCH($B754,ProdCod,0)),0))</f>
        <v>0</v>
      </c>
      <c r="H754" s="25">
        <f>IF($A754="","",IF(OR($B754="",$C754="",$D754=""),"Preencher tudo",IF($F754="Código não cadastrado","Código inválido","OK")))</f>
        <v>0</v>
      </c>
    </row>
    <row r="755" spans="1:8">
      <c r="A755" s="16"/>
      <c r="B755" s="15"/>
      <c r="C755" s="20"/>
      <c r="D755" s="22"/>
      <c r="E755" s="15"/>
      <c r="F755" s="23">
        <f>IF($B755="","",IFERROR(INDEX(ProdNome,MATCH($B755,ProdCod,0)),"Código não cadastrado"))</f>
        <v>0</v>
      </c>
      <c r="G755" s="24">
        <f>IF(OR($B755="",$D755=""),"",$D755*IFERROR(INDEX(ProdCusto,MATCH($B755,ProdCod,0)),0))</f>
        <v>0</v>
      </c>
      <c r="H755" s="25">
        <f>IF($A755="","",IF(OR($B755="",$C755="",$D755=""),"Preencher tudo",IF($F755="Código não cadastrado","Código inválido","OK")))</f>
        <v>0</v>
      </c>
    </row>
    <row r="756" spans="1:8">
      <c r="A756" s="16"/>
      <c r="B756" s="15"/>
      <c r="C756" s="20"/>
      <c r="D756" s="22"/>
      <c r="E756" s="15"/>
      <c r="F756" s="23">
        <f>IF($B756="","",IFERROR(INDEX(ProdNome,MATCH($B756,ProdCod,0)),"Código não cadastrado"))</f>
        <v>0</v>
      </c>
      <c r="G756" s="24">
        <f>IF(OR($B756="",$D756=""),"",$D756*IFERROR(INDEX(ProdCusto,MATCH($B756,ProdCod,0)),0))</f>
        <v>0</v>
      </c>
      <c r="H756" s="25">
        <f>IF($A756="","",IF(OR($B756="",$C756="",$D756=""),"Preencher tudo",IF($F756="Código não cadastrado","Código inválido","OK")))</f>
        <v>0</v>
      </c>
    </row>
    <row r="757" spans="1:8">
      <c r="A757" s="16"/>
      <c r="B757" s="15"/>
      <c r="C757" s="20"/>
      <c r="D757" s="22"/>
      <c r="E757" s="15"/>
      <c r="F757" s="23">
        <f>IF($B757="","",IFERROR(INDEX(ProdNome,MATCH($B757,ProdCod,0)),"Código não cadastrado"))</f>
        <v>0</v>
      </c>
      <c r="G757" s="24">
        <f>IF(OR($B757="",$D757=""),"",$D757*IFERROR(INDEX(ProdCusto,MATCH($B757,ProdCod,0)),0))</f>
        <v>0</v>
      </c>
      <c r="H757" s="25">
        <f>IF($A757="","",IF(OR($B757="",$C757="",$D757=""),"Preencher tudo",IF($F757="Código não cadastrado","Código inválido","OK")))</f>
        <v>0</v>
      </c>
    </row>
    <row r="758" spans="1:8">
      <c r="A758" s="16"/>
      <c r="B758" s="15"/>
      <c r="C758" s="20"/>
      <c r="D758" s="22"/>
      <c r="E758" s="15"/>
      <c r="F758" s="23">
        <f>IF($B758="","",IFERROR(INDEX(ProdNome,MATCH($B758,ProdCod,0)),"Código não cadastrado"))</f>
        <v>0</v>
      </c>
      <c r="G758" s="24">
        <f>IF(OR($B758="",$D758=""),"",$D758*IFERROR(INDEX(ProdCusto,MATCH($B758,ProdCod,0)),0))</f>
        <v>0</v>
      </c>
      <c r="H758" s="25">
        <f>IF($A758="","",IF(OR($B758="",$C758="",$D758=""),"Preencher tudo",IF($F758="Código não cadastrado","Código inválido","OK")))</f>
        <v>0</v>
      </c>
    </row>
    <row r="759" spans="1:8">
      <c r="A759" s="16"/>
      <c r="B759" s="15"/>
      <c r="C759" s="20"/>
      <c r="D759" s="22"/>
      <c r="E759" s="15"/>
      <c r="F759" s="23">
        <f>IF($B759="","",IFERROR(INDEX(ProdNome,MATCH($B759,ProdCod,0)),"Código não cadastrado"))</f>
        <v>0</v>
      </c>
      <c r="G759" s="24">
        <f>IF(OR($B759="",$D759=""),"",$D759*IFERROR(INDEX(ProdCusto,MATCH($B759,ProdCod,0)),0))</f>
        <v>0</v>
      </c>
      <c r="H759" s="25">
        <f>IF($A759="","",IF(OR($B759="",$C759="",$D759=""),"Preencher tudo",IF($F759="Código não cadastrado","Código inválido","OK")))</f>
        <v>0</v>
      </c>
    </row>
    <row r="760" spans="1:8">
      <c r="A760" s="16"/>
      <c r="B760" s="15"/>
      <c r="C760" s="20"/>
      <c r="D760" s="22"/>
      <c r="E760" s="15"/>
      <c r="F760" s="23">
        <f>IF($B760="","",IFERROR(INDEX(ProdNome,MATCH($B760,ProdCod,0)),"Código não cadastrado"))</f>
        <v>0</v>
      </c>
      <c r="G760" s="24">
        <f>IF(OR($B760="",$D760=""),"",$D760*IFERROR(INDEX(ProdCusto,MATCH($B760,ProdCod,0)),0))</f>
        <v>0</v>
      </c>
      <c r="H760" s="25">
        <f>IF($A760="","",IF(OR($B760="",$C760="",$D760=""),"Preencher tudo",IF($F760="Código não cadastrado","Código inválido","OK")))</f>
        <v>0</v>
      </c>
    </row>
    <row r="761" spans="1:8">
      <c r="A761" s="16"/>
      <c r="B761" s="15"/>
      <c r="C761" s="20"/>
      <c r="D761" s="22"/>
      <c r="E761" s="15"/>
      <c r="F761" s="23">
        <f>IF($B761="","",IFERROR(INDEX(ProdNome,MATCH($B761,ProdCod,0)),"Código não cadastrado"))</f>
        <v>0</v>
      </c>
      <c r="G761" s="24">
        <f>IF(OR($B761="",$D761=""),"",$D761*IFERROR(INDEX(ProdCusto,MATCH($B761,ProdCod,0)),0))</f>
        <v>0</v>
      </c>
      <c r="H761" s="25">
        <f>IF($A761="","",IF(OR($B761="",$C761="",$D761=""),"Preencher tudo",IF($F761="Código não cadastrado","Código inválido","OK")))</f>
        <v>0</v>
      </c>
    </row>
    <row r="762" spans="1:8">
      <c r="A762" s="16"/>
      <c r="B762" s="15"/>
      <c r="C762" s="20"/>
      <c r="D762" s="22"/>
      <c r="E762" s="15"/>
      <c r="F762" s="23">
        <f>IF($B762="","",IFERROR(INDEX(ProdNome,MATCH($B762,ProdCod,0)),"Código não cadastrado"))</f>
        <v>0</v>
      </c>
      <c r="G762" s="24">
        <f>IF(OR($B762="",$D762=""),"",$D762*IFERROR(INDEX(ProdCusto,MATCH($B762,ProdCod,0)),0))</f>
        <v>0</v>
      </c>
      <c r="H762" s="25">
        <f>IF($A762="","",IF(OR($B762="",$C762="",$D762=""),"Preencher tudo",IF($F762="Código não cadastrado","Código inválido","OK")))</f>
        <v>0</v>
      </c>
    </row>
    <row r="763" spans="1:8">
      <c r="A763" s="16"/>
      <c r="B763" s="15"/>
      <c r="C763" s="20"/>
      <c r="D763" s="22"/>
      <c r="E763" s="15"/>
      <c r="F763" s="23">
        <f>IF($B763="","",IFERROR(INDEX(ProdNome,MATCH($B763,ProdCod,0)),"Código não cadastrado"))</f>
        <v>0</v>
      </c>
      <c r="G763" s="24">
        <f>IF(OR($B763="",$D763=""),"",$D763*IFERROR(INDEX(ProdCusto,MATCH($B763,ProdCod,0)),0))</f>
        <v>0</v>
      </c>
      <c r="H763" s="25">
        <f>IF($A763="","",IF(OR($B763="",$C763="",$D763=""),"Preencher tudo",IF($F763="Código não cadastrado","Código inválido","OK")))</f>
        <v>0</v>
      </c>
    </row>
    <row r="764" spans="1:8">
      <c r="A764" s="16"/>
      <c r="B764" s="15"/>
      <c r="C764" s="20"/>
      <c r="D764" s="22"/>
      <c r="E764" s="15"/>
      <c r="F764" s="23">
        <f>IF($B764="","",IFERROR(INDEX(ProdNome,MATCH($B764,ProdCod,0)),"Código não cadastrado"))</f>
        <v>0</v>
      </c>
      <c r="G764" s="24">
        <f>IF(OR($B764="",$D764=""),"",$D764*IFERROR(INDEX(ProdCusto,MATCH($B764,ProdCod,0)),0))</f>
        <v>0</v>
      </c>
      <c r="H764" s="25">
        <f>IF($A764="","",IF(OR($B764="",$C764="",$D764=""),"Preencher tudo",IF($F764="Código não cadastrado","Código inválido","OK")))</f>
        <v>0</v>
      </c>
    </row>
    <row r="765" spans="1:8">
      <c r="A765" s="16"/>
      <c r="B765" s="15"/>
      <c r="C765" s="20"/>
      <c r="D765" s="22"/>
      <c r="E765" s="15"/>
      <c r="F765" s="23">
        <f>IF($B765="","",IFERROR(INDEX(ProdNome,MATCH($B765,ProdCod,0)),"Código não cadastrado"))</f>
        <v>0</v>
      </c>
      <c r="G765" s="24">
        <f>IF(OR($B765="",$D765=""),"",$D765*IFERROR(INDEX(ProdCusto,MATCH($B765,ProdCod,0)),0))</f>
        <v>0</v>
      </c>
      <c r="H765" s="25">
        <f>IF($A765="","",IF(OR($B765="",$C765="",$D765=""),"Preencher tudo",IF($F765="Código não cadastrado","Código inválido","OK")))</f>
        <v>0</v>
      </c>
    </row>
    <row r="766" spans="1:8">
      <c r="A766" s="16"/>
      <c r="B766" s="15"/>
      <c r="C766" s="20"/>
      <c r="D766" s="22"/>
      <c r="E766" s="15"/>
      <c r="F766" s="23">
        <f>IF($B766="","",IFERROR(INDEX(ProdNome,MATCH($B766,ProdCod,0)),"Código não cadastrado"))</f>
        <v>0</v>
      </c>
      <c r="G766" s="24">
        <f>IF(OR($B766="",$D766=""),"",$D766*IFERROR(INDEX(ProdCusto,MATCH($B766,ProdCod,0)),0))</f>
        <v>0</v>
      </c>
      <c r="H766" s="25">
        <f>IF($A766="","",IF(OR($B766="",$C766="",$D766=""),"Preencher tudo",IF($F766="Código não cadastrado","Código inválido","OK")))</f>
        <v>0</v>
      </c>
    </row>
    <row r="767" spans="1:8">
      <c r="A767" s="16"/>
      <c r="B767" s="15"/>
      <c r="C767" s="20"/>
      <c r="D767" s="22"/>
      <c r="E767" s="15"/>
      <c r="F767" s="23">
        <f>IF($B767="","",IFERROR(INDEX(ProdNome,MATCH($B767,ProdCod,0)),"Código não cadastrado"))</f>
        <v>0</v>
      </c>
      <c r="G767" s="24">
        <f>IF(OR($B767="",$D767=""),"",$D767*IFERROR(INDEX(ProdCusto,MATCH($B767,ProdCod,0)),0))</f>
        <v>0</v>
      </c>
      <c r="H767" s="25">
        <f>IF($A767="","",IF(OR($B767="",$C767="",$D767=""),"Preencher tudo",IF($F767="Código não cadastrado","Código inválido","OK")))</f>
        <v>0</v>
      </c>
    </row>
    <row r="768" spans="1:8">
      <c r="A768" s="16"/>
      <c r="B768" s="15"/>
      <c r="C768" s="20"/>
      <c r="D768" s="22"/>
      <c r="E768" s="15"/>
      <c r="F768" s="23">
        <f>IF($B768="","",IFERROR(INDEX(ProdNome,MATCH($B768,ProdCod,0)),"Código não cadastrado"))</f>
        <v>0</v>
      </c>
      <c r="G768" s="24">
        <f>IF(OR($B768="",$D768=""),"",$D768*IFERROR(INDEX(ProdCusto,MATCH($B768,ProdCod,0)),0))</f>
        <v>0</v>
      </c>
      <c r="H768" s="25">
        <f>IF($A768="","",IF(OR($B768="",$C768="",$D768=""),"Preencher tudo",IF($F768="Código não cadastrado","Código inválido","OK")))</f>
        <v>0</v>
      </c>
    </row>
    <row r="769" spans="1:8">
      <c r="A769" s="16"/>
      <c r="B769" s="15"/>
      <c r="C769" s="20"/>
      <c r="D769" s="22"/>
      <c r="E769" s="15"/>
      <c r="F769" s="23">
        <f>IF($B769="","",IFERROR(INDEX(ProdNome,MATCH($B769,ProdCod,0)),"Código não cadastrado"))</f>
        <v>0</v>
      </c>
      <c r="G769" s="24">
        <f>IF(OR($B769="",$D769=""),"",$D769*IFERROR(INDEX(ProdCusto,MATCH($B769,ProdCod,0)),0))</f>
        <v>0</v>
      </c>
      <c r="H769" s="25">
        <f>IF($A769="","",IF(OR($B769="",$C769="",$D769=""),"Preencher tudo",IF($F769="Código não cadastrado","Código inválido","OK")))</f>
        <v>0</v>
      </c>
    </row>
    <row r="770" spans="1:8">
      <c r="A770" s="16"/>
      <c r="B770" s="15"/>
      <c r="C770" s="20"/>
      <c r="D770" s="22"/>
      <c r="E770" s="15"/>
      <c r="F770" s="23">
        <f>IF($B770="","",IFERROR(INDEX(ProdNome,MATCH($B770,ProdCod,0)),"Código não cadastrado"))</f>
        <v>0</v>
      </c>
      <c r="G770" s="24">
        <f>IF(OR($B770="",$D770=""),"",$D770*IFERROR(INDEX(ProdCusto,MATCH($B770,ProdCod,0)),0))</f>
        <v>0</v>
      </c>
      <c r="H770" s="25">
        <f>IF($A770="","",IF(OR($B770="",$C770="",$D770=""),"Preencher tudo",IF($F770="Código não cadastrado","Código inválido","OK")))</f>
        <v>0</v>
      </c>
    </row>
    <row r="771" spans="1:8">
      <c r="A771" s="16"/>
      <c r="B771" s="15"/>
      <c r="C771" s="20"/>
      <c r="D771" s="22"/>
      <c r="E771" s="15"/>
      <c r="F771" s="23">
        <f>IF($B771="","",IFERROR(INDEX(ProdNome,MATCH($B771,ProdCod,0)),"Código não cadastrado"))</f>
        <v>0</v>
      </c>
      <c r="G771" s="24">
        <f>IF(OR($B771="",$D771=""),"",$D771*IFERROR(INDEX(ProdCusto,MATCH($B771,ProdCod,0)),0))</f>
        <v>0</v>
      </c>
      <c r="H771" s="25">
        <f>IF($A771="","",IF(OR($B771="",$C771="",$D771=""),"Preencher tudo",IF($F771="Código não cadastrado","Código inválido","OK")))</f>
        <v>0</v>
      </c>
    </row>
    <row r="772" spans="1:8">
      <c r="A772" s="16"/>
      <c r="B772" s="15"/>
      <c r="C772" s="20"/>
      <c r="D772" s="22"/>
      <c r="E772" s="15"/>
      <c r="F772" s="23">
        <f>IF($B772="","",IFERROR(INDEX(ProdNome,MATCH($B772,ProdCod,0)),"Código não cadastrado"))</f>
        <v>0</v>
      </c>
      <c r="G772" s="24">
        <f>IF(OR($B772="",$D772=""),"",$D772*IFERROR(INDEX(ProdCusto,MATCH($B772,ProdCod,0)),0))</f>
        <v>0</v>
      </c>
      <c r="H772" s="25">
        <f>IF($A772="","",IF(OR($B772="",$C772="",$D772=""),"Preencher tudo",IF($F772="Código não cadastrado","Código inválido","OK")))</f>
        <v>0</v>
      </c>
    </row>
    <row r="773" spans="1:8">
      <c r="A773" s="16"/>
      <c r="B773" s="15"/>
      <c r="C773" s="20"/>
      <c r="D773" s="22"/>
      <c r="E773" s="15"/>
      <c r="F773" s="23">
        <f>IF($B773="","",IFERROR(INDEX(ProdNome,MATCH($B773,ProdCod,0)),"Código não cadastrado"))</f>
        <v>0</v>
      </c>
      <c r="G773" s="24">
        <f>IF(OR($B773="",$D773=""),"",$D773*IFERROR(INDEX(ProdCusto,MATCH($B773,ProdCod,0)),0))</f>
        <v>0</v>
      </c>
      <c r="H773" s="25">
        <f>IF($A773="","",IF(OR($B773="",$C773="",$D773=""),"Preencher tudo",IF($F773="Código não cadastrado","Código inválido","OK")))</f>
        <v>0</v>
      </c>
    </row>
    <row r="774" spans="1:8">
      <c r="A774" s="16"/>
      <c r="B774" s="15"/>
      <c r="C774" s="20"/>
      <c r="D774" s="22"/>
      <c r="E774" s="15"/>
      <c r="F774" s="23">
        <f>IF($B774="","",IFERROR(INDEX(ProdNome,MATCH($B774,ProdCod,0)),"Código não cadastrado"))</f>
        <v>0</v>
      </c>
      <c r="G774" s="24">
        <f>IF(OR($B774="",$D774=""),"",$D774*IFERROR(INDEX(ProdCusto,MATCH($B774,ProdCod,0)),0))</f>
        <v>0</v>
      </c>
      <c r="H774" s="25">
        <f>IF($A774="","",IF(OR($B774="",$C774="",$D774=""),"Preencher tudo",IF($F774="Código não cadastrado","Código inválido","OK")))</f>
        <v>0</v>
      </c>
    </row>
    <row r="775" spans="1:8">
      <c r="A775" s="16"/>
      <c r="B775" s="15"/>
      <c r="C775" s="20"/>
      <c r="D775" s="22"/>
      <c r="E775" s="15"/>
      <c r="F775" s="23">
        <f>IF($B775="","",IFERROR(INDEX(ProdNome,MATCH($B775,ProdCod,0)),"Código não cadastrado"))</f>
        <v>0</v>
      </c>
      <c r="G775" s="24">
        <f>IF(OR($B775="",$D775=""),"",$D775*IFERROR(INDEX(ProdCusto,MATCH($B775,ProdCod,0)),0))</f>
        <v>0</v>
      </c>
      <c r="H775" s="25">
        <f>IF($A775="","",IF(OR($B775="",$C775="",$D775=""),"Preencher tudo",IF($F775="Código não cadastrado","Código inválido","OK")))</f>
        <v>0</v>
      </c>
    </row>
    <row r="776" spans="1:8">
      <c r="A776" s="16"/>
      <c r="B776" s="15"/>
      <c r="C776" s="20"/>
      <c r="D776" s="22"/>
      <c r="E776" s="15"/>
      <c r="F776" s="23">
        <f>IF($B776="","",IFERROR(INDEX(ProdNome,MATCH($B776,ProdCod,0)),"Código não cadastrado"))</f>
        <v>0</v>
      </c>
      <c r="G776" s="24">
        <f>IF(OR($B776="",$D776=""),"",$D776*IFERROR(INDEX(ProdCusto,MATCH($B776,ProdCod,0)),0))</f>
        <v>0</v>
      </c>
      <c r="H776" s="25">
        <f>IF($A776="","",IF(OR($B776="",$C776="",$D776=""),"Preencher tudo",IF($F776="Código não cadastrado","Código inválido","OK")))</f>
        <v>0</v>
      </c>
    </row>
    <row r="777" spans="1:8">
      <c r="A777" s="16"/>
      <c r="B777" s="15"/>
      <c r="C777" s="20"/>
      <c r="D777" s="22"/>
      <c r="E777" s="15"/>
      <c r="F777" s="23">
        <f>IF($B777="","",IFERROR(INDEX(ProdNome,MATCH($B777,ProdCod,0)),"Código não cadastrado"))</f>
        <v>0</v>
      </c>
      <c r="G777" s="24">
        <f>IF(OR($B777="",$D777=""),"",$D777*IFERROR(INDEX(ProdCusto,MATCH($B777,ProdCod,0)),0))</f>
        <v>0</v>
      </c>
      <c r="H777" s="25">
        <f>IF($A777="","",IF(OR($B777="",$C777="",$D777=""),"Preencher tudo",IF($F777="Código não cadastrado","Código inválido","OK")))</f>
        <v>0</v>
      </c>
    </row>
    <row r="778" spans="1:8">
      <c r="A778" s="16"/>
      <c r="B778" s="15"/>
      <c r="C778" s="20"/>
      <c r="D778" s="22"/>
      <c r="E778" s="15"/>
      <c r="F778" s="23">
        <f>IF($B778="","",IFERROR(INDEX(ProdNome,MATCH($B778,ProdCod,0)),"Código não cadastrado"))</f>
        <v>0</v>
      </c>
      <c r="G778" s="24">
        <f>IF(OR($B778="",$D778=""),"",$D778*IFERROR(INDEX(ProdCusto,MATCH($B778,ProdCod,0)),0))</f>
        <v>0</v>
      </c>
      <c r="H778" s="25">
        <f>IF($A778="","",IF(OR($B778="",$C778="",$D778=""),"Preencher tudo",IF($F778="Código não cadastrado","Código inválido","OK")))</f>
        <v>0</v>
      </c>
    </row>
    <row r="779" spans="1:8">
      <c r="A779" s="16"/>
      <c r="B779" s="15"/>
      <c r="C779" s="20"/>
      <c r="D779" s="22"/>
      <c r="E779" s="15"/>
      <c r="F779" s="23">
        <f>IF($B779="","",IFERROR(INDEX(ProdNome,MATCH($B779,ProdCod,0)),"Código não cadastrado"))</f>
        <v>0</v>
      </c>
      <c r="G779" s="24">
        <f>IF(OR($B779="",$D779=""),"",$D779*IFERROR(INDEX(ProdCusto,MATCH($B779,ProdCod,0)),0))</f>
        <v>0</v>
      </c>
      <c r="H779" s="25">
        <f>IF($A779="","",IF(OR($B779="",$C779="",$D779=""),"Preencher tudo",IF($F779="Código não cadastrado","Código inválido","OK")))</f>
        <v>0</v>
      </c>
    </row>
    <row r="780" spans="1:8">
      <c r="A780" s="16"/>
      <c r="B780" s="15"/>
      <c r="C780" s="20"/>
      <c r="D780" s="22"/>
      <c r="E780" s="15"/>
      <c r="F780" s="23">
        <f>IF($B780="","",IFERROR(INDEX(ProdNome,MATCH($B780,ProdCod,0)),"Código não cadastrado"))</f>
        <v>0</v>
      </c>
      <c r="G780" s="24">
        <f>IF(OR($B780="",$D780=""),"",$D780*IFERROR(INDEX(ProdCusto,MATCH($B780,ProdCod,0)),0))</f>
        <v>0</v>
      </c>
      <c r="H780" s="25">
        <f>IF($A780="","",IF(OR($B780="",$C780="",$D780=""),"Preencher tudo",IF($F780="Código não cadastrado","Código inválido","OK")))</f>
        <v>0</v>
      </c>
    </row>
    <row r="781" spans="1:8">
      <c r="A781" s="16"/>
      <c r="B781" s="15"/>
      <c r="C781" s="20"/>
      <c r="D781" s="22"/>
      <c r="E781" s="15"/>
      <c r="F781" s="23">
        <f>IF($B781="","",IFERROR(INDEX(ProdNome,MATCH($B781,ProdCod,0)),"Código não cadastrado"))</f>
        <v>0</v>
      </c>
      <c r="G781" s="24">
        <f>IF(OR($B781="",$D781=""),"",$D781*IFERROR(INDEX(ProdCusto,MATCH($B781,ProdCod,0)),0))</f>
        <v>0</v>
      </c>
      <c r="H781" s="25">
        <f>IF($A781="","",IF(OR($B781="",$C781="",$D781=""),"Preencher tudo",IF($F781="Código não cadastrado","Código inválido","OK")))</f>
        <v>0</v>
      </c>
    </row>
    <row r="782" spans="1:8">
      <c r="A782" s="16"/>
      <c r="B782" s="15"/>
      <c r="C782" s="20"/>
      <c r="D782" s="22"/>
      <c r="E782" s="15"/>
      <c r="F782" s="23">
        <f>IF($B782="","",IFERROR(INDEX(ProdNome,MATCH($B782,ProdCod,0)),"Código não cadastrado"))</f>
        <v>0</v>
      </c>
      <c r="G782" s="24">
        <f>IF(OR($B782="",$D782=""),"",$D782*IFERROR(INDEX(ProdCusto,MATCH($B782,ProdCod,0)),0))</f>
        <v>0</v>
      </c>
      <c r="H782" s="25">
        <f>IF($A782="","",IF(OR($B782="",$C782="",$D782=""),"Preencher tudo",IF($F782="Código não cadastrado","Código inválido","OK")))</f>
        <v>0</v>
      </c>
    </row>
    <row r="783" spans="1:8">
      <c r="A783" s="16"/>
      <c r="B783" s="15"/>
      <c r="C783" s="20"/>
      <c r="D783" s="22"/>
      <c r="E783" s="15"/>
      <c r="F783" s="23">
        <f>IF($B783="","",IFERROR(INDEX(ProdNome,MATCH($B783,ProdCod,0)),"Código não cadastrado"))</f>
        <v>0</v>
      </c>
      <c r="G783" s="24">
        <f>IF(OR($B783="",$D783=""),"",$D783*IFERROR(INDEX(ProdCusto,MATCH($B783,ProdCod,0)),0))</f>
        <v>0</v>
      </c>
      <c r="H783" s="25">
        <f>IF($A783="","",IF(OR($B783="",$C783="",$D783=""),"Preencher tudo",IF($F783="Código não cadastrado","Código inválido","OK")))</f>
        <v>0</v>
      </c>
    </row>
    <row r="784" spans="1:8">
      <c r="A784" s="16"/>
      <c r="B784" s="15"/>
      <c r="C784" s="20"/>
      <c r="D784" s="22"/>
      <c r="E784" s="15"/>
      <c r="F784" s="23">
        <f>IF($B784="","",IFERROR(INDEX(ProdNome,MATCH($B784,ProdCod,0)),"Código não cadastrado"))</f>
        <v>0</v>
      </c>
      <c r="G784" s="24">
        <f>IF(OR($B784="",$D784=""),"",$D784*IFERROR(INDEX(ProdCusto,MATCH($B784,ProdCod,0)),0))</f>
        <v>0</v>
      </c>
      <c r="H784" s="25">
        <f>IF($A784="","",IF(OR($B784="",$C784="",$D784=""),"Preencher tudo",IF($F784="Código não cadastrado","Código inválido","OK")))</f>
        <v>0</v>
      </c>
    </row>
    <row r="785" spans="1:8">
      <c r="A785" s="16"/>
      <c r="B785" s="15"/>
      <c r="C785" s="20"/>
      <c r="D785" s="22"/>
      <c r="E785" s="15"/>
      <c r="F785" s="23">
        <f>IF($B785="","",IFERROR(INDEX(ProdNome,MATCH($B785,ProdCod,0)),"Código não cadastrado"))</f>
        <v>0</v>
      </c>
      <c r="G785" s="24">
        <f>IF(OR($B785="",$D785=""),"",$D785*IFERROR(INDEX(ProdCusto,MATCH($B785,ProdCod,0)),0))</f>
        <v>0</v>
      </c>
      <c r="H785" s="25">
        <f>IF($A785="","",IF(OR($B785="",$C785="",$D785=""),"Preencher tudo",IF($F785="Código não cadastrado","Código inválido","OK")))</f>
        <v>0</v>
      </c>
    </row>
    <row r="786" spans="1:8">
      <c r="A786" s="16"/>
      <c r="B786" s="15"/>
      <c r="C786" s="20"/>
      <c r="D786" s="22"/>
      <c r="E786" s="15"/>
      <c r="F786" s="23">
        <f>IF($B786="","",IFERROR(INDEX(ProdNome,MATCH($B786,ProdCod,0)),"Código não cadastrado"))</f>
        <v>0</v>
      </c>
      <c r="G786" s="24">
        <f>IF(OR($B786="",$D786=""),"",$D786*IFERROR(INDEX(ProdCusto,MATCH($B786,ProdCod,0)),0))</f>
        <v>0</v>
      </c>
      <c r="H786" s="25">
        <f>IF($A786="","",IF(OR($B786="",$C786="",$D786=""),"Preencher tudo",IF($F786="Código não cadastrado","Código inválido","OK")))</f>
        <v>0</v>
      </c>
    </row>
    <row r="787" spans="1:8">
      <c r="A787" s="16"/>
      <c r="B787" s="15"/>
      <c r="C787" s="20"/>
      <c r="D787" s="22"/>
      <c r="E787" s="15"/>
      <c r="F787" s="23">
        <f>IF($B787="","",IFERROR(INDEX(ProdNome,MATCH($B787,ProdCod,0)),"Código não cadastrado"))</f>
        <v>0</v>
      </c>
      <c r="G787" s="24">
        <f>IF(OR($B787="",$D787=""),"",$D787*IFERROR(INDEX(ProdCusto,MATCH($B787,ProdCod,0)),0))</f>
        <v>0</v>
      </c>
      <c r="H787" s="25">
        <f>IF($A787="","",IF(OR($B787="",$C787="",$D787=""),"Preencher tudo",IF($F787="Código não cadastrado","Código inválido","OK")))</f>
        <v>0</v>
      </c>
    </row>
    <row r="788" spans="1:8">
      <c r="A788" s="16"/>
      <c r="B788" s="15"/>
      <c r="C788" s="20"/>
      <c r="D788" s="22"/>
      <c r="E788" s="15"/>
      <c r="F788" s="23">
        <f>IF($B788="","",IFERROR(INDEX(ProdNome,MATCH($B788,ProdCod,0)),"Código não cadastrado"))</f>
        <v>0</v>
      </c>
      <c r="G788" s="24">
        <f>IF(OR($B788="",$D788=""),"",$D788*IFERROR(INDEX(ProdCusto,MATCH($B788,ProdCod,0)),0))</f>
        <v>0</v>
      </c>
      <c r="H788" s="25">
        <f>IF($A788="","",IF(OR($B788="",$C788="",$D788=""),"Preencher tudo",IF($F788="Código não cadastrado","Código inválido","OK")))</f>
        <v>0</v>
      </c>
    </row>
    <row r="789" spans="1:8">
      <c r="A789" s="16"/>
      <c r="B789" s="15"/>
      <c r="C789" s="20"/>
      <c r="D789" s="22"/>
      <c r="E789" s="15"/>
      <c r="F789" s="23">
        <f>IF($B789="","",IFERROR(INDEX(ProdNome,MATCH($B789,ProdCod,0)),"Código não cadastrado"))</f>
        <v>0</v>
      </c>
      <c r="G789" s="24">
        <f>IF(OR($B789="",$D789=""),"",$D789*IFERROR(INDEX(ProdCusto,MATCH($B789,ProdCod,0)),0))</f>
        <v>0</v>
      </c>
      <c r="H789" s="25">
        <f>IF($A789="","",IF(OR($B789="",$C789="",$D789=""),"Preencher tudo",IF($F789="Código não cadastrado","Código inválido","OK")))</f>
        <v>0</v>
      </c>
    </row>
    <row r="790" spans="1:8">
      <c r="A790" s="16"/>
      <c r="B790" s="15"/>
      <c r="C790" s="20"/>
      <c r="D790" s="22"/>
      <c r="E790" s="15"/>
      <c r="F790" s="23">
        <f>IF($B790="","",IFERROR(INDEX(ProdNome,MATCH($B790,ProdCod,0)),"Código não cadastrado"))</f>
        <v>0</v>
      </c>
      <c r="G790" s="24">
        <f>IF(OR($B790="",$D790=""),"",$D790*IFERROR(INDEX(ProdCusto,MATCH($B790,ProdCod,0)),0))</f>
        <v>0</v>
      </c>
      <c r="H790" s="25">
        <f>IF($A790="","",IF(OR($B790="",$C790="",$D790=""),"Preencher tudo",IF($F790="Código não cadastrado","Código inválido","OK")))</f>
        <v>0</v>
      </c>
    </row>
    <row r="791" spans="1:8">
      <c r="A791" s="16"/>
      <c r="B791" s="15"/>
      <c r="C791" s="20"/>
      <c r="D791" s="22"/>
      <c r="E791" s="15"/>
      <c r="F791" s="23">
        <f>IF($B791="","",IFERROR(INDEX(ProdNome,MATCH($B791,ProdCod,0)),"Código não cadastrado"))</f>
        <v>0</v>
      </c>
      <c r="G791" s="24">
        <f>IF(OR($B791="",$D791=""),"",$D791*IFERROR(INDEX(ProdCusto,MATCH($B791,ProdCod,0)),0))</f>
        <v>0</v>
      </c>
      <c r="H791" s="25">
        <f>IF($A791="","",IF(OR($B791="",$C791="",$D791=""),"Preencher tudo",IF($F791="Código não cadastrado","Código inválido","OK")))</f>
        <v>0</v>
      </c>
    </row>
    <row r="792" spans="1:8">
      <c r="A792" s="16"/>
      <c r="B792" s="15"/>
      <c r="C792" s="20"/>
      <c r="D792" s="22"/>
      <c r="E792" s="15"/>
      <c r="F792" s="23">
        <f>IF($B792="","",IFERROR(INDEX(ProdNome,MATCH($B792,ProdCod,0)),"Código não cadastrado"))</f>
        <v>0</v>
      </c>
      <c r="G792" s="24">
        <f>IF(OR($B792="",$D792=""),"",$D792*IFERROR(INDEX(ProdCusto,MATCH($B792,ProdCod,0)),0))</f>
        <v>0</v>
      </c>
      <c r="H792" s="25">
        <f>IF($A792="","",IF(OR($B792="",$C792="",$D792=""),"Preencher tudo",IF($F792="Código não cadastrado","Código inválido","OK")))</f>
        <v>0</v>
      </c>
    </row>
    <row r="793" spans="1:8">
      <c r="A793" s="16"/>
      <c r="B793" s="15"/>
      <c r="C793" s="20"/>
      <c r="D793" s="22"/>
      <c r="E793" s="15"/>
      <c r="F793" s="23">
        <f>IF($B793="","",IFERROR(INDEX(ProdNome,MATCH($B793,ProdCod,0)),"Código não cadastrado"))</f>
        <v>0</v>
      </c>
      <c r="G793" s="24">
        <f>IF(OR($B793="",$D793=""),"",$D793*IFERROR(INDEX(ProdCusto,MATCH($B793,ProdCod,0)),0))</f>
        <v>0</v>
      </c>
      <c r="H793" s="25">
        <f>IF($A793="","",IF(OR($B793="",$C793="",$D793=""),"Preencher tudo",IF($F793="Código não cadastrado","Código inválido","OK")))</f>
        <v>0</v>
      </c>
    </row>
    <row r="794" spans="1:8">
      <c r="A794" s="16"/>
      <c r="B794" s="15"/>
      <c r="C794" s="20"/>
      <c r="D794" s="22"/>
      <c r="E794" s="15"/>
      <c r="F794" s="23">
        <f>IF($B794="","",IFERROR(INDEX(ProdNome,MATCH($B794,ProdCod,0)),"Código não cadastrado"))</f>
        <v>0</v>
      </c>
      <c r="G794" s="24">
        <f>IF(OR($B794="",$D794=""),"",$D794*IFERROR(INDEX(ProdCusto,MATCH($B794,ProdCod,0)),0))</f>
        <v>0</v>
      </c>
      <c r="H794" s="25">
        <f>IF($A794="","",IF(OR($B794="",$C794="",$D794=""),"Preencher tudo",IF($F794="Código não cadastrado","Código inválido","OK")))</f>
        <v>0</v>
      </c>
    </row>
    <row r="795" spans="1:8">
      <c r="A795" s="16"/>
      <c r="B795" s="15"/>
      <c r="C795" s="20"/>
      <c r="D795" s="22"/>
      <c r="E795" s="15"/>
      <c r="F795" s="23">
        <f>IF($B795="","",IFERROR(INDEX(ProdNome,MATCH($B795,ProdCod,0)),"Código não cadastrado"))</f>
        <v>0</v>
      </c>
      <c r="G795" s="24">
        <f>IF(OR($B795="",$D795=""),"",$D795*IFERROR(INDEX(ProdCusto,MATCH($B795,ProdCod,0)),0))</f>
        <v>0</v>
      </c>
      <c r="H795" s="25">
        <f>IF($A795="","",IF(OR($B795="",$C795="",$D795=""),"Preencher tudo",IF($F795="Código não cadastrado","Código inválido","OK")))</f>
        <v>0</v>
      </c>
    </row>
    <row r="796" spans="1:8">
      <c r="A796" s="16"/>
      <c r="B796" s="15"/>
      <c r="C796" s="20"/>
      <c r="D796" s="22"/>
      <c r="E796" s="15"/>
      <c r="F796" s="23">
        <f>IF($B796="","",IFERROR(INDEX(ProdNome,MATCH($B796,ProdCod,0)),"Código não cadastrado"))</f>
        <v>0</v>
      </c>
      <c r="G796" s="24">
        <f>IF(OR($B796="",$D796=""),"",$D796*IFERROR(INDEX(ProdCusto,MATCH($B796,ProdCod,0)),0))</f>
        <v>0</v>
      </c>
      <c r="H796" s="25">
        <f>IF($A796="","",IF(OR($B796="",$C796="",$D796=""),"Preencher tudo",IF($F796="Código não cadastrado","Código inválido","OK")))</f>
        <v>0</v>
      </c>
    </row>
    <row r="797" spans="1:8">
      <c r="A797" s="16"/>
      <c r="B797" s="15"/>
      <c r="C797" s="20"/>
      <c r="D797" s="22"/>
      <c r="E797" s="15"/>
      <c r="F797" s="23">
        <f>IF($B797="","",IFERROR(INDEX(ProdNome,MATCH($B797,ProdCod,0)),"Código não cadastrado"))</f>
        <v>0</v>
      </c>
      <c r="G797" s="24">
        <f>IF(OR($B797="",$D797=""),"",$D797*IFERROR(INDEX(ProdCusto,MATCH($B797,ProdCod,0)),0))</f>
        <v>0</v>
      </c>
      <c r="H797" s="25">
        <f>IF($A797="","",IF(OR($B797="",$C797="",$D797=""),"Preencher tudo",IF($F797="Código não cadastrado","Código inválido","OK")))</f>
        <v>0</v>
      </c>
    </row>
    <row r="798" spans="1:8">
      <c r="A798" s="16"/>
      <c r="B798" s="15"/>
      <c r="C798" s="20"/>
      <c r="D798" s="22"/>
      <c r="E798" s="15"/>
      <c r="F798" s="23">
        <f>IF($B798="","",IFERROR(INDEX(ProdNome,MATCH($B798,ProdCod,0)),"Código não cadastrado"))</f>
        <v>0</v>
      </c>
      <c r="G798" s="24">
        <f>IF(OR($B798="",$D798=""),"",$D798*IFERROR(INDEX(ProdCusto,MATCH($B798,ProdCod,0)),0))</f>
        <v>0</v>
      </c>
      <c r="H798" s="25">
        <f>IF($A798="","",IF(OR($B798="",$C798="",$D798=""),"Preencher tudo",IF($F798="Código não cadastrado","Código inválido","OK")))</f>
        <v>0</v>
      </c>
    </row>
    <row r="799" spans="1:8">
      <c r="A799" s="16"/>
      <c r="B799" s="15"/>
      <c r="C799" s="20"/>
      <c r="D799" s="22"/>
      <c r="E799" s="15"/>
      <c r="F799" s="23">
        <f>IF($B799="","",IFERROR(INDEX(ProdNome,MATCH($B799,ProdCod,0)),"Código não cadastrado"))</f>
        <v>0</v>
      </c>
      <c r="G799" s="24">
        <f>IF(OR($B799="",$D799=""),"",$D799*IFERROR(INDEX(ProdCusto,MATCH($B799,ProdCod,0)),0))</f>
        <v>0</v>
      </c>
      <c r="H799" s="25">
        <f>IF($A799="","",IF(OR($B799="",$C799="",$D799=""),"Preencher tudo",IF($F799="Código não cadastrado","Código inválido","OK")))</f>
        <v>0</v>
      </c>
    </row>
    <row r="800" spans="1:8">
      <c r="A800" s="16"/>
      <c r="B800" s="15"/>
      <c r="C800" s="20"/>
      <c r="D800" s="22"/>
      <c r="E800" s="15"/>
      <c r="F800" s="23">
        <f>IF($B800="","",IFERROR(INDEX(ProdNome,MATCH($B800,ProdCod,0)),"Código não cadastrado"))</f>
        <v>0</v>
      </c>
      <c r="G800" s="24">
        <f>IF(OR($B800="",$D800=""),"",$D800*IFERROR(INDEX(ProdCusto,MATCH($B800,ProdCod,0)),0))</f>
        <v>0</v>
      </c>
      <c r="H800" s="25">
        <f>IF($A800="","",IF(OR($B800="",$C800="",$D800=""),"Preencher tudo",IF($F800="Código não cadastrado","Código inválido","OK")))</f>
        <v>0</v>
      </c>
    </row>
    <row r="801" spans="1:8">
      <c r="A801" s="16"/>
      <c r="B801" s="15"/>
      <c r="C801" s="20"/>
      <c r="D801" s="22"/>
      <c r="E801" s="15"/>
      <c r="F801" s="23">
        <f>IF($B801="","",IFERROR(INDEX(ProdNome,MATCH($B801,ProdCod,0)),"Código não cadastrado"))</f>
        <v>0</v>
      </c>
      <c r="G801" s="24">
        <f>IF(OR($B801="",$D801=""),"",$D801*IFERROR(INDEX(ProdCusto,MATCH($B801,ProdCod,0)),0))</f>
        <v>0</v>
      </c>
      <c r="H801" s="25">
        <f>IF($A801="","",IF(OR($B801="",$C801="",$D801=""),"Preencher tudo",IF($F801="Código não cadastrado","Código inválido","OK")))</f>
        <v>0</v>
      </c>
    </row>
    <row r="802" spans="1:8">
      <c r="A802" s="16"/>
      <c r="B802" s="15"/>
      <c r="C802" s="20"/>
      <c r="D802" s="22"/>
      <c r="E802" s="15"/>
      <c r="F802" s="23">
        <f>IF($B802="","",IFERROR(INDEX(ProdNome,MATCH($B802,ProdCod,0)),"Código não cadastrado"))</f>
        <v>0</v>
      </c>
      <c r="G802" s="24">
        <f>IF(OR($B802="",$D802=""),"",$D802*IFERROR(INDEX(ProdCusto,MATCH($B802,ProdCod,0)),0))</f>
        <v>0</v>
      </c>
      <c r="H802" s="25">
        <f>IF($A802="","",IF(OR($B802="",$C802="",$D802=""),"Preencher tudo",IF($F802="Código não cadastrado","Código inválido","OK")))</f>
        <v>0</v>
      </c>
    </row>
    <row r="803" spans="1:8">
      <c r="A803" s="16"/>
      <c r="B803" s="15"/>
      <c r="C803" s="20"/>
      <c r="D803" s="22"/>
      <c r="E803" s="15"/>
      <c r="F803" s="23">
        <f>IF($B803="","",IFERROR(INDEX(ProdNome,MATCH($B803,ProdCod,0)),"Código não cadastrado"))</f>
        <v>0</v>
      </c>
      <c r="G803" s="24">
        <f>IF(OR($B803="",$D803=""),"",$D803*IFERROR(INDEX(ProdCusto,MATCH($B803,ProdCod,0)),0))</f>
        <v>0</v>
      </c>
      <c r="H803" s="25">
        <f>IF($A803="","",IF(OR($B803="",$C803="",$D803=""),"Preencher tudo",IF($F803="Código não cadastrado","Código inválido","OK")))</f>
        <v>0</v>
      </c>
    </row>
    <row r="804" spans="1:8">
      <c r="A804" s="16"/>
      <c r="B804" s="15"/>
      <c r="C804" s="20"/>
      <c r="D804" s="22"/>
      <c r="E804" s="15"/>
      <c r="F804" s="23">
        <f>IF($B804="","",IFERROR(INDEX(ProdNome,MATCH($B804,ProdCod,0)),"Código não cadastrado"))</f>
        <v>0</v>
      </c>
      <c r="G804" s="24">
        <f>IF(OR($B804="",$D804=""),"",$D804*IFERROR(INDEX(ProdCusto,MATCH($B804,ProdCod,0)),0))</f>
        <v>0</v>
      </c>
      <c r="H804" s="25">
        <f>IF($A804="","",IF(OR($B804="",$C804="",$D804=""),"Preencher tudo",IF($F804="Código não cadastrado","Código inválido","OK")))</f>
        <v>0</v>
      </c>
    </row>
    <row r="805" spans="1:8">
      <c r="A805" s="16"/>
      <c r="B805" s="15"/>
      <c r="C805" s="20"/>
      <c r="D805" s="22"/>
      <c r="E805" s="15"/>
      <c r="F805" s="23">
        <f>IF($B805="","",IFERROR(INDEX(ProdNome,MATCH($B805,ProdCod,0)),"Código não cadastrado"))</f>
        <v>0</v>
      </c>
      <c r="G805" s="24">
        <f>IF(OR($B805="",$D805=""),"",$D805*IFERROR(INDEX(ProdCusto,MATCH($B805,ProdCod,0)),0))</f>
        <v>0</v>
      </c>
      <c r="H805" s="25">
        <f>IF($A805="","",IF(OR($B805="",$C805="",$D805=""),"Preencher tudo",IF($F805="Código não cadastrado","Código inválido","OK")))</f>
        <v>0</v>
      </c>
    </row>
    <row r="806" spans="1:8">
      <c r="A806" s="16"/>
      <c r="B806" s="15"/>
      <c r="C806" s="20"/>
      <c r="D806" s="22"/>
      <c r="E806" s="15"/>
      <c r="F806" s="23">
        <f>IF($B806="","",IFERROR(INDEX(ProdNome,MATCH($B806,ProdCod,0)),"Código não cadastrado"))</f>
        <v>0</v>
      </c>
      <c r="G806" s="24">
        <f>IF(OR($B806="",$D806=""),"",$D806*IFERROR(INDEX(ProdCusto,MATCH($B806,ProdCod,0)),0))</f>
        <v>0</v>
      </c>
      <c r="H806" s="25">
        <f>IF($A806="","",IF(OR($B806="",$C806="",$D806=""),"Preencher tudo",IF($F806="Código não cadastrado","Código inválido","OK")))</f>
        <v>0</v>
      </c>
    </row>
    <row r="807" spans="1:8">
      <c r="A807" s="16"/>
      <c r="B807" s="15"/>
      <c r="C807" s="20"/>
      <c r="D807" s="22"/>
      <c r="E807" s="15"/>
      <c r="F807" s="23">
        <f>IF($B807="","",IFERROR(INDEX(ProdNome,MATCH($B807,ProdCod,0)),"Código não cadastrado"))</f>
        <v>0</v>
      </c>
      <c r="G807" s="24">
        <f>IF(OR($B807="",$D807=""),"",$D807*IFERROR(INDEX(ProdCusto,MATCH($B807,ProdCod,0)),0))</f>
        <v>0</v>
      </c>
      <c r="H807" s="25">
        <f>IF($A807="","",IF(OR($B807="",$C807="",$D807=""),"Preencher tudo",IF($F807="Código não cadastrado","Código inválido","OK")))</f>
        <v>0</v>
      </c>
    </row>
    <row r="808" spans="1:8">
      <c r="A808" s="16"/>
      <c r="B808" s="15"/>
      <c r="C808" s="20"/>
      <c r="D808" s="22"/>
      <c r="E808" s="15"/>
      <c r="F808" s="23">
        <f>IF($B808="","",IFERROR(INDEX(ProdNome,MATCH($B808,ProdCod,0)),"Código não cadastrado"))</f>
        <v>0</v>
      </c>
      <c r="G808" s="24">
        <f>IF(OR($B808="",$D808=""),"",$D808*IFERROR(INDEX(ProdCusto,MATCH($B808,ProdCod,0)),0))</f>
        <v>0</v>
      </c>
      <c r="H808" s="25">
        <f>IF($A808="","",IF(OR($B808="",$C808="",$D808=""),"Preencher tudo",IF($F808="Código não cadastrado","Código inválido","OK")))</f>
        <v>0</v>
      </c>
    </row>
    <row r="809" spans="1:8">
      <c r="A809" s="16"/>
      <c r="B809" s="15"/>
      <c r="C809" s="20"/>
      <c r="D809" s="22"/>
      <c r="E809" s="15"/>
      <c r="F809" s="23">
        <f>IF($B809="","",IFERROR(INDEX(ProdNome,MATCH($B809,ProdCod,0)),"Código não cadastrado"))</f>
        <v>0</v>
      </c>
      <c r="G809" s="24">
        <f>IF(OR($B809="",$D809=""),"",$D809*IFERROR(INDEX(ProdCusto,MATCH($B809,ProdCod,0)),0))</f>
        <v>0</v>
      </c>
      <c r="H809" s="25">
        <f>IF($A809="","",IF(OR($B809="",$C809="",$D809=""),"Preencher tudo",IF($F809="Código não cadastrado","Código inválido","OK")))</f>
        <v>0</v>
      </c>
    </row>
    <row r="810" spans="1:8">
      <c r="A810" s="16"/>
      <c r="B810" s="15"/>
      <c r="C810" s="20"/>
      <c r="D810" s="22"/>
      <c r="E810" s="15"/>
      <c r="F810" s="23">
        <f>IF($B810="","",IFERROR(INDEX(ProdNome,MATCH($B810,ProdCod,0)),"Código não cadastrado"))</f>
        <v>0</v>
      </c>
      <c r="G810" s="24">
        <f>IF(OR($B810="",$D810=""),"",$D810*IFERROR(INDEX(ProdCusto,MATCH($B810,ProdCod,0)),0))</f>
        <v>0</v>
      </c>
      <c r="H810" s="25">
        <f>IF($A810="","",IF(OR($B810="",$C810="",$D810=""),"Preencher tudo",IF($F810="Código não cadastrado","Código inválido","OK")))</f>
        <v>0</v>
      </c>
    </row>
    <row r="811" spans="1:8">
      <c r="A811" s="16"/>
      <c r="B811" s="15"/>
      <c r="C811" s="20"/>
      <c r="D811" s="22"/>
      <c r="E811" s="15"/>
      <c r="F811" s="23">
        <f>IF($B811="","",IFERROR(INDEX(ProdNome,MATCH($B811,ProdCod,0)),"Código não cadastrado"))</f>
        <v>0</v>
      </c>
      <c r="G811" s="24">
        <f>IF(OR($B811="",$D811=""),"",$D811*IFERROR(INDEX(ProdCusto,MATCH($B811,ProdCod,0)),0))</f>
        <v>0</v>
      </c>
      <c r="H811" s="25">
        <f>IF($A811="","",IF(OR($B811="",$C811="",$D811=""),"Preencher tudo",IF($F811="Código não cadastrado","Código inválido","OK")))</f>
        <v>0</v>
      </c>
    </row>
    <row r="812" spans="1:8">
      <c r="A812" s="16"/>
      <c r="B812" s="15"/>
      <c r="C812" s="20"/>
      <c r="D812" s="22"/>
      <c r="E812" s="15"/>
      <c r="F812" s="23">
        <f>IF($B812="","",IFERROR(INDEX(ProdNome,MATCH($B812,ProdCod,0)),"Código não cadastrado"))</f>
        <v>0</v>
      </c>
      <c r="G812" s="24">
        <f>IF(OR($B812="",$D812=""),"",$D812*IFERROR(INDEX(ProdCusto,MATCH($B812,ProdCod,0)),0))</f>
        <v>0</v>
      </c>
      <c r="H812" s="25">
        <f>IF($A812="","",IF(OR($B812="",$C812="",$D812=""),"Preencher tudo",IF($F812="Código não cadastrado","Código inválido","OK")))</f>
        <v>0</v>
      </c>
    </row>
    <row r="813" spans="1:8">
      <c r="A813" s="16"/>
      <c r="B813" s="15"/>
      <c r="C813" s="20"/>
      <c r="D813" s="22"/>
      <c r="E813" s="15"/>
      <c r="F813" s="23">
        <f>IF($B813="","",IFERROR(INDEX(ProdNome,MATCH($B813,ProdCod,0)),"Código não cadastrado"))</f>
        <v>0</v>
      </c>
      <c r="G813" s="24">
        <f>IF(OR($B813="",$D813=""),"",$D813*IFERROR(INDEX(ProdCusto,MATCH($B813,ProdCod,0)),0))</f>
        <v>0</v>
      </c>
      <c r="H813" s="25">
        <f>IF($A813="","",IF(OR($B813="",$C813="",$D813=""),"Preencher tudo",IF($F813="Código não cadastrado","Código inválido","OK")))</f>
        <v>0</v>
      </c>
    </row>
    <row r="814" spans="1:8">
      <c r="A814" s="16"/>
      <c r="B814" s="15"/>
      <c r="C814" s="20"/>
      <c r="D814" s="22"/>
      <c r="E814" s="15"/>
      <c r="F814" s="23">
        <f>IF($B814="","",IFERROR(INDEX(ProdNome,MATCH($B814,ProdCod,0)),"Código não cadastrado"))</f>
        <v>0</v>
      </c>
      <c r="G814" s="24">
        <f>IF(OR($B814="",$D814=""),"",$D814*IFERROR(INDEX(ProdCusto,MATCH($B814,ProdCod,0)),0))</f>
        <v>0</v>
      </c>
      <c r="H814" s="25">
        <f>IF($A814="","",IF(OR($B814="",$C814="",$D814=""),"Preencher tudo",IF($F814="Código não cadastrado","Código inválido","OK")))</f>
        <v>0</v>
      </c>
    </row>
    <row r="815" spans="1:8">
      <c r="A815" s="16"/>
      <c r="B815" s="15"/>
      <c r="C815" s="20"/>
      <c r="D815" s="22"/>
      <c r="E815" s="15"/>
      <c r="F815" s="23">
        <f>IF($B815="","",IFERROR(INDEX(ProdNome,MATCH($B815,ProdCod,0)),"Código não cadastrado"))</f>
        <v>0</v>
      </c>
      <c r="G815" s="24">
        <f>IF(OR($B815="",$D815=""),"",$D815*IFERROR(INDEX(ProdCusto,MATCH($B815,ProdCod,0)),0))</f>
        <v>0</v>
      </c>
      <c r="H815" s="25">
        <f>IF($A815="","",IF(OR($B815="",$C815="",$D815=""),"Preencher tudo",IF($F815="Código não cadastrado","Código inválido","OK")))</f>
        <v>0</v>
      </c>
    </row>
    <row r="816" spans="1:8">
      <c r="A816" s="16"/>
      <c r="B816" s="15"/>
      <c r="C816" s="20"/>
      <c r="D816" s="22"/>
      <c r="E816" s="15"/>
      <c r="F816" s="23">
        <f>IF($B816="","",IFERROR(INDEX(ProdNome,MATCH($B816,ProdCod,0)),"Código não cadastrado"))</f>
        <v>0</v>
      </c>
      <c r="G816" s="24">
        <f>IF(OR($B816="",$D816=""),"",$D816*IFERROR(INDEX(ProdCusto,MATCH($B816,ProdCod,0)),0))</f>
        <v>0</v>
      </c>
      <c r="H816" s="25">
        <f>IF($A816="","",IF(OR($B816="",$C816="",$D816=""),"Preencher tudo",IF($F816="Código não cadastrado","Código inválido","OK")))</f>
        <v>0</v>
      </c>
    </row>
    <row r="817" spans="1:8">
      <c r="A817" s="16"/>
      <c r="B817" s="15"/>
      <c r="C817" s="20"/>
      <c r="D817" s="22"/>
      <c r="E817" s="15"/>
      <c r="F817" s="23">
        <f>IF($B817="","",IFERROR(INDEX(ProdNome,MATCH($B817,ProdCod,0)),"Código não cadastrado"))</f>
        <v>0</v>
      </c>
      <c r="G817" s="24">
        <f>IF(OR($B817="",$D817=""),"",$D817*IFERROR(INDEX(ProdCusto,MATCH($B817,ProdCod,0)),0))</f>
        <v>0</v>
      </c>
      <c r="H817" s="25">
        <f>IF($A817="","",IF(OR($B817="",$C817="",$D817=""),"Preencher tudo",IF($F817="Código não cadastrado","Código inválido","OK")))</f>
        <v>0</v>
      </c>
    </row>
    <row r="818" spans="1:8">
      <c r="A818" s="16"/>
      <c r="B818" s="15"/>
      <c r="C818" s="20"/>
      <c r="D818" s="22"/>
      <c r="E818" s="15"/>
      <c r="F818" s="23">
        <f>IF($B818="","",IFERROR(INDEX(ProdNome,MATCH($B818,ProdCod,0)),"Código não cadastrado"))</f>
        <v>0</v>
      </c>
      <c r="G818" s="24">
        <f>IF(OR($B818="",$D818=""),"",$D818*IFERROR(INDEX(ProdCusto,MATCH($B818,ProdCod,0)),0))</f>
        <v>0</v>
      </c>
      <c r="H818" s="25">
        <f>IF($A818="","",IF(OR($B818="",$C818="",$D818=""),"Preencher tudo",IF($F818="Código não cadastrado","Código inválido","OK")))</f>
        <v>0</v>
      </c>
    </row>
    <row r="819" spans="1:8">
      <c r="A819" s="16"/>
      <c r="B819" s="15"/>
      <c r="C819" s="20"/>
      <c r="D819" s="22"/>
      <c r="E819" s="15"/>
      <c r="F819" s="23">
        <f>IF($B819="","",IFERROR(INDEX(ProdNome,MATCH($B819,ProdCod,0)),"Código não cadastrado"))</f>
        <v>0</v>
      </c>
      <c r="G819" s="24">
        <f>IF(OR($B819="",$D819=""),"",$D819*IFERROR(INDEX(ProdCusto,MATCH($B819,ProdCod,0)),0))</f>
        <v>0</v>
      </c>
      <c r="H819" s="25">
        <f>IF($A819="","",IF(OR($B819="",$C819="",$D819=""),"Preencher tudo",IF($F819="Código não cadastrado","Código inválido","OK")))</f>
        <v>0</v>
      </c>
    </row>
    <row r="820" spans="1:8">
      <c r="A820" s="16"/>
      <c r="B820" s="15"/>
      <c r="C820" s="20"/>
      <c r="D820" s="22"/>
      <c r="E820" s="15"/>
      <c r="F820" s="23">
        <f>IF($B820="","",IFERROR(INDEX(ProdNome,MATCH($B820,ProdCod,0)),"Código não cadastrado"))</f>
        <v>0</v>
      </c>
      <c r="G820" s="24">
        <f>IF(OR($B820="",$D820=""),"",$D820*IFERROR(INDEX(ProdCusto,MATCH($B820,ProdCod,0)),0))</f>
        <v>0</v>
      </c>
      <c r="H820" s="25">
        <f>IF($A820="","",IF(OR($B820="",$C820="",$D820=""),"Preencher tudo",IF($F820="Código não cadastrado","Código inválido","OK")))</f>
        <v>0</v>
      </c>
    </row>
    <row r="821" spans="1:8">
      <c r="A821" s="16"/>
      <c r="B821" s="15"/>
      <c r="C821" s="20"/>
      <c r="D821" s="22"/>
      <c r="E821" s="15"/>
      <c r="F821" s="23">
        <f>IF($B821="","",IFERROR(INDEX(ProdNome,MATCH($B821,ProdCod,0)),"Código não cadastrado"))</f>
        <v>0</v>
      </c>
      <c r="G821" s="24">
        <f>IF(OR($B821="",$D821=""),"",$D821*IFERROR(INDEX(ProdCusto,MATCH($B821,ProdCod,0)),0))</f>
        <v>0</v>
      </c>
      <c r="H821" s="25">
        <f>IF($A821="","",IF(OR($B821="",$C821="",$D821=""),"Preencher tudo",IF($F821="Código não cadastrado","Código inválido","OK")))</f>
        <v>0</v>
      </c>
    </row>
    <row r="822" spans="1:8">
      <c r="A822" s="16"/>
      <c r="B822" s="15"/>
      <c r="C822" s="20"/>
      <c r="D822" s="22"/>
      <c r="E822" s="15"/>
      <c r="F822" s="23">
        <f>IF($B822="","",IFERROR(INDEX(ProdNome,MATCH($B822,ProdCod,0)),"Código não cadastrado"))</f>
        <v>0</v>
      </c>
      <c r="G822" s="24">
        <f>IF(OR($B822="",$D822=""),"",$D822*IFERROR(INDEX(ProdCusto,MATCH($B822,ProdCod,0)),0))</f>
        <v>0</v>
      </c>
      <c r="H822" s="25">
        <f>IF($A822="","",IF(OR($B822="",$C822="",$D822=""),"Preencher tudo",IF($F822="Código não cadastrado","Código inválido","OK")))</f>
        <v>0</v>
      </c>
    </row>
    <row r="823" spans="1:8">
      <c r="A823" s="16"/>
      <c r="B823" s="15"/>
      <c r="C823" s="20"/>
      <c r="D823" s="22"/>
      <c r="E823" s="15"/>
      <c r="F823" s="23">
        <f>IF($B823="","",IFERROR(INDEX(ProdNome,MATCH($B823,ProdCod,0)),"Código não cadastrado"))</f>
        <v>0</v>
      </c>
      <c r="G823" s="24">
        <f>IF(OR($B823="",$D823=""),"",$D823*IFERROR(INDEX(ProdCusto,MATCH($B823,ProdCod,0)),0))</f>
        <v>0</v>
      </c>
      <c r="H823" s="25">
        <f>IF($A823="","",IF(OR($B823="",$C823="",$D823=""),"Preencher tudo",IF($F823="Código não cadastrado","Código inválido","OK")))</f>
        <v>0</v>
      </c>
    </row>
    <row r="824" spans="1:8">
      <c r="A824" s="16"/>
      <c r="B824" s="15"/>
      <c r="C824" s="20"/>
      <c r="D824" s="22"/>
      <c r="E824" s="15"/>
      <c r="F824" s="23">
        <f>IF($B824="","",IFERROR(INDEX(ProdNome,MATCH($B824,ProdCod,0)),"Código não cadastrado"))</f>
        <v>0</v>
      </c>
      <c r="G824" s="24">
        <f>IF(OR($B824="",$D824=""),"",$D824*IFERROR(INDEX(ProdCusto,MATCH($B824,ProdCod,0)),0))</f>
        <v>0</v>
      </c>
      <c r="H824" s="25">
        <f>IF($A824="","",IF(OR($B824="",$C824="",$D824=""),"Preencher tudo",IF($F824="Código não cadastrado","Código inválido","OK")))</f>
        <v>0</v>
      </c>
    </row>
    <row r="825" spans="1:8">
      <c r="A825" s="16"/>
      <c r="B825" s="15"/>
      <c r="C825" s="20"/>
      <c r="D825" s="22"/>
      <c r="E825" s="15"/>
      <c r="F825" s="23">
        <f>IF($B825="","",IFERROR(INDEX(ProdNome,MATCH($B825,ProdCod,0)),"Código não cadastrado"))</f>
        <v>0</v>
      </c>
      <c r="G825" s="24">
        <f>IF(OR($B825="",$D825=""),"",$D825*IFERROR(INDEX(ProdCusto,MATCH($B825,ProdCod,0)),0))</f>
        <v>0</v>
      </c>
      <c r="H825" s="25">
        <f>IF($A825="","",IF(OR($B825="",$C825="",$D825=""),"Preencher tudo",IF($F825="Código não cadastrado","Código inválido","OK")))</f>
        <v>0</v>
      </c>
    </row>
    <row r="826" spans="1:8">
      <c r="A826" s="16"/>
      <c r="B826" s="15"/>
      <c r="C826" s="20"/>
      <c r="D826" s="22"/>
      <c r="E826" s="15"/>
      <c r="F826" s="23">
        <f>IF($B826="","",IFERROR(INDEX(ProdNome,MATCH($B826,ProdCod,0)),"Código não cadastrado"))</f>
        <v>0</v>
      </c>
      <c r="G826" s="24">
        <f>IF(OR($B826="",$D826=""),"",$D826*IFERROR(INDEX(ProdCusto,MATCH($B826,ProdCod,0)),0))</f>
        <v>0</v>
      </c>
      <c r="H826" s="25">
        <f>IF($A826="","",IF(OR($B826="",$C826="",$D826=""),"Preencher tudo",IF($F826="Código não cadastrado","Código inválido","OK")))</f>
        <v>0</v>
      </c>
    </row>
    <row r="827" spans="1:8">
      <c r="A827" s="16"/>
      <c r="B827" s="15"/>
      <c r="C827" s="20"/>
      <c r="D827" s="22"/>
      <c r="E827" s="15"/>
      <c r="F827" s="23">
        <f>IF($B827="","",IFERROR(INDEX(ProdNome,MATCH($B827,ProdCod,0)),"Código não cadastrado"))</f>
        <v>0</v>
      </c>
      <c r="G827" s="24">
        <f>IF(OR($B827="",$D827=""),"",$D827*IFERROR(INDEX(ProdCusto,MATCH($B827,ProdCod,0)),0))</f>
        <v>0</v>
      </c>
      <c r="H827" s="25">
        <f>IF($A827="","",IF(OR($B827="",$C827="",$D827=""),"Preencher tudo",IF($F827="Código não cadastrado","Código inválido","OK")))</f>
        <v>0</v>
      </c>
    </row>
    <row r="828" spans="1:8">
      <c r="A828" s="16"/>
      <c r="B828" s="15"/>
      <c r="C828" s="20"/>
      <c r="D828" s="22"/>
      <c r="E828" s="15"/>
      <c r="F828" s="23">
        <f>IF($B828="","",IFERROR(INDEX(ProdNome,MATCH($B828,ProdCod,0)),"Código não cadastrado"))</f>
        <v>0</v>
      </c>
      <c r="G828" s="24">
        <f>IF(OR($B828="",$D828=""),"",$D828*IFERROR(INDEX(ProdCusto,MATCH($B828,ProdCod,0)),0))</f>
        <v>0</v>
      </c>
      <c r="H828" s="25">
        <f>IF($A828="","",IF(OR($B828="",$C828="",$D828=""),"Preencher tudo",IF($F828="Código não cadastrado","Código inválido","OK")))</f>
        <v>0</v>
      </c>
    </row>
    <row r="829" spans="1:8">
      <c r="A829" s="16"/>
      <c r="B829" s="15"/>
      <c r="C829" s="20"/>
      <c r="D829" s="22"/>
      <c r="E829" s="15"/>
      <c r="F829" s="23">
        <f>IF($B829="","",IFERROR(INDEX(ProdNome,MATCH($B829,ProdCod,0)),"Código não cadastrado"))</f>
        <v>0</v>
      </c>
      <c r="G829" s="24">
        <f>IF(OR($B829="",$D829=""),"",$D829*IFERROR(INDEX(ProdCusto,MATCH($B829,ProdCod,0)),0))</f>
        <v>0</v>
      </c>
      <c r="H829" s="25">
        <f>IF($A829="","",IF(OR($B829="",$C829="",$D829=""),"Preencher tudo",IF($F829="Código não cadastrado","Código inválido","OK")))</f>
        <v>0</v>
      </c>
    </row>
    <row r="830" spans="1:8">
      <c r="A830" s="16"/>
      <c r="B830" s="15"/>
      <c r="C830" s="20"/>
      <c r="D830" s="22"/>
      <c r="E830" s="15"/>
      <c r="F830" s="23">
        <f>IF($B830="","",IFERROR(INDEX(ProdNome,MATCH($B830,ProdCod,0)),"Código não cadastrado"))</f>
        <v>0</v>
      </c>
      <c r="G830" s="24">
        <f>IF(OR($B830="",$D830=""),"",$D830*IFERROR(INDEX(ProdCusto,MATCH($B830,ProdCod,0)),0))</f>
        <v>0</v>
      </c>
      <c r="H830" s="25">
        <f>IF($A830="","",IF(OR($B830="",$C830="",$D830=""),"Preencher tudo",IF($F830="Código não cadastrado","Código inválido","OK")))</f>
        <v>0</v>
      </c>
    </row>
    <row r="831" spans="1:8">
      <c r="A831" s="16"/>
      <c r="B831" s="15"/>
      <c r="C831" s="20"/>
      <c r="D831" s="22"/>
      <c r="E831" s="15"/>
      <c r="F831" s="23">
        <f>IF($B831="","",IFERROR(INDEX(ProdNome,MATCH($B831,ProdCod,0)),"Código não cadastrado"))</f>
        <v>0</v>
      </c>
      <c r="G831" s="24">
        <f>IF(OR($B831="",$D831=""),"",$D831*IFERROR(INDEX(ProdCusto,MATCH($B831,ProdCod,0)),0))</f>
        <v>0</v>
      </c>
      <c r="H831" s="25">
        <f>IF($A831="","",IF(OR($B831="",$C831="",$D831=""),"Preencher tudo",IF($F831="Código não cadastrado","Código inválido","OK")))</f>
        <v>0</v>
      </c>
    </row>
    <row r="832" spans="1:8">
      <c r="A832" s="16"/>
      <c r="B832" s="15"/>
      <c r="C832" s="20"/>
      <c r="D832" s="22"/>
      <c r="E832" s="15"/>
      <c r="F832" s="23">
        <f>IF($B832="","",IFERROR(INDEX(ProdNome,MATCH($B832,ProdCod,0)),"Código não cadastrado"))</f>
        <v>0</v>
      </c>
      <c r="G832" s="24">
        <f>IF(OR($B832="",$D832=""),"",$D832*IFERROR(INDEX(ProdCusto,MATCH($B832,ProdCod,0)),0))</f>
        <v>0</v>
      </c>
      <c r="H832" s="25">
        <f>IF($A832="","",IF(OR($B832="",$C832="",$D832=""),"Preencher tudo",IF($F832="Código não cadastrado","Código inválido","OK")))</f>
        <v>0</v>
      </c>
    </row>
    <row r="833" spans="1:8">
      <c r="A833" s="16"/>
      <c r="B833" s="15"/>
      <c r="C833" s="20"/>
      <c r="D833" s="22"/>
      <c r="E833" s="15"/>
      <c r="F833" s="23">
        <f>IF($B833="","",IFERROR(INDEX(ProdNome,MATCH($B833,ProdCod,0)),"Código não cadastrado"))</f>
        <v>0</v>
      </c>
      <c r="G833" s="24">
        <f>IF(OR($B833="",$D833=""),"",$D833*IFERROR(INDEX(ProdCusto,MATCH($B833,ProdCod,0)),0))</f>
        <v>0</v>
      </c>
      <c r="H833" s="25">
        <f>IF($A833="","",IF(OR($B833="",$C833="",$D833=""),"Preencher tudo",IF($F833="Código não cadastrado","Código inválido","OK")))</f>
        <v>0</v>
      </c>
    </row>
    <row r="834" spans="1:8">
      <c r="A834" s="16"/>
      <c r="B834" s="15"/>
      <c r="C834" s="20"/>
      <c r="D834" s="22"/>
      <c r="E834" s="15"/>
      <c r="F834" s="23">
        <f>IF($B834="","",IFERROR(INDEX(ProdNome,MATCH($B834,ProdCod,0)),"Código não cadastrado"))</f>
        <v>0</v>
      </c>
      <c r="G834" s="24">
        <f>IF(OR($B834="",$D834=""),"",$D834*IFERROR(INDEX(ProdCusto,MATCH($B834,ProdCod,0)),0))</f>
        <v>0</v>
      </c>
      <c r="H834" s="25">
        <f>IF($A834="","",IF(OR($B834="",$C834="",$D834=""),"Preencher tudo",IF($F834="Código não cadastrado","Código inválido","OK")))</f>
        <v>0</v>
      </c>
    </row>
    <row r="835" spans="1:8">
      <c r="A835" s="16"/>
      <c r="B835" s="15"/>
      <c r="C835" s="20"/>
      <c r="D835" s="22"/>
      <c r="E835" s="15"/>
      <c r="F835" s="23">
        <f>IF($B835="","",IFERROR(INDEX(ProdNome,MATCH($B835,ProdCod,0)),"Código não cadastrado"))</f>
        <v>0</v>
      </c>
      <c r="G835" s="24">
        <f>IF(OR($B835="",$D835=""),"",$D835*IFERROR(INDEX(ProdCusto,MATCH($B835,ProdCod,0)),0))</f>
        <v>0</v>
      </c>
      <c r="H835" s="25">
        <f>IF($A835="","",IF(OR($B835="",$C835="",$D835=""),"Preencher tudo",IF($F835="Código não cadastrado","Código inválido","OK")))</f>
        <v>0</v>
      </c>
    </row>
    <row r="836" spans="1:8">
      <c r="A836" s="16"/>
      <c r="B836" s="15"/>
      <c r="C836" s="20"/>
      <c r="D836" s="22"/>
      <c r="E836" s="15"/>
      <c r="F836" s="23">
        <f>IF($B836="","",IFERROR(INDEX(ProdNome,MATCH($B836,ProdCod,0)),"Código não cadastrado"))</f>
        <v>0</v>
      </c>
      <c r="G836" s="24">
        <f>IF(OR($B836="",$D836=""),"",$D836*IFERROR(INDEX(ProdCusto,MATCH($B836,ProdCod,0)),0))</f>
        <v>0</v>
      </c>
      <c r="H836" s="25">
        <f>IF($A836="","",IF(OR($B836="",$C836="",$D836=""),"Preencher tudo",IF($F836="Código não cadastrado","Código inválido","OK")))</f>
        <v>0</v>
      </c>
    </row>
    <row r="837" spans="1:8">
      <c r="A837" s="16"/>
      <c r="B837" s="15"/>
      <c r="C837" s="20"/>
      <c r="D837" s="22"/>
      <c r="E837" s="15"/>
      <c r="F837" s="23">
        <f>IF($B837="","",IFERROR(INDEX(ProdNome,MATCH($B837,ProdCod,0)),"Código não cadastrado"))</f>
        <v>0</v>
      </c>
      <c r="G837" s="24">
        <f>IF(OR($B837="",$D837=""),"",$D837*IFERROR(INDEX(ProdCusto,MATCH($B837,ProdCod,0)),0))</f>
        <v>0</v>
      </c>
      <c r="H837" s="25">
        <f>IF($A837="","",IF(OR($B837="",$C837="",$D837=""),"Preencher tudo",IF($F837="Código não cadastrado","Código inválido","OK")))</f>
        <v>0</v>
      </c>
    </row>
    <row r="838" spans="1:8">
      <c r="A838" s="16"/>
      <c r="B838" s="15"/>
      <c r="C838" s="20"/>
      <c r="D838" s="22"/>
      <c r="E838" s="15"/>
      <c r="F838" s="23">
        <f>IF($B838="","",IFERROR(INDEX(ProdNome,MATCH($B838,ProdCod,0)),"Código não cadastrado"))</f>
        <v>0</v>
      </c>
      <c r="G838" s="24">
        <f>IF(OR($B838="",$D838=""),"",$D838*IFERROR(INDEX(ProdCusto,MATCH($B838,ProdCod,0)),0))</f>
        <v>0</v>
      </c>
      <c r="H838" s="25">
        <f>IF($A838="","",IF(OR($B838="",$C838="",$D838=""),"Preencher tudo",IF($F838="Código não cadastrado","Código inválido","OK")))</f>
        <v>0</v>
      </c>
    </row>
    <row r="839" spans="1:8">
      <c r="A839" s="16"/>
      <c r="B839" s="15"/>
      <c r="C839" s="20"/>
      <c r="D839" s="22"/>
      <c r="E839" s="15"/>
      <c r="F839" s="23">
        <f>IF($B839="","",IFERROR(INDEX(ProdNome,MATCH($B839,ProdCod,0)),"Código não cadastrado"))</f>
        <v>0</v>
      </c>
      <c r="G839" s="24">
        <f>IF(OR($B839="",$D839=""),"",$D839*IFERROR(INDEX(ProdCusto,MATCH($B839,ProdCod,0)),0))</f>
        <v>0</v>
      </c>
      <c r="H839" s="25">
        <f>IF($A839="","",IF(OR($B839="",$C839="",$D839=""),"Preencher tudo",IF($F839="Código não cadastrado","Código inválido","OK")))</f>
        <v>0</v>
      </c>
    </row>
    <row r="840" spans="1:8">
      <c r="A840" s="16"/>
      <c r="B840" s="15"/>
      <c r="C840" s="20"/>
      <c r="D840" s="22"/>
      <c r="E840" s="15"/>
      <c r="F840" s="23">
        <f>IF($B840="","",IFERROR(INDEX(ProdNome,MATCH($B840,ProdCod,0)),"Código não cadastrado"))</f>
        <v>0</v>
      </c>
      <c r="G840" s="24">
        <f>IF(OR($B840="",$D840=""),"",$D840*IFERROR(INDEX(ProdCusto,MATCH($B840,ProdCod,0)),0))</f>
        <v>0</v>
      </c>
      <c r="H840" s="25">
        <f>IF($A840="","",IF(OR($B840="",$C840="",$D840=""),"Preencher tudo",IF($F840="Código não cadastrado","Código inválido","OK")))</f>
        <v>0</v>
      </c>
    </row>
    <row r="841" spans="1:8">
      <c r="A841" s="16"/>
      <c r="B841" s="15"/>
      <c r="C841" s="20"/>
      <c r="D841" s="22"/>
      <c r="E841" s="15"/>
      <c r="F841" s="23">
        <f>IF($B841="","",IFERROR(INDEX(ProdNome,MATCH($B841,ProdCod,0)),"Código não cadastrado"))</f>
        <v>0</v>
      </c>
      <c r="G841" s="24">
        <f>IF(OR($B841="",$D841=""),"",$D841*IFERROR(INDEX(ProdCusto,MATCH($B841,ProdCod,0)),0))</f>
        <v>0</v>
      </c>
      <c r="H841" s="25">
        <f>IF($A841="","",IF(OR($B841="",$C841="",$D841=""),"Preencher tudo",IF($F841="Código não cadastrado","Código inválido","OK")))</f>
        <v>0</v>
      </c>
    </row>
    <row r="842" spans="1:8">
      <c r="A842" s="16"/>
      <c r="B842" s="15"/>
      <c r="C842" s="20"/>
      <c r="D842" s="22"/>
      <c r="E842" s="15"/>
      <c r="F842" s="23">
        <f>IF($B842="","",IFERROR(INDEX(ProdNome,MATCH($B842,ProdCod,0)),"Código não cadastrado"))</f>
        <v>0</v>
      </c>
      <c r="G842" s="24">
        <f>IF(OR($B842="",$D842=""),"",$D842*IFERROR(INDEX(ProdCusto,MATCH($B842,ProdCod,0)),0))</f>
        <v>0</v>
      </c>
      <c r="H842" s="25">
        <f>IF($A842="","",IF(OR($B842="",$C842="",$D842=""),"Preencher tudo",IF($F842="Código não cadastrado","Código inválido","OK")))</f>
        <v>0</v>
      </c>
    </row>
    <row r="843" spans="1:8">
      <c r="A843" s="16"/>
      <c r="B843" s="15"/>
      <c r="C843" s="20"/>
      <c r="D843" s="22"/>
      <c r="E843" s="15"/>
      <c r="F843" s="23">
        <f>IF($B843="","",IFERROR(INDEX(ProdNome,MATCH($B843,ProdCod,0)),"Código não cadastrado"))</f>
        <v>0</v>
      </c>
      <c r="G843" s="24">
        <f>IF(OR($B843="",$D843=""),"",$D843*IFERROR(INDEX(ProdCusto,MATCH($B843,ProdCod,0)),0))</f>
        <v>0</v>
      </c>
      <c r="H843" s="25">
        <f>IF($A843="","",IF(OR($B843="",$C843="",$D843=""),"Preencher tudo",IF($F843="Código não cadastrado","Código inválido","OK")))</f>
        <v>0</v>
      </c>
    </row>
    <row r="844" spans="1:8">
      <c r="A844" s="16"/>
      <c r="B844" s="15"/>
      <c r="C844" s="20"/>
      <c r="D844" s="22"/>
      <c r="E844" s="15"/>
      <c r="F844" s="23">
        <f>IF($B844="","",IFERROR(INDEX(ProdNome,MATCH($B844,ProdCod,0)),"Código não cadastrado"))</f>
        <v>0</v>
      </c>
      <c r="G844" s="24">
        <f>IF(OR($B844="",$D844=""),"",$D844*IFERROR(INDEX(ProdCusto,MATCH($B844,ProdCod,0)),0))</f>
        <v>0</v>
      </c>
      <c r="H844" s="25">
        <f>IF($A844="","",IF(OR($B844="",$C844="",$D844=""),"Preencher tudo",IF($F844="Código não cadastrado","Código inválido","OK")))</f>
        <v>0</v>
      </c>
    </row>
    <row r="845" spans="1:8">
      <c r="A845" s="16"/>
      <c r="B845" s="15"/>
      <c r="C845" s="20"/>
      <c r="D845" s="22"/>
      <c r="E845" s="15"/>
      <c r="F845" s="23">
        <f>IF($B845="","",IFERROR(INDEX(ProdNome,MATCH($B845,ProdCod,0)),"Código não cadastrado"))</f>
        <v>0</v>
      </c>
      <c r="G845" s="24">
        <f>IF(OR($B845="",$D845=""),"",$D845*IFERROR(INDEX(ProdCusto,MATCH($B845,ProdCod,0)),0))</f>
        <v>0</v>
      </c>
      <c r="H845" s="25">
        <f>IF($A845="","",IF(OR($B845="",$C845="",$D845=""),"Preencher tudo",IF($F845="Código não cadastrado","Código inválido","OK")))</f>
        <v>0</v>
      </c>
    </row>
    <row r="846" spans="1:8">
      <c r="A846" s="16"/>
      <c r="B846" s="15"/>
      <c r="C846" s="20"/>
      <c r="D846" s="22"/>
      <c r="E846" s="15"/>
      <c r="F846" s="23">
        <f>IF($B846="","",IFERROR(INDEX(ProdNome,MATCH($B846,ProdCod,0)),"Código não cadastrado"))</f>
        <v>0</v>
      </c>
      <c r="G846" s="24">
        <f>IF(OR($B846="",$D846=""),"",$D846*IFERROR(INDEX(ProdCusto,MATCH($B846,ProdCod,0)),0))</f>
        <v>0</v>
      </c>
      <c r="H846" s="25">
        <f>IF($A846="","",IF(OR($B846="",$C846="",$D846=""),"Preencher tudo",IF($F846="Código não cadastrado","Código inválido","OK")))</f>
        <v>0</v>
      </c>
    </row>
    <row r="847" spans="1:8">
      <c r="A847" s="16"/>
      <c r="B847" s="15"/>
      <c r="C847" s="20"/>
      <c r="D847" s="22"/>
      <c r="E847" s="15"/>
      <c r="F847" s="23">
        <f>IF($B847="","",IFERROR(INDEX(ProdNome,MATCH($B847,ProdCod,0)),"Código não cadastrado"))</f>
        <v>0</v>
      </c>
      <c r="G847" s="24">
        <f>IF(OR($B847="",$D847=""),"",$D847*IFERROR(INDEX(ProdCusto,MATCH($B847,ProdCod,0)),0))</f>
        <v>0</v>
      </c>
      <c r="H847" s="25">
        <f>IF($A847="","",IF(OR($B847="",$C847="",$D847=""),"Preencher tudo",IF($F847="Código não cadastrado","Código inválido","OK")))</f>
        <v>0</v>
      </c>
    </row>
    <row r="848" spans="1:8">
      <c r="A848" s="16"/>
      <c r="B848" s="15"/>
      <c r="C848" s="20"/>
      <c r="D848" s="22"/>
      <c r="E848" s="15"/>
      <c r="F848" s="23">
        <f>IF($B848="","",IFERROR(INDEX(ProdNome,MATCH($B848,ProdCod,0)),"Código não cadastrado"))</f>
        <v>0</v>
      </c>
      <c r="G848" s="24">
        <f>IF(OR($B848="",$D848=""),"",$D848*IFERROR(INDEX(ProdCusto,MATCH($B848,ProdCod,0)),0))</f>
        <v>0</v>
      </c>
      <c r="H848" s="25">
        <f>IF($A848="","",IF(OR($B848="",$C848="",$D848=""),"Preencher tudo",IF($F848="Código não cadastrado","Código inválido","OK")))</f>
        <v>0</v>
      </c>
    </row>
    <row r="849" spans="1:8">
      <c r="A849" s="16"/>
      <c r="B849" s="15"/>
      <c r="C849" s="20"/>
      <c r="D849" s="22"/>
      <c r="E849" s="15"/>
      <c r="F849" s="23">
        <f>IF($B849="","",IFERROR(INDEX(ProdNome,MATCH($B849,ProdCod,0)),"Código não cadastrado"))</f>
        <v>0</v>
      </c>
      <c r="G849" s="24">
        <f>IF(OR($B849="",$D849=""),"",$D849*IFERROR(INDEX(ProdCusto,MATCH($B849,ProdCod,0)),0))</f>
        <v>0</v>
      </c>
      <c r="H849" s="25">
        <f>IF($A849="","",IF(OR($B849="",$C849="",$D849=""),"Preencher tudo",IF($F849="Código não cadastrado","Código inválido","OK")))</f>
        <v>0</v>
      </c>
    </row>
    <row r="850" spans="1:8">
      <c r="A850" s="16"/>
      <c r="B850" s="15"/>
      <c r="C850" s="20"/>
      <c r="D850" s="22"/>
      <c r="E850" s="15"/>
      <c r="F850" s="23">
        <f>IF($B850="","",IFERROR(INDEX(ProdNome,MATCH($B850,ProdCod,0)),"Código não cadastrado"))</f>
        <v>0</v>
      </c>
      <c r="G850" s="24">
        <f>IF(OR($B850="",$D850=""),"",$D850*IFERROR(INDEX(ProdCusto,MATCH($B850,ProdCod,0)),0))</f>
        <v>0</v>
      </c>
      <c r="H850" s="25">
        <f>IF($A850="","",IF(OR($B850="",$C850="",$D850=""),"Preencher tudo",IF($F850="Código não cadastrado","Código inválido","OK")))</f>
        <v>0</v>
      </c>
    </row>
    <row r="851" spans="1:8">
      <c r="A851" s="16"/>
      <c r="B851" s="15"/>
      <c r="C851" s="20"/>
      <c r="D851" s="22"/>
      <c r="E851" s="15"/>
      <c r="F851" s="23">
        <f>IF($B851="","",IFERROR(INDEX(ProdNome,MATCH($B851,ProdCod,0)),"Código não cadastrado"))</f>
        <v>0</v>
      </c>
      <c r="G851" s="24">
        <f>IF(OR($B851="",$D851=""),"",$D851*IFERROR(INDEX(ProdCusto,MATCH($B851,ProdCod,0)),0))</f>
        <v>0</v>
      </c>
      <c r="H851" s="25">
        <f>IF($A851="","",IF(OR($B851="",$C851="",$D851=""),"Preencher tudo",IF($F851="Código não cadastrado","Código inválido","OK")))</f>
        <v>0</v>
      </c>
    </row>
    <row r="852" spans="1:8">
      <c r="A852" s="16"/>
      <c r="B852" s="15"/>
      <c r="C852" s="20"/>
      <c r="D852" s="22"/>
      <c r="E852" s="15"/>
      <c r="F852" s="23">
        <f>IF($B852="","",IFERROR(INDEX(ProdNome,MATCH($B852,ProdCod,0)),"Código não cadastrado"))</f>
        <v>0</v>
      </c>
      <c r="G852" s="24">
        <f>IF(OR($B852="",$D852=""),"",$D852*IFERROR(INDEX(ProdCusto,MATCH($B852,ProdCod,0)),0))</f>
        <v>0</v>
      </c>
      <c r="H852" s="25">
        <f>IF($A852="","",IF(OR($B852="",$C852="",$D852=""),"Preencher tudo",IF($F852="Código não cadastrado","Código inválido","OK")))</f>
        <v>0</v>
      </c>
    </row>
    <row r="853" spans="1:8">
      <c r="A853" s="16"/>
      <c r="B853" s="15"/>
      <c r="C853" s="20"/>
      <c r="D853" s="22"/>
      <c r="E853" s="15"/>
      <c r="F853" s="23">
        <f>IF($B853="","",IFERROR(INDEX(ProdNome,MATCH($B853,ProdCod,0)),"Código não cadastrado"))</f>
        <v>0</v>
      </c>
      <c r="G853" s="24">
        <f>IF(OR($B853="",$D853=""),"",$D853*IFERROR(INDEX(ProdCusto,MATCH($B853,ProdCod,0)),0))</f>
        <v>0</v>
      </c>
      <c r="H853" s="25">
        <f>IF($A853="","",IF(OR($B853="",$C853="",$D853=""),"Preencher tudo",IF($F853="Código não cadastrado","Código inválido","OK")))</f>
        <v>0</v>
      </c>
    </row>
    <row r="854" spans="1:8">
      <c r="A854" s="16"/>
      <c r="B854" s="15"/>
      <c r="C854" s="20"/>
      <c r="D854" s="22"/>
      <c r="E854" s="15"/>
      <c r="F854" s="23">
        <f>IF($B854="","",IFERROR(INDEX(ProdNome,MATCH($B854,ProdCod,0)),"Código não cadastrado"))</f>
        <v>0</v>
      </c>
      <c r="G854" s="24">
        <f>IF(OR($B854="",$D854=""),"",$D854*IFERROR(INDEX(ProdCusto,MATCH($B854,ProdCod,0)),0))</f>
        <v>0</v>
      </c>
      <c r="H854" s="25">
        <f>IF($A854="","",IF(OR($B854="",$C854="",$D854=""),"Preencher tudo",IF($F854="Código não cadastrado","Código inválido","OK")))</f>
        <v>0</v>
      </c>
    </row>
    <row r="855" spans="1:8">
      <c r="A855" s="16"/>
      <c r="B855" s="15"/>
      <c r="C855" s="20"/>
      <c r="D855" s="22"/>
      <c r="E855" s="15"/>
      <c r="F855" s="23">
        <f>IF($B855="","",IFERROR(INDEX(ProdNome,MATCH($B855,ProdCod,0)),"Código não cadastrado"))</f>
        <v>0</v>
      </c>
      <c r="G855" s="24">
        <f>IF(OR($B855="",$D855=""),"",$D855*IFERROR(INDEX(ProdCusto,MATCH($B855,ProdCod,0)),0))</f>
        <v>0</v>
      </c>
      <c r="H855" s="25">
        <f>IF($A855="","",IF(OR($B855="",$C855="",$D855=""),"Preencher tudo",IF($F855="Código não cadastrado","Código inválido","OK")))</f>
        <v>0</v>
      </c>
    </row>
    <row r="856" spans="1:8">
      <c r="A856" s="16"/>
      <c r="B856" s="15"/>
      <c r="C856" s="20"/>
      <c r="D856" s="22"/>
      <c r="E856" s="15"/>
      <c r="F856" s="23">
        <f>IF($B856="","",IFERROR(INDEX(ProdNome,MATCH($B856,ProdCod,0)),"Código não cadastrado"))</f>
        <v>0</v>
      </c>
      <c r="G856" s="24">
        <f>IF(OR($B856="",$D856=""),"",$D856*IFERROR(INDEX(ProdCusto,MATCH($B856,ProdCod,0)),0))</f>
        <v>0</v>
      </c>
      <c r="H856" s="25">
        <f>IF($A856="","",IF(OR($B856="",$C856="",$D856=""),"Preencher tudo",IF($F856="Código não cadastrado","Código inválido","OK")))</f>
        <v>0</v>
      </c>
    </row>
    <row r="857" spans="1:8">
      <c r="A857" s="16"/>
      <c r="B857" s="15"/>
      <c r="C857" s="20"/>
      <c r="D857" s="22"/>
      <c r="E857" s="15"/>
      <c r="F857" s="23">
        <f>IF($B857="","",IFERROR(INDEX(ProdNome,MATCH($B857,ProdCod,0)),"Código não cadastrado"))</f>
        <v>0</v>
      </c>
      <c r="G857" s="24">
        <f>IF(OR($B857="",$D857=""),"",$D857*IFERROR(INDEX(ProdCusto,MATCH($B857,ProdCod,0)),0))</f>
        <v>0</v>
      </c>
      <c r="H857" s="25">
        <f>IF($A857="","",IF(OR($B857="",$C857="",$D857=""),"Preencher tudo",IF($F857="Código não cadastrado","Código inválido","OK")))</f>
        <v>0</v>
      </c>
    </row>
    <row r="858" spans="1:8">
      <c r="A858" s="16"/>
      <c r="B858" s="15"/>
      <c r="C858" s="20"/>
      <c r="D858" s="22"/>
      <c r="E858" s="15"/>
      <c r="F858" s="23">
        <f>IF($B858="","",IFERROR(INDEX(ProdNome,MATCH($B858,ProdCod,0)),"Código não cadastrado"))</f>
        <v>0</v>
      </c>
      <c r="G858" s="24">
        <f>IF(OR($B858="",$D858=""),"",$D858*IFERROR(INDEX(ProdCusto,MATCH($B858,ProdCod,0)),0))</f>
        <v>0</v>
      </c>
      <c r="H858" s="25">
        <f>IF($A858="","",IF(OR($B858="",$C858="",$D858=""),"Preencher tudo",IF($F858="Código não cadastrado","Código inválido","OK")))</f>
        <v>0</v>
      </c>
    </row>
    <row r="859" spans="1:8">
      <c r="A859" s="16"/>
      <c r="B859" s="15"/>
      <c r="C859" s="20"/>
      <c r="D859" s="22"/>
      <c r="E859" s="15"/>
      <c r="F859" s="23">
        <f>IF($B859="","",IFERROR(INDEX(ProdNome,MATCH($B859,ProdCod,0)),"Código não cadastrado"))</f>
        <v>0</v>
      </c>
      <c r="G859" s="24">
        <f>IF(OR($B859="",$D859=""),"",$D859*IFERROR(INDEX(ProdCusto,MATCH($B859,ProdCod,0)),0))</f>
        <v>0</v>
      </c>
      <c r="H859" s="25">
        <f>IF($A859="","",IF(OR($B859="",$C859="",$D859=""),"Preencher tudo",IF($F859="Código não cadastrado","Código inválido","OK")))</f>
        <v>0</v>
      </c>
    </row>
    <row r="860" spans="1:8">
      <c r="A860" s="16"/>
      <c r="B860" s="15"/>
      <c r="C860" s="20"/>
      <c r="D860" s="22"/>
      <c r="E860" s="15"/>
      <c r="F860" s="23">
        <f>IF($B860="","",IFERROR(INDEX(ProdNome,MATCH($B860,ProdCod,0)),"Código não cadastrado"))</f>
        <v>0</v>
      </c>
      <c r="G860" s="24">
        <f>IF(OR($B860="",$D860=""),"",$D860*IFERROR(INDEX(ProdCusto,MATCH($B860,ProdCod,0)),0))</f>
        <v>0</v>
      </c>
      <c r="H860" s="25">
        <f>IF($A860="","",IF(OR($B860="",$C860="",$D860=""),"Preencher tudo",IF($F860="Código não cadastrado","Código inválido","OK")))</f>
        <v>0</v>
      </c>
    </row>
    <row r="861" spans="1:8">
      <c r="A861" s="16"/>
      <c r="B861" s="15"/>
      <c r="C861" s="20"/>
      <c r="D861" s="22"/>
      <c r="E861" s="15"/>
      <c r="F861" s="23">
        <f>IF($B861="","",IFERROR(INDEX(ProdNome,MATCH($B861,ProdCod,0)),"Código não cadastrado"))</f>
        <v>0</v>
      </c>
      <c r="G861" s="24">
        <f>IF(OR($B861="",$D861=""),"",$D861*IFERROR(INDEX(ProdCusto,MATCH($B861,ProdCod,0)),0))</f>
        <v>0</v>
      </c>
      <c r="H861" s="25">
        <f>IF($A861="","",IF(OR($B861="",$C861="",$D861=""),"Preencher tudo",IF($F861="Código não cadastrado","Código inválido","OK")))</f>
        <v>0</v>
      </c>
    </row>
    <row r="862" spans="1:8">
      <c r="A862" s="16"/>
      <c r="B862" s="15"/>
      <c r="C862" s="20"/>
      <c r="D862" s="22"/>
      <c r="E862" s="15"/>
      <c r="F862" s="23">
        <f>IF($B862="","",IFERROR(INDEX(ProdNome,MATCH($B862,ProdCod,0)),"Código não cadastrado"))</f>
        <v>0</v>
      </c>
      <c r="G862" s="24">
        <f>IF(OR($B862="",$D862=""),"",$D862*IFERROR(INDEX(ProdCusto,MATCH($B862,ProdCod,0)),0))</f>
        <v>0</v>
      </c>
      <c r="H862" s="25">
        <f>IF($A862="","",IF(OR($B862="",$C862="",$D862=""),"Preencher tudo",IF($F862="Código não cadastrado","Código inválido","OK")))</f>
        <v>0</v>
      </c>
    </row>
    <row r="863" spans="1:8">
      <c r="A863" s="16"/>
      <c r="B863" s="15"/>
      <c r="C863" s="20"/>
      <c r="D863" s="22"/>
      <c r="E863" s="15"/>
      <c r="F863" s="23">
        <f>IF($B863="","",IFERROR(INDEX(ProdNome,MATCH($B863,ProdCod,0)),"Código não cadastrado"))</f>
        <v>0</v>
      </c>
      <c r="G863" s="24">
        <f>IF(OR($B863="",$D863=""),"",$D863*IFERROR(INDEX(ProdCusto,MATCH($B863,ProdCod,0)),0))</f>
        <v>0</v>
      </c>
      <c r="H863" s="25">
        <f>IF($A863="","",IF(OR($B863="",$C863="",$D863=""),"Preencher tudo",IF($F863="Código não cadastrado","Código inválido","OK")))</f>
        <v>0</v>
      </c>
    </row>
    <row r="864" spans="1:8">
      <c r="A864" s="16"/>
      <c r="B864" s="15"/>
      <c r="C864" s="20"/>
      <c r="D864" s="22"/>
      <c r="E864" s="15"/>
      <c r="F864" s="23">
        <f>IF($B864="","",IFERROR(INDEX(ProdNome,MATCH($B864,ProdCod,0)),"Código não cadastrado"))</f>
        <v>0</v>
      </c>
      <c r="G864" s="24">
        <f>IF(OR($B864="",$D864=""),"",$D864*IFERROR(INDEX(ProdCusto,MATCH($B864,ProdCod,0)),0))</f>
        <v>0</v>
      </c>
      <c r="H864" s="25">
        <f>IF($A864="","",IF(OR($B864="",$C864="",$D864=""),"Preencher tudo",IF($F864="Código não cadastrado","Código inválido","OK")))</f>
        <v>0</v>
      </c>
    </row>
    <row r="865" spans="1:8">
      <c r="A865" s="16"/>
      <c r="B865" s="15"/>
      <c r="C865" s="20"/>
      <c r="D865" s="22"/>
      <c r="E865" s="15"/>
      <c r="F865" s="23">
        <f>IF($B865="","",IFERROR(INDEX(ProdNome,MATCH($B865,ProdCod,0)),"Código não cadastrado"))</f>
        <v>0</v>
      </c>
      <c r="G865" s="24">
        <f>IF(OR($B865="",$D865=""),"",$D865*IFERROR(INDEX(ProdCusto,MATCH($B865,ProdCod,0)),0))</f>
        <v>0</v>
      </c>
      <c r="H865" s="25">
        <f>IF($A865="","",IF(OR($B865="",$C865="",$D865=""),"Preencher tudo",IF($F865="Código não cadastrado","Código inválido","OK")))</f>
        <v>0</v>
      </c>
    </row>
    <row r="866" spans="1:8">
      <c r="A866" s="16"/>
      <c r="B866" s="15"/>
      <c r="C866" s="20"/>
      <c r="D866" s="22"/>
      <c r="E866" s="15"/>
      <c r="F866" s="23">
        <f>IF($B866="","",IFERROR(INDEX(ProdNome,MATCH($B866,ProdCod,0)),"Código não cadastrado"))</f>
        <v>0</v>
      </c>
      <c r="G866" s="24">
        <f>IF(OR($B866="",$D866=""),"",$D866*IFERROR(INDEX(ProdCusto,MATCH($B866,ProdCod,0)),0))</f>
        <v>0</v>
      </c>
      <c r="H866" s="25">
        <f>IF($A866="","",IF(OR($B866="",$C866="",$D866=""),"Preencher tudo",IF($F866="Código não cadastrado","Código inválido","OK")))</f>
        <v>0</v>
      </c>
    </row>
    <row r="867" spans="1:8">
      <c r="A867" s="16"/>
      <c r="B867" s="15"/>
      <c r="C867" s="20"/>
      <c r="D867" s="22"/>
      <c r="E867" s="15"/>
      <c r="F867" s="23">
        <f>IF($B867="","",IFERROR(INDEX(ProdNome,MATCH($B867,ProdCod,0)),"Código não cadastrado"))</f>
        <v>0</v>
      </c>
      <c r="G867" s="24">
        <f>IF(OR($B867="",$D867=""),"",$D867*IFERROR(INDEX(ProdCusto,MATCH($B867,ProdCod,0)),0))</f>
        <v>0</v>
      </c>
      <c r="H867" s="25">
        <f>IF($A867="","",IF(OR($B867="",$C867="",$D867=""),"Preencher tudo",IF($F867="Código não cadastrado","Código inválido","OK")))</f>
        <v>0</v>
      </c>
    </row>
    <row r="868" spans="1:8">
      <c r="A868" s="16"/>
      <c r="B868" s="15"/>
      <c r="C868" s="20"/>
      <c r="D868" s="22"/>
      <c r="E868" s="15"/>
      <c r="F868" s="23">
        <f>IF($B868="","",IFERROR(INDEX(ProdNome,MATCH($B868,ProdCod,0)),"Código não cadastrado"))</f>
        <v>0</v>
      </c>
      <c r="G868" s="24">
        <f>IF(OR($B868="",$D868=""),"",$D868*IFERROR(INDEX(ProdCusto,MATCH($B868,ProdCod,0)),0))</f>
        <v>0</v>
      </c>
      <c r="H868" s="25">
        <f>IF($A868="","",IF(OR($B868="",$C868="",$D868=""),"Preencher tudo",IF($F868="Código não cadastrado","Código inválido","OK")))</f>
        <v>0</v>
      </c>
    </row>
    <row r="869" spans="1:8">
      <c r="A869" s="16"/>
      <c r="B869" s="15"/>
      <c r="C869" s="20"/>
      <c r="D869" s="22"/>
      <c r="E869" s="15"/>
      <c r="F869" s="23">
        <f>IF($B869="","",IFERROR(INDEX(ProdNome,MATCH($B869,ProdCod,0)),"Código não cadastrado"))</f>
        <v>0</v>
      </c>
      <c r="G869" s="24">
        <f>IF(OR($B869="",$D869=""),"",$D869*IFERROR(INDEX(ProdCusto,MATCH($B869,ProdCod,0)),0))</f>
        <v>0</v>
      </c>
      <c r="H869" s="25">
        <f>IF($A869="","",IF(OR($B869="",$C869="",$D869=""),"Preencher tudo",IF($F869="Código não cadastrado","Código inválido","OK")))</f>
        <v>0</v>
      </c>
    </row>
    <row r="870" spans="1:8">
      <c r="A870" s="16"/>
      <c r="B870" s="15"/>
      <c r="C870" s="20"/>
      <c r="D870" s="22"/>
      <c r="E870" s="15"/>
      <c r="F870" s="23">
        <f>IF($B870="","",IFERROR(INDEX(ProdNome,MATCH($B870,ProdCod,0)),"Código não cadastrado"))</f>
        <v>0</v>
      </c>
      <c r="G870" s="24">
        <f>IF(OR($B870="",$D870=""),"",$D870*IFERROR(INDEX(ProdCusto,MATCH($B870,ProdCod,0)),0))</f>
        <v>0</v>
      </c>
      <c r="H870" s="25">
        <f>IF($A870="","",IF(OR($B870="",$C870="",$D870=""),"Preencher tudo",IF($F870="Código não cadastrado","Código inválido","OK")))</f>
        <v>0</v>
      </c>
    </row>
    <row r="871" spans="1:8">
      <c r="A871" s="16"/>
      <c r="B871" s="15"/>
      <c r="C871" s="20"/>
      <c r="D871" s="22"/>
      <c r="E871" s="15"/>
      <c r="F871" s="23">
        <f>IF($B871="","",IFERROR(INDEX(ProdNome,MATCH($B871,ProdCod,0)),"Código não cadastrado"))</f>
        <v>0</v>
      </c>
      <c r="G871" s="24">
        <f>IF(OR($B871="",$D871=""),"",$D871*IFERROR(INDEX(ProdCusto,MATCH($B871,ProdCod,0)),0))</f>
        <v>0</v>
      </c>
      <c r="H871" s="25">
        <f>IF($A871="","",IF(OR($B871="",$C871="",$D871=""),"Preencher tudo",IF($F871="Código não cadastrado","Código inválido","OK")))</f>
        <v>0</v>
      </c>
    </row>
    <row r="872" spans="1:8">
      <c r="A872" s="16"/>
      <c r="B872" s="15"/>
      <c r="C872" s="20"/>
      <c r="D872" s="22"/>
      <c r="E872" s="15"/>
      <c r="F872" s="23">
        <f>IF($B872="","",IFERROR(INDEX(ProdNome,MATCH($B872,ProdCod,0)),"Código não cadastrado"))</f>
        <v>0</v>
      </c>
      <c r="G872" s="24">
        <f>IF(OR($B872="",$D872=""),"",$D872*IFERROR(INDEX(ProdCusto,MATCH($B872,ProdCod,0)),0))</f>
        <v>0</v>
      </c>
      <c r="H872" s="25">
        <f>IF($A872="","",IF(OR($B872="",$C872="",$D872=""),"Preencher tudo",IF($F872="Código não cadastrado","Código inválido","OK")))</f>
        <v>0</v>
      </c>
    </row>
    <row r="873" spans="1:8">
      <c r="A873" s="16"/>
      <c r="B873" s="15"/>
      <c r="C873" s="20"/>
      <c r="D873" s="22"/>
      <c r="E873" s="15"/>
      <c r="F873" s="23">
        <f>IF($B873="","",IFERROR(INDEX(ProdNome,MATCH($B873,ProdCod,0)),"Código não cadastrado"))</f>
        <v>0</v>
      </c>
      <c r="G873" s="24">
        <f>IF(OR($B873="",$D873=""),"",$D873*IFERROR(INDEX(ProdCusto,MATCH($B873,ProdCod,0)),0))</f>
        <v>0</v>
      </c>
      <c r="H873" s="25">
        <f>IF($A873="","",IF(OR($B873="",$C873="",$D873=""),"Preencher tudo",IF($F873="Código não cadastrado","Código inválido","OK")))</f>
        <v>0</v>
      </c>
    </row>
    <row r="874" spans="1:8">
      <c r="A874" s="16"/>
      <c r="B874" s="15"/>
      <c r="C874" s="20"/>
      <c r="D874" s="22"/>
      <c r="E874" s="15"/>
      <c r="F874" s="23">
        <f>IF($B874="","",IFERROR(INDEX(ProdNome,MATCH($B874,ProdCod,0)),"Código não cadastrado"))</f>
        <v>0</v>
      </c>
      <c r="G874" s="24">
        <f>IF(OR($B874="",$D874=""),"",$D874*IFERROR(INDEX(ProdCusto,MATCH($B874,ProdCod,0)),0))</f>
        <v>0</v>
      </c>
      <c r="H874" s="25">
        <f>IF($A874="","",IF(OR($B874="",$C874="",$D874=""),"Preencher tudo",IF($F874="Código não cadastrado","Código inválido","OK")))</f>
        <v>0</v>
      </c>
    </row>
    <row r="875" spans="1:8">
      <c r="A875" s="16"/>
      <c r="B875" s="15"/>
      <c r="C875" s="20"/>
      <c r="D875" s="22"/>
      <c r="E875" s="15"/>
      <c r="F875" s="23">
        <f>IF($B875="","",IFERROR(INDEX(ProdNome,MATCH($B875,ProdCod,0)),"Código não cadastrado"))</f>
        <v>0</v>
      </c>
      <c r="G875" s="24">
        <f>IF(OR($B875="",$D875=""),"",$D875*IFERROR(INDEX(ProdCusto,MATCH($B875,ProdCod,0)),0))</f>
        <v>0</v>
      </c>
      <c r="H875" s="25">
        <f>IF($A875="","",IF(OR($B875="",$C875="",$D875=""),"Preencher tudo",IF($F875="Código não cadastrado","Código inválido","OK")))</f>
        <v>0</v>
      </c>
    </row>
    <row r="876" spans="1:8">
      <c r="A876" s="16"/>
      <c r="B876" s="15"/>
      <c r="C876" s="20"/>
      <c r="D876" s="22"/>
      <c r="E876" s="15"/>
      <c r="F876" s="23">
        <f>IF($B876="","",IFERROR(INDEX(ProdNome,MATCH($B876,ProdCod,0)),"Código não cadastrado"))</f>
        <v>0</v>
      </c>
      <c r="G876" s="24">
        <f>IF(OR($B876="",$D876=""),"",$D876*IFERROR(INDEX(ProdCusto,MATCH($B876,ProdCod,0)),0))</f>
        <v>0</v>
      </c>
      <c r="H876" s="25">
        <f>IF($A876="","",IF(OR($B876="",$C876="",$D876=""),"Preencher tudo",IF($F876="Código não cadastrado","Código inválido","OK")))</f>
        <v>0</v>
      </c>
    </row>
    <row r="877" spans="1:8">
      <c r="A877" s="16"/>
      <c r="B877" s="15"/>
      <c r="C877" s="20"/>
      <c r="D877" s="22"/>
      <c r="E877" s="15"/>
      <c r="F877" s="23">
        <f>IF($B877="","",IFERROR(INDEX(ProdNome,MATCH($B877,ProdCod,0)),"Código não cadastrado"))</f>
        <v>0</v>
      </c>
      <c r="G877" s="24">
        <f>IF(OR($B877="",$D877=""),"",$D877*IFERROR(INDEX(ProdCusto,MATCH($B877,ProdCod,0)),0))</f>
        <v>0</v>
      </c>
      <c r="H877" s="25">
        <f>IF($A877="","",IF(OR($B877="",$C877="",$D877=""),"Preencher tudo",IF($F877="Código não cadastrado","Código inválido","OK")))</f>
        <v>0</v>
      </c>
    </row>
    <row r="878" spans="1:8">
      <c r="A878" s="16"/>
      <c r="B878" s="15"/>
      <c r="C878" s="20"/>
      <c r="D878" s="22"/>
      <c r="E878" s="15"/>
      <c r="F878" s="23">
        <f>IF($B878="","",IFERROR(INDEX(ProdNome,MATCH($B878,ProdCod,0)),"Código não cadastrado"))</f>
        <v>0</v>
      </c>
      <c r="G878" s="24">
        <f>IF(OR($B878="",$D878=""),"",$D878*IFERROR(INDEX(ProdCusto,MATCH($B878,ProdCod,0)),0))</f>
        <v>0</v>
      </c>
      <c r="H878" s="25">
        <f>IF($A878="","",IF(OR($B878="",$C878="",$D878=""),"Preencher tudo",IF($F878="Código não cadastrado","Código inválido","OK")))</f>
        <v>0</v>
      </c>
    </row>
    <row r="879" spans="1:8">
      <c r="A879" s="16"/>
      <c r="B879" s="15"/>
      <c r="C879" s="20"/>
      <c r="D879" s="22"/>
      <c r="E879" s="15"/>
      <c r="F879" s="23">
        <f>IF($B879="","",IFERROR(INDEX(ProdNome,MATCH($B879,ProdCod,0)),"Código não cadastrado"))</f>
        <v>0</v>
      </c>
      <c r="G879" s="24">
        <f>IF(OR($B879="",$D879=""),"",$D879*IFERROR(INDEX(ProdCusto,MATCH($B879,ProdCod,0)),0))</f>
        <v>0</v>
      </c>
      <c r="H879" s="25">
        <f>IF($A879="","",IF(OR($B879="",$C879="",$D879=""),"Preencher tudo",IF($F879="Código não cadastrado","Código inválido","OK")))</f>
        <v>0</v>
      </c>
    </row>
    <row r="880" spans="1:8">
      <c r="A880" s="16"/>
      <c r="B880" s="15"/>
      <c r="C880" s="20"/>
      <c r="D880" s="22"/>
      <c r="E880" s="15"/>
      <c r="F880" s="23">
        <f>IF($B880="","",IFERROR(INDEX(ProdNome,MATCH($B880,ProdCod,0)),"Código não cadastrado"))</f>
        <v>0</v>
      </c>
      <c r="G880" s="24">
        <f>IF(OR($B880="",$D880=""),"",$D880*IFERROR(INDEX(ProdCusto,MATCH($B880,ProdCod,0)),0))</f>
        <v>0</v>
      </c>
      <c r="H880" s="25">
        <f>IF($A880="","",IF(OR($B880="",$C880="",$D880=""),"Preencher tudo",IF($F880="Código não cadastrado","Código inválido","OK")))</f>
        <v>0</v>
      </c>
    </row>
    <row r="881" spans="1:8">
      <c r="A881" s="16"/>
      <c r="B881" s="15"/>
      <c r="C881" s="20"/>
      <c r="D881" s="22"/>
      <c r="E881" s="15"/>
      <c r="F881" s="23">
        <f>IF($B881="","",IFERROR(INDEX(ProdNome,MATCH($B881,ProdCod,0)),"Código não cadastrado"))</f>
        <v>0</v>
      </c>
      <c r="G881" s="24">
        <f>IF(OR($B881="",$D881=""),"",$D881*IFERROR(INDEX(ProdCusto,MATCH($B881,ProdCod,0)),0))</f>
        <v>0</v>
      </c>
      <c r="H881" s="25">
        <f>IF($A881="","",IF(OR($B881="",$C881="",$D881=""),"Preencher tudo",IF($F881="Código não cadastrado","Código inválido","OK")))</f>
        <v>0</v>
      </c>
    </row>
    <row r="882" spans="1:8">
      <c r="A882" s="16"/>
      <c r="B882" s="15"/>
      <c r="C882" s="20"/>
      <c r="D882" s="22"/>
      <c r="E882" s="15"/>
      <c r="F882" s="23">
        <f>IF($B882="","",IFERROR(INDEX(ProdNome,MATCH($B882,ProdCod,0)),"Código não cadastrado"))</f>
        <v>0</v>
      </c>
      <c r="G882" s="24">
        <f>IF(OR($B882="",$D882=""),"",$D882*IFERROR(INDEX(ProdCusto,MATCH($B882,ProdCod,0)),0))</f>
        <v>0</v>
      </c>
      <c r="H882" s="25">
        <f>IF($A882="","",IF(OR($B882="",$C882="",$D882=""),"Preencher tudo",IF($F882="Código não cadastrado","Código inválido","OK")))</f>
        <v>0</v>
      </c>
    </row>
    <row r="883" spans="1:8">
      <c r="A883" s="16"/>
      <c r="B883" s="15"/>
      <c r="C883" s="20"/>
      <c r="D883" s="22"/>
      <c r="E883" s="15"/>
      <c r="F883" s="23">
        <f>IF($B883="","",IFERROR(INDEX(ProdNome,MATCH($B883,ProdCod,0)),"Código não cadastrado"))</f>
        <v>0</v>
      </c>
      <c r="G883" s="24">
        <f>IF(OR($B883="",$D883=""),"",$D883*IFERROR(INDEX(ProdCusto,MATCH($B883,ProdCod,0)),0))</f>
        <v>0</v>
      </c>
      <c r="H883" s="25">
        <f>IF($A883="","",IF(OR($B883="",$C883="",$D883=""),"Preencher tudo",IF($F883="Código não cadastrado","Código inválido","OK")))</f>
        <v>0</v>
      </c>
    </row>
    <row r="884" spans="1:8">
      <c r="A884" s="16"/>
      <c r="B884" s="15"/>
      <c r="C884" s="20"/>
      <c r="D884" s="22"/>
      <c r="E884" s="15"/>
      <c r="F884" s="23">
        <f>IF($B884="","",IFERROR(INDEX(ProdNome,MATCH($B884,ProdCod,0)),"Código não cadastrado"))</f>
        <v>0</v>
      </c>
      <c r="G884" s="24">
        <f>IF(OR($B884="",$D884=""),"",$D884*IFERROR(INDEX(ProdCusto,MATCH($B884,ProdCod,0)),0))</f>
        <v>0</v>
      </c>
      <c r="H884" s="25">
        <f>IF($A884="","",IF(OR($B884="",$C884="",$D884=""),"Preencher tudo",IF($F884="Código não cadastrado","Código inválido","OK")))</f>
        <v>0</v>
      </c>
    </row>
    <row r="885" spans="1:8">
      <c r="A885" s="16"/>
      <c r="B885" s="15"/>
      <c r="C885" s="20"/>
      <c r="D885" s="22"/>
      <c r="E885" s="15"/>
      <c r="F885" s="23">
        <f>IF($B885="","",IFERROR(INDEX(ProdNome,MATCH($B885,ProdCod,0)),"Código não cadastrado"))</f>
        <v>0</v>
      </c>
      <c r="G885" s="24">
        <f>IF(OR($B885="",$D885=""),"",$D885*IFERROR(INDEX(ProdCusto,MATCH($B885,ProdCod,0)),0))</f>
        <v>0</v>
      </c>
      <c r="H885" s="25">
        <f>IF($A885="","",IF(OR($B885="",$C885="",$D885=""),"Preencher tudo",IF($F885="Código não cadastrado","Código inválido","OK")))</f>
        <v>0</v>
      </c>
    </row>
    <row r="886" spans="1:8">
      <c r="A886" s="16"/>
      <c r="B886" s="15"/>
      <c r="C886" s="20"/>
      <c r="D886" s="22"/>
      <c r="E886" s="15"/>
      <c r="F886" s="23">
        <f>IF($B886="","",IFERROR(INDEX(ProdNome,MATCH($B886,ProdCod,0)),"Código não cadastrado"))</f>
        <v>0</v>
      </c>
      <c r="G886" s="24">
        <f>IF(OR($B886="",$D886=""),"",$D886*IFERROR(INDEX(ProdCusto,MATCH($B886,ProdCod,0)),0))</f>
        <v>0</v>
      </c>
      <c r="H886" s="25">
        <f>IF($A886="","",IF(OR($B886="",$C886="",$D886=""),"Preencher tudo",IF($F886="Código não cadastrado","Código inválido","OK")))</f>
        <v>0</v>
      </c>
    </row>
    <row r="887" spans="1:8">
      <c r="A887" s="16"/>
      <c r="B887" s="15"/>
      <c r="C887" s="20"/>
      <c r="D887" s="22"/>
      <c r="E887" s="15"/>
      <c r="F887" s="23">
        <f>IF($B887="","",IFERROR(INDEX(ProdNome,MATCH($B887,ProdCod,0)),"Código não cadastrado"))</f>
        <v>0</v>
      </c>
      <c r="G887" s="24">
        <f>IF(OR($B887="",$D887=""),"",$D887*IFERROR(INDEX(ProdCusto,MATCH($B887,ProdCod,0)),0))</f>
        <v>0</v>
      </c>
      <c r="H887" s="25">
        <f>IF($A887="","",IF(OR($B887="",$C887="",$D887=""),"Preencher tudo",IF($F887="Código não cadastrado","Código inválido","OK")))</f>
        <v>0</v>
      </c>
    </row>
    <row r="888" spans="1:8">
      <c r="A888" s="16"/>
      <c r="B888" s="15"/>
      <c r="C888" s="20"/>
      <c r="D888" s="22"/>
      <c r="E888" s="15"/>
      <c r="F888" s="23">
        <f>IF($B888="","",IFERROR(INDEX(ProdNome,MATCH($B888,ProdCod,0)),"Código não cadastrado"))</f>
        <v>0</v>
      </c>
      <c r="G888" s="24">
        <f>IF(OR($B888="",$D888=""),"",$D888*IFERROR(INDEX(ProdCusto,MATCH($B888,ProdCod,0)),0))</f>
        <v>0</v>
      </c>
      <c r="H888" s="25">
        <f>IF($A888="","",IF(OR($B888="",$C888="",$D888=""),"Preencher tudo",IF($F888="Código não cadastrado","Código inválido","OK")))</f>
        <v>0</v>
      </c>
    </row>
    <row r="889" spans="1:8">
      <c r="A889" s="16"/>
      <c r="B889" s="15"/>
      <c r="C889" s="20"/>
      <c r="D889" s="22"/>
      <c r="E889" s="15"/>
      <c r="F889" s="23">
        <f>IF($B889="","",IFERROR(INDEX(ProdNome,MATCH($B889,ProdCod,0)),"Código não cadastrado"))</f>
        <v>0</v>
      </c>
      <c r="G889" s="24">
        <f>IF(OR($B889="",$D889=""),"",$D889*IFERROR(INDEX(ProdCusto,MATCH($B889,ProdCod,0)),0))</f>
        <v>0</v>
      </c>
      <c r="H889" s="25">
        <f>IF($A889="","",IF(OR($B889="",$C889="",$D889=""),"Preencher tudo",IF($F889="Código não cadastrado","Código inválido","OK")))</f>
        <v>0</v>
      </c>
    </row>
    <row r="890" spans="1:8">
      <c r="A890" s="16"/>
      <c r="B890" s="15"/>
      <c r="C890" s="20"/>
      <c r="D890" s="22"/>
      <c r="E890" s="15"/>
      <c r="F890" s="23">
        <f>IF($B890="","",IFERROR(INDEX(ProdNome,MATCH($B890,ProdCod,0)),"Código não cadastrado"))</f>
        <v>0</v>
      </c>
      <c r="G890" s="24">
        <f>IF(OR($B890="",$D890=""),"",$D890*IFERROR(INDEX(ProdCusto,MATCH($B890,ProdCod,0)),0))</f>
        <v>0</v>
      </c>
      <c r="H890" s="25">
        <f>IF($A890="","",IF(OR($B890="",$C890="",$D890=""),"Preencher tudo",IF($F890="Código não cadastrado","Código inválido","OK")))</f>
        <v>0</v>
      </c>
    </row>
    <row r="891" spans="1:8">
      <c r="A891" s="16"/>
      <c r="B891" s="15"/>
      <c r="C891" s="20"/>
      <c r="D891" s="22"/>
      <c r="E891" s="15"/>
      <c r="F891" s="23">
        <f>IF($B891="","",IFERROR(INDEX(ProdNome,MATCH($B891,ProdCod,0)),"Código não cadastrado"))</f>
        <v>0</v>
      </c>
      <c r="G891" s="24">
        <f>IF(OR($B891="",$D891=""),"",$D891*IFERROR(INDEX(ProdCusto,MATCH($B891,ProdCod,0)),0))</f>
        <v>0</v>
      </c>
      <c r="H891" s="25">
        <f>IF($A891="","",IF(OR($B891="",$C891="",$D891=""),"Preencher tudo",IF($F891="Código não cadastrado","Código inválido","OK")))</f>
        <v>0</v>
      </c>
    </row>
    <row r="892" spans="1:8">
      <c r="A892" s="16"/>
      <c r="B892" s="15"/>
      <c r="C892" s="20"/>
      <c r="D892" s="22"/>
      <c r="E892" s="15"/>
      <c r="F892" s="23">
        <f>IF($B892="","",IFERROR(INDEX(ProdNome,MATCH($B892,ProdCod,0)),"Código não cadastrado"))</f>
        <v>0</v>
      </c>
      <c r="G892" s="24">
        <f>IF(OR($B892="",$D892=""),"",$D892*IFERROR(INDEX(ProdCusto,MATCH($B892,ProdCod,0)),0))</f>
        <v>0</v>
      </c>
      <c r="H892" s="25">
        <f>IF($A892="","",IF(OR($B892="",$C892="",$D892=""),"Preencher tudo",IF($F892="Código não cadastrado","Código inválido","OK")))</f>
        <v>0</v>
      </c>
    </row>
    <row r="893" spans="1:8">
      <c r="A893" s="16"/>
      <c r="B893" s="15"/>
      <c r="C893" s="20"/>
      <c r="D893" s="22"/>
      <c r="E893" s="15"/>
      <c r="F893" s="23">
        <f>IF($B893="","",IFERROR(INDEX(ProdNome,MATCH($B893,ProdCod,0)),"Código não cadastrado"))</f>
        <v>0</v>
      </c>
      <c r="G893" s="24">
        <f>IF(OR($B893="",$D893=""),"",$D893*IFERROR(INDEX(ProdCusto,MATCH($B893,ProdCod,0)),0))</f>
        <v>0</v>
      </c>
      <c r="H893" s="25">
        <f>IF($A893="","",IF(OR($B893="",$C893="",$D893=""),"Preencher tudo",IF($F893="Código não cadastrado","Código inválido","OK")))</f>
        <v>0</v>
      </c>
    </row>
    <row r="894" spans="1:8">
      <c r="A894" s="16"/>
      <c r="B894" s="15"/>
      <c r="C894" s="20"/>
      <c r="D894" s="22"/>
      <c r="E894" s="15"/>
      <c r="F894" s="23">
        <f>IF($B894="","",IFERROR(INDEX(ProdNome,MATCH($B894,ProdCod,0)),"Código não cadastrado"))</f>
        <v>0</v>
      </c>
      <c r="G894" s="24">
        <f>IF(OR($B894="",$D894=""),"",$D894*IFERROR(INDEX(ProdCusto,MATCH($B894,ProdCod,0)),0))</f>
        <v>0</v>
      </c>
      <c r="H894" s="25">
        <f>IF($A894="","",IF(OR($B894="",$C894="",$D894=""),"Preencher tudo",IF($F894="Código não cadastrado","Código inválido","OK")))</f>
        <v>0</v>
      </c>
    </row>
    <row r="895" spans="1:8">
      <c r="A895" s="16"/>
      <c r="B895" s="15"/>
      <c r="C895" s="20"/>
      <c r="D895" s="22"/>
      <c r="E895" s="15"/>
      <c r="F895" s="23">
        <f>IF($B895="","",IFERROR(INDEX(ProdNome,MATCH($B895,ProdCod,0)),"Código não cadastrado"))</f>
        <v>0</v>
      </c>
      <c r="G895" s="24">
        <f>IF(OR($B895="",$D895=""),"",$D895*IFERROR(INDEX(ProdCusto,MATCH($B895,ProdCod,0)),0))</f>
        <v>0</v>
      </c>
      <c r="H895" s="25">
        <f>IF($A895="","",IF(OR($B895="",$C895="",$D895=""),"Preencher tudo",IF($F895="Código não cadastrado","Código inválido","OK")))</f>
        <v>0</v>
      </c>
    </row>
    <row r="896" spans="1:8">
      <c r="A896" s="16"/>
      <c r="B896" s="15"/>
      <c r="C896" s="20"/>
      <c r="D896" s="22"/>
      <c r="E896" s="15"/>
      <c r="F896" s="23">
        <f>IF($B896="","",IFERROR(INDEX(ProdNome,MATCH($B896,ProdCod,0)),"Código não cadastrado"))</f>
        <v>0</v>
      </c>
      <c r="G896" s="24">
        <f>IF(OR($B896="",$D896=""),"",$D896*IFERROR(INDEX(ProdCusto,MATCH($B896,ProdCod,0)),0))</f>
        <v>0</v>
      </c>
      <c r="H896" s="25">
        <f>IF($A896="","",IF(OR($B896="",$C896="",$D896=""),"Preencher tudo",IF($F896="Código não cadastrado","Código inválido","OK")))</f>
        <v>0</v>
      </c>
    </row>
    <row r="897" spans="1:8">
      <c r="A897" s="16"/>
      <c r="B897" s="15"/>
      <c r="C897" s="20"/>
      <c r="D897" s="22"/>
      <c r="E897" s="15"/>
      <c r="F897" s="23">
        <f>IF($B897="","",IFERROR(INDEX(ProdNome,MATCH($B897,ProdCod,0)),"Código não cadastrado"))</f>
        <v>0</v>
      </c>
      <c r="G897" s="24">
        <f>IF(OR($B897="",$D897=""),"",$D897*IFERROR(INDEX(ProdCusto,MATCH($B897,ProdCod,0)),0))</f>
        <v>0</v>
      </c>
      <c r="H897" s="25">
        <f>IF($A897="","",IF(OR($B897="",$C897="",$D897=""),"Preencher tudo",IF($F897="Código não cadastrado","Código inválido","OK")))</f>
        <v>0</v>
      </c>
    </row>
    <row r="898" spans="1:8">
      <c r="A898" s="16"/>
      <c r="B898" s="15"/>
      <c r="C898" s="20"/>
      <c r="D898" s="22"/>
      <c r="E898" s="15"/>
      <c r="F898" s="23">
        <f>IF($B898="","",IFERROR(INDEX(ProdNome,MATCH($B898,ProdCod,0)),"Código não cadastrado"))</f>
        <v>0</v>
      </c>
      <c r="G898" s="24">
        <f>IF(OR($B898="",$D898=""),"",$D898*IFERROR(INDEX(ProdCusto,MATCH($B898,ProdCod,0)),0))</f>
        <v>0</v>
      </c>
      <c r="H898" s="25">
        <f>IF($A898="","",IF(OR($B898="",$C898="",$D898=""),"Preencher tudo",IF($F898="Código não cadastrado","Código inválido","OK")))</f>
        <v>0</v>
      </c>
    </row>
    <row r="899" spans="1:8">
      <c r="A899" s="16"/>
      <c r="B899" s="15"/>
      <c r="C899" s="20"/>
      <c r="D899" s="22"/>
      <c r="E899" s="15"/>
      <c r="F899" s="23">
        <f>IF($B899="","",IFERROR(INDEX(ProdNome,MATCH($B899,ProdCod,0)),"Código não cadastrado"))</f>
        <v>0</v>
      </c>
      <c r="G899" s="24">
        <f>IF(OR($B899="",$D899=""),"",$D899*IFERROR(INDEX(ProdCusto,MATCH($B899,ProdCod,0)),0))</f>
        <v>0</v>
      </c>
      <c r="H899" s="25">
        <f>IF($A899="","",IF(OR($B899="",$C899="",$D899=""),"Preencher tudo",IF($F899="Código não cadastrado","Código inválido","OK")))</f>
        <v>0</v>
      </c>
    </row>
    <row r="900" spans="1:8">
      <c r="A900" s="16"/>
      <c r="B900" s="15"/>
      <c r="C900" s="20"/>
      <c r="D900" s="22"/>
      <c r="E900" s="15"/>
      <c r="F900" s="23">
        <f>IF($B900="","",IFERROR(INDEX(ProdNome,MATCH($B900,ProdCod,0)),"Código não cadastrado"))</f>
        <v>0</v>
      </c>
      <c r="G900" s="24">
        <f>IF(OR($B900="",$D900=""),"",$D900*IFERROR(INDEX(ProdCusto,MATCH($B900,ProdCod,0)),0))</f>
        <v>0</v>
      </c>
      <c r="H900" s="25">
        <f>IF($A900="","",IF(OR($B900="",$C900="",$D900=""),"Preencher tudo",IF($F900="Código não cadastrado","Código inválido","OK")))</f>
        <v>0</v>
      </c>
    </row>
    <row r="901" spans="1:8">
      <c r="A901" s="16"/>
      <c r="B901" s="15"/>
      <c r="C901" s="20"/>
      <c r="D901" s="22"/>
      <c r="E901" s="15"/>
      <c r="F901" s="23">
        <f>IF($B901="","",IFERROR(INDEX(ProdNome,MATCH($B901,ProdCod,0)),"Código não cadastrado"))</f>
        <v>0</v>
      </c>
      <c r="G901" s="24">
        <f>IF(OR($B901="",$D901=""),"",$D901*IFERROR(INDEX(ProdCusto,MATCH($B901,ProdCod,0)),0))</f>
        <v>0</v>
      </c>
      <c r="H901" s="25">
        <f>IF($A901="","",IF(OR($B901="",$C901="",$D901=""),"Preencher tudo",IF($F901="Código não cadastrado","Código inválido","OK")))</f>
        <v>0</v>
      </c>
    </row>
    <row r="902" spans="1:8">
      <c r="A902" s="16"/>
      <c r="B902" s="15"/>
      <c r="C902" s="20"/>
      <c r="D902" s="22"/>
      <c r="E902" s="15"/>
      <c r="F902" s="23">
        <f>IF($B902="","",IFERROR(INDEX(ProdNome,MATCH($B902,ProdCod,0)),"Código não cadastrado"))</f>
        <v>0</v>
      </c>
      <c r="G902" s="24">
        <f>IF(OR($B902="",$D902=""),"",$D902*IFERROR(INDEX(ProdCusto,MATCH($B902,ProdCod,0)),0))</f>
        <v>0</v>
      </c>
      <c r="H902" s="25">
        <f>IF($A902="","",IF(OR($B902="",$C902="",$D902=""),"Preencher tudo",IF($F902="Código não cadastrado","Código inválido","OK")))</f>
        <v>0</v>
      </c>
    </row>
    <row r="903" spans="1:8">
      <c r="A903" s="16"/>
      <c r="B903" s="15"/>
      <c r="C903" s="20"/>
      <c r="D903" s="22"/>
      <c r="E903" s="15"/>
      <c r="F903" s="23">
        <f>IF($B903="","",IFERROR(INDEX(ProdNome,MATCH($B903,ProdCod,0)),"Código não cadastrado"))</f>
        <v>0</v>
      </c>
      <c r="G903" s="24">
        <f>IF(OR($B903="",$D903=""),"",$D903*IFERROR(INDEX(ProdCusto,MATCH($B903,ProdCod,0)),0))</f>
        <v>0</v>
      </c>
      <c r="H903" s="25">
        <f>IF($A903="","",IF(OR($B903="",$C903="",$D903=""),"Preencher tudo",IF($F903="Código não cadastrado","Código inválido","OK")))</f>
        <v>0</v>
      </c>
    </row>
    <row r="904" spans="1:8">
      <c r="A904" s="16"/>
      <c r="B904" s="15"/>
      <c r="C904" s="20"/>
      <c r="D904" s="22"/>
      <c r="E904" s="15"/>
      <c r="F904" s="23">
        <f>IF($B904="","",IFERROR(INDEX(ProdNome,MATCH($B904,ProdCod,0)),"Código não cadastrado"))</f>
        <v>0</v>
      </c>
      <c r="G904" s="24">
        <f>IF(OR($B904="",$D904=""),"",$D904*IFERROR(INDEX(ProdCusto,MATCH($B904,ProdCod,0)),0))</f>
        <v>0</v>
      </c>
      <c r="H904" s="25">
        <f>IF($A904="","",IF(OR($B904="",$C904="",$D904=""),"Preencher tudo",IF($F904="Código não cadastrado","Código inválido","OK")))</f>
        <v>0</v>
      </c>
    </row>
    <row r="905" spans="1:8">
      <c r="A905" s="16"/>
      <c r="B905" s="15"/>
      <c r="C905" s="20"/>
      <c r="D905" s="22"/>
      <c r="E905" s="15"/>
      <c r="F905" s="23">
        <f>IF($B905="","",IFERROR(INDEX(ProdNome,MATCH($B905,ProdCod,0)),"Código não cadastrado"))</f>
        <v>0</v>
      </c>
      <c r="G905" s="24">
        <f>IF(OR($B905="",$D905=""),"",$D905*IFERROR(INDEX(ProdCusto,MATCH($B905,ProdCod,0)),0))</f>
        <v>0</v>
      </c>
      <c r="H905" s="25">
        <f>IF($A905="","",IF(OR($B905="",$C905="",$D905=""),"Preencher tudo",IF($F905="Código não cadastrado","Código inválido","OK")))</f>
        <v>0</v>
      </c>
    </row>
    <row r="906" spans="1:8">
      <c r="A906" s="16"/>
      <c r="B906" s="15"/>
      <c r="C906" s="20"/>
      <c r="D906" s="22"/>
      <c r="E906" s="15"/>
      <c r="F906" s="23">
        <f>IF($B906="","",IFERROR(INDEX(ProdNome,MATCH($B906,ProdCod,0)),"Código não cadastrado"))</f>
        <v>0</v>
      </c>
      <c r="G906" s="24">
        <f>IF(OR($B906="",$D906=""),"",$D906*IFERROR(INDEX(ProdCusto,MATCH($B906,ProdCod,0)),0))</f>
        <v>0</v>
      </c>
      <c r="H906" s="25">
        <f>IF($A906="","",IF(OR($B906="",$C906="",$D906=""),"Preencher tudo",IF($F906="Código não cadastrado","Código inválido","OK")))</f>
        <v>0</v>
      </c>
    </row>
    <row r="907" spans="1:8">
      <c r="A907" s="16"/>
      <c r="B907" s="15"/>
      <c r="C907" s="20"/>
      <c r="D907" s="22"/>
      <c r="E907" s="15"/>
      <c r="F907" s="23">
        <f>IF($B907="","",IFERROR(INDEX(ProdNome,MATCH($B907,ProdCod,0)),"Código não cadastrado"))</f>
        <v>0</v>
      </c>
      <c r="G907" s="24">
        <f>IF(OR($B907="",$D907=""),"",$D907*IFERROR(INDEX(ProdCusto,MATCH($B907,ProdCod,0)),0))</f>
        <v>0</v>
      </c>
      <c r="H907" s="25">
        <f>IF($A907="","",IF(OR($B907="",$C907="",$D907=""),"Preencher tudo",IF($F907="Código não cadastrado","Código inválido","OK")))</f>
        <v>0</v>
      </c>
    </row>
    <row r="908" spans="1:8">
      <c r="A908" s="16"/>
      <c r="B908" s="15"/>
      <c r="C908" s="20"/>
      <c r="D908" s="22"/>
      <c r="E908" s="15"/>
      <c r="F908" s="23">
        <f>IF($B908="","",IFERROR(INDEX(ProdNome,MATCH($B908,ProdCod,0)),"Código não cadastrado"))</f>
        <v>0</v>
      </c>
      <c r="G908" s="24">
        <f>IF(OR($B908="",$D908=""),"",$D908*IFERROR(INDEX(ProdCusto,MATCH($B908,ProdCod,0)),0))</f>
        <v>0</v>
      </c>
      <c r="H908" s="25">
        <f>IF($A908="","",IF(OR($B908="",$C908="",$D908=""),"Preencher tudo",IF($F908="Código não cadastrado","Código inválido","OK")))</f>
        <v>0</v>
      </c>
    </row>
    <row r="909" spans="1:8">
      <c r="A909" s="16"/>
      <c r="B909" s="15"/>
      <c r="C909" s="20"/>
      <c r="D909" s="22"/>
      <c r="E909" s="15"/>
      <c r="F909" s="23">
        <f>IF($B909="","",IFERROR(INDEX(ProdNome,MATCH($B909,ProdCod,0)),"Código não cadastrado"))</f>
        <v>0</v>
      </c>
      <c r="G909" s="24">
        <f>IF(OR($B909="",$D909=""),"",$D909*IFERROR(INDEX(ProdCusto,MATCH($B909,ProdCod,0)),0))</f>
        <v>0</v>
      </c>
      <c r="H909" s="25">
        <f>IF($A909="","",IF(OR($B909="",$C909="",$D909=""),"Preencher tudo",IF($F909="Código não cadastrado","Código inválido","OK")))</f>
        <v>0</v>
      </c>
    </row>
    <row r="910" spans="1:8">
      <c r="A910" s="16"/>
      <c r="B910" s="15"/>
      <c r="C910" s="20"/>
      <c r="D910" s="22"/>
      <c r="E910" s="15"/>
      <c r="F910" s="23">
        <f>IF($B910="","",IFERROR(INDEX(ProdNome,MATCH($B910,ProdCod,0)),"Código não cadastrado"))</f>
        <v>0</v>
      </c>
      <c r="G910" s="24">
        <f>IF(OR($B910="",$D910=""),"",$D910*IFERROR(INDEX(ProdCusto,MATCH($B910,ProdCod,0)),0))</f>
        <v>0</v>
      </c>
      <c r="H910" s="25">
        <f>IF($A910="","",IF(OR($B910="",$C910="",$D910=""),"Preencher tudo",IF($F910="Código não cadastrado","Código inválido","OK")))</f>
        <v>0</v>
      </c>
    </row>
    <row r="911" spans="1:8">
      <c r="A911" s="16"/>
      <c r="B911" s="15"/>
      <c r="C911" s="20"/>
      <c r="D911" s="22"/>
      <c r="E911" s="15"/>
      <c r="F911" s="23">
        <f>IF($B911="","",IFERROR(INDEX(ProdNome,MATCH($B911,ProdCod,0)),"Código não cadastrado"))</f>
        <v>0</v>
      </c>
      <c r="G911" s="24">
        <f>IF(OR($B911="",$D911=""),"",$D911*IFERROR(INDEX(ProdCusto,MATCH($B911,ProdCod,0)),0))</f>
        <v>0</v>
      </c>
      <c r="H911" s="25">
        <f>IF($A911="","",IF(OR($B911="",$C911="",$D911=""),"Preencher tudo",IF($F911="Código não cadastrado","Código inválido","OK")))</f>
        <v>0</v>
      </c>
    </row>
    <row r="912" spans="1:8">
      <c r="A912" s="16"/>
      <c r="B912" s="15"/>
      <c r="C912" s="20"/>
      <c r="D912" s="22"/>
      <c r="E912" s="15"/>
      <c r="F912" s="23">
        <f>IF($B912="","",IFERROR(INDEX(ProdNome,MATCH($B912,ProdCod,0)),"Código não cadastrado"))</f>
        <v>0</v>
      </c>
      <c r="G912" s="24">
        <f>IF(OR($B912="",$D912=""),"",$D912*IFERROR(INDEX(ProdCusto,MATCH($B912,ProdCod,0)),0))</f>
        <v>0</v>
      </c>
      <c r="H912" s="25">
        <f>IF($A912="","",IF(OR($B912="",$C912="",$D912=""),"Preencher tudo",IF($F912="Código não cadastrado","Código inválido","OK")))</f>
        <v>0</v>
      </c>
    </row>
    <row r="913" spans="1:8">
      <c r="A913" s="16"/>
      <c r="B913" s="15"/>
      <c r="C913" s="20"/>
      <c r="D913" s="22"/>
      <c r="E913" s="15"/>
      <c r="F913" s="23">
        <f>IF($B913="","",IFERROR(INDEX(ProdNome,MATCH($B913,ProdCod,0)),"Código não cadastrado"))</f>
        <v>0</v>
      </c>
      <c r="G913" s="24">
        <f>IF(OR($B913="",$D913=""),"",$D913*IFERROR(INDEX(ProdCusto,MATCH($B913,ProdCod,0)),0))</f>
        <v>0</v>
      </c>
      <c r="H913" s="25">
        <f>IF($A913="","",IF(OR($B913="",$C913="",$D913=""),"Preencher tudo",IF($F913="Código não cadastrado","Código inválido","OK")))</f>
        <v>0</v>
      </c>
    </row>
    <row r="914" spans="1:8">
      <c r="A914" s="16"/>
      <c r="B914" s="15"/>
      <c r="C914" s="20"/>
      <c r="D914" s="22"/>
      <c r="E914" s="15"/>
      <c r="F914" s="23">
        <f>IF($B914="","",IFERROR(INDEX(ProdNome,MATCH($B914,ProdCod,0)),"Código não cadastrado"))</f>
        <v>0</v>
      </c>
      <c r="G914" s="24">
        <f>IF(OR($B914="",$D914=""),"",$D914*IFERROR(INDEX(ProdCusto,MATCH($B914,ProdCod,0)),0))</f>
        <v>0</v>
      </c>
      <c r="H914" s="25">
        <f>IF($A914="","",IF(OR($B914="",$C914="",$D914=""),"Preencher tudo",IF($F914="Código não cadastrado","Código inválido","OK")))</f>
        <v>0</v>
      </c>
    </row>
    <row r="915" spans="1:8">
      <c r="A915" s="16"/>
      <c r="B915" s="15"/>
      <c r="C915" s="20"/>
      <c r="D915" s="22"/>
      <c r="E915" s="15"/>
      <c r="F915" s="23">
        <f>IF($B915="","",IFERROR(INDEX(ProdNome,MATCH($B915,ProdCod,0)),"Código não cadastrado"))</f>
        <v>0</v>
      </c>
      <c r="G915" s="24">
        <f>IF(OR($B915="",$D915=""),"",$D915*IFERROR(INDEX(ProdCusto,MATCH($B915,ProdCod,0)),0))</f>
        <v>0</v>
      </c>
      <c r="H915" s="25">
        <f>IF($A915="","",IF(OR($B915="",$C915="",$D915=""),"Preencher tudo",IF($F915="Código não cadastrado","Código inválido","OK")))</f>
        <v>0</v>
      </c>
    </row>
    <row r="916" spans="1:8">
      <c r="A916" s="16"/>
      <c r="B916" s="15"/>
      <c r="C916" s="20"/>
      <c r="D916" s="22"/>
      <c r="E916" s="15"/>
      <c r="F916" s="23">
        <f>IF($B916="","",IFERROR(INDEX(ProdNome,MATCH($B916,ProdCod,0)),"Código não cadastrado"))</f>
        <v>0</v>
      </c>
      <c r="G916" s="24">
        <f>IF(OR($B916="",$D916=""),"",$D916*IFERROR(INDEX(ProdCusto,MATCH($B916,ProdCod,0)),0))</f>
        <v>0</v>
      </c>
      <c r="H916" s="25">
        <f>IF($A916="","",IF(OR($B916="",$C916="",$D916=""),"Preencher tudo",IF($F916="Código não cadastrado","Código inválido","OK")))</f>
        <v>0</v>
      </c>
    </row>
    <row r="917" spans="1:8">
      <c r="A917" s="16"/>
      <c r="B917" s="15"/>
      <c r="C917" s="20"/>
      <c r="D917" s="22"/>
      <c r="E917" s="15"/>
      <c r="F917" s="23">
        <f>IF($B917="","",IFERROR(INDEX(ProdNome,MATCH($B917,ProdCod,0)),"Código não cadastrado"))</f>
        <v>0</v>
      </c>
      <c r="G917" s="24">
        <f>IF(OR($B917="",$D917=""),"",$D917*IFERROR(INDEX(ProdCusto,MATCH($B917,ProdCod,0)),0))</f>
        <v>0</v>
      </c>
      <c r="H917" s="25">
        <f>IF($A917="","",IF(OR($B917="",$C917="",$D917=""),"Preencher tudo",IF($F917="Código não cadastrado","Código inválido","OK")))</f>
        <v>0</v>
      </c>
    </row>
    <row r="918" spans="1:8">
      <c r="A918" s="16"/>
      <c r="B918" s="15"/>
      <c r="C918" s="20"/>
      <c r="D918" s="22"/>
      <c r="E918" s="15"/>
      <c r="F918" s="23">
        <f>IF($B918="","",IFERROR(INDEX(ProdNome,MATCH($B918,ProdCod,0)),"Código não cadastrado"))</f>
        <v>0</v>
      </c>
      <c r="G918" s="24">
        <f>IF(OR($B918="",$D918=""),"",$D918*IFERROR(INDEX(ProdCusto,MATCH($B918,ProdCod,0)),0))</f>
        <v>0</v>
      </c>
      <c r="H918" s="25">
        <f>IF($A918="","",IF(OR($B918="",$C918="",$D918=""),"Preencher tudo",IF($F918="Código não cadastrado","Código inválido","OK")))</f>
        <v>0</v>
      </c>
    </row>
    <row r="919" spans="1:8">
      <c r="A919" s="16"/>
      <c r="B919" s="15"/>
      <c r="C919" s="20"/>
      <c r="D919" s="22"/>
      <c r="E919" s="15"/>
      <c r="F919" s="23">
        <f>IF($B919="","",IFERROR(INDEX(ProdNome,MATCH($B919,ProdCod,0)),"Código não cadastrado"))</f>
        <v>0</v>
      </c>
      <c r="G919" s="24">
        <f>IF(OR($B919="",$D919=""),"",$D919*IFERROR(INDEX(ProdCusto,MATCH($B919,ProdCod,0)),0))</f>
        <v>0</v>
      </c>
      <c r="H919" s="25">
        <f>IF($A919="","",IF(OR($B919="",$C919="",$D919=""),"Preencher tudo",IF($F919="Código não cadastrado","Código inválido","OK")))</f>
        <v>0</v>
      </c>
    </row>
    <row r="920" spans="1:8">
      <c r="A920" s="16"/>
      <c r="B920" s="15"/>
      <c r="C920" s="20"/>
      <c r="D920" s="22"/>
      <c r="E920" s="15"/>
      <c r="F920" s="23">
        <f>IF($B920="","",IFERROR(INDEX(ProdNome,MATCH($B920,ProdCod,0)),"Código não cadastrado"))</f>
        <v>0</v>
      </c>
      <c r="G920" s="24">
        <f>IF(OR($B920="",$D920=""),"",$D920*IFERROR(INDEX(ProdCusto,MATCH($B920,ProdCod,0)),0))</f>
        <v>0</v>
      </c>
      <c r="H920" s="25">
        <f>IF($A920="","",IF(OR($B920="",$C920="",$D920=""),"Preencher tudo",IF($F920="Código não cadastrado","Código inválido","OK")))</f>
        <v>0</v>
      </c>
    </row>
    <row r="921" spans="1:8">
      <c r="A921" s="16"/>
      <c r="B921" s="15"/>
      <c r="C921" s="20"/>
      <c r="D921" s="22"/>
      <c r="E921" s="15"/>
      <c r="F921" s="23">
        <f>IF($B921="","",IFERROR(INDEX(ProdNome,MATCH($B921,ProdCod,0)),"Código não cadastrado"))</f>
        <v>0</v>
      </c>
      <c r="G921" s="24">
        <f>IF(OR($B921="",$D921=""),"",$D921*IFERROR(INDEX(ProdCusto,MATCH($B921,ProdCod,0)),0))</f>
        <v>0</v>
      </c>
      <c r="H921" s="25">
        <f>IF($A921="","",IF(OR($B921="",$C921="",$D921=""),"Preencher tudo",IF($F921="Código não cadastrado","Código inválido","OK")))</f>
        <v>0</v>
      </c>
    </row>
    <row r="922" spans="1:8">
      <c r="A922" s="16"/>
      <c r="B922" s="15"/>
      <c r="C922" s="20"/>
      <c r="D922" s="22"/>
      <c r="E922" s="15"/>
      <c r="F922" s="23">
        <f>IF($B922="","",IFERROR(INDEX(ProdNome,MATCH($B922,ProdCod,0)),"Código não cadastrado"))</f>
        <v>0</v>
      </c>
      <c r="G922" s="24">
        <f>IF(OR($B922="",$D922=""),"",$D922*IFERROR(INDEX(ProdCusto,MATCH($B922,ProdCod,0)),0))</f>
        <v>0</v>
      </c>
      <c r="H922" s="25">
        <f>IF($A922="","",IF(OR($B922="",$C922="",$D922=""),"Preencher tudo",IF($F922="Código não cadastrado","Código inválido","OK")))</f>
        <v>0</v>
      </c>
    </row>
    <row r="923" spans="1:8">
      <c r="A923" s="16"/>
      <c r="B923" s="15"/>
      <c r="C923" s="20"/>
      <c r="D923" s="22"/>
      <c r="E923" s="15"/>
      <c r="F923" s="23">
        <f>IF($B923="","",IFERROR(INDEX(ProdNome,MATCH($B923,ProdCod,0)),"Código não cadastrado"))</f>
        <v>0</v>
      </c>
      <c r="G923" s="24">
        <f>IF(OR($B923="",$D923=""),"",$D923*IFERROR(INDEX(ProdCusto,MATCH($B923,ProdCod,0)),0))</f>
        <v>0</v>
      </c>
      <c r="H923" s="25">
        <f>IF($A923="","",IF(OR($B923="",$C923="",$D923=""),"Preencher tudo",IF($F923="Código não cadastrado","Código inválido","OK")))</f>
        <v>0</v>
      </c>
    </row>
    <row r="924" spans="1:8">
      <c r="A924" s="16"/>
      <c r="B924" s="15"/>
      <c r="C924" s="20"/>
      <c r="D924" s="22"/>
      <c r="E924" s="15"/>
      <c r="F924" s="23">
        <f>IF($B924="","",IFERROR(INDEX(ProdNome,MATCH($B924,ProdCod,0)),"Código não cadastrado"))</f>
        <v>0</v>
      </c>
      <c r="G924" s="24">
        <f>IF(OR($B924="",$D924=""),"",$D924*IFERROR(INDEX(ProdCusto,MATCH($B924,ProdCod,0)),0))</f>
        <v>0</v>
      </c>
      <c r="H924" s="25">
        <f>IF($A924="","",IF(OR($B924="",$C924="",$D924=""),"Preencher tudo",IF($F924="Código não cadastrado","Código inválido","OK")))</f>
        <v>0</v>
      </c>
    </row>
    <row r="925" spans="1:8">
      <c r="A925" s="16"/>
      <c r="B925" s="15"/>
      <c r="C925" s="20"/>
      <c r="D925" s="22"/>
      <c r="E925" s="15"/>
      <c r="F925" s="23">
        <f>IF($B925="","",IFERROR(INDEX(ProdNome,MATCH($B925,ProdCod,0)),"Código não cadastrado"))</f>
        <v>0</v>
      </c>
      <c r="G925" s="24">
        <f>IF(OR($B925="",$D925=""),"",$D925*IFERROR(INDEX(ProdCusto,MATCH($B925,ProdCod,0)),0))</f>
        <v>0</v>
      </c>
      <c r="H925" s="25">
        <f>IF($A925="","",IF(OR($B925="",$C925="",$D925=""),"Preencher tudo",IF($F925="Código não cadastrado","Código inválido","OK")))</f>
        <v>0</v>
      </c>
    </row>
    <row r="926" spans="1:8">
      <c r="A926" s="16"/>
      <c r="B926" s="15"/>
      <c r="C926" s="20"/>
      <c r="D926" s="22"/>
      <c r="E926" s="15"/>
      <c r="F926" s="23">
        <f>IF($B926="","",IFERROR(INDEX(ProdNome,MATCH($B926,ProdCod,0)),"Código não cadastrado"))</f>
        <v>0</v>
      </c>
      <c r="G926" s="24">
        <f>IF(OR($B926="",$D926=""),"",$D926*IFERROR(INDEX(ProdCusto,MATCH($B926,ProdCod,0)),0))</f>
        <v>0</v>
      </c>
      <c r="H926" s="25">
        <f>IF($A926="","",IF(OR($B926="",$C926="",$D926=""),"Preencher tudo",IF($F926="Código não cadastrado","Código inválido","OK")))</f>
        <v>0</v>
      </c>
    </row>
    <row r="927" spans="1:8">
      <c r="A927" s="16"/>
      <c r="B927" s="15"/>
      <c r="C927" s="20"/>
      <c r="D927" s="22"/>
      <c r="E927" s="15"/>
      <c r="F927" s="23">
        <f>IF($B927="","",IFERROR(INDEX(ProdNome,MATCH($B927,ProdCod,0)),"Código não cadastrado"))</f>
        <v>0</v>
      </c>
      <c r="G927" s="24">
        <f>IF(OR($B927="",$D927=""),"",$D927*IFERROR(INDEX(ProdCusto,MATCH($B927,ProdCod,0)),0))</f>
        <v>0</v>
      </c>
      <c r="H927" s="25">
        <f>IF($A927="","",IF(OR($B927="",$C927="",$D927=""),"Preencher tudo",IF($F927="Código não cadastrado","Código inválido","OK")))</f>
        <v>0</v>
      </c>
    </row>
    <row r="928" spans="1:8">
      <c r="A928" s="16"/>
      <c r="B928" s="15"/>
      <c r="C928" s="20"/>
      <c r="D928" s="22"/>
      <c r="E928" s="15"/>
      <c r="F928" s="23">
        <f>IF($B928="","",IFERROR(INDEX(ProdNome,MATCH($B928,ProdCod,0)),"Código não cadastrado"))</f>
        <v>0</v>
      </c>
      <c r="G928" s="24">
        <f>IF(OR($B928="",$D928=""),"",$D928*IFERROR(INDEX(ProdCusto,MATCH($B928,ProdCod,0)),0))</f>
        <v>0</v>
      </c>
      <c r="H928" s="25">
        <f>IF($A928="","",IF(OR($B928="",$C928="",$D928=""),"Preencher tudo",IF($F928="Código não cadastrado","Código inválido","OK")))</f>
        <v>0</v>
      </c>
    </row>
    <row r="929" spans="1:8">
      <c r="A929" s="16"/>
      <c r="B929" s="15"/>
      <c r="C929" s="20"/>
      <c r="D929" s="22"/>
      <c r="E929" s="15"/>
      <c r="F929" s="23">
        <f>IF($B929="","",IFERROR(INDEX(ProdNome,MATCH($B929,ProdCod,0)),"Código não cadastrado"))</f>
        <v>0</v>
      </c>
      <c r="G929" s="24">
        <f>IF(OR($B929="",$D929=""),"",$D929*IFERROR(INDEX(ProdCusto,MATCH($B929,ProdCod,0)),0))</f>
        <v>0</v>
      </c>
      <c r="H929" s="25">
        <f>IF($A929="","",IF(OR($B929="",$C929="",$D929=""),"Preencher tudo",IF($F929="Código não cadastrado","Código inválido","OK")))</f>
        <v>0</v>
      </c>
    </row>
    <row r="930" spans="1:8">
      <c r="A930" s="16"/>
      <c r="B930" s="15"/>
      <c r="C930" s="20"/>
      <c r="D930" s="22"/>
      <c r="E930" s="15"/>
      <c r="F930" s="23">
        <f>IF($B930="","",IFERROR(INDEX(ProdNome,MATCH($B930,ProdCod,0)),"Código não cadastrado"))</f>
        <v>0</v>
      </c>
      <c r="G930" s="24">
        <f>IF(OR($B930="",$D930=""),"",$D930*IFERROR(INDEX(ProdCusto,MATCH($B930,ProdCod,0)),0))</f>
        <v>0</v>
      </c>
      <c r="H930" s="25">
        <f>IF($A930="","",IF(OR($B930="",$C930="",$D930=""),"Preencher tudo",IF($F930="Código não cadastrado","Código inválido","OK")))</f>
        <v>0</v>
      </c>
    </row>
    <row r="931" spans="1:8">
      <c r="A931" s="16"/>
      <c r="B931" s="15"/>
      <c r="C931" s="20"/>
      <c r="D931" s="22"/>
      <c r="E931" s="15"/>
      <c r="F931" s="23">
        <f>IF($B931="","",IFERROR(INDEX(ProdNome,MATCH($B931,ProdCod,0)),"Código não cadastrado"))</f>
        <v>0</v>
      </c>
      <c r="G931" s="24">
        <f>IF(OR($B931="",$D931=""),"",$D931*IFERROR(INDEX(ProdCusto,MATCH($B931,ProdCod,0)),0))</f>
        <v>0</v>
      </c>
      <c r="H931" s="25">
        <f>IF($A931="","",IF(OR($B931="",$C931="",$D931=""),"Preencher tudo",IF($F931="Código não cadastrado","Código inválido","OK")))</f>
        <v>0</v>
      </c>
    </row>
    <row r="932" spans="1:8">
      <c r="A932" s="16"/>
      <c r="B932" s="15"/>
      <c r="C932" s="20"/>
      <c r="D932" s="22"/>
      <c r="E932" s="15"/>
      <c r="F932" s="23">
        <f>IF($B932="","",IFERROR(INDEX(ProdNome,MATCH($B932,ProdCod,0)),"Código não cadastrado"))</f>
        <v>0</v>
      </c>
      <c r="G932" s="24">
        <f>IF(OR($B932="",$D932=""),"",$D932*IFERROR(INDEX(ProdCusto,MATCH($B932,ProdCod,0)),0))</f>
        <v>0</v>
      </c>
      <c r="H932" s="25">
        <f>IF($A932="","",IF(OR($B932="",$C932="",$D932=""),"Preencher tudo",IF($F932="Código não cadastrado","Código inválido","OK")))</f>
        <v>0</v>
      </c>
    </row>
    <row r="933" spans="1:8">
      <c r="A933" s="16"/>
      <c r="B933" s="15"/>
      <c r="C933" s="20"/>
      <c r="D933" s="22"/>
      <c r="E933" s="15"/>
      <c r="F933" s="23">
        <f>IF($B933="","",IFERROR(INDEX(ProdNome,MATCH($B933,ProdCod,0)),"Código não cadastrado"))</f>
        <v>0</v>
      </c>
      <c r="G933" s="24">
        <f>IF(OR($B933="",$D933=""),"",$D933*IFERROR(INDEX(ProdCusto,MATCH($B933,ProdCod,0)),0))</f>
        <v>0</v>
      </c>
      <c r="H933" s="25">
        <f>IF($A933="","",IF(OR($B933="",$C933="",$D933=""),"Preencher tudo",IF($F933="Código não cadastrado","Código inválido","OK")))</f>
        <v>0</v>
      </c>
    </row>
    <row r="934" spans="1:8">
      <c r="A934" s="16"/>
      <c r="B934" s="15"/>
      <c r="C934" s="20"/>
      <c r="D934" s="22"/>
      <c r="E934" s="15"/>
      <c r="F934" s="23">
        <f>IF($B934="","",IFERROR(INDEX(ProdNome,MATCH($B934,ProdCod,0)),"Código não cadastrado"))</f>
        <v>0</v>
      </c>
      <c r="G934" s="24">
        <f>IF(OR($B934="",$D934=""),"",$D934*IFERROR(INDEX(ProdCusto,MATCH($B934,ProdCod,0)),0))</f>
        <v>0</v>
      </c>
      <c r="H934" s="25">
        <f>IF($A934="","",IF(OR($B934="",$C934="",$D934=""),"Preencher tudo",IF($F934="Código não cadastrado","Código inválido","OK")))</f>
        <v>0</v>
      </c>
    </row>
    <row r="935" spans="1:8">
      <c r="A935" s="16"/>
      <c r="B935" s="15"/>
      <c r="C935" s="20"/>
      <c r="D935" s="22"/>
      <c r="E935" s="15"/>
      <c r="F935" s="23">
        <f>IF($B935="","",IFERROR(INDEX(ProdNome,MATCH($B935,ProdCod,0)),"Código não cadastrado"))</f>
        <v>0</v>
      </c>
      <c r="G935" s="24">
        <f>IF(OR($B935="",$D935=""),"",$D935*IFERROR(INDEX(ProdCusto,MATCH($B935,ProdCod,0)),0))</f>
        <v>0</v>
      </c>
      <c r="H935" s="25">
        <f>IF($A935="","",IF(OR($B935="",$C935="",$D935=""),"Preencher tudo",IF($F935="Código não cadastrado","Código inválido","OK")))</f>
        <v>0</v>
      </c>
    </row>
    <row r="936" spans="1:8">
      <c r="A936" s="16"/>
      <c r="B936" s="15"/>
      <c r="C936" s="20"/>
      <c r="D936" s="22"/>
      <c r="E936" s="15"/>
      <c r="F936" s="23">
        <f>IF($B936="","",IFERROR(INDEX(ProdNome,MATCH($B936,ProdCod,0)),"Código não cadastrado"))</f>
        <v>0</v>
      </c>
      <c r="G936" s="24">
        <f>IF(OR($B936="",$D936=""),"",$D936*IFERROR(INDEX(ProdCusto,MATCH($B936,ProdCod,0)),0))</f>
        <v>0</v>
      </c>
      <c r="H936" s="25">
        <f>IF($A936="","",IF(OR($B936="",$C936="",$D936=""),"Preencher tudo",IF($F936="Código não cadastrado","Código inválido","OK")))</f>
        <v>0</v>
      </c>
    </row>
    <row r="937" spans="1:8">
      <c r="A937" s="16"/>
      <c r="B937" s="15"/>
      <c r="C937" s="20"/>
      <c r="D937" s="22"/>
      <c r="E937" s="15"/>
      <c r="F937" s="23">
        <f>IF($B937="","",IFERROR(INDEX(ProdNome,MATCH($B937,ProdCod,0)),"Código não cadastrado"))</f>
        <v>0</v>
      </c>
      <c r="G937" s="24">
        <f>IF(OR($B937="",$D937=""),"",$D937*IFERROR(INDEX(ProdCusto,MATCH($B937,ProdCod,0)),0))</f>
        <v>0</v>
      </c>
      <c r="H937" s="25">
        <f>IF($A937="","",IF(OR($B937="",$C937="",$D937=""),"Preencher tudo",IF($F937="Código não cadastrado","Código inválido","OK")))</f>
        <v>0</v>
      </c>
    </row>
    <row r="938" spans="1:8">
      <c r="A938" s="16"/>
      <c r="B938" s="15"/>
      <c r="C938" s="20"/>
      <c r="D938" s="22"/>
      <c r="E938" s="15"/>
      <c r="F938" s="23">
        <f>IF($B938="","",IFERROR(INDEX(ProdNome,MATCH($B938,ProdCod,0)),"Código não cadastrado"))</f>
        <v>0</v>
      </c>
      <c r="G938" s="24">
        <f>IF(OR($B938="",$D938=""),"",$D938*IFERROR(INDEX(ProdCusto,MATCH($B938,ProdCod,0)),0))</f>
        <v>0</v>
      </c>
      <c r="H938" s="25">
        <f>IF($A938="","",IF(OR($B938="",$C938="",$D938=""),"Preencher tudo",IF($F938="Código não cadastrado","Código inválido","OK")))</f>
        <v>0</v>
      </c>
    </row>
    <row r="939" spans="1:8">
      <c r="A939" s="16"/>
      <c r="B939" s="15"/>
      <c r="C939" s="20"/>
      <c r="D939" s="22"/>
      <c r="E939" s="15"/>
      <c r="F939" s="23">
        <f>IF($B939="","",IFERROR(INDEX(ProdNome,MATCH($B939,ProdCod,0)),"Código não cadastrado"))</f>
        <v>0</v>
      </c>
      <c r="G939" s="24">
        <f>IF(OR($B939="",$D939=""),"",$D939*IFERROR(INDEX(ProdCusto,MATCH($B939,ProdCod,0)),0))</f>
        <v>0</v>
      </c>
      <c r="H939" s="25">
        <f>IF($A939="","",IF(OR($B939="",$C939="",$D939=""),"Preencher tudo",IF($F939="Código não cadastrado","Código inválido","OK")))</f>
        <v>0</v>
      </c>
    </row>
    <row r="940" spans="1:8">
      <c r="A940" s="16"/>
      <c r="B940" s="15"/>
      <c r="C940" s="20"/>
      <c r="D940" s="22"/>
      <c r="E940" s="15"/>
      <c r="F940" s="23">
        <f>IF($B940="","",IFERROR(INDEX(ProdNome,MATCH($B940,ProdCod,0)),"Código não cadastrado"))</f>
        <v>0</v>
      </c>
      <c r="G940" s="24">
        <f>IF(OR($B940="",$D940=""),"",$D940*IFERROR(INDEX(ProdCusto,MATCH($B940,ProdCod,0)),0))</f>
        <v>0</v>
      </c>
      <c r="H940" s="25">
        <f>IF($A940="","",IF(OR($B940="",$C940="",$D940=""),"Preencher tudo",IF($F940="Código não cadastrado","Código inválido","OK")))</f>
        <v>0</v>
      </c>
    </row>
    <row r="941" spans="1:8">
      <c r="A941" s="16"/>
      <c r="B941" s="15"/>
      <c r="C941" s="20"/>
      <c r="D941" s="22"/>
      <c r="E941" s="15"/>
      <c r="F941" s="23">
        <f>IF($B941="","",IFERROR(INDEX(ProdNome,MATCH($B941,ProdCod,0)),"Código não cadastrado"))</f>
        <v>0</v>
      </c>
      <c r="G941" s="24">
        <f>IF(OR($B941="",$D941=""),"",$D941*IFERROR(INDEX(ProdCusto,MATCH($B941,ProdCod,0)),0))</f>
        <v>0</v>
      </c>
      <c r="H941" s="25">
        <f>IF($A941="","",IF(OR($B941="",$C941="",$D941=""),"Preencher tudo",IF($F941="Código não cadastrado","Código inválido","OK")))</f>
        <v>0</v>
      </c>
    </row>
    <row r="942" spans="1:8">
      <c r="A942" s="16"/>
      <c r="B942" s="15"/>
      <c r="C942" s="20"/>
      <c r="D942" s="22"/>
      <c r="E942" s="15"/>
      <c r="F942" s="23">
        <f>IF($B942="","",IFERROR(INDEX(ProdNome,MATCH($B942,ProdCod,0)),"Código não cadastrado"))</f>
        <v>0</v>
      </c>
      <c r="G942" s="24">
        <f>IF(OR($B942="",$D942=""),"",$D942*IFERROR(INDEX(ProdCusto,MATCH($B942,ProdCod,0)),0))</f>
        <v>0</v>
      </c>
      <c r="H942" s="25">
        <f>IF($A942="","",IF(OR($B942="",$C942="",$D942=""),"Preencher tudo",IF($F942="Código não cadastrado","Código inválido","OK")))</f>
        <v>0</v>
      </c>
    </row>
    <row r="943" spans="1:8">
      <c r="A943" s="16"/>
      <c r="B943" s="15"/>
      <c r="C943" s="20"/>
      <c r="D943" s="22"/>
      <c r="E943" s="15"/>
      <c r="F943" s="23">
        <f>IF($B943="","",IFERROR(INDEX(ProdNome,MATCH($B943,ProdCod,0)),"Código não cadastrado"))</f>
        <v>0</v>
      </c>
      <c r="G943" s="24">
        <f>IF(OR($B943="",$D943=""),"",$D943*IFERROR(INDEX(ProdCusto,MATCH($B943,ProdCod,0)),0))</f>
        <v>0</v>
      </c>
      <c r="H943" s="25">
        <f>IF($A943="","",IF(OR($B943="",$C943="",$D943=""),"Preencher tudo",IF($F943="Código não cadastrado","Código inválido","OK")))</f>
        <v>0</v>
      </c>
    </row>
    <row r="944" spans="1:8">
      <c r="A944" s="16"/>
      <c r="B944" s="15"/>
      <c r="C944" s="20"/>
      <c r="D944" s="22"/>
      <c r="E944" s="15"/>
      <c r="F944" s="23">
        <f>IF($B944="","",IFERROR(INDEX(ProdNome,MATCH($B944,ProdCod,0)),"Código não cadastrado"))</f>
        <v>0</v>
      </c>
      <c r="G944" s="24">
        <f>IF(OR($B944="",$D944=""),"",$D944*IFERROR(INDEX(ProdCusto,MATCH($B944,ProdCod,0)),0))</f>
        <v>0</v>
      </c>
      <c r="H944" s="25">
        <f>IF($A944="","",IF(OR($B944="",$C944="",$D944=""),"Preencher tudo",IF($F944="Código não cadastrado","Código inválido","OK")))</f>
        <v>0</v>
      </c>
    </row>
    <row r="945" spans="1:8">
      <c r="A945" s="16"/>
      <c r="B945" s="15"/>
      <c r="C945" s="20"/>
      <c r="D945" s="22"/>
      <c r="E945" s="15"/>
      <c r="F945" s="23">
        <f>IF($B945="","",IFERROR(INDEX(ProdNome,MATCH($B945,ProdCod,0)),"Código não cadastrado"))</f>
        <v>0</v>
      </c>
      <c r="G945" s="24">
        <f>IF(OR($B945="",$D945=""),"",$D945*IFERROR(INDEX(ProdCusto,MATCH($B945,ProdCod,0)),0))</f>
        <v>0</v>
      </c>
      <c r="H945" s="25">
        <f>IF($A945="","",IF(OR($B945="",$C945="",$D945=""),"Preencher tudo",IF($F945="Código não cadastrado","Código inválido","OK")))</f>
        <v>0</v>
      </c>
    </row>
    <row r="946" spans="1:8">
      <c r="A946" s="16"/>
      <c r="B946" s="15"/>
      <c r="C946" s="20"/>
      <c r="D946" s="22"/>
      <c r="E946" s="15"/>
      <c r="F946" s="23">
        <f>IF($B946="","",IFERROR(INDEX(ProdNome,MATCH($B946,ProdCod,0)),"Código não cadastrado"))</f>
        <v>0</v>
      </c>
      <c r="G946" s="24">
        <f>IF(OR($B946="",$D946=""),"",$D946*IFERROR(INDEX(ProdCusto,MATCH($B946,ProdCod,0)),0))</f>
        <v>0</v>
      </c>
      <c r="H946" s="25">
        <f>IF($A946="","",IF(OR($B946="",$C946="",$D946=""),"Preencher tudo",IF($F946="Código não cadastrado","Código inválido","OK")))</f>
        <v>0</v>
      </c>
    </row>
    <row r="947" spans="1:8">
      <c r="A947" s="16"/>
      <c r="B947" s="15"/>
      <c r="C947" s="20"/>
      <c r="D947" s="22"/>
      <c r="E947" s="15"/>
      <c r="F947" s="23">
        <f>IF($B947="","",IFERROR(INDEX(ProdNome,MATCH($B947,ProdCod,0)),"Código não cadastrado"))</f>
        <v>0</v>
      </c>
      <c r="G947" s="24">
        <f>IF(OR($B947="",$D947=""),"",$D947*IFERROR(INDEX(ProdCusto,MATCH($B947,ProdCod,0)),0))</f>
        <v>0</v>
      </c>
      <c r="H947" s="25">
        <f>IF($A947="","",IF(OR($B947="",$C947="",$D947=""),"Preencher tudo",IF($F947="Código não cadastrado","Código inválido","OK")))</f>
        <v>0</v>
      </c>
    </row>
    <row r="948" spans="1:8">
      <c r="A948" s="16"/>
      <c r="B948" s="15"/>
      <c r="C948" s="20"/>
      <c r="D948" s="22"/>
      <c r="E948" s="15"/>
      <c r="F948" s="23">
        <f>IF($B948="","",IFERROR(INDEX(ProdNome,MATCH($B948,ProdCod,0)),"Código não cadastrado"))</f>
        <v>0</v>
      </c>
      <c r="G948" s="24">
        <f>IF(OR($B948="",$D948=""),"",$D948*IFERROR(INDEX(ProdCusto,MATCH($B948,ProdCod,0)),0))</f>
        <v>0</v>
      </c>
      <c r="H948" s="25">
        <f>IF($A948="","",IF(OR($B948="",$C948="",$D948=""),"Preencher tudo",IF($F948="Código não cadastrado","Código inválido","OK")))</f>
        <v>0</v>
      </c>
    </row>
    <row r="949" spans="1:8">
      <c r="A949" s="16"/>
      <c r="B949" s="15"/>
      <c r="C949" s="20"/>
      <c r="D949" s="22"/>
      <c r="E949" s="15"/>
      <c r="F949" s="23">
        <f>IF($B949="","",IFERROR(INDEX(ProdNome,MATCH($B949,ProdCod,0)),"Código não cadastrado"))</f>
        <v>0</v>
      </c>
      <c r="G949" s="24">
        <f>IF(OR($B949="",$D949=""),"",$D949*IFERROR(INDEX(ProdCusto,MATCH($B949,ProdCod,0)),0))</f>
        <v>0</v>
      </c>
      <c r="H949" s="25">
        <f>IF($A949="","",IF(OR($B949="",$C949="",$D949=""),"Preencher tudo",IF($F949="Código não cadastrado","Código inválido","OK")))</f>
        <v>0</v>
      </c>
    </row>
    <row r="950" spans="1:8">
      <c r="A950" s="16"/>
      <c r="B950" s="15"/>
      <c r="C950" s="20"/>
      <c r="D950" s="22"/>
      <c r="E950" s="15"/>
      <c r="F950" s="23">
        <f>IF($B950="","",IFERROR(INDEX(ProdNome,MATCH($B950,ProdCod,0)),"Código não cadastrado"))</f>
        <v>0</v>
      </c>
      <c r="G950" s="24">
        <f>IF(OR($B950="",$D950=""),"",$D950*IFERROR(INDEX(ProdCusto,MATCH($B950,ProdCod,0)),0))</f>
        <v>0</v>
      </c>
      <c r="H950" s="25">
        <f>IF($A950="","",IF(OR($B950="",$C950="",$D950=""),"Preencher tudo",IF($F950="Código não cadastrado","Código inválido","OK")))</f>
        <v>0</v>
      </c>
    </row>
    <row r="951" spans="1:8">
      <c r="A951" s="16"/>
      <c r="B951" s="15"/>
      <c r="C951" s="20"/>
      <c r="D951" s="22"/>
      <c r="E951" s="15"/>
      <c r="F951" s="23">
        <f>IF($B951="","",IFERROR(INDEX(ProdNome,MATCH($B951,ProdCod,0)),"Código não cadastrado"))</f>
        <v>0</v>
      </c>
      <c r="G951" s="24">
        <f>IF(OR($B951="",$D951=""),"",$D951*IFERROR(INDEX(ProdCusto,MATCH($B951,ProdCod,0)),0))</f>
        <v>0</v>
      </c>
      <c r="H951" s="25">
        <f>IF($A951="","",IF(OR($B951="",$C951="",$D951=""),"Preencher tudo",IF($F951="Código não cadastrado","Código inválido","OK")))</f>
        <v>0</v>
      </c>
    </row>
    <row r="952" spans="1:8">
      <c r="A952" s="16"/>
      <c r="B952" s="15"/>
      <c r="C952" s="20"/>
      <c r="D952" s="22"/>
      <c r="E952" s="15"/>
      <c r="F952" s="23">
        <f>IF($B952="","",IFERROR(INDEX(ProdNome,MATCH($B952,ProdCod,0)),"Código não cadastrado"))</f>
        <v>0</v>
      </c>
      <c r="G952" s="24">
        <f>IF(OR($B952="",$D952=""),"",$D952*IFERROR(INDEX(ProdCusto,MATCH($B952,ProdCod,0)),0))</f>
        <v>0</v>
      </c>
      <c r="H952" s="25">
        <f>IF($A952="","",IF(OR($B952="",$C952="",$D952=""),"Preencher tudo",IF($F952="Código não cadastrado","Código inválido","OK")))</f>
        <v>0</v>
      </c>
    </row>
    <row r="953" spans="1:8">
      <c r="A953" s="16"/>
      <c r="B953" s="15"/>
      <c r="C953" s="20"/>
      <c r="D953" s="22"/>
      <c r="E953" s="15"/>
      <c r="F953" s="23">
        <f>IF($B953="","",IFERROR(INDEX(ProdNome,MATCH($B953,ProdCod,0)),"Código não cadastrado"))</f>
        <v>0</v>
      </c>
      <c r="G953" s="24">
        <f>IF(OR($B953="",$D953=""),"",$D953*IFERROR(INDEX(ProdCusto,MATCH($B953,ProdCod,0)),0))</f>
        <v>0</v>
      </c>
      <c r="H953" s="25">
        <f>IF($A953="","",IF(OR($B953="",$C953="",$D953=""),"Preencher tudo",IF($F953="Código não cadastrado","Código inválido","OK")))</f>
        <v>0</v>
      </c>
    </row>
    <row r="954" spans="1:8">
      <c r="A954" s="16"/>
      <c r="B954" s="15"/>
      <c r="C954" s="20"/>
      <c r="D954" s="22"/>
      <c r="E954" s="15"/>
      <c r="F954" s="23">
        <f>IF($B954="","",IFERROR(INDEX(ProdNome,MATCH($B954,ProdCod,0)),"Código não cadastrado"))</f>
        <v>0</v>
      </c>
      <c r="G954" s="24">
        <f>IF(OR($B954="",$D954=""),"",$D954*IFERROR(INDEX(ProdCusto,MATCH($B954,ProdCod,0)),0))</f>
        <v>0</v>
      </c>
      <c r="H954" s="25">
        <f>IF($A954="","",IF(OR($B954="",$C954="",$D954=""),"Preencher tudo",IF($F954="Código não cadastrado","Código inválido","OK")))</f>
        <v>0</v>
      </c>
    </row>
    <row r="955" spans="1:8">
      <c r="A955" s="16"/>
      <c r="B955" s="15"/>
      <c r="C955" s="20"/>
      <c r="D955" s="22"/>
      <c r="E955" s="15"/>
      <c r="F955" s="23">
        <f>IF($B955="","",IFERROR(INDEX(ProdNome,MATCH($B955,ProdCod,0)),"Código não cadastrado"))</f>
        <v>0</v>
      </c>
      <c r="G955" s="24">
        <f>IF(OR($B955="",$D955=""),"",$D955*IFERROR(INDEX(ProdCusto,MATCH($B955,ProdCod,0)),0))</f>
        <v>0</v>
      </c>
      <c r="H955" s="25">
        <f>IF($A955="","",IF(OR($B955="",$C955="",$D955=""),"Preencher tudo",IF($F955="Código não cadastrado","Código inválido","OK")))</f>
        <v>0</v>
      </c>
    </row>
    <row r="956" spans="1:8">
      <c r="A956" s="16"/>
      <c r="B956" s="15"/>
      <c r="C956" s="20"/>
      <c r="D956" s="22"/>
      <c r="E956" s="15"/>
      <c r="F956" s="23">
        <f>IF($B956="","",IFERROR(INDEX(ProdNome,MATCH($B956,ProdCod,0)),"Código não cadastrado"))</f>
        <v>0</v>
      </c>
      <c r="G956" s="24">
        <f>IF(OR($B956="",$D956=""),"",$D956*IFERROR(INDEX(ProdCusto,MATCH($B956,ProdCod,0)),0))</f>
        <v>0</v>
      </c>
      <c r="H956" s="25">
        <f>IF($A956="","",IF(OR($B956="",$C956="",$D956=""),"Preencher tudo",IF($F956="Código não cadastrado","Código inválido","OK")))</f>
        <v>0</v>
      </c>
    </row>
    <row r="957" spans="1:8">
      <c r="A957" s="16"/>
      <c r="B957" s="15"/>
      <c r="C957" s="20"/>
      <c r="D957" s="22"/>
      <c r="E957" s="15"/>
      <c r="F957" s="23">
        <f>IF($B957="","",IFERROR(INDEX(ProdNome,MATCH($B957,ProdCod,0)),"Código não cadastrado"))</f>
        <v>0</v>
      </c>
      <c r="G957" s="24">
        <f>IF(OR($B957="",$D957=""),"",$D957*IFERROR(INDEX(ProdCusto,MATCH($B957,ProdCod,0)),0))</f>
        <v>0</v>
      </c>
      <c r="H957" s="25">
        <f>IF($A957="","",IF(OR($B957="",$C957="",$D957=""),"Preencher tudo",IF($F957="Código não cadastrado","Código inválido","OK")))</f>
        <v>0</v>
      </c>
    </row>
    <row r="958" spans="1:8">
      <c r="A958" s="16"/>
      <c r="B958" s="15"/>
      <c r="C958" s="20"/>
      <c r="D958" s="22"/>
      <c r="E958" s="15"/>
      <c r="F958" s="23">
        <f>IF($B958="","",IFERROR(INDEX(ProdNome,MATCH($B958,ProdCod,0)),"Código não cadastrado"))</f>
        <v>0</v>
      </c>
      <c r="G958" s="24">
        <f>IF(OR($B958="",$D958=""),"",$D958*IFERROR(INDEX(ProdCusto,MATCH($B958,ProdCod,0)),0))</f>
        <v>0</v>
      </c>
      <c r="H958" s="25">
        <f>IF($A958="","",IF(OR($B958="",$C958="",$D958=""),"Preencher tudo",IF($F958="Código não cadastrado","Código inválido","OK")))</f>
        <v>0</v>
      </c>
    </row>
    <row r="959" spans="1:8">
      <c r="A959" s="16"/>
      <c r="B959" s="15"/>
      <c r="C959" s="20"/>
      <c r="D959" s="22"/>
      <c r="E959" s="15"/>
      <c r="F959" s="23">
        <f>IF($B959="","",IFERROR(INDEX(ProdNome,MATCH($B959,ProdCod,0)),"Código não cadastrado"))</f>
        <v>0</v>
      </c>
      <c r="G959" s="24">
        <f>IF(OR($B959="",$D959=""),"",$D959*IFERROR(INDEX(ProdCusto,MATCH($B959,ProdCod,0)),0))</f>
        <v>0</v>
      </c>
      <c r="H959" s="25">
        <f>IF($A959="","",IF(OR($B959="",$C959="",$D959=""),"Preencher tudo",IF($F959="Código não cadastrado","Código inválido","OK")))</f>
        <v>0</v>
      </c>
    </row>
    <row r="960" spans="1:8">
      <c r="A960" s="16"/>
      <c r="B960" s="15"/>
      <c r="C960" s="20"/>
      <c r="D960" s="22"/>
      <c r="E960" s="15"/>
      <c r="F960" s="23">
        <f>IF($B960="","",IFERROR(INDEX(ProdNome,MATCH($B960,ProdCod,0)),"Código não cadastrado"))</f>
        <v>0</v>
      </c>
      <c r="G960" s="24">
        <f>IF(OR($B960="",$D960=""),"",$D960*IFERROR(INDEX(ProdCusto,MATCH($B960,ProdCod,0)),0))</f>
        <v>0</v>
      </c>
      <c r="H960" s="25">
        <f>IF($A960="","",IF(OR($B960="",$C960="",$D960=""),"Preencher tudo",IF($F960="Código não cadastrado","Código inválido","OK")))</f>
        <v>0</v>
      </c>
    </row>
    <row r="961" spans="1:8">
      <c r="A961" s="16"/>
      <c r="B961" s="15"/>
      <c r="C961" s="20"/>
      <c r="D961" s="22"/>
      <c r="E961" s="15"/>
      <c r="F961" s="23">
        <f>IF($B961="","",IFERROR(INDEX(ProdNome,MATCH($B961,ProdCod,0)),"Código não cadastrado"))</f>
        <v>0</v>
      </c>
      <c r="G961" s="24">
        <f>IF(OR($B961="",$D961=""),"",$D961*IFERROR(INDEX(ProdCusto,MATCH($B961,ProdCod,0)),0))</f>
        <v>0</v>
      </c>
      <c r="H961" s="25">
        <f>IF($A961="","",IF(OR($B961="",$C961="",$D961=""),"Preencher tudo",IF($F961="Código não cadastrado","Código inválido","OK")))</f>
        <v>0</v>
      </c>
    </row>
    <row r="962" spans="1:8">
      <c r="A962" s="16"/>
      <c r="B962" s="15"/>
      <c r="C962" s="20"/>
      <c r="D962" s="22"/>
      <c r="E962" s="15"/>
      <c r="F962" s="23">
        <f>IF($B962="","",IFERROR(INDEX(ProdNome,MATCH($B962,ProdCod,0)),"Código não cadastrado"))</f>
        <v>0</v>
      </c>
      <c r="G962" s="24">
        <f>IF(OR($B962="",$D962=""),"",$D962*IFERROR(INDEX(ProdCusto,MATCH($B962,ProdCod,0)),0))</f>
        <v>0</v>
      </c>
      <c r="H962" s="25">
        <f>IF($A962="","",IF(OR($B962="",$C962="",$D962=""),"Preencher tudo",IF($F962="Código não cadastrado","Código inválido","OK")))</f>
        <v>0</v>
      </c>
    </row>
    <row r="963" spans="1:8">
      <c r="A963" s="16"/>
      <c r="B963" s="15"/>
      <c r="C963" s="20"/>
      <c r="D963" s="22"/>
      <c r="E963" s="15"/>
      <c r="F963" s="23">
        <f>IF($B963="","",IFERROR(INDEX(ProdNome,MATCH($B963,ProdCod,0)),"Código não cadastrado"))</f>
        <v>0</v>
      </c>
      <c r="G963" s="24">
        <f>IF(OR($B963="",$D963=""),"",$D963*IFERROR(INDEX(ProdCusto,MATCH($B963,ProdCod,0)),0))</f>
        <v>0</v>
      </c>
      <c r="H963" s="25">
        <f>IF($A963="","",IF(OR($B963="",$C963="",$D963=""),"Preencher tudo",IF($F963="Código não cadastrado","Código inválido","OK")))</f>
        <v>0</v>
      </c>
    </row>
    <row r="964" spans="1:8">
      <c r="A964" s="16"/>
      <c r="B964" s="15"/>
      <c r="C964" s="20"/>
      <c r="D964" s="22"/>
      <c r="E964" s="15"/>
      <c r="F964" s="23">
        <f>IF($B964="","",IFERROR(INDEX(ProdNome,MATCH($B964,ProdCod,0)),"Código não cadastrado"))</f>
        <v>0</v>
      </c>
      <c r="G964" s="24">
        <f>IF(OR($B964="",$D964=""),"",$D964*IFERROR(INDEX(ProdCusto,MATCH($B964,ProdCod,0)),0))</f>
        <v>0</v>
      </c>
      <c r="H964" s="25">
        <f>IF($A964="","",IF(OR($B964="",$C964="",$D964=""),"Preencher tudo",IF($F964="Código não cadastrado","Código inválido","OK")))</f>
        <v>0</v>
      </c>
    </row>
    <row r="965" spans="1:8">
      <c r="A965" s="16"/>
      <c r="B965" s="15"/>
      <c r="C965" s="20"/>
      <c r="D965" s="22"/>
      <c r="E965" s="15"/>
      <c r="F965" s="23">
        <f>IF($B965="","",IFERROR(INDEX(ProdNome,MATCH($B965,ProdCod,0)),"Código não cadastrado"))</f>
        <v>0</v>
      </c>
      <c r="G965" s="24">
        <f>IF(OR($B965="",$D965=""),"",$D965*IFERROR(INDEX(ProdCusto,MATCH($B965,ProdCod,0)),0))</f>
        <v>0</v>
      </c>
      <c r="H965" s="25">
        <f>IF($A965="","",IF(OR($B965="",$C965="",$D965=""),"Preencher tudo",IF($F965="Código não cadastrado","Código inválido","OK")))</f>
        <v>0</v>
      </c>
    </row>
    <row r="966" spans="1:8">
      <c r="A966" s="16"/>
      <c r="B966" s="15"/>
      <c r="C966" s="20"/>
      <c r="D966" s="22"/>
      <c r="E966" s="15"/>
      <c r="F966" s="23">
        <f>IF($B966="","",IFERROR(INDEX(ProdNome,MATCH($B966,ProdCod,0)),"Código não cadastrado"))</f>
        <v>0</v>
      </c>
      <c r="G966" s="24">
        <f>IF(OR($B966="",$D966=""),"",$D966*IFERROR(INDEX(ProdCusto,MATCH($B966,ProdCod,0)),0))</f>
        <v>0</v>
      </c>
      <c r="H966" s="25">
        <f>IF($A966="","",IF(OR($B966="",$C966="",$D966=""),"Preencher tudo",IF($F966="Código não cadastrado","Código inválido","OK")))</f>
        <v>0</v>
      </c>
    </row>
    <row r="967" spans="1:8">
      <c r="A967" s="16"/>
      <c r="B967" s="15"/>
      <c r="C967" s="20"/>
      <c r="D967" s="22"/>
      <c r="E967" s="15"/>
      <c r="F967" s="23">
        <f>IF($B967="","",IFERROR(INDEX(ProdNome,MATCH($B967,ProdCod,0)),"Código não cadastrado"))</f>
        <v>0</v>
      </c>
      <c r="G967" s="24">
        <f>IF(OR($B967="",$D967=""),"",$D967*IFERROR(INDEX(ProdCusto,MATCH($B967,ProdCod,0)),0))</f>
        <v>0</v>
      </c>
      <c r="H967" s="25">
        <f>IF($A967="","",IF(OR($B967="",$C967="",$D967=""),"Preencher tudo",IF($F967="Código não cadastrado","Código inválido","OK")))</f>
        <v>0</v>
      </c>
    </row>
    <row r="968" spans="1:8">
      <c r="A968" s="16"/>
      <c r="B968" s="15"/>
      <c r="C968" s="20"/>
      <c r="D968" s="22"/>
      <c r="E968" s="15"/>
      <c r="F968" s="23">
        <f>IF($B968="","",IFERROR(INDEX(ProdNome,MATCH($B968,ProdCod,0)),"Código não cadastrado"))</f>
        <v>0</v>
      </c>
      <c r="G968" s="24">
        <f>IF(OR($B968="",$D968=""),"",$D968*IFERROR(INDEX(ProdCusto,MATCH($B968,ProdCod,0)),0))</f>
        <v>0</v>
      </c>
      <c r="H968" s="25">
        <f>IF($A968="","",IF(OR($B968="",$C968="",$D968=""),"Preencher tudo",IF($F968="Código não cadastrado","Código inválido","OK")))</f>
        <v>0</v>
      </c>
    </row>
    <row r="969" spans="1:8">
      <c r="A969" s="16"/>
      <c r="B969" s="15"/>
      <c r="C969" s="20"/>
      <c r="D969" s="22"/>
      <c r="E969" s="15"/>
      <c r="F969" s="23">
        <f>IF($B969="","",IFERROR(INDEX(ProdNome,MATCH($B969,ProdCod,0)),"Código não cadastrado"))</f>
        <v>0</v>
      </c>
      <c r="G969" s="24">
        <f>IF(OR($B969="",$D969=""),"",$D969*IFERROR(INDEX(ProdCusto,MATCH($B969,ProdCod,0)),0))</f>
        <v>0</v>
      </c>
      <c r="H969" s="25">
        <f>IF($A969="","",IF(OR($B969="",$C969="",$D969=""),"Preencher tudo",IF($F969="Código não cadastrado","Código inválido","OK")))</f>
        <v>0</v>
      </c>
    </row>
    <row r="970" spans="1:8">
      <c r="A970" s="16"/>
      <c r="B970" s="15"/>
      <c r="C970" s="20"/>
      <c r="D970" s="22"/>
      <c r="E970" s="15"/>
      <c r="F970" s="23">
        <f>IF($B970="","",IFERROR(INDEX(ProdNome,MATCH($B970,ProdCod,0)),"Código não cadastrado"))</f>
        <v>0</v>
      </c>
      <c r="G970" s="24">
        <f>IF(OR($B970="",$D970=""),"",$D970*IFERROR(INDEX(ProdCusto,MATCH($B970,ProdCod,0)),0))</f>
        <v>0</v>
      </c>
      <c r="H970" s="25">
        <f>IF($A970="","",IF(OR($B970="",$C970="",$D970=""),"Preencher tudo",IF($F970="Código não cadastrado","Código inválido","OK")))</f>
        <v>0</v>
      </c>
    </row>
    <row r="971" spans="1:8">
      <c r="A971" s="16"/>
      <c r="B971" s="15"/>
      <c r="C971" s="20"/>
      <c r="D971" s="22"/>
      <c r="E971" s="15"/>
      <c r="F971" s="23">
        <f>IF($B971="","",IFERROR(INDEX(ProdNome,MATCH($B971,ProdCod,0)),"Código não cadastrado"))</f>
        <v>0</v>
      </c>
      <c r="G971" s="24">
        <f>IF(OR($B971="",$D971=""),"",$D971*IFERROR(INDEX(ProdCusto,MATCH($B971,ProdCod,0)),0))</f>
        <v>0</v>
      </c>
      <c r="H971" s="25">
        <f>IF($A971="","",IF(OR($B971="",$C971="",$D971=""),"Preencher tudo",IF($F971="Código não cadastrado","Código inválido","OK")))</f>
        <v>0</v>
      </c>
    </row>
    <row r="972" spans="1:8">
      <c r="A972" s="16"/>
      <c r="B972" s="15"/>
      <c r="C972" s="20"/>
      <c r="D972" s="22"/>
      <c r="E972" s="15"/>
      <c r="F972" s="23">
        <f>IF($B972="","",IFERROR(INDEX(ProdNome,MATCH($B972,ProdCod,0)),"Código não cadastrado"))</f>
        <v>0</v>
      </c>
      <c r="G972" s="24">
        <f>IF(OR($B972="",$D972=""),"",$D972*IFERROR(INDEX(ProdCusto,MATCH($B972,ProdCod,0)),0))</f>
        <v>0</v>
      </c>
      <c r="H972" s="25">
        <f>IF($A972="","",IF(OR($B972="",$C972="",$D972=""),"Preencher tudo",IF($F972="Código não cadastrado","Código inválido","OK")))</f>
        <v>0</v>
      </c>
    </row>
    <row r="973" spans="1:8">
      <c r="A973" s="16"/>
      <c r="B973" s="15"/>
      <c r="C973" s="20"/>
      <c r="D973" s="22"/>
      <c r="E973" s="15"/>
      <c r="F973" s="23">
        <f>IF($B973="","",IFERROR(INDEX(ProdNome,MATCH($B973,ProdCod,0)),"Código não cadastrado"))</f>
        <v>0</v>
      </c>
      <c r="G973" s="24">
        <f>IF(OR($B973="",$D973=""),"",$D973*IFERROR(INDEX(ProdCusto,MATCH($B973,ProdCod,0)),0))</f>
        <v>0</v>
      </c>
      <c r="H973" s="25">
        <f>IF($A973="","",IF(OR($B973="",$C973="",$D973=""),"Preencher tudo",IF($F973="Código não cadastrado","Código inválido","OK")))</f>
        <v>0</v>
      </c>
    </row>
    <row r="974" spans="1:8">
      <c r="A974" s="16"/>
      <c r="B974" s="15"/>
      <c r="C974" s="20"/>
      <c r="D974" s="22"/>
      <c r="E974" s="15"/>
      <c r="F974" s="23">
        <f>IF($B974="","",IFERROR(INDEX(ProdNome,MATCH($B974,ProdCod,0)),"Código não cadastrado"))</f>
        <v>0</v>
      </c>
      <c r="G974" s="24">
        <f>IF(OR($B974="",$D974=""),"",$D974*IFERROR(INDEX(ProdCusto,MATCH($B974,ProdCod,0)),0))</f>
        <v>0</v>
      </c>
      <c r="H974" s="25">
        <f>IF($A974="","",IF(OR($B974="",$C974="",$D974=""),"Preencher tudo",IF($F974="Código não cadastrado","Código inválido","OK")))</f>
        <v>0</v>
      </c>
    </row>
    <row r="975" spans="1:8">
      <c r="A975" s="16"/>
      <c r="B975" s="15"/>
      <c r="C975" s="20"/>
      <c r="D975" s="22"/>
      <c r="E975" s="15"/>
      <c r="F975" s="23">
        <f>IF($B975="","",IFERROR(INDEX(ProdNome,MATCH($B975,ProdCod,0)),"Código não cadastrado"))</f>
        <v>0</v>
      </c>
      <c r="G975" s="24">
        <f>IF(OR($B975="",$D975=""),"",$D975*IFERROR(INDEX(ProdCusto,MATCH($B975,ProdCod,0)),0))</f>
        <v>0</v>
      </c>
      <c r="H975" s="25">
        <f>IF($A975="","",IF(OR($B975="",$C975="",$D975=""),"Preencher tudo",IF($F975="Código não cadastrado","Código inválido","OK")))</f>
        <v>0</v>
      </c>
    </row>
    <row r="976" spans="1:8">
      <c r="A976" s="16"/>
      <c r="B976" s="15"/>
      <c r="C976" s="20"/>
      <c r="D976" s="22"/>
      <c r="E976" s="15"/>
      <c r="F976" s="23">
        <f>IF($B976="","",IFERROR(INDEX(ProdNome,MATCH($B976,ProdCod,0)),"Código não cadastrado"))</f>
        <v>0</v>
      </c>
      <c r="G976" s="24">
        <f>IF(OR($B976="",$D976=""),"",$D976*IFERROR(INDEX(ProdCusto,MATCH($B976,ProdCod,0)),0))</f>
        <v>0</v>
      </c>
      <c r="H976" s="25">
        <f>IF($A976="","",IF(OR($B976="",$C976="",$D976=""),"Preencher tudo",IF($F976="Código não cadastrado","Código inválido","OK")))</f>
        <v>0</v>
      </c>
    </row>
    <row r="977" spans="1:8">
      <c r="A977" s="16"/>
      <c r="B977" s="15"/>
      <c r="C977" s="20"/>
      <c r="D977" s="22"/>
      <c r="E977" s="15"/>
      <c r="F977" s="23">
        <f>IF($B977="","",IFERROR(INDEX(ProdNome,MATCH($B977,ProdCod,0)),"Código não cadastrado"))</f>
        <v>0</v>
      </c>
      <c r="G977" s="24">
        <f>IF(OR($B977="",$D977=""),"",$D977*IFERROR(INDEX(ProdCusto,MATCH($B977,ProdCod,0)),0))</f>
        <v>0</v>
      </c>
      <c r="H977" s="25">
        <f>IF($A977="","",IF(OR($B977="",$C977="",$D977=""),"Preencher tudo",IF($F977="Código não cadastrado","Código inválido","OK")))</f>
        <v>0</v>
      </c>
    </row>
    <row r="978" spans="1:8">
      <c r="A978" s="16"/>
      <c r="B978" s="15"/>
      <c r="C978" s="20"/>
      <c r="D978" s="22"/>
      <c r="E978" s="15"/>
      <c r="F978" s="23">
        <f>IF($B978="","",IFERROR(INDEX(ProdNome,MATCH($B978,ProdCod,0)),"Código não cadastrado"))</f>
        <v>0</v>
      </c>
      <c r="G978" s="24">
        <f>IF(OR($B978="",$D978=""),"",$D978*IFERROR(INDEX(ProdCusto,MATCH($B978,ProdCod,0)),0))</f>
        <v>0</v>
      </c>
      <c r="H978" s="25">
        <f>IF($A978="","",IF(OR($B978="",$C978="",$D978=""),"Preencher tudo",IF($F978="Código não cadastrado","Código inválido","OK")))</f>
        <v>0</v>
      </c>
    </row>
    <row r="979" spans="1:8">
      <c r="A979" s="16"/>
      <c r="B979" s="15"/>
      <c r="C979" s="20"/>
      <c r="D979" s="22"/>
      <c r="E979" s="15"/>
      <c r="F979" s="23">
        <f>IF($B979="","",IFERROR(INDEX(ProdNome,MATCH($B979,ProdCod,0)),"Código não cadastrado"))</f>
        <v>0</v>
      </c>
      <c r="G979" s="24">
        <f>IF(OR($B979="",$D979=""),"",$D979*IFERROR(INDEX(ProdCusto,MATCH($B979,ProdCod,0)),0))</f>
        <v>0</v>
      </c>
      <c r="H979" s="25">
        <f>IF($A979="","",IF(OR($B979="",$C979="",$D979=""),"Preencher tudo",IF($F979="Código não cadastrado","Código inválido","OK")))</f>
        <v>0</v>
      </c>
    </row>
    <row r="980" spans="1:8">
      <c r="A980" s="16"/>
      <c r="B980" s="15"/>
      <c r="C980" s="20"/>
      <c r="D980" s="22"/>
      <c r="E980" s="15"/>
      <c r="F980" s="23">
        <f>IF($B980="","",IFERROR(INDEX(ProdNome,MATCH($B980,ProdCod,0)),"Código não cadastrado"))</f>
        <v>0</v>
      </c>
      <c r="G980" s="24">
        <f>IF(OR($B980="",$D980=""),"",$D980*IFERROR(INDEX(ProdCusto,MATCH($B980,ProdCod,0)),0))</f>
        <v>0</v>
      </c>
      <c r="H980" s="25">
        <f>IF($A980="","",IF(OR($B980="",$C980="",$D980=""),"Preencher tudo",IF($F980="Código não cadastrado","Código inválido","OK")))</f>
        <v>0</v>
      </c>
    </row>
    <row r="981" spans="1:8">
      <c r="A981" s="16"/>
      <c r="B981" s="15"/>
      <c r="C981" s="20"/>
      <c r="D981" s="22"/>
      <c r="E981" s="15"/>
      <c r="F981" s="23">
        <f>IF($B981="","",IFERROR(INDEX(ProdNome,MATCH($B981,ProdCod,0)),"Código não cadastrado"))</f>
        <v>0</v>
      </c>
      <c r="G981" s="24">
        <f>IF(OR($B981="",$D981=""),"",$D981*IFERROR(INDEX(ProdCusto,MATCH($B981,ProdCod,0)),0))</f>
        <v>0</v>
      </c>
      <c r="H981" s="25">
        <f>IF($A981="","",IF(OR($B981="",$C981="",$D981=""),"Preencher tudo",IF($F981="Código não cadastrado","Código inválido","OK")))</f>
        <v>0</v>
      </c>
    </row>
    <row r="982" spans="1:8">
      <c r="A982" s="16"/>
      <c r="B982" s="15"/>
      <c r="C982" s="20"/>
      <c r="D982" s="22"/>
      <c r="E982" s="15"/>
      <c r="F982" s="23">
        <f>IF($B982="","",IFERROR(INDEX(ProdNome,MATCH($B982,ProdCod,0)),"Código não cadastrado"))</f>
        <v>0</v>
      </c>
      <c r="G982" s="24">
        <f>IF(OR($B982="",$D982=""),"",$D982*IFERROR(INDEX(ProdCusto,MATCH($B982,ProdCod,0)),0))</f>
        <v>0</v>
      </c>
      <c r="H982" s="25">
        <f>IF($A982="","",IF(OR($B982="",$C982="",$D982=""),"Preencher tudo",IF($F982="Código não cadastrado","Código inválido","OK")))</f>
        <v>0</v>
      </c>
    </row>
    <row r="983" spans="1:8">
      <c r="A983" s="16"/>
      <c r="B983" s="15"/>
      <c r="C983" s="20"/>
      <c r="D983" s="22"/>
      <c r="E983" s="15"/>
      <c r="F983" s="23">
        <f>IF($B983="","",IFERROR(INDEX(ProdNome,MATCH($B983,ProdCod,0)),"Código não cadastrado"))</f>
        <v>0</v>
      </c>
      <c r="G983" s="24">
        <f>IF(OR($B983="",$D983=""),"",$D983*IFERROR(INDEX(ProdCusto,MATCH($B983,ProdCod,0)),0))</f>
        <v>0</v>
      </c>
      <c r="H983" s="25">
        <f>IF($A983="","",IF(OR($B983="",$C983="",$D983=""),"Preencher tudo",IF($F983="Código não cadastrado","Código inválido","OK")))</f>
        <v>0</v>
      </c>
    </row>
    <row r="984" spans="1:8">
      <c r="A984" s="16"/>
      <c r="B984" s="15"/>
      <c r="C984" s="20"/>
      <c r="D984" s="22"/>
      <c r="E984" s="15"/>
      <c r="F984" s="23">
        <f>IF($B984="","",IFERROR(INDEX(ProdNome,MATCH($B984,ProdCod,0)),"Código não cadastrado"))</f>
        <v>0</v>
      </c>
      <c r="G984" s="24">
        <f>IF(OR($B984="",$D984=""),"",$D984*IFERROR(INDEX(ProdCusto,MATCH($B984,ProdCod,0)),0))</f>
        <v>0</v>
      </c>
      <c r="H984" s="25">
        <f>IF($A984="","",IF(OR($B984="",$C984="",$D984=""),"Preencher tudo",IF($F984="Código não cadastrado","Código inválido","OK")))</f>
        <v>0</v>
      </c>
    </row>
    <row r="985" spans="1:8">
      <c r="A985" s="16"/>
      <c r="B985" s="15"/>
      <c r="C985" s="20"/>
      <c r="D985" s="22"/>
      <c r="E985" s="15"/>
      <c r="F985" s="23">
        <f>IF($B985="","",IFERROR(INDEX(ProdNome,MATCH($B985,ProdCod,0)),"Código não cadastrado"))</f>
        <v>0</v>
      </c>
      <c r="G985" s="24">
        <f>IF(OR($B985="",$D985=""),"",$D985*IFERROR(INDEX(ProdCusto,MATCH($B985,ProdCod,0)),0))</f>
        <v>0</v>
      </c>
      <c r="H985" s="25">
        <f>IF($A985="","",IF(OR($B985="",$C985="",$D985=""),"Preencher tudo",IF($F985="Código não cadastrado","Código inválido","OK")))</f>
        <v>0</v>
      </c>
    </row>
    <row r="986" spans="1:8">
      <c r="A986" s="16"/>
      <c r="B986" s="15"/>
      <c r="C986" s="20"/>
      <c r="D986" s="22"/>
      <c r="E986" s="15"/>
      <c r="F986" s="23">
        <f>IF($B986="","",IFERROR(INDEX(ProdNome,MATCH($B986,ProdCod,0)),"Código não cadastrado"))</f>
        <v>0</v>
      </c>
      <c r="G986" s="24">
        <f>IF(OR($B986="",$D986=""),"",$D986*IFERROR(INDEX(ProdCusto,MATCH($B986,ProdCod,0)),0))</f>
        <v>0</v>
      </c>
      <c r="H986" s="25">
        <f>IF($A986="","",IF(OR($B986="",$C986="",$D986=""),"Preencher tudo",IF($F986="Código não cadastrado","Código inválido","OK")))</f>
        <v>0</v>
      </c>
    </row>
    <row r="987" spans="1:8">
      <c r="A987" s="16"/>
      <c r="B987" s="15"/>
      <c r="C987" s="20"/>
      <c r="D987" s="22"/>
      <c r="E987" s="15"/>
      <c r="F987" s="23">
        <f>IF($B987="","",IFERROR(INDEX(ProdNome,MATCH($B987,ProdCod,0)),"Código não cadastrado"))</f>
        <v>0</v>
      </c>
      <c r="G987" s="24">
        <f>IF(OR($B987="",$D987=""),"",$D987*IFERROR(INDEX(ProdCusto,MATCH($B987,ProdCod,0)),0))</f>
        <v>0</v>
      </c>
      <c r="H987" s="25">
        <f>IF($A987="","",IF(OR($B987="",$C987="",$D987=""),"Preencher tudo",IF($F987="Código não cadastrado","Código inválido","OK")))</f>
        <v>0</v>
      </c>
    </row>
    <row r="988" spans="1:8">
      <c r="A988" s="16"/>
      <c r="B988" s="15"/>
      <c r="C988" s="20"/>
      <c r="D988" s="22"/>
      <c r="E988" s="15"/>
      <c r="F988" s="23">
        <f>IF($B988="","",IFERROR(INDEX(ProdNome,MATCH($B988,ProdCod,0)),"Código não cadastrado"))</f>
        <v>0</v>
      </c>
      <c r="G988" s="24">
        <f>IF(OR($B988="",$D988=""),"",$D988*IFERROR(INDEX(ProdCusto,MATCH($B988,ProdCod,0)),0))</f>
        <v>0</v>
      </c>
      <c r="H988" s="25">
        <f>IF($A988="","",IF(OR($B988="",$C988="",$D988=""),"Preencher tudo",IF($F988="Código não cadastrado","Código inválido","OK")))</f>
        <v>0</v>
      </c>
    </row>
    <row r="989" spans="1:8">
      <c r="A989" s="16"/>
      <c r="B989" s="15"/>
      <c r="C989" s="20"/>
      <c r="D989" s="22"/>
      <c r="E989" s="15"/>
      <c r="F989" s="23">
        <f>IF($B989="","",IFERROR(INDEX(ProdNome,MATCH($B989,ProdCod,0)),"Código não cadastrado"))</f>
        <v>0</v>
      </c>
      <c r="G989" s="24">
        <f>IF(OR($B989="",$D989=""),"",$D989*IFERROR(INDEX(ProdCusto,MATCH($B989,ProdCod,0)),0))</f>
        <v>0</v>
      </c>
      <c r="H989" s="25">
        <f>IF($A989="","",IF(OR($B989="",$C989="",$D989=""),"Preencher tudo",IF($F989="Código não cadastrado","Código inválido","OK")))</f>
        <v>0</v>
      </c>
    </row>
    <row r="990" spans="1:8">
      <c r="A990" s="16"/>
      <c r="B990" s="15"/>
      <c r="C990" s="20"/>
      <c r="D990" s="22"/>
      <c r="E990" s="15"/>
      <c r="F990" s="23">
        <f>IF($B990="","",IFERROR(INDEX(ProdNome,MATCH($B990,ProdCod,0)),"Código não cadastrado"))</f>
        <v>0</v>
      </c>
      <c r="G990" s="24">
        <f>IF(OR($B990="",$D990=""),"",$D990*IFERROR(INDEX(ProdCusto,MATCH($B990,ProdCod,0)),0))</f>
        <v>0</v>
      </c>
      <c r="H990" s="25">
        <f>IF($A990="","",IF(OR($B990="",$C990="",$D990=""),"Preencher tudo",IF($F990="Código não cadastrado","Código inválido","OK")))</f>
        <v>0</v>
      </c>
    </row>
    <row r="991" spans="1:8">
      <c r="A991" s="16"/>
      <c r="B991" s="15"/>
      <c r="C991" s="20"/>
      <c r="D991" s="22"/>
      <c r="E991" s="15"/>
      <c r="F991" s="23">
        <f>IF($B991="","",IFERROR(INDEX(ProdNome,MATCH($B991,ProdCod,0)),"Código não cadastrado"))</f>
        <v>0</v>
      </c>
      <c r="G991" s="24">
        <f>IF(OR($B991="",$D991=""),"",$D991*IFERROR(INDEX(ProdCusto,MATCH($B991,ProdCod,0)),0))</f>
        <v>0</v>
      </c>
      <c r="H991" s="25">
        <f>IF($A991="","",IF(OR($B991="",$C991="",$D991=""),"Preencher tudo",IF($F991="Código não cadastrado","Código inválido","OK")))</f>
        <v>0</v>
      </c>
    </row>
    <row r="992" spans="1:8">
      <c r="A992" s="16"/>
      <c r="B992" s="15"/>
      <c r="C992" s="20"/>
      <c r="D992" s="22"/>
      <c r="E992" s="15"/>
      <c r="F992" s="23">
        <f>IF($B992="","",IFERROR(INDEX(ProdNome,MATCH($B992,ProdCod,0)),"Código não cadastrado"))</f>
        <v>0</v>
      </c>
      <c r="G992" s="24">
        <f>IF(OR($B992="",$D992=""),"",$D992*IFERROR(INDEX(ProdCusto,MATCH($B992,ProdCod,0)),0))</f>
        <v>0</v>
      </c>
      <c r="H992" s="25">
        <f>IF($A992="","",IF(OR($B992="",$C992="",$D992=""),"Preencher tudo",IF($F992="Código não cadastrado","Código inválido","OK")))</f>
        <v>0</v>
      </c>
    </row>
    <row r="993" spans="1:8">
      <c r="A993" s="16"/>
      <c r="B993" s="15"/>
      <c r="C993" s="20"/>
      <c r="D993" s="22"/>
      <c r="E993" s="15"/>
      <c r="F993" s="23">
        <f>IF($B993="","",IFERROR(INDEX(ProdNome,MATCH($B993,ProdCod,0)),"Código não cadastrado"))</f>
        <v>0</v>
      </c>
      <c r="G993" s="24">
        <f>IF(OR($B993="",$D993=""),"",$D993*IFERROR(INDEX(ProdCusto,MATCH($B993,ProdCod,0)),0))</f>
        <v>0</v>
      </c>
      <c r="H993" s="25">
        <f>IF($A993="","",IF(OR($B993="",$C993="",$D993=""),"Preencher tudo",IF($F993="Código não cadastrado","Código inválido","OK")))</f>
        <v>0</v>
      </c>
    </row>
    <row r="994" spans="1:8">
      <c r="A994" s="16"/>
      <c r="B994" s="15"/>
      <c r="C994" s="20"/>
      <c r="D994" s="22"/>
      <c r="E994" s="15"/>
      <c r="F994" s="23">
        <f>IF($B994="","",IFERROR(INDEX(ProdNome,MATCH($B994,ProdCod,0)),"Código não cadastrado"))</f>
        <v>0</v>
      </c>
      <c r="G994" s="24">
        <f>IF(OR($B994="",$D994=""),"",$D994*IFERROR(INDEX(ProdCusto,MATCH($B994,ProdCod,0)),0))</f>
        <v>0</v>
      </c>
      <c r="H994" s="25">
        <f>IF($A994="","",IF(OR($B994="",$C994="",$D994=""),"Preencher tudo",IF($F994="Código não cadastrado","Código inválido","OK")))</f>
        <v>0</v>
      </c>
    </row>
    <row r="995" spans="1:8">
      <c r="A995" s="16"/>
      <c r="B995" s="15"/>
      <c r="C995" s="20"/>
      <c r="D995" s="22"/>
      <c r="E995" s="15"/>
      <c r="F995" s="23">
        <f>IF($B995="","",IFERROR(INDEX(ProdNome,MATCH($B995,ProdCod,0)),"Código não cadastrado"))</f>
        <v>0</v>
      </c>
      <c r="G995" s="24">
        <f>IF(OR($B995="",$D995=""),"",$D995*IFERROR(INDEX(ProdCusto,MATCH($B995,ProdCod,0)),0))</f>
        <v>0</v>
      </c>
      <c r="H995" s="25">
        <f>IF($A995="","",IF(OR($B995="",$C995="",$D995=""),"Preencher tudo",IF($F995="Código não cadastrado","Código inválido","OK")))</f>
        <v>0</v>
      </c>
    </row>
    <row r="996" spans="1:8">
      <c r="A996" s="16"/>
      <c r="B996" s="15"/>
      <c r="C996" s="20"/>
      <c r="D996" s="22"/>
      <c r="E996" s="15"/>
      <c r="F996" s="23">
        <f>IF($B996="","",IFERROR(INDEX(ProdNome,MATCH($B996,ProdCod,0)),"Código não cadastrado"))</f>
        <v>0</v>
      </c>
      <c r="G996" s="24">
        <f>IF(OR($B996="",$D996=""),"",$D996*IFERROR(INDEX(ProdCusto,MATCH($B996,ProdCod,0)),0))</f>
        <v>0</v>
      </c>
      <c r="H996" s="25">
        <f>IF($A996="","",IF(OR($B996="",$C996="",$D996=""),"Preencher tudo",IF($F996="Código não cadastrado","Código inválido","OK")))</f>
        <v>0</v>
      </c>
    </row>
    <row r="997" spans="1:8">
      <c r="A997" s="16"/>
      <c r="B997" s="15"/>
      <c r="C997" s="20"/>
      <c r="D997" s="22"/>
      <c r="E997" s="15"/>
      <c r="F997" s="23">
        <f>IF($B997="","",IFERROR(INDEX(ProdNome,MATCH($B997,ProdCod,0)),"Código não cadastrado"))</f>
        <v>0</v>
      </c>
      <c r="G997" s="24">
        <f>IF(OR($B997="",$D997=""),"",$D997*IFERROR(INDEX(ProdCusto,MATCH($B997,ProdCod,0)),0))</f>
        <v>0</v>
      </c>
      <c r="H997" s="25">
        <f>IF($A997="","",IF(OR($B997="",$C997="",$D997=""),"Preencher tudo",IF($F997="Código não cadastrado","Código inválido","OK")))</f>
        <v>0</v>
      </c>
    </row>
    <row r="998" spans="1:8">
      <c r="A998" s="16"/>
      <c r="B998" s="15"/>
      <c r="C998" s="20"/>
      <c r="D998" s="22"/>
      <c r="E998" s="15"/>
      <c r="F998" s="23">
        <f>IF($B998="","",IFERROR(INDEX(ProdNome,MATCH($B998,ProdCod,0)),"Código não cadastrado"))</f>
        <v>0</v>
      </c>
      <c r="G998" s="24">
        <f>IF(OR($B998="",$D998=""),"",$D998*IFERROR(INDEX(ProdCusto,MATCH($B998,ProdCod,0)),0))</f>
        <v>0</v>
      </c>
      <c r="H998" s="25">
        <f>IF($A998="","",IF(OR($B998="",$C998="",$D998=""),"Preencher tudo",IF($F998="Código não cadastrado","Código inválido","OK")))</f>
        <v>0</v>
      </c>
    </row>
    <row r="999" spans="1:8">
      <c r="A999" s="16"/>
      <c r="B999" s="15"/>
      <c r="C999" s="20"/>
      <c r="D999" s="22"/>
      <c r="E999" s="15"/>
      <c r="F999" s="23">
        <f>IF($B999="","",IFERROR(INDEX(ProdNome,MATCH($B999,ProdCod,0)),"Código não cadastrado"))</f>
        <v>0</v>
      </c>
      <c r="G999" s="24">
        <f>IF(OR($B999="",$D999=""),"",$D999*IFERROR(INDEX(ProdCusto,MATCH($B999,ProdCod,0)),0))</f>
        <v>0</v>
      </c>
      <c r="H999" s="25">
        <f>IF($A999="","",IF(OR($B999="",$C999="",$D999=""),"Preencher tudo",IF($F999="Código não cadastrado","Código inválido","OK")))</f>
        <v>0</v>
      </c>
    </row>
    <row r="1000" spans="1:8">
      <c r="A1000" s="16"/>
      <c r="B1000" s="15"/>
      <c r="C1000" s="20"/>
      <c r="D1000" s="22"/>
      <c r="E1000" s="15"/>
      <c r="F1000" s="23">
        <f>IF($B1000="","",IFERROR(INDEX(ProdNome,MATCH($B1000,ProdCod,0)),"Código não cadastrado"))</f>
        <v>0</v>
      </c>
      <c r="G1000" s="24">
        <f>IF(OR($B1000="",$D1000=""),"",$D1000*IFERROR(INDEX(ProdCusto,MATCH($B1000,ProdCod,0)),0))</f>
        <v>0</v>
      </c>
      <c r="H1000" s="25">
        <f>IF($A1000="","",IF(OR($B1000="",$C1000="",$D1000=""),"Preencher tudo",IF($F1000="Código não cadastrado","Código inválido","OK")))</f>
        <v>0</v>
      </c>
    </row>
    <row r="1001" spans="1:8">
      <c r="A1001" s="16"/>
      <c r="B1001" s="15"/>
      <c r="C1001" s="20"/>
      <c r="D1001" s="22"/>
      <c r="E1001" s="15"/>
      <c r="F1001" s="23">
        <f>IF($B1001="","",IFERROR(INDEX(ProdNome,MATCH($B1001,ProdCod,0)),"Código não cadastrado"))</f>
        <v>0</v>
      </c>
      <c r="G1001" s="24">
        <f>IF(OR($B1001="",$D1001=""),"",$D1001*IFERROR(INDEX(ProdCusto,MATCH($B1001,ProdCod,0)),0))</f>
        <v>0</v>
      </c>
      <c r="H1001" s="25">
        <f>IF($A1001="","",IF(OR($B1001="",$C1001="",$D1001=""),"Preencher tudo",IF($F1001="Código não cadastrado","Código inválido","OK")))</f>
        <v>0</v>
      </c>
    </row>
    <row r="1002" spans="1:8">
      <c r="A1002" s="16"/>
      <c r="B1002" s="15"/>
      <c r="C1002" s="20"/>
      <c r="D1002" s="22"/>
      <c r="E1002" s="15"/>
      <c r="F1002" s="23">
        <f>IF($B1002="","",IFERROR(INDEX(ProdNome,MATCH($B1002,ProdCod,0)),"Código não cadastrado"))</f>
        <v>0</v>
      </c>
      <c r="G1002" s="24">
        <f>IF(OR($B1002="",$D1002=""),"",$D1002*IFERROR(INDEX(ProdCusto,MATCH($B1002,ProdCod,0)),0))</f>
        <v>0</v>
      </c>
      <c r="H1002" s="25">
        <f>IF($A1002="","",IF(OR($B1002="",$C1002="",$D1002=""),"Preencher tudo",IF($F1002="Código não cadastrado","Código inválido","OK")))</f>
        <v>0</v>
      </c>
    </row>
    <row r="1003" spans="1:8">
      <c r="A1003" s="16"/>
      <c r="B1003" s="15"/>
      <c r="C1003" s="20"/>
      <c r="D1003" s="22"/>
      <c r="E1003" s="15"/>
      <c r="F1003" s="23">
        <f>IF($B1003="","",IFERROR(INDEX(ProdNome,MATCH($B1003,ProdCod,0)),"Código não cadastrado"))</f>
        <v>0</v>
      </c>
      <c r="G1003" s="24">
        <f>IF(OR($B1003="",$D1003=""),"",$D1003*IFERROR(INDEX(ProdCusto,MATCH($B1003,ProdCod,0)),0))</f>
        <v>0</v>
      </c>
      <c r="H1003" s="25">
        <f>IF($A1003="","",IF(OR($B1003="",$C1003="",$D1003=""),"Preencher tudo",IF($F1003="Código não cadastrado","Código inválido","OK")))</f>
        <v>0</v>
      </c>
    </row>
    <row r="1004" spans="1:8">
      <c r="A1004" s="16"/>
      <c r="B1004" s="15"/>
      <c r="C1004" s="20"/>
      <c r="D1004" s="22"/>
      <c r="E1004" s="15"/>
      <c r="F1004" s="23">
        <f>IF($B1004="","",IFERROR(INDEX(ProdNome,MATCH($B1004,ProdCod,0)),"Código não cadastrado"))</f>
        <v>0</v>
      </c>
      <c r="G1004" s="24">
        <f>IF(OR($B1004="",$D1004=""),"",$D1004*IFERROR(INDEX(ProdCusto,MATCH($B1004,ProdCod,0)),0))</f>
        <v>0</v>
      </c>
      <c r="H1004" s="25">
        <f>IF($A1004="","",IF(OR($B1004="",$C1004="",$D1004=""),"Preencher tudo",IF($F1004="Código não cadastrado","Código inválido","OK")))</f>
        <v>0</v>
      </c>
    </row>
    <row r="1005" spans="1:8">
      <c r="A1005" s="16"/>
      <c r="B1005" s="15"/>
      <c r="C1005" s="20"/>
      <c r="D1005" s="22"/>
      <c r="E1005" s="15"/>
      <c r="F1005" s="23">
        <f>IF($B1005="","",IFERROR(INDEX(ProdNome,MATCH($B1005,ProdCod,0)),"Código não cadastrado"))</f>
        <v>0</v>
      </c>
      <c r="G1005" s="24">
        <f>IF(OR($B1005="",$D1005=""),"",$D1005*IFERROR(INDEX(ProdCusto,MATCH($B1005,ProdCod,0)),0))</f>
        <v>0</v>
      </c>
      <c r="H1005" s="25">
        <f>IF($A1005="","",IF(OR($B1005="",$C1005="",$D1005=""),"Preencher tudo",IF($F1005="Código não cadastrado","Código inválido","OK")))</f>
        <v>0</v>
      </c>
    </row>
    <row r="1006" spans="1:8">
      <c r="A1006" s="16"/>
      <c r="B1006" s="15"/>
      <c r="C1006" s="20"/>
      <c r="D1006" s="22"/>
      <c r="E1006" s="15"/>
      <c r="F1006" s="23">
        <f>IF($B1006="","",IFERROR(INDEX(ProdNome,MATCH($B1006,ProdCod,0)),"Código não cadastrado"))</f>
        <v>0</v>
      </c>
      <c r="G1006" s="24">
        <f>IF(OR($B1006="",$D1006=""),"",$D1006*IFERROR(INDEX(ProdCusto,MATCH($B1006,ProdCod,0)),0))</f>
        <v>0</v>
      </c>
      <c r="H1006" s="25">
        <f>IF($A1006="","",IF(OR($B1006="",$C1006="",$D1006=""),"Preencher tudo",IF($F1006="Código não cadastrado","Código inválido","OK")))</f>
        <v>0</v>
      </c>
    </row>
    <row r="1007" spans="1:8">
      <c r="A1007" s="16"/>
      <c r="B1007" s="15"/>
      <c r="C1007" s="20"/>
      <c r="D1007" s="22"/>
      <c r="E1007" s="15"/>
      <c r="F1007" s="23">
        <f>IF($B1007="","",IFERROR(INDEX(ProdNome,MATCH($B1007,ProdCod,0)),"Código não cadastrado"))</f>
        <v>0</v>
      </c>
      <c r="G1007" s="24">
        <f>IF(OR($B1007="",$D1007=""),"",$D1007*IFERROR(INDEX(ProdCusto,MATCH($B1007,ProdCod,0)),0))</f>
        <v>0</v>
      </c>
      <c r="H1007" s="25">
        <f>IF($A1007="","",IF(OR($B1007="",$C1007="",$D1007=""),"Preencher tudo",IF($F1007="Código não cadastrado","Código inválido","OK")))</f>
        <v>0</v>
      </c>
    </row>
    <row r="1008" spans="1:8">
      <c r="A1008" s="16"/>
      <c r="B1008" s="15"/>
      <c r="C1008" s="20"/>
      <c r="D1008" s="22"/>
      <c r="E1008" s="15"/>
      <c r="F1008" s="23">
        <f>IF($B1008="","",IFERROR(INDEX(ProdNome,MATCH($B1008,ProdCod,0)),"Código não cadastrado"))</f>
        <v>0</v>
      </c>
      <c r="G1008" s="24">
        <f>IF(OR($B1008="",$D1008=""),"",$D1008*IFERROR(INDEX(ProdCusto,MATCH($B1008,ProdCod,0)),0))</f>
        <v>0</v>
      </c>
      <c r="H1008" s="25">
        <f>IF($A1008="","",IF(OR($B1008="",$C1008="",$D1008=""),"Preencher tudo",IF($F1008="Código não cadastrado","Código inválido","OK")))</f>
        <v>0</v>
      </c>
    </row>
    <row r="1009" spans="1:8">
      <c r="A1009" s="16"/>
      <c r="B1009" s="15"/>
      <c r="C1009" s="20"/>
      <c r="D1009" s="22"/>
      <c r="E1009" s="15"/>
      <c r="F1009" s="23">
        <f>IF($B1009="","",IFERROR(INDEX(ProdNome,MATCH($B1009,ProdCod,0)),"Código não cadastrado"))</f>
        <v>0</v>
      </c>
      <c r="G1009" s="24">
        <f>IF(OR($B1009="",$D1009=""),"",$D1009*IFERROR(INDEX(ProdCusto,MATCH($B1009,ProdCod,0)),0))</f>
        <v>0</v>
      </c>
      <c r="H1009" s="25">
        <f>IF($A1009="","",IF(OR($B1009="",$C1009="",$D1009=""),"Preencher tudo",IF($F1009="Código não cadastrado","Código inválido","OK")))</f>
        <v>0</v>
      </c>
    </row>
    <row r="1010" spans="1:8">
      <c r="A1010" s="16"/>
      <c r="B1010" s="15"/>
      <c r="C1010" s="20"/>
      <c r="D1010" s="22"/>
      <c r="E1010" s="15"/>
      <c r="F1010" s="23">
        <f>IF($B1010="","",IFERROR(INDEX(ProdNome,MATCH($B1010,ProdCod,0)),"Código não cadastrado"))</f>
        <v>0</v>
      </c>
      <c r="G1010" s="24">
        <f>IF(OR($B1010="",$D1010=""),"",$D1010*IFERROR(INDEX(ProdCusto,MATCH($B1010,ProdCod,0)),0))</f>
        <v>0</v>
      </c>
      <c r="H1010" s="25">
        <f>IF($A1010="","",IF(OR($B1010="",$C1010="",$D1010=""),"Preencher tudo",IF($F1010="Código não cadastrado","Código inválido","OK")))</f>
        <v>0</v>
      </c>
    </row>
    <row r="1011" spans="1:8">
      <c r="A1011" s="16"/>
      <c r="B1011" s="15"/>
      <c r="C1011" s="20"/>
      <c r="D1011" s="22"/>
      <c r="E1011" s="15"/>
      <c r="F1011" s="23">
        <f>IF($B1011="","",IFERROR(INDEX(ProdNome,MATCH($B1011,ProdCod,0)),"Código não cadastrado"))</f>
        <v>0</v>
      </c>
      <c r="G1011" s="24">
        <f>IF(OR($B1011="",$D1011=""),"",$D1011*IFERROR(INDEX(ProdCusto,MATCH($B1011,ProdCod,0)),0))</f>
        <v>0</v>
      </c>
      <c r="H1011" s="25">
        <f>IF($A1011="","",IF(OR($B1011="",$C1011="",$D1011=""),"Preencher tudo",IF($F1011="Código não cadastrado","Código inválido","OK")))</f>
        <v>0</v>
      </c>
    </row>
    <row r="1012" spans="1:8">
      <c r="A1012" s="16"/>
      <c r="B1012" s="15"/>
      <c r="C1012" s="20"/>
      <c r="D1012" s="22"/>
      <c r="E1012" s="15"/>
      <c r="F1012" s="23">
        <f>IF($B1012="","",IFERROR(INDEX(ProdNome,MATCH($B1012,ProdCod,0)),"Código não cadastrado"))</f>
        <v>0</v>
      </c>
      <c r="G1012" s="24">
        <f>IF(OR($B1012="",$D1012=""),"",$D1012*IFERROR(INDEX(ProdCusto,MATCH($B1012,ProdCod,0)),0))</f>
        <v>0</v>
      </c>
      <c r="H1012" s="25">
        <f>IF($A1012="","",IF(OR($B1012="",$C1012="",$D1012=""),"Preencher tudo",IF($F1012="Código não cadastrado","Código inválido","OK")))</f>
        <v>0</v>
      </c>
    </row>
    <row r="1013" spans="1:8">
      <c r="A1013" s="16"/>
      <c r="B1013" s="15"/>
      <c r="C1013" s="20"/>
      <c r="D1013" s="22"/>
      <c r="E1013" s="15"/>
      <c r="F1013" s="23">
        <f>IF($B1013="","",IFERROR(INDEX(ProdNome,MATCH($B1013,ProdCod,0)),"Código não cadastrado"))</f>
        <v>0</v>
      </c>
      <c r="G1013" s="24">
        <f>IF(OR($B1013="",$D1013=""),"",$D1013*IFERROR(INDEX(ProdCusto,MATCH($B1013,ProdCod,0)),0))</f>
        <v>0</v>
      </c>
      <c r="H1013" s="25">
        <f>IF($A1013="","",IF(OR($B1013="",$C1013="",$D1013=""),"Preencher tudo",IF($F1013="Código não cadastrado","Código inválido","OK")))</f>
        <v>0</v>
      </c>
    </row>
    <row r="1014" spans="1:8">
      <c r="A1014" s="16"/>
      <c r="B1014" s="15"/>
      <c r="C1014" s="20"/>
      <c r="D1014" s="22"/>
      <c r="E1014" s="15"/>
      <c r="F1014" s="23">
        <f>IF($B1014="","",IFERROR(INDEX(ProdNome,MATCH($B1014,ProdCod,0)),"Código não cadastrado"))</f>
        <v>0</v>
      </c>
      <c r="G1014" s="24">
        <f>IF(OR($B1014="",$D1014=""),"",$D1014*IFERROR(INDEX(ProdCusto,MATCH($B1014,ProdCod,0)),0))</f>
        <v>0</v>
      </c>
      <c r="H1014" s="25">
        <f>IF($A1014="","",IF(OR($B1014="",$C1014="",$D1014=""),"Preencher tudo",IF($F1014="Código não cadastrado","Código inválido","OK")))</f>
        <v>0</v>
      </c>
    </row>
    <row r="1015" spans="1:8">
      <c r="A1015" s="16"/>
      <c r="B1015" s="15"/>
      <c r="C1015" s="20"/>
      <c r="D1015" s="22"/>
      <c r="E1015" s="15"/>
      <c r="F1015" s="23">
        <f>IF($B1015="","",IFERROR(INDEX(ProdNome,MATCH($B1015,ProdCod,0)),"Código não cadastrado"))</f>
        <v>0</v>
      </c>
      <c r="G1015" s="24">
        <f>IF(OR($B1015="",$D1015=""),"",$D1015*IFERROR(INDEX(ProdCusto,MATCH($B1015,ProdCod,0)),0))</f>
        <v>0</v>
      </c>
      <c r="H1015" s="25">
        <f>IF($A1015="","",IF(OR($B1015="",$C1015="",$D1015=""),"Preencher tudo",IF($F1015="Código não cadastrado","Código inválido","OK")))</f>
        <v>0</v>
      </c>
    </row>
    <row r="1016" spans="1:8">
      <c r="A1016" s="16"/>
      <c r="B1016" s="15"/>
      <c r="C1016" s="20"/>
      <c r="D1016" s="22"/>
      <c r="E1016" s="15"/>
      <c r="F1016" s="23">
        <f>IF($B1016="","",IFERROR(INDEX(ProdNome,MATCH($B1016,ProdCod,0)),"Código não cadastrado"))</f>
        <v>0</v>
      </c>
      <c r="G1016" s="24">
        <f>IF(OR($B1016="",$D1016=""),"",$D1016*IFERROR(INDEX(ProdCusto,MATCH($B1016,ProdCod,0)),0))</f>
        <v>0</v>
      </c>
      <c r="H1016" s="25">
        <f>IF($A1016="","",IF(OR($B1016="",$C1016="",$D1016=""),"Preencher tudo",IF($F1016="Código não cadastrado","Código inválido","OK")))</f>
        <v>0</v>
      </c>
    </row>
    <row r="1017" spans="1:8">
      <c r="A1017" s="16"/>
      <c r="B1017" s="15"/>
      <c r="C1017" s="20"/>
      <c r="D1017" s="22"/>
      <c r="E1017" s="15"/>
      <c r="F1017" s="23">
        <f>IF($B1017="","",IFERROR(INDEX(ProdNome,MATCH($B1017,ProdCod,0)),"Código não cadastrado"))</f>
        <v>0</v>
      </c>
      <c r="G1017" s="24">
        <f>IF(OR($B1017="",$D1017=""),"",$D1017*IFERROR(INDEX(ProdCusto,MATCH($B1017,ProdCod,0)),0))</f>
        <v>0</v>
      </c>
      <c r="H1017" s="25">
        <f>IF($A1017="","",IF(OR($B1017="",$C1017="",$D1017=""),"Preencher tudo",IF($F1017="Código não cadastrado","Código inválido","OK")))</f>
        <v>0</v>
      </c>
    </row>
    <row r="1018" spans="1:8">
      <c r="A1018" s="16"/>
      <c r="B1018" s="15"/>
      <c r="C1018" s="20"/>
      <c r="D1018" s="22"/>
      <c r="E1018" s="15"/>
      <c r="F1018" s="23">
        <f>IF($B1018="","",IFERROR(INDEX(ProdNome,MATCH($B1018,ProdCod,0)),"Código não cadastrado"))</f>
        <v>0</v>
      </c>
      <c r="G1018" s="24">
        <f>IF(OR($B1018="",$D1018=""),"",$D1018*IFERROR(INDEX(ProdCusto,MATCH($B1018,ProdCod,0)),0))</f>
        <v>0</v>
      </c>
      <c r="H1018" s="25">
        <f>IF($A1018="","",IF(OR($B1018="",$C1018="",$D1018=""),"Preencher tudo",IF($F1018="Código não cadastrado","Código inválido","OK")))</f>
        <v>0</v>
      </c>
    </row>
    <row r="1019" spans="1:8">
      <c r="A1019" s="16"/>
      <c r="B1019" s="15"/>
      <c r="C1019" s="20"/>
      <c r="D1019" s="22"/>
      <c r="E1019" s="15"/>
      <c r="F1019" s="23">
        <f>IF($B1019="","",IFERROR(INDEX(ProdNome,MATCH($B1019,ProdCod,0)),"Código não cadastrado"))</f>
        <v>0</v>
      </c>
      <c r="G1019" s="24">
        <f>IF(OR($B1019="",$D1019=""),"",$D1019*IFERROR(INDEX(ProdCusto,MATCH($B1019,ProdCod,0)),0))</f>
        <v>0</v>
      </c>
      <c r="H1019" s="25">
        <f>IF($A1019="","",IF(OR($B1019="",$C1019="",$D1019=""),"Preencher tudo",IF($F1019="Código não cadastrado","Código inválido","OK")))</f>
        <v>0</v>
      </c>
    </row>
    <row r="1020" spans="1:8">
      <c r="A1020" s="16"/>
      <c r="B1020" s="15"/>
      <c r="C1020" s="20"/>
      <c r="D1020" s="22"/>
      <c r="E1020" s="15"/>
      <c r="F1020" s="23">
        <f>IF($B1020="","",IFERROR(INDEX(ProdNome,MATCH($B1020,ProdCod,0)),"Código não cadastrado"))</f>
        <v>0</v>
      </c>
      <c r="G1020" s="24">
        <f>IF(OR($B1020="",$D1020=""),"",$D1020*IFERROR(INDEX(ProdCusto,MATCH($B1020,ProdCod,0)),0))</f>
        <v>0</v>
      </c>
      <c r="H1020" s="25">
        <f>IF($A1020="","",IF(OR($B1020="",$C1020="",$D1020=""),"Preencher tudo",IF($F1020="Código não cadastrado","Código inválido","OK")))</f>
        <v>0</v>
      </c>
    </row>
    <row r="1021" spans="1:8">
      <c r="A1021" s="16"/>
      <c r="B1021" s="15"/>
      <c r="C1021" s="20"/>
      <c r="D1021" s="22"/>
      <c r="E1021" s="15"/>
      <c r="F1021" s="23">
        <f>IF($B1021="","",IFERROR(INDEX(ProdNome,MATCH($B1021,ProdCod,0)),"Código não cadastrado"))</f>
        <v>0</v>
      </c>
      <c r="G1021" s="24">
        <f>IF(OR($B1021="",$D1021=""),"",$D1021*IFERROR(INDEX(ProdCusto,MATCH($B1021,ProdCod,0)),0))</f>
        <v>0</v>
      </c>
      <c r="H1021" s="25">
        <f>IF($A1021="","",IF(OR($B1021="",$C1021="",$D1021=""),"Preencher tudo",IF($F1021="Código não cadastrado","Código inválido","OK")))</f>
        <v>0</v>
      </c>
    </row>
    <row r="1022" spans="1:8">
      <c r="A1022" s="16"/>
      <c r="B1022" s="15"/>
      <c r="C1022" s="20"/>
      <c r="D1022" s="22"/>
      <c r="E1022" s="15"/>
      <c r="F1022" s="23">
        <f>IF($B1022="","",IFERROR(INDEX(ProdNome,MATCH($B1022,ProdCod,0)),"Código não cadastrado"))</f>
        <v>0</v>
      </c>
      <c r="G1022" s="24">
        <f>IF(OR($B1022="",$D1022=""),"",$D1022*IFERROR(INDEX(ProdCusto,MATCH($B1022,ProdCod,0)),0))</f>
        <v>0</v>
      </c>
      <c r="H1022" s="25">
        <f>IF($A1022="","",IF(OR($B1022="",$C1022="",$D1022=""),"Preencher tudo",IF($F1022="Código não cadastrado","Código inválido","OK")))</f>
        <v>0</v>
      </c>
    </row>
    <row r="1023" spans="1:8">
      <c r="A1023" s="16"/>
      <c r="B1023" s="15"/>
      <c r="C1023" s="20"/>
      <c r="D1023" s="22"/>
      <c r="E1023" s="15"/>
      <c r="F1023" s="23">
        <f>IF($B1023="","",IFERROR(INDEX(ProdNome,MATCH($B1023,ProdCod,0)),"Código não cadastrado"))</f>
        <v>0</v>
      </c>
      <c r="G1023" s="24">
        <f>IF(OR($B1023="",$D1023=""),"",$D1023*IFERROR(INDEX(ProdCusto,MATCH($B1023,ProdCod,0)),0))</f>
        <v>0</v>
      </c>
      <c r="H1023" s="25">
        <f>IF($A1023="","",IF(OR($B1023="",$C1023="",$D1023=""),"Preencher tudo",IF($F1023="Código não cadastrado","Código inválido","OK")))</f>
        <v>0</v>
      </c>
    </row>
    <row r="1024" spans="1:8">
      <c r="A1024" s="16"/>
      <c r="B1024" s="15"/>
      <c r="C1024" s="20"/>
      <c r="D1024" s="22"/>
      <c r="E1024" s="15"/>
      <c r="F1024" s="23">
        <f>IF($B1024="","",IFERROR(INDEX(ProdNome,MATCH($B1024,ProdCod,0)),"Código não cadastrado"))</f>
        <v>0</v>
      </c>
      <c r="G1024" s="24">
        <f>IF(OR($B1024="",$D1024=""),"",$D1024*IFERROR(INDEX(ProdCusto,MATCH($B1024,ProdCod,0)),0))</f>
        <v>0</v>
      </c>
      <c r="H1024" s="25">
        <f>IF($A1024="","",IF(OR($B1024="",$C1024="",$D1024=""),"Preencher tudo",IF($F1024="Código não cadastrado","Código inválido","OK")))</f>
        <v>0</v>
      </c>
    </row>
    <row r="1025" spans="1:8">
      <c r="A1025" s="16"/>
      <c r="B1025" s="15"/>
      <c r="C1025" s="20"/>
      <c r="D1025" s="22"/>
      <c r="E1025" s="15"/>
      <c r="F1025" s="23">
        <f>IF($B1025="","",IFERROR(INDEX(ProdNome,MATCH($B1025,ProdCod,0)),"Código não cadastrado"))</f>
        <v>0</v>
      </c>
      <c r="G1025" s="24">
        <f>IF(OR($B1025="",$D1025=""),"",$D1025*IFERROR(INDEX(ProdCusto,MATCH($B1025,ProdCod,0)),0))</f>
        <v>0</v>
      </c>
      <c r="H1025" s="25">
        <f>IF($A1025="","",IF(OR($B1025="",$C1025="",$D1025=""),"Preencher tudo",IF($F1025="Código não cadastrado","Código inválido","OK")))</f>
        <v>0</v>
      </c>
    </row>
    <row r="1026" spans="1:8">
      <c r="A1026" s="16"/>
      <c r="B1026" s="15"/>
      <c r="C1026" s="20"/>
      <c r="D1026" s="22"/>
      <c r="E1026" s="15"/>
      <c r="F1026" s="23">
        <f>IF($B1026="","",IFERROR(INDEX(ProdNome,MATCH($B1026,ProdCod,0)),"Código não cadastrado"))</f>
        <v>0</v>
      </c>
      <c r="G1026" s="24">
        <f>IF(OR($B1026="",$D1026=""),"",$D1026*IFERROR(INDEX(ProdCusto,MATCH($B1026,ProdCod,0)),0))</f>
        <v>0</v>
      </c>
      <c r="H1026" s="25">
        <f>IF($A1026="","",IF(OR($B1026="",$C1026="",$D1026=""),"Preencher tudo",IF($F1026="Código não cadastrado","Código inválido","OK")))</f>
        <v>0</v>
      </c>
    </row>
    <row r="1027" spans="1:8">
      <c r="A1027" s="16"/>
      <c r="B1027" s="15"/>
      <c r="C1027" s="20"/>
      <c r="D1027" s="22"/>
      <c r="E1027" s="15"/>
      <c r="F1027" s="23">
        <f>IF($B1027="","",IFERROR(INDEX(ProdNome,MATCH($B1027,ProdCod,0)),"Código não cadastrado"))</f>
        <v>0</v>
      </c>
      <c r="G1027" s="24">
        <f>IF(OR($B1027="",$D1027=""),"",$D1027*IFERROR(INDEX(ProdCusto,MATCH($B1027,ProdCod,0)),0))</f>
        <v>0</v>
      </c>
      <c r="H1027" s="25">
        <f>IF($A1027="","",IF(OR($B1027="",$C1027="",$D1027=""),"Preencher tudo",IF($F1027="Código não cadastrado","Código inválido","OK")))</f>
        <v>0</v>
      </c>
    </row>
    <row r="1028" spans="1:8">
      <c r="A1028" s="16"/>
      <c r="B1028" s="15"/>
      <c r="C1028" s="20"/>
      <c r="D1028" s="22"/>
      <c r="E1028" s="15"/>
      <c r="F1028" s="23">
        <f>IF($B1028="","",IFERROR(INDEX(ProdNome,MATCH($B1028,ProdCod,0)),"Código não cadastrado"))</f>
        <v>0</v>
      </c>
      <c r="G1028" s="24">
        <f>IF(OR($B1028="",$D1028=""),"",$D1028*IFERROR(INDEX(ProdCusto,MATCH($B1028,ProdCod,0)),0))</f>
        <v>0</v>
      </c>
      <c r="H1028" s="25">
        <f>IF($A1028="","",IF(OR($B1028="",$C1028="",$D1028=""),"Preencher tudo",IF($F1028="Código não cadastrado","Código inválido","OK")))</f>
        <v>0</v>
      </c>
    </row>
    <row r="1029" spans="1:8">
      <c r="A1029" s="16"/>
      <c r="B1029" s="15"/>
      <c r="C1029" s="20"/>
      <c r="D1029" s="22"/>
      <c r="E1029" s="15"/>
      <c r="F1029" s="23">
        <f>IF($B1029="","",IFERROR(INDEX(ProdNome,MATCH($B1029,ProdCod,0)),"Código não cadastrado"))</f>
        <v>0</v>
      </c>
      <c r="G1029" s="24">
        <f>IF(OR($B1029="",$D1029=""),"",$D1029*IFERROR(INDEX(ProdCusto,MATCH($B1029,ProdCod,0)),0))</f>
        <v>0</v>
      </c>
      <c r="H1029" s="25">
        <f>IF($A1029="","",IF(OR($B1029="",$C1029="",$D1029=""),"Preencher tudo",IF($F1029="Código não cadastrado","Código inválido","OK")))</f>
        <v>0</v>
      </c>
    </row>
    <row r="1030" spans="1:8">
      <c r="A1030" s="16"/>
      <c r="B1030" s="15"/>
      <c r="C1030" s="20"/>
      <c r="D1030" s="22"/>
      <c r="E1030" s="15"/>
      <c r="F1030" s="23">
        <f>IF($B1030="","",IFERROR(INDEX(ProdNome,MATCH($B1030,ProdCod,0)),"Código não cadastrado"))</f>
        <v>0</v>
      </c>
      <c r="G1030" s="24">
        <f>IF(OR($B1030="",$D1030=""),"",$D1030*IFERROR(INDEX(ProdCusto,MATCH($B1030,ProdCod,0)),0))</f>
        <v>0</v>
      </c>
      <c r="H1030" s="25">
        <f>IF($A1030="","",IF(OR($B1030="",$C1030="",$D1030=""),"Preencher tudo",IF($F1030="Código não cadastrado","Código inválido","OK")))</f>
        <v>0</v>
      </c>
    </row>
    <row r="1031" spans="1:8">
      <c r="A1031" s="16"/>
      <c r="B1031" s="15"/>
      <c r="C1031" s="20"/>
      <c r="D1031" s="22"/>
      <c r="E1031" s="15"/>
      <c r="F1031" s="23">
        <f>IF($B1031="","",IFERROR(INDEX(ProdNome,MATCH($B1031,ProdCod,0)),"Código não cadastrado"))</f>
        <v>0</v>
      </c>
      <c r="G1031" s="24">
        <f>IF(OR($B1031="",$D1031=""),"",$D1031*IFERROR(INDEX(ProdCusto,MATCH($B1031,ProdCod,0)),0))</f>
        <v>0</v>
      </c>
      <c r="H1031" s="25">
        <f>IF($A1031="","",IF(OR($B1031="",$C1031="",$D1031=""),"Preencher tudo",IF($F1031="Código não cadastrado","Código inválido","OK")))</f>
        <v>0</v>
      </c>
    </row>
    <row r="1032" spans="1:8">
      <c r="A1032" s="16"/>
      <c r="B1032" s="15"/>
      <c r="C1032" s="20"/>
      <c r="D1032" s="22"/>
      <c r="E1032" s="15"/>
      <c r="F1032" s="23">
        <f>IF($B1032="","",IFERROR(INDEX(ProdNome,MATCH($B1032,ProdCod,0)),"Código não cadastrado"))</f>
        <v>0</v>
      </c>
      <c r="G1032" s="24">
        <f>IF(OR($B1032="",$D1032=""),"",$D1032*IFERROR(INDEX(ProdCusto,MATCH($B1032,ProdCod,0)),0))</f>
        <v>0</v>
      </c>
      <c r="H1032" s="25">
        <f>IF($A1032="","",IF(OR($B1032="",$C1032="",$D1032=""),"Preencher tudo",IF($F1032="Código não cadastrado","Código inválido","OK")))</f>
        <v>0</v>
      </c>
    </row>
    <row r="1033" spans="1:8">
      <c r="A1033" s="16"/>
      <c r="B1033" s="15"/>
      <c r="C1033" s="20"/>
      <c r="D1033" s="22"/>
      <c r="E1033" s="15"/>
      <c r="F1033" s="23">
        <f>IF($B1033="","",IFERROR(INDEX(ProdNome,MATCH($B1033,ProdCod,0)),"Código não cadastrado"))</f>
        <v>0</v>
      </c>
      <c r="G1033" s="24">
        <f>IF(OR($B1033="",$D1033=""),"",$D1033*IFERROR(INDEX(ProdCusto,MATCH($B1033,ProdCod,0)),0))</f>
        <v>0</v>
      </c>
      <c r="H1033" s="25">
        <f>IF($A1033="","",IF(OR($B1033="",$C1033="",$D1033=""),"Preencher tudo",IF($F1033="Código não cadastrado","Código inválido","OK")))</f>
        <v>0</v>
      </c>
    </row>
    <row r="1034" spans="1:8">
      <c r="A1034" s="16"/>
      <c r="B1034" s="15"/>
      <c r="C1034" s="20"/>
      <c r="D1034" s="22"/>
      <c r="E1034" s="15"/>
      <c r="F1034" s="23">
        <f>IF($B1034="","",IFERROR(INDEX(ProdNome,MATCH($B1034,ProdCod,0)),"Código não cadastrado"))</f>
        <v>0</v>
      </c>
      <c r="G1034" s="24">
        <f>IF(OR($B1034="",$D1034=""),"",$D1034*IFERROR(INDEX(ProdCusto,MATCH($B1034,ProdCod,0)),0))</f>
        <v>0</v>
      </c>
      <c r="H1034" s="25">
        <f>IF($A1034="","",IF(OR($B1034="",$C1034="",$D1034=""),"Preencher tudo",IF($F1034="Código não cadastrado","Código inválido","OK")))</f>
        <v>0</v>
      </c>
    </row>
    <row r="1035" spans="1:8">
      <c r="A1035" s="16"/>
      <c r="B1035" s="15"/>
      <c r="C1035" s="20"/>
      <c r="D1035" s="22"/>
      <c r="E1035" s="15"/>
      <c r="F1035" s="23">
        <f>IF($B1035="","",IFERROR(INDEX(ProdNome,MATCH($B1035,ProdCod,0)),"Código não cadastrado"))</f>
        <v>0</v>
      </c>
      <c r="G1035" s="24">
        <f>IF(OR($B1035="",$D1035=""),"",$D1035*IFERROR(INDEX(ProdCusto,MATCH($B1035,ProdCod,0)),0))</f>
        <v>0</v>
      </c>
      <c r="H1035" s="25">
        <f>IF($A1035="","",IF(OR($B1035="",$C1035="",$D1035=""),"Preencher tudo",IF($F1035="Código não cadastrado","Código inválido","OK")))</f>
        <v>0</v>
      </c>
    </row>
    <row r="1036" spans="1:8">
      <c r="A1036" s="16"/>
      <c r="B1036" s="15"/>
      <c r="C1036" s="20"/>
      <c r="D1036" s="22"/>
      <c r="E1036" s="15"/>
      <c r="F1036" s="23">
        <f>IF($B1036="","",IFERROR(INDEX(ProdNome,MATCH($B1036,ProdCod,0)),"Código não cadastrado"))</f>
        <v>0</v>
      </c>
      <c r="G1036" s="24">
        <f>IF(OR($B1036="",$D1036=""),"",$D1036*IFERROR(INDEX(ProdCusto,MATCH($B1036,ProdCod,0)),0))</f>
        <v>0</v>
      </c>
      <c r="H1036" s="25">
        <f>IF($A1036="","",IF(OR($B1036="",$C1036="",$D1036=""),"Preencher tudo",IF($F1036="Código não cadastrado","Código inválido","OK")))</f>
        <v>0</v>
      </c>
    </row>
    <row r="1037" spans="1:8">
      <c r="A1037" s="16"/>
      <c r="B1037" s="15"/>
      <c r="C1037" s="20"/>
      <c r="D1037" s="22"/>
      <c r="E1037" s="15"/>
      <c r="F1037" s="23">
        <f>IF($B1037="","",IFERROR(INDEX(ProdNome,MATCH($B1037,ProdCod,0)),"Código não cadastrado"))</f>
        <v>0</v>
      </c>
      <c r="G1037" s="24">
        <f>IF(OR($B1037="",$D1037=""),"",$D1037*IFERROR(INDEX(ProdCusto,MATCH($B1037,ProdCod,0)),0))</f>
        <v>0</v>
      </c>
      <c r="H1037" s="25">
        <f>IF($A1037="","",IF(OR($B1037="",$C1037="",$D1037=""),"Preencher tudo",IF($F1037="Código não cadastrado","Código inválido","OK")))</f>
        <v>0</v>
      </c>
    </row>
    <row r="1038" spans="1:8">
      <c r="A1038" s="16"/>
      <c r="B1038" s="15"/>
      <c r="C1038" s="20"/>
      <c r="D1038" s="22"/>
      <c r="E1038" s="15"/>
      <c r="F1038" s="23">
        <f>IF($B1038="","",IFERROR(INDEX(ProdNome,MATCH($B1038,ProdCod,0)),"Código não cadastrado"))</f>
        <v>0</v>
      </c>
      <c r="G1038" s="24">
        <f>IF(OR($B1038="",$D1038=""),"",$D1038*IFERROR(INDEX(ProdCusto,MATCH($B1038,ProdCod,0)),0))</f>
        <v>0</v>
      </c>
      <c r="H1038" s="25">
        <f>IF($A1038="","",IF(OR($B1038="",$C1038="",$D1038=""),"Preencher tudo",IF($F1038="Código não cadastrado","Código inválido","OK")))</f>
        <v>0</v>
      </c>
    </row>
    <row r="1039" spans="1:8">
      <c r="A1039" s="16"/>
      <c r="B1039" s="15"/>
      <c r="C1039" s="20"/>
      <c r="D1039" s="22"/>
      <c r="E1039" s="15"/>
      <c r="F1039" s="23">
        <f>IF($B1039="","",IFERROR(INDEX(ProdNome,MATCH($B1039,ProdCod,0)),"Código não cadastrado"))</f>
        <v>0</v>
      </c>
      <c r="G1039" s="24">
        <f>IF(OR($B1039="",$D1039=""),"",$D1039*IFERROR(INDEX(ProdCusto,MATCH($B1039,ProdCod,0)),0))</f>
        <v>0</v>
      </c>
      <c r="H1039" s="25">
        <f>IF($A1039="","",IF(OR($B1039="",$C1039="",$D1039=""),"Preencher tudo",IF($F1039="Código não cadastrado","Código inválido","OK")))</f>
        <v>0</v>
      </c>
    </row>
    <row r="1040" spans="1:8">
      <c r="A1040" s="16"/>
      <c r="B1040" s="15"/>
      <c r="C1040" s="20"/>
      <c r="D1040" s="22"/>
      <c r="E1040" s="15"/>
      <c r="F1040" s="23">
        <f>IF($B1040="","",IFERROR(INDEX(ProdNome,MATCH($B1040,ProdCod,0)),"Código não cadastrado"))</f>
        <v>0</v>
      </c>
      <c r="G1040" s="24">
        <f>IF(OR($B1040="",$D1040=""),"",$D1040*IFERROR(INDEX(ProdCusto,MATCH($B1040,ProdCod,0)),0))</f>
        <v>0</v>
      </c>
      <c r="H1040" s="25">
        <f>IF($A1040="","",IF(OR($B1040="",$C1040="",$D1040=""),"Preencher tudo",IF($F1040="Código não cadastrado","Código inválido","OK")))</f>
        <v>0</v>
      </c>
    </row>
    <row r="1041" spans="1:8">
      <c r="A1041" s="16"/>
      <c r="B1041" s="15"/>
      <c r="C1041" s="20"/>
      <c r="D1041" s="22"/>
      <c r="E1041" s="15"/>
      <c r="F1041" s="23">
        <f>IF($B1041="","",IFERROR(INDEX(ProdNome,MATCH($B1041,ProdCod,0)),"Código não cadastrado"))</f>
        <v>0</v>
      </c>
      <c r="G1041" s="24">
        <f>IF(OR($B1041="",$D1041=""),"",$D1041*IFERROR(INDEX(ProdCusto,MATCH($B1041,ProdCod,0)),0))</f>
        <v>0</v>
      </c>
      <c r="H1041" s="25">
        <f>IF($A1041="","",IF(OR($B1041="",$C1041="",$D1041=""),"Preencher tudo",IF($F1041="Código não cadastrado","Código inválido","OK")))</f>
        <v>0</v>
      </c>
    </row>
    <row r="1042" spans="1:8">
      <c r="A1042" s="16"/>
      <c r="B1042" s="15"/>
      <c r="C1042" s="20"/>
      <c r="D1042" s="22"/>
      <c r="E1042" s="15"/>
      <c r="F1042" s="23">
        <f>IF($B1042="","",IFERROR(INDEX(ProdNome,MATCH($B1042,ProdCod,0)),"Código não cadastrado"))</f>
        <v>0</v>
      </c>
      <c r="G1042" s="24">
        <f>IF(OR($B1042="",$D1042=""),"",$D1042*IFERROR(INDEX(ProdCusto,MATCH($B1042,ProdCod,0)),0))</f>
        <v>0</v>
      </c>
      <c r="H1042" s="25">
        <f>IF($A1042="","",IF(OR($B1042="",$C1042="",$D1042=""),"Preencher tudo",IF($F1042="Código não cadastrado","Código inválido","OK")))</f>
        <v>0</v>
      </c>
    </row>
    <row r="1043" spans="1:8">
      <c r="A1043" s="16"/>
      <c r="B1043" s="15"/>
      <c r="C1043" s="20"/>
      <c r="D1043" s="22"/>
      <c r="E1043" s="15"/>
      <c r="F1043" s="23">
        <f>IF($B1043="","",IFERROR(INDEX(ProdNome,MATCH($B1043,ProdCod,0)),"Código não cadastrado"))</f>
        <v>0</v>
      </c>
      <c r="G1043" s="24">
        <f>IF(OR($B1043="",$D1043=""),"",$D1043*IFERROR(INDEX(ProdCusto,MATCH($B1043,ProdCod,0)),0))</f>
        <v>0</v>
      </c>
      <c r="H1043" s="25">
        <f>IF($A1043="","",IF(OR($B1043="",$C1043="",$D1043=""),"Preencher tudo",IF($F1043="Código não cadastrado","Código inválido","OK")))</f>
        <v>0</v>
      </c>
    </row>
    <row r="1044" spans="1:8">
      <c r="A1044" s="16"/>
      <c r="B1044" s="15"/>
      <c r="C1044" s="20"/>
      <c r="D1044" s="22"/>
      <c r="E1044" s="15"/>
      <c r="F1044" s="23">
        <f>IF($B1044="","",IFERROR(INDEX(ProdNome,MATCH($B1044,ProdCod,0)),"Código não cadastrado"))</f>
        <v>0</v>
      </c>
      <c r="G1044" s="24">
        <f>IF(OR($B1044="",$D1044=""),"",$D1044*IFERROR(INDEX(ProdCusto,MATCH($B1044,ProdCod,0)),0))</f>
        <v>0</v>
      </c>
      <c r="H1044" s="25">
        <f>IF($A1044="","",IF(OR($B1044="",$C1044="",$D1044=""),"Preencher tudo",IF($F1044="Código não cadastrado","Código inválido","OK")))</f>
        <v>0</v>
      </c>
    </row>
    <row r="1045" spans="1:8">
      <c r="A1045" s="16"/>
      <c r="B1045" s="15"/>
      <c r="C1045" s="20"/>
      <c r="D1045" s="22"/>
      <c r="E1045" s="15"/>
      <c r="F1045" s="23">
        <f>IF($B1045="","",IFERROR(INDEX(ProdNome,MATCH($B1045,ProdCod,0)),"Código não cadastrado"))</f>
        <v>0</v>
      </c>
      <c r="G1045" s="24">
        <f>IF(OR($B1045="",$D1045=""),"",$D1045*IFERROR(INDEX(ProdCusto,MATCH($B1045,ProdCod,0)),0))</f>
        <v>0</v>
      </c>
      <c r="H1045" s="25">
        <f>IF($A1045="","",IF(OR($B1045="",$C1045="",$D1045=""),"Preencher tudo",IF($F1045="Código não cadastrado","Código inválido","OK")))</f>
        <v>0</v>
      </c>
    </row>
    <row r="1046" spans="1:8">
      <c r="A1046" s="16"/>
      <c r="B1046" s="15"/>
      <c r="C1046" s="20"/>
      <c r="D1046" s="22"/>
      <c r="E1046" s="15"/>
      <c r="F1046" s="23">
        <f>IF($B1046="","",IFERROR(INDEX(ProdNome,MATCH($B1046,ProdCod,0)),"Código não cadastrado"))</f>
        <v>0</v>
      </c>
      <c r="G1046" s="24">
        <f>IF(OR($B1046="",$D1046=""),"",$D1046*IFERROR(INDEX(ProdCusto,MATCH($B1046,ProdCod,0)),0))</f>
        <v>0</v>
      </c>
      <c r="H1046" s="25">
        <f>IF($A1046="","",IF(OR($B1046="",$C1046="",$D1046=""),"Preencher tudo",IF($F1046="Código não cadastrado","Código inválido","OK")))</f>
        <v>0</v>
      </c>
    </row>
    <row r="1047" spans="1:8">
      <c r="A1047" s="16"/>
      <c r="B1047" s="15"/>
      <c r="C1047" s="20"/>
      <c r="D1047" s="22"/>
      <c r="E1047" s="15"/>
      <c r="F1047" s="23">
        <f>IF($B1047="","",IFERROR(INDEX(ProdNome,MATCH($B1047,ProdCod,0)),"Código não cadastrado"))</f>
        <v>0</v>
      </c>
      <c r="G1047" s="24">
        <f>IF(OR($B1047="",$D1047=""),"",$D1047*IFERROR(INDEX(ProdCusto,MATCH($B1047,ProdCod,0)),0))</f>
        <v>0</v>
      </c>
      <c r="H1047" s="25">
        <f>IF($A1047="","",IF(OR($B1047="",$C1047="",$D1047=""),"Preencher tudo",IF($F1047="Código não cadastrado","Código inválido","OK")))</f>
        <v>0</v>
      </c>
    </row>
    <row r="1048" spans="1:8">
      <c r="A1048" s="16"/>
      <c r="B1048" s="15"/>
      <c r="C1048" s="20"/>
      <c r="D1048" s="22"/>
      <c r="E1048" s="15"/>
      <c r="F1048" s="23">
        <f>IF($B1048="","",IFERROR(INDEX(ProdNome,MATCH($B1048,ProdCod,0)),"Código não cadastrado"))</f>
        <v>0</v>
      </c>
      <c r="G1048" s="24">
        <f>IF(OR($B1048="",$D1048=""),"",$D1048*IFERROR(INDEX(ProdCusto,MATCH($B1048,ProdCod,0)),0))</f>
        <v>0</v>
      </c>
      <c r="H1048" s="25">
        <f>IF($A1048="","",IF(OR($B1048="",$C1048="",$D1048=""),"Preencher tudo",IF($F1048="Código não cadastrado","Código inválido","OK")))</f>
        <v>0</v>
      </c>
    </row>
    <row r="1049" spans="1:8">
      <c r="A1049" s="16"/>
      <c r="B1049" s="15"/>
      <c r="C1049" s="20"/>
      <c r="D1049" s="22"/>
      <c r="E1049" s="15"/>
      <c r="F1049" s="23">
        <f>IF($B1049="","",IFERROR(INDEX(ProdNome,MATCH($B1049,ProdCod,0)),"Código não cadastrado"))</f>
        <v>0</v>
      </c>
      <c r="G1049" s="24">
        <f>IF(OR($B1049="",$D1049=""),"",$D1049*IFERROR(INDEX(ProdCusto,MATCH($B1049,ProdCod,0)),0))</f>
        <v>0</v>
      </c>
      <c r="H1049" s="25">
        <f>IF($A1049="","",IF(OR($B1049="",$C1049="",$D1049=""),"Preencher tudo",IF($F1049="Código não cadastrado","Código inválido","OK")))</f>
        <v>0</v>
      </c>
    </row>
    <row r="1050" spans="1:8">
      <c r="A1050" s="16"/>
      <c r="B1050" s="15"/>
      <c r="C1050" s="20"/>
      <c r="D1050" s="22"/>
      <c r="E1050" s="15"/>
      <c r="F1050" s="23">
        <f>IF($B1050="","",IFERROR(INDEX(ProdNome,MATCH($B1050,ProdCod,0)),"Código não cadastrado"))</f>
        <v>0</v>
      </c>
      <c r="G1050" s="24">
        <f>IF(OR($B1050="",$D1050=""),"",$D1050*IFERROR(INDEX(ProdCusto,MATCH($B1050,ProdCod,0)),0))</f>
        <v>0</v>
      </c>
      <c r="H1050" s="25">
        <f>IF($A1050="","",IF(OR($B1050="",$C1050="",$D1050=""),"Preencher tudo",IF($F1050="Código não cadastrado","Código inválido","OK")))</f>
        <v>0</v>
      </c>
    </row>
    <row r="1051" spans="1:8">
      <c r="A1051" s="16"/>
      <c r="B1051" s="15"/>
      <c r="C1051" s="20"/>
      <c r="D1051" s="22"/>
      <c r="E1051" s="15"/>
      <c r="F1051" s="23">
        <f>IF($B1051="","",IFERROR(INDEX(ProdNome,MATCH($B1051,ProdCod,0)),"Código não cadastrado"))</f>
        <v>0</v>
      </c>
      <c r="G1051" s="24">
        <f>IF(OR($B1051="",$D1051=""),"",$D1051*IFERROR(INDEX(ProdCusto,MATCH($B1051,ProdCod,0)),0))</f>
        <v>0</v>
      </c>
      <c r="H1051" s="25">
        <f>IF($A1051="","",IF(OR($B1051="",$C1051="",$D1051=""),"Preencher tudo",IF($F1051="Código não cadastrado","Código inválido","OK")))</f>
        <v>0</v>
      </c>
    </row>
    <row r="1052" spans="1:8">
      <c r="A1052" s="16"/>
      <c r="B1052" s="15"/>
      <c r="C1052" s="20"/>
      <c r="D1052" s="22"/>
      <c r="E1052" s="15"/>
      <c r="F1052" s="23">
        <f>IF($B1052="","",IFERROR(INDEX(ProdNome,MATCH($B1052,ProdCod,0)),"Código não cadastrado"))</f>
        <v>0</v>
      </c>
      <c r="G1052" s="24">
        <f>IF(OR($B1052="",$D1052=""),"",$D1052*IFERROR(INDEX(ProdCusto,MATCH($B1052,ProdCod,0)),0))</f>
        <v>0</v>
      </c>
      <c r="H1052" s="25">
        <f>IF($A1052="","",IF(OR($B1052="",$C1052="",$D1052=""),"Preencher tudo",IF($F1052="Código não cadastrado","Código inválido","OK")))</f>
        <v>0</v>
      </c>
    </row>
    <row r="1053" spans="1:8">
      <c r="A1053" s="16"/>
      <c r="B1053" s="15"/>
      <c r="C1053" s="20"/>
      <c r="D1053" s="22"/>
      <c r="E1053" s="15"/>
      <c r="F1053" s="23">
        <f>IF($B1053="","",IFERROR(INDEX(ProdNome,MATCH($B1053,ProdCod,0)),"Código não cadastrado"))</f>
        <v>0</v>
      </c>
      <c r="G1053" s="24">
        <f>IF(OR($B1053="",$D1053=""),"",$D1053*IFERROR(INDEX(ProdCusto,MATCH($B1053,ProdCod,0)),0))</f>
        <v>0</v>
      </c>
      <c r="H1053" s="25">
        <f>IF($A1053="","",IF(OR($B1053="",$C1053="",$D1053=""),"Preencher tudo",IF($F1053="Código não cadastrado","Código inválido","OK")))</f>
        <v>0</v>
      </c>
    </row>
    <row r="1054" spans="1:8">
      <c r="A1054" s="16"/>
      <c r="B1054" s="15"/>
      <c r="C1054" s="20"/>
      <c r="D1054" s="22"/>
      <c r="E1054" s="15"/>
      <c r="F1054" s="23">
        <f>IF($B1054="","",IFERROR(INDEX(ProdNome,MATCH($B1054,ProdCod,0)),"Código não cadastrado"))</f>
        <v>0</v>
      </c>
      <c r="G1054" s="24">
        <f>IF(OR($B1054="",$D1054=""),"",$D1054*IFERROR(INDEX(ProdCusto,MATCH($B1054,ProdCod,0)),0))</f>
        <v>0</v>
      </c>
      <c r="H1054" s="25">
        <f>IF($A1054="","",IF(OR($B1054="",$C1054="",$D1054=""),"Preencher tudo",IF($F1054="Código não cadastrado","Código inválido","OK")))</f>
        <v>0</v>
      </c>
    </row>
    <row r="1055" spans="1:8">
      <c r="A1055" s="16"/>
      <c r="B1055" s="15"/>
      <c r="C1055" s="20"/>
      <c r="D1055" s="22"/>
      <c r="E1055" s="15"/>
      <c r="F1055" s="23">
        <f>IF($B1055="","",IFERROR(INDEX(ProdNome,MATCH($B1055,ProdCod,0)),"Código não cadastrado"))</f>
        <v>0</v>
      </c>
      <c r="G1055" s="24">
        <f>IF(OR($B1055="",$D1055=""),"",$D1055*IFERROR(INDEX(ProdCusto,MATCH($B1055,ProdCod,0)),0))</f>
        <v>0</v>
      </c>
      <c r="H1055" s="25">
        <f>IF($A1055="","",IF(OR($B1055="",$C1055="",$D1055=""),"Preencher tudo",IF($F1055="Código não cadastrado","Código inválido","OK")))</f>
        <v>0</v>
      </c>
    </row>
    <row r="1056" spans="1:8">
      <c r="A1056" s="16"/>
      <c r="B1056" s="15"/>
      <c r="C1056" s="20"/>
      <c r="D1056" s="22"/>
      <c r="E1056" s="15"/>
      <c r="F1056" s="23">
        <f>IF($B1056="","",IFERROR(INDEX(ProdNome,MATCH($B1056,ProdCod,0)),"Código não cadastrado"))</f>
        <v>0</v>
      </c>
      <c r="G1056" s="24">
        <f>IF(OR($B1056="",$D1056=""),"",$D1056*IFERROR(INDEX(ProdCusto,MATCH($B1056,ProdCod,0)),0))</f>
        <v>0</v>
      </c>
      <c r="H1056" s="25">
        <f>IF($A1056="","",IF(OR($B1056="",$C1056="",$D1056=""),"Preencher tudo",IF($F1056="Código não cadastrado","Código inválido","OK")))</f>
        <v>0</v>
      </c>
    </row>
    <row r="1057" spans="1:8">
      <c r="A1057" s="16"/>
      <c r="B1057" s="15"/>
      <c r="C1057" s="20"/>
      <c r="D1057" s="22"/>
      <c r="E1057" s="15"/>
      <c r="F1057" s="23">
        <f>IF($B1057="","",IFERROR(INDEX(ProdNome,MATCH($B1057,ProdCod,0)),"Código não cadastrado"))</f>
        <v>0</v>
      </c>
      <c r="G1057" s="24">
        <f>IF(OR($B1057="",$D1057=""),"",$D1057*IFERROR(INDEX(ProdCusto,MATCH($B1057,ProdCod,0)),0))</f>
        <v>0</v>
      </c>
      <c r="H1057" s="25">
        <f>IF($A1057="","",IF(OR($B1057="",$C1057="",$D1057=""),"Preencher tudo",IF($F1057="Código não cadastrado","Código inválido","OK")))</f>
        <v>0</v>
      </c>
    </row>
    <row r="1058" spans="1:8">
      <c r="A1058" s="16"/>
      <c r="B1058" s="15"/>
      <c r="C1058" s="20"/>
      <c r="D1058" s="22"/>
      <c r="E1058" s="15"/>
      <c r="F1058" s="23">
        <f>IF($B1058="","",IFERROR(INDEX(ProdNome,MATCH($B1058,ProdCod,0)),"Código não cadastrado"))</f>
        <v>0</v>
      </c>
      <c r="G1058" s="24">
        <f>IF(OR($B1058="",$D1058=""),"",$D1058*IFERROR(INDEX(ProdCusto,MATCH($B1058,ProdCod,0)),0))</f>
        <v>0</v>
      </c>
      <c r="H1058" s="25">
        <f>IF($A1058="","",IF(OR($B1058="",$C1058="",$D1058=""),"Preencher tudo",IF($F1058="Código não cadastrado","Código inválido","OK")))</f>
        <v>0</v>
      </c>
    </row>
    <row r="1059" spans="1:8">
      <c r="A1059" s="16"/>
      <c r="B1059" s="15"/>
      <c r="C1059" s="20"/>
      <c r="D1059" s="22"/>
      <c r="E1059" s="15"/>
      <c r="F1059" s="23">
        <f>IF($B1059="","",IFERROR(INDEX(ProdNome,MATCH($B1059,ProdCod,0)),"Código não cadastrado"))</f>
        <v>0</v>
      </c>
      <c r="G1059" s="24">
        <f>IF(OR($B1059="",$D1059=""),"",$D1059*IFERROR(INDEX(ProdCusto,MATCH($B1059,ProdCod,0)),0))</f>
        <v>0</v>
      </c>
      <c r="H1059" s="25">
        <f>IF($A1059="","",IF(OR($B1059="",$C1059="",$D1059=""),"Preencher tudo",IF($F1059="Código não cadastrado","Código inválido","OK")))</f>
        <v>0</v>
      </c>
    </row>
    <row r="1060" spans="1:8">
      <c r="A1060" s="16"/>
      <c r="B1060" s="15"/>
      <c r="C1060" s="20"/>
      <c r="D1060" s="22"/>
      <c r="E1060" s="15"/>
      <c r="F1060" s="23">
        <f>IF($B1060="","",IFERROR(INDEX(ProdNome,MATCH($B1060,ProdCod,0)),"Código não cadastrado"))</f>
        <v>0</v>
      </c>
      <c r="G1060" s="24">
        <f>IF(OR($B1060="",$D1060=""),"",$D1060*IFERROR(INDEX(ProdCusto,MATCH($B1060,ProdCod,0)),0))</f>
        <v>0</v>
      </c>
      <c r="H1060" s="25">
        <f>IF($A1060="","",IF(OR($B1060="",$C1060="",$D1060=""),"Preencher tudo",IF($F1060="Código não cadastrado","Código inválido","OK")))</f>
        <v>0</v>
      </c>
    </row>
    <row r="1061" spans="1:8">
      <c r="A1061" s="16"/>
      <c r="B1061" s="15"/>
      <c r="C1061" s="20"/>
      <c r="D1061" s="22"/>
      <c r="E1061" s="15"/>
      <c r="F1061" s="23">
        <f>IF($B1061="","",IFERROR(INDEX(ProdNome,MATCH($B1061,ProdCod,0)),"Código não cadastrado"))</f>
        <v>0</v>
      </c>
      <c r="G1061" s="24">
        <f>IF(OR($B1061="",$D1061=""),"",$D1061*IFERROR(INDEX(ProdCusto,MATCH($B1061,ProdCod,0)),0))</f>
        <v>0</v>
      </c>
      <c r="H1061" s="25">
        <f>IF($A1061="","",IF(OR($B1061="",$C1061="",$D1061=""),"Preencher tudo",IF($F1061="Código não cadastrado","Código inválido","OK")))</f>
        <v>0</v>
      </c>
    </row>
    <row r="1062" spans="1:8">
      <c r="A1062" s="16"/>
      <c r="B1062" s="15"/>
      <c r="C1062" s="20"/>
      <c r="D1062" s="22"/>
      <c r="E1062" s="15"/>
      <c r="F1062" s="23">
        <f>IF($B1062="","",IFERROR(INDEX(ProdNome,MATCH($B1062,ProdCod,0)),"Código não cadastrado"))</f>
        <v>0</v>
      </c>
      <c r="G1062" s="24">
        <f>IF(OR($B1062="",$D1062=""),"",$D1062*IFERROR(INDEX(ProdCusto,MATCH($B1062,ProdCod,0)),0))</f>
        <v>0</v>
      </c>
      <c r="H1062" s="25">
        <f>IF($A1062="","",IF(OR($B1062="",$C1062="",$D1062=""),"Preencher tudo",IF($F1062="Código não cadastrado","Código inválido","OK")))</f>
        <v>0</v>
      </c>
    </row>
    <row r="1063" spans="1:8">
      <c r="A1063" s="16"/>
      <c r="B1063" s="15"/>
      <c r="C1063" s="20"/>
      <c r="D1063" s="22"/>
      <c r="E1063" s="15"/>
      <c r="F1063" s="23">
        <f>IF($B1063="","",IFERROR(INDEX(ProdNome,MATCH($B1063,ProdCod,0)),"Código não cadastrado"))</f>
        <v>0</v>
      </c>
      <c r="G1063" s="24">
        <f>IF(OR($B1063="",$D1063=""),"",$D1063*IFERROR(INDEX(ProdCusto,MATCH($B1063,ProdCod,0)),0))</f>
        <v>0</v>
      </c>
      <c r="H1063" s="25">
        <f>IF($A1063="","",IF(OR($B1063="",$C1063="",$D1063=""),"Preencher tudo",IF($F1063="Código não cadastrado","Código inválido","OK")))</f>
        <v>0</v>
      </c>
    </row>
    <row r="1064" spans="1:8">
      <c r="A1064" s="16"/>
      <c r="B1064" s="15"/>
      <c r="C1064" s="20"/>
      <c r="D1064" s="22"/>
      <c r="E1064" s="15"/>
      <c r="F1064" s="23">
        <f>IF($B1064="","",IFERROR(INDEX(ProdNome,MATCH($B1064,ProdCod,0)),"Código não cadastrado"))</f>
        <v>0</v>
      </c>
      <c r="G1064" s="24">
        <f>IF(OR($B1064="",$D1064=""),"",$D1064*IFERROR(INDEX(ProdCusto,MATCH($B1064,ProdCod,0)),0))</f>
        <v>0</v>
      </c>
      <c r="H1064" s="25">
        <f>IF($A1064="","",IF(OR($B1064="",$C1064="",$D1064=""),"Preencher tudo",IF($F1064="Código não cadastrado","Código inválido","OK")))</f>
        <v>0</v>
      </c>
    </row>
    <row r="1065" spans="1:8">
      <c r="A1065" s="16"/>
      <c r="B1065" s="15"/>
      <c r="C1065" s="20"/>
      <c r="D1065" s="22"/>
      <c r="E1065" s="15"/>
      <c r="F1065" s="23">
        <f>IF($B1065="","",IFERROR(INDEX(ProdNome,MATCH($B1065,ProdCod,0)),"Código não cadastrado"))</f>
        <v>0</v>
      </c>
      <c r="G1065" s="24">
        <f>IF(OR($B1065="",$D1065=""),"",$D1065*IFERROR(INDEX(ProdCusto,MATCH($B1065,ProdCod,0)),0))</f>
        <v>0</v>
      </c>
      <c r="H1065" s="25">
        <f>IF($A1065="","",IF(OR($B1065="",$C1065="",$D1065=""),"Preencher tudo",IF($F1065="Código não cadastrado","Código inválido","OK")))</f>
        <v>0</v>
      </c>
    </row>
    <row r="1066" spans="1:8">
      <c r="A1066" s="16"/>
      <c r="B1066" s="15"/>
      <c r="C1066" s="20"/>
      <c r="D1066" s="22"/>
      <c r="E1066" s="15"/>
      <c r="F1066" s="23">
        <f>IF($B1066="","",IFERROR(INDEX(ProdNome,MATCH($B1066,ProdCod,0)),"Código não cadastrado"))</f>
        <v>0</v>
      </c>
      <c r="G1066" s="24">
        <f>IF(OR($B1066="",$D1066=""),"",$D1066*IFERROR(INDEX(ProdCusto,MATCH($B1066,ProdCod,0)),0))</f>
        <v>0</v>
      </c>
      <c r="H1066" s="25">
        <f>IF($A1066="","",IF(OR($B1066="",$C1066="",$D1066=""),"Preencher tudo",IF($F1066="Código não cadastrado","Código inválido","OK")))</f>
        <v>0</v>
      </c>
    </row>
    <row r="1067" spans="1:8">
      <c r="A1067" s="16"/>
      <c r="B1067" s="15"/>
      <c r="C1067" s="20"/>
      <c r="D1067" s="22"/>
      <c r="E1067" s="15"/>
      <c r="F1067" s="23">
        <f>IF($B1067="","",IFERROR(INDEX(ProdNome,MATCH($B1067,ProdCod,0)),"Código não cadastrado"))</f>
        <v>0</v>
      </c>
      <c r="G1067" s="24">
        <f>IF(OR($B1067="",$D1067=""),"",$D1067*IFERROR(INDEX(ProdCusto,MATCH($B1067,ProdCod,0)),0))</f>
        <v>0</v>
      </c>
      <c r="H1067" s="25">
        <f>IF($A1067="","",IF(OR($B1067="",$C1067="",$D1067=""),"Preencher tudo",IF($F1067="Código não cadastrado","Código inválido","OK")))</f>
        <v>0</v>
      </c>
    </row>
    <row r="1068" spans="1:8">
      <c r="A1068" s="16"/>
      <c r="B1068" s="15"/>
      <c r="C1068" s="20"/>
      <c r="D1068" s="22"/>
      <c r="E1068" s="15"/>
      <c r="F1068" s="23">
        <f>IF($B1068="","",IFERROR(INDEX(ProdNome,MATCH($B1068,ProdCod,0)),"Código não cadastrado"))</f>
        <v>0</v>
      </c>
      <c r="G1068" s="24">
        <f>IF(OR($B1068="",$D1068=""),"",$D1068*IFERROR(INDEX(ProdCusto,MATCH($B1068,ProdCod,0)),0))</f>
        <v>0</v>
      </c>
      <c r="H1068" s="25">
        <f>IF($A1068="","",IF(OR($B1068="",$C1068="",$D1068=""),"Preencher tudo",IF($F1068="Código não cadastrado","Código inválido","OK")))</f>
        <v>0</v>
      </c>
    </row>
    <row r="1069" spans="1:8">
      <c r="A1069" s="16"/>
      <c r="B1069" s="15"/>
      <c r="C1069" s="20"/>
      <c r="D1069" s="22"/>
      <c r="E1069" s="15"/>
      <c r="F1069" s="23">
        <f>IF($B1069="","",IFERROR(INDEX(ProdNome,MATCH($B1069,ProdCod,0)),"Código não cadastrado"))</f>
        <v>0</v>
      </c>
      <c r="G1069" s="24">
        <f>IF(OR($B1069="",$D1069=""),"",$D1069*IFERROR(INDEX(ProdCusto,MATCH($B1069,ProdCod,0)),0))</f>
        <v>0</v>
      </c>
      <c r="H1069" s="25">
        <f>IF($A1069="","",IF(OR($B1069="",$C1069="",$D1069=""),"Preencher tudo",IF($F1069="Código não cadastrado","Código inválido","OK")))</f>
        <v>0</v>
      </c>
    </row>
    <row r="1070" spans="1:8">
      <c r="A1070" s="16"/>
      <c r="B1070" s="15"/>
      <c r="C1070" s="20"/>
      <c r="D1070" s="22"/>
      <c r="E1070" s="15"/>
      <c r="F1070" s="23">
        <f>IF($B1070="","",IFERROR(INDEX(ProdNome,MATCH($B1070,ProdCod,0)),"Código não cadastrado"))</f>
        <v>0</v>
      </c>
      <c r="G1070" s="24">
        <f>IF(OR($B1070="",$D1070=""),"",$D1070*IFERROR(INDEX(ProdCusto,MATCH($B1070,ProdCod,0)),0))</f>
        <v>0</v>
      </c>
      <c r="H1070" s="25">
        <f>IF($A1070="","",IF(OR($B1070="",$C1070="",$D1070=""),"Preencher tudo",IF($F1070="Código não cadastrado","Código inválido","OK")))</f>
        <v>0</v>
      </c>
    </row>
    <row r="1071" spans="1:8">
      <c r="A1071" s="16"/>
      <c r="B1071" s="15"/>
      <c r="C1071" s="20"/>
      <c r="D1071" s="22"/>
      <c r="E1071" s="15"/>
      <c r="F1071" s="23">
        <f>IF($B1071="","",IFERROR(INDEX(ProdNome,MATCH($B1071,ProdCod,0)),"Código não cadastrado"))</f>
        <v>0</v>
      </c>
      <c r="G1071" s="24">
        <f>IF(OR($B1071="",$D1071=""),"",$D1071*IFERROR(INDEX(ProdCusto,MATCH($B1071,ProdCod,0)),0))</f>
        <v>0</v>
      </c>
      <c r="H1071" s="25">
        <f>IF($A1071="","",IF(OR($B1071="",$C1071="",$D1071=""),"Preencher tudo",IF($F1071="Código não cadastrado","Código inválido","OK")))</f>
        <v>0</v>
      </c>
    </row>
    <row r="1072" spans="1:8">
      <c r="A1072" s="16"/>
      <c r="B1072" s="15"/>
      <c r="C1072" s="20"/>
      <c r="D1072" s="22"/>
      <c r="E1072" s="15"/>
      <c r="F1072" s="23">
        <f>IF($B1072="","",IFERROR(INDEX(ProdNome,MATCH($B1072,ProdCod,0)),"Código não cadastrado"))</f>
        <v>0</v>
      </c>
      <c r="G1072" s="24">
        <f>IF(OR($B1072="",$D1072=""),"",$D1072*IFERROR(INDEX(ProdCusto,MATCH($B1072,ProdCod,0)),0))</f>
        <v>0</v>
      </c>
      <c r="H1072" s="25">
        <f>IF($A1072="","",IF(OR($B1072="",$C1072="",$D1072=""),"Preencher tudo",IF($F1072="Código não cadastrado","Código inválido","OK")))</f>
        <v>0</v>
      </c>
    </row>
    <row r="1073" spans="1:8">
      <c r="A1073" s="16"/>
      <c r="B1073" s="15"/>
      <c r="C1073" s="20"/>
      <c r="D1073" s="22"/>
      <c r="E1073" s="15"/>
      <c r="F1073" s="23">
        <f>IF($B1073="","",IFERROR(INDEX(ProdNome,MATCH($B1073,ProdCod,0)),"Código não cadastrado"))</f>
        <v>0</v>
      </c>
      <c r="G1073" s="24">
        <f>IF(OR($B1073="",$D1073=""),"",$D1073*IFERROR(INDEX(ProdCusto,MATCH($B1073,ProdCod,0)),0))</f>
        <v>0</v>
      </c>
      <c r="H1073" s="25">
        <f>IF($A1073="","",IF(OR($B1073="",$C1073="",$D1073=""),"Preencher tudo",IF($F1073="Código não cadastrado","Código inválido","OK")))</f>
        <v>0</v>
      </c>
    </row>
    <row r="1074" spans="1:8">
      <c r="A1074" s="16"/>
      <c r="B1074" s="15"/>
      <c r="C1074" s="20"/>
      <c r="D1074" s="22"/>
      <c r="E1074" s="15"/>
      <c r="F1074" s="23">
        <f>IF($B1074="","",IFERROR(INDEX(ProdNome,MATCH($B1074,ProdCod,0)),"Código não cadastrado"))</f>
        <v>0</v>
      </c>
      <c r="G1074" s="24">
        <f>IF(OR($B1074="",$D1074=""),"",$D1074*IFERROR(INDEX(ProdCusto,MATCH($B1074,ProdCod,0)),0))</f>
        <v>0</v>
      </c>
      <c r="H1074" s="25">
        <f>IF($A1074="","",IF(OR($B1074="",$C1074="",$D1074=""),"Preencher tudo",IF($F1074="Código não cadastrado","Código inválido","OK")))</f>
        <v>0</v>
      </c>
    </row>
    <row r="1075" spans="1:8">
      <c r="A1075" s="16"/>
      <c r="B1075" s="15"/>
      <c r="C1075" s="20"/>
      <c r="D1075" s="22"/>
      <c r="E1075" s="15"/>
      <c r="F1075" s="23">
        <f>IF($B1075="","",IFERROR(INDEX(ProdNome,MATCH($B1075,ProdCod,0)),"Código não cadastrado"))</f>
        <v>0</v>
      </c>
      <c r="G1075" s="24">
        <f>IF(OR($B1075="",$D1075=""),"",$D1075*IFERROR(INDEX(ProdCusto,MATCH($B1075,ProdCod,0)),0))</f>
        <v>0</v>
      </c>
      <c r="H1075" s="25">
        <f>IF($A1075="","",IF(OR($B1075="",$C1075="",$D1075=""),"Preencher tudo",IF($F1075="Código não cadastrado","Código inválido","OK")))</f>
        <v>0</v>
      </c>
    </row>
    <row r="1076" spans="1:8">
      <c r="A1076" s="16"/>
      <c r="B1076" s="15"/>
      <c r="C1076" s="20"/>
      <c r="D1076" s="22"/>
      <c r="E1076" s="15"/>
      <c r="F1076" s="23">
        <f>IF($B1076="","",IFERROR(INDEX(ProdNome,MATCH($B1076,ProdCod,0)),"Código não cadastrado"))</f>
        <v>0</v>
      </c>
      <c r="G1076" s="24">
        <f>IF(OR($B1076="",$D1076=""),"",$D1076*IFERROR(INDEX(ProdCusto,MATCH($B1076,ProdCod,0)),0))</f>
        <v>0</v>
      </c>
      <c r="H1076" s="25">
        <f>IF($A1076="","",IF(OR($B1076="",$C1076="",$D1076=""),"Preencher tudo",IF($F1076="Código não cadastrado","Código inválido","OK")))</f>
        <v>0</v>
      </c>
    </row>
    <row r="1077" spans="1:8">
      <c r="A1077" s="16"/>
      <c r="B1077" s="15"/>
      <c r="C1077" s="20"/>
      <c r="D1077" s="22"/>
      <c r="E1077" s="15"/>
      <c r="F1077" s="23">
        <f>IF($B1077="","",IFERROR(INDEX(ProdNome,MATCH($B1077,ProdCod,0)),"Código não cadastrado"))</f>
        <v>0</v>
      </c>
      <c r="G1077" s="24">
        <f>IF(OR($B1077="",$D1077=""),"",$D1077*IFERROR(INDEX(ProdCusto,MATCH($B1077,ProdCod,0)),0))</f>
        <v>0</v>
      </c>
      <c r="H1077" s="25">
        <f>IF($A1077="","",IF(OR($B1077="",$C1077="",$D1077=""),"Preencher tudo",IF($F1077="Código não cadastrado","Código inválido","OK")))</f>
        <v>0</v>
      </c>
    </row>
    <row r="1078" spans="1:8">
      <c r="A1078" s="16"/>
      <c r="B1078" s="15"/>
      <c r="C1078" s="20"/>
      <c r="D1078" s="22"/>
      <c r="E1078" s="15"/>
      <c r="F1078" s="23">
        <f>IF($B1078="","",IFERROR(INDEX(ProdNome,MATCH($B1078,ProdCod,0)),"Código não cadastrado"))</f>
        <v>0</v>
      </c>
      <c r="G1078" s="24">
        <f>IF(OR($B1078="",$D1078=""),"",$D1078*IFERROR(INDEX(ProdCusto,MATCH($B1078,ProdCod,0)),0))</f>
        <v>0</v>
      </c>
      <c r="H1078" s="25">
        <f>IF($A1078="","",IF(OR($B1078="",$C1078="",$D1078=""),"Preencher tudo",IF($F1078="Código não cadastrado","Código inválido","OK")))</f>
        <v>0</v>
      </c>
    </row>
    <row r="1079" spans="1:8">
      <c r="A1079" s="16"/>
      <c r="B1079" s="15"/>
      <c r="C1079" s="20"/>
      <c r="D1079" s="22"/>
      <c r="E1079" s="15"/>
      <c r="F1079" s="23">
        <f>IF($B1079="","",IFERROR(INDEX(ProdNome,MATCH($B1079,ProdCod,0)),"Código não cadastrado"))</f>
        <v>0</v>
      </c>
      <c r="G1079" s="24">
        <f>IF(OR($B1079="",$D1079=""),"",$D1079*IFERROR(INDEX(ProdCusto,MATCH($B1079,ProdCod,0)),0))</f>
        <v>0</v>
      </c>
      <c r="H1079" s="25">
        <f>IF($A1079="","",IF(OR($B1079="",$C1079="",$D1079=""),"Preencher tudo",IF($F1079="Código não cadastrado","Código inválido","OK")))</f>
        <v>0</v>
      </c>
    </row>
    <row r="1080" spans="1:8">
      <c r="A1080" s="16"/>
      <c r="B1080" s="15"/>
      <c r="C1080" s="20"/>
      <c r="D1080" s="22"/>
      <c r="E1080" s="15"/>
      <c r="F1080" s="23">
        <f>IF($B1080="","",IFERROR(INDEX(ProdNome,MATCH($B1080,ProdCod,0)),"Código não cadastrado"))</f>
        <v>0</v>
      </c>
      <c r="G1080" s="24">
        <f>IF(OR($B1080="",$D1080=""),"",$D1080*IFERROR(INDEX(ProdCusto,MATCH($B1080,ProdCod,0)),0))</f>
        <v>0</v>
      </c>
      <c r="H1080" s="25">
        <f>IF($A1080="","",IF(OR($B1080="",$C1080="",$D1080=""),"Preencher tudo",IF($F1080="Código não cadastrado","Código inválido","OK")))</f>
        <v>0</v>
      </c>
    </row>
    <row r="1081" spans="1:8">
      <c r="A1081" s="16"/>
      <c r="B1081" s="15"/>
      <c r="C1081" s="20"/>
      <c r="D1081" s="22"/>
      <c r="E1081" s="15"/>
      <c r="F1081" s="23">
        <f>IF($B1081="","",IFERROR(INDEX(ProdNome,MATCH($B1081,ProdCod,0)),"Código não cadastrado"))</f>
        <v>0</v>
      </c>
      <c r="G1081" s="24">
        <f>IF(OR($B1081="",$D1081=""),"",$D1081*IFERROR(INDEX(ProdCusto,MATCH($B1081,ProdCod,0)),0))</f>
        <v>0</v>
      </c>
      <c r="H1081" s="25">
        <f>IF($A1081="","",IF(OR($B1081="",$C1081="",$D1081=""),"Preencher tudo",IF($F1081="Código não cadastrado","Código inválido","OK")))</f>
        <v>0</v>
      </c>
    </row>
    <row r="1082" spans="1:8">
      <c r="A1082" s="16"/>
      <c r="B1082" s="15"/>
      <c r="C1082" s="20"/>
      <c r="D1082" s="22"/>
      <c r="E1082" s="15"/>
      <c r="F1082" s="23">
        <f>IF($B1082="","",IFERROR(INDEX(ProdNome,MATCH($B1082,ProdCod,0)),"Código não cadastrado"))</f>
        <v>0</v>
      </c>
      <c r="G1082" s="24">
        <f>IF(OR($B1082="",$D1082=""),"",$D1082*IFERROR(INDEX(ProdCusto,MATCH($B1082,ProdCod,0)),0))</f>
        <v>0</v>
      </c>
      <c r="H1082" s="25">
        <f>IF($A1082="","",IF(OR($B1082="",$C1082="",$D1082=""),"Preencher tudo",IF($F1082="Código não cadastrado","Código inválido","OK")))</f>
        <v>0</v>
      </c>
    </row>
    <row r="1083" spans="1:8">
      <c r="A1083" s="16"/>
      <c r="B1083" s="15"/>
      <c r="C1083" s="20"/>
      <c r="D1083" s="22"/>
      <c r="E1083" s="15"/>
      <c r="F1083" s="23">
        <f>IF($B1083="","",IFERROR(INDEX(ProdNome,MATCH($B1083,ProdCod,0)),"Código não cadastrado"))</f>
        <v>0</v>
      </c>
      <c r="G1083" s="24">
        <f>IF(OR($B1083="",$D1083=""),"",$D1083*IFERROR(INDEX(ProdCusto,MATCH($B1083,ProdCod,0)),0))</f>
        <v>0</v>
      </c>
      <c r="H1083" s="25">
        <f>IF($A1083="","",IF(OR($B1083="",$C1083="",$D1083=""),"Preencher tudo",IF($F1083="Código não cadastrado","Código inválido","OK")))</f>
        <v>0</v>
      </c>
    </row>
    <row r="1084" spans="1:8">
      <c r="A1084" s="16"/>
      <c r="B1084" s="15"/>
      <c r="C1084" s="20"/>
      <c r="D1084" s="22"/>
      <c r="E1084" s="15"/>
      <c r="F1084" s="23">
        <f>IF($B1084="","",IFERROR(INDEX(ProdNome,MATCH($B1084,ProdCod,0)),"Código não cadastrado"))</f>
        <v>0</v>
      </c>
      <c r="G1084" s="24">
        <f>IF(OR($B1084="",$D1084=""),"",$D1084*IFERROR(INDEX(ProdCusto,MATCH($B1084,ProdCod,0)),0))</f>
        <v>0</v>
      </c>
      <c r="H1084" s="25">
        <f>IF($A1084="","",IF(OR($B1084="",$C1084="",$D1084=""),"Preencher tudo",IF($F1084="Código não cadastrado","Código inválido","OK")))</f>
        <v>0</v>
      </c>
    </row>
    <row r="1085" spans="1:8">
      <c r="A1085" s="16"/>
      <c r="B1085" s="15"/>
      <c r="C1085" s="20"/>
      <c r="D1085" s="22"/>
      <c r="E1085" s="15"/>
      <c r="F1085" s="23">
        <f>IF($B1085="","",IFERROR(INDEX(ProdNome,MATCH($B1085,ProdCod,0)),"Código não cadastrado"))</f>
        <v>0</v>
      </c>
      <c r="G1085" s="24">
        <f>IF(OR($B1085="",$D1085=""),"",$D1085*IFERROR(INDEX(ProdCusto,MATCH($B1085,ProdCod,0)),0))</f>
        <v>0</v>
      </c>
      <c r="H1085" s="25">
        <f>IF($A1085="","",IF(OR($B1085="",$C1085="",$D1085=""),"Preencher tudo",IF($F1085="Código não cadastrado","Código inválido","OK")))</f>
        <v>0</v>
      </c>
    </row>
    <row r="1086" spans="1:8">
      <c r="A1086" s="16"/>
      <c r="B1086" s="15"/>
      <c r="C1086" s="20"/>
      <c r="D1086" s="22"/>
      <c r="E1086" s="15"/>
      <c r="F1086" s="23">
        <f>IF($B1086="","",IFERROR(INDEX(ProdNome,MATCH($B1086,ProdCod,0)),"Código não cadastrado"))</f>
        <v>0</v>
      </c>
      <c r="G1086" s="24">
        <f>IF(OR($B1086="",$D1086=""),"",$D1086*IFERROR(INDEX(ProdCusto,MATCH($B1086,ProdCod,0)),0))</f>
        <v>0</v>
      </c>
      <c r="H1086" s="25">
        <f>IF($A1086="","",IF(OR($B1086="",$C1086="",$D1086=""),"Preencher tudo",IF($F1086="Código não cadastrado","Código inválido","OK")))</f>
        <v>0</v>
      </c>
    </row>
    <row r="1087" spans="1:8">
      <c r="A1087" s="16"/>
      <c r="B1087" s="15"/>
      <c r="C1087" s="20"/>
      <c r="D1087" s="22"/>
      <c r="E1087" s="15"/>
      <c r="F1087" s="23">
        <f>IF($B1087="","",IFERROR(INDEX(ProdNome,MATCH($B1087,ProdCod,0)),"Código não cadastrado"))</f>
        <v>0</v>
      </c>
      <c r="G1087" s="24">
        <f>IF(OR($B1087="",$D1087=""),"",$D1087*IFERROR(INDEX(ProdCusto,MATCH($B1087,ProdCod,0)),0))</f>
        <v>0</v>
      </c>
      <c r="H1087" s="25">
        <f>IF($A1087="","",IF(OR($B1087="",$C1087="",$D1087=""),"Preencher tudo",IF($F1087="Código não cadastrado","Código inválido","OK")))</f>
        <v>0</v>
      </c>
    </row>
    <row r="1088" spans="1:8">
      <c r="A1088" s="16"/>
      <c r="B1088" s="15"/>
      <c r="C1088" s="20"/>
      <c r="D1088" s="22"/>
      <c r="E1088" s="15"/>
      <c r="F1088" s="23">
        <f>IF($B1088="","",IFERROR(INDEX(ProdNome,MATCH($B1088,ProdCod,0)),"Código não cadastrado"))</f>
        <v>0</v>
      </c>
      <c r="G1088" s="24">
        <f>IF(OR($B1088="",$D1088=""),"",$D1088*IFERROR(INDEX(ProdCusto,MATCH($B1088,ProdCod,0)),0))</f>
        <v>0</v>
      </c>
      <c r="H1088" s="25">
        <f>IF($A1088="","",IF(OR($B1088="",$C1088="",$D1088=""),"Preencher tudo",IF($F1088="Código não cadastrado","Código inválido","OK")))</f>
        <v>0</v>
      </c>
    </row>
    <row r="1089" spans="1:8">
      <c r="A1089" s="16"/>
      <c r="B1089" s="15"/>
      <c r="C1089" s="20"/>
      <c r="D1089" s="22"/>
      <c r="E1089" s="15"/>
      <c r="F1089" s="23">
        <f>IF($B1089="","",IFERROR(INDEX(ProdNome,MATCH($B1089,ProdCod,0)),"Código não cadastrado"))</f>
        <v>0</v>
      </c>
      <c r="G1089" s="24">
        <f>IF(OR($B1089="",$D1089=""),"",$D1089*IFERROR(INDEX(ProdCusto,MATCH($B1089,ProdCod,0)),0))</f>
        <v>0</v>
      </c>
      <c r="H1089" s="25">
        <f>IF($A1089="","",IF(OR($B1089="",$C1089="",$D1089=""),"Preencher tudo",IF($F1089="Código não cadastrado","Código inválido","OK")))</f>
        <v>0</v>
      </c>
    </row>
    <row r="1090" spans="1:8">
      <c r="A1090" s="16"/>
      <c r="B1090" s="15"/>
      <c r="C1090" s="20"/>
      <c r="D1090" s="22"/>
      <c r="E1090" s="15"/>
      <c r="F1090" s="23">
        <f>IF($B1090="","",IFERROR(INDEX(ProdNome,MATCH($B1090,ProdCod,0)),"Código não cadastrado"))</f>
        <v>0</v>
      </c>
      <c r="G1090" s="24">
        <f>IF(OR($B1090="",$D1090=""),"",$D1090*IFERROR(INDEX(ProdCusto,MATCH($B1090,ProdCod,0)),0))</f>
        <v>0</v>
      </c>
      <c r="H1090" s="25">
        <f>IF($A1090="","",IF(OR($B1090="",$C1090="",$D1090=""),"Preencher tudo",IF($F1090="Código não cadastrado","Código inválido","OK")))</f>
        <v>0</v>
      </c>
    </row>
    <row r="1091" spans="1:8">
      <c r="A1091" s="16"/>
      <c r="B1091" s="15"/>
      <c r="C1091" s="20"/>
      <c r="D1091" s="22"/>
      <c r="E1091" s="15"/>
      <c r="F1091" s="23">
        <f>IF($B1091="","",IFERROR(INDEX(ProdNome,MATCH($B1091,ProdCod,0)),"Código não cadastrado"))</f>
        <v>0</v>
      </c>
      <c r="G1091" s="24">
        <f>IF(OR($B1091="",$D1091=""),"",$D1091*IFERROR(INDEX(ProdCusto,MATCH($B1091,ProdCod,0)),0))</f>
        <v>0</v>
      </c>
      <c r="H1091" s="25">
        <f>IF($A1091="","",IF(OR($B1091="",$C1091="",$D1091=""),"Preencher tudo",IF($F1091="Código não cadastrado","Código inválido","OK")))</f>
        <v>0</v>
      </c>
    </row>
    <row r="1092" spans="1:8">
      <c r="A1092" s="16"/>
      <c r="B1092" s="15"/>
      <c r="C1092" s="20"/>
      <c r="D1092" s="22"/>
      <c r="E1092" s="15"/>
      <c r="F1092" s="23">
        <f>IF($B1092="","",IFERROR(INDEX(ProdNome,MATCH($B1092,ProdCod,0)),"Código não cadastrado"))</f>
        <v>0</v>
      </c>
      <c r="G1092" s="24">
        <f>IF(OR($B1092="",$D1092=""),"",$D1092*IFERROR(INDEX(ProdCusto,MATCH($B1092,ProdCod,0)),0))</f>
        <v>0</v>
      </c>
      <c r="H1092" s="25">
        <f>IF($A1092="","",IF(OR($B1092="",$C1092="",$D1092=""),"Preencher tudo",IF($F1092="Código não cadastrado","Código inválido","OK")))</f>
        <v>0</v>
      </c>
    </row>
    <row r="1093" spans="1:8">
      <c r="A1093" s="16"/>
      <c r="B1093" s="15"/>
      <c r="C1093" s="20"/>
      <c r="D1093" s="22"/>
      <c r="E1093" s="15"/>
      <c r="F1093" s="23">
        <f>IF($B1093="","",IFERROR(INDEX(ProdNome,MATCH($B1093,ProdCod,0)),"Código não cadastrado"))</f>
        <v>0</v>
      </c>
      <c r="G1093" s="24">
        <f>IF(OR($B1093="",$D1093=""),"",$D1093*IFERROR(INDEX(ProdCusto,MATCH($B1093,ProdCod,0)),0))</f>
        <v>0</v>
      </c>
      <c r="H1093" s="25">
        <f>IF($A1093="","",IF(OR($B1093="",$C1093="",$D1093=""),"Preencher tudo",IF($F1093="Código não cadastrado","Código inválido","OK")))</f>
        <v>0</v>
      </c>
    </row>
    <row r="1094" spans="1:8">
      <c r="A1094" s="16"/>
      <c r="B1094" s="15"/>
      <c r="C1094" s="20"/>
      <c r="D1094" s="22"/>
      <c r="E1094" s="15"/>
      <c r="F1094" s="23">
        <f>IF($B1094="","",IFERROR(INDEX(ProdNome,MATCH($B1094,ProdCod,0)),"Código não cadastrado"))</f>
        <v>0</v>
      </c>
      <c r="G1094" s="24">
        <f>IF(OR($B1094="",$D1094=""),"",$D1094*IFERROR(INDEX(ProdCusto,MATCH($B1094,ProdCod,0)),0))</f>
        <v>0</v>
      </c>
      <c r="H1094" s="25">
        <f>IF($A1094="","",IF(OR($B1094="",$C1094="",$D1094=""),"Preencher tudo",IF($F1094="Código não cadastrado","Código inválido","OK")))</f>
        <v>0</v>
      </c>
    </row>
    <row r="1095" spans="1:8">
      <c r="A1095" s="16"/>
      <c r="B1095" s="15"/>
      <c r="C1095" s="20"/>
      <c r="D1095" s="22"/>
      <c r="E1095" s="15"/>
      <c r="F1095" s="23">
        <f>IF($B1095="","",IFERROR(INDEX(ProdNome,MATCH($B1095,ProdCod,0)),"Código não cadastrado"))</f>
        <v>0</v>
      </c>
      <c r="G1095" s="24">
        <f>IF(OR($B1095="",$D1095=""),"",$D1095*IFERROR(INDEX(ProdCusto,MATCH($B1095,ProdCod,0)),0))</f>
        <v>0</v>
      </c>
      <c r="H1095" s="25">
        <f>IF($A1095="","",IF(OR($B1095="",$C1095="",$D1095=""),"Preencher tudo",IF($F1095="Código não cadastrado","Código inválido","OK")))</f>
        <v>0</v>
      </c>
    </row>
    <row r="1096" spans="1:8">
      <c r="A1096" s="16"/>
      <c r="B1096" s="15"/>
      <c r="C1096" s="20"/>
      <c r="D1096" s="22"/>
      <c r="E1096" s="15"/>
      <c r="F1096" s="23">
        <f>IF($B1096="","",IFERROR(INDEX(ProdNome,MATCH($B1096,ProdCod,0)),"Código não cadastrado"))</f>
        <v>0</v>
      </c>
      <c r="G1096" s="24">
        <f>IF(OR($B1096="",$D1096=""),"",$D1096*IFERROR(INDEX(ProdCusto,MATCH($B1096,ProdCod,0)),0))</f>
        <v>0</v>
      </c>
      <c r="H1096" s="25">
        <f>IF($A1096="","",IF(OR($B1096="",$C1096="",$D1096=""),"Preencher tudo",IF($F1096="Código não cadastrado","Código inválido","OK")))</f>
        <v>0</v>
      </c>
    </row>
    <row r="1097" spans="1:8">
      <c r="A1097" s="16"/>
      <c r="B1097" s="15"/>
      <c r="C1097" s="20"/>
      <c r="D1097" s="22"/>
      <c r="E1097" s="15"/>
      <c r="F1097" s="23">
        <f>IF($B1097="","",IFERROR(INDEX(ProdNome,MATCH($B1097,ProdCod,0)),"Código não cadastrado"))</f>
        <v>0</v>
      </c>
      <c r="G1097" s="24">
        <f>IF(OR($B1097="",$D1097=""),"",$D1097*IFERROR(INDEX(ProdCusto,MATCH($B1097,ProdCod,0)),0))</f>
        <v>0</v>
      </c>
      <c r="H1097" s="25">
        <f>IF($A1097="","",IF(OR($B1097="",$C1097="",$D1097=""),"Preencher tudo",IF($F1097="Código não cadastrado","Código inválido","OK")))</f>
        <v>0</v>
      </c>
    </row>
    <row r="1098" spans="1:8">
      <c r="A1098" s="16"/>
      <c r="B1098" s="15"/>
      <c r="C1098" s="20"/>
      <c r="D1098" s="22"/>
      <c r="E1098" s="15"/>
      <c r="F1098" s="23">
        <f>IF($B1098="","",IFERROR(INDEX(ProdNome,MATCH($B1098,ProdCod,0)),"Código não cadastrado"))</f>
        <v>0</v>
      </c>
      <c r="G1098" s="24">
        <f>IF(OR($B1098="",$D1098=""),"",$D1098*IFERROR(INDEX(ProdCusto,MATCH($B1098,ProdCod,0)),0))</f>
        <v>0</v>
      </c>
      <c r="H1098" s="25">
        <f>IF($A1098="","",IF(OR($B1098="",$C1098="",$D1098=""),"Preencher tudo",IF($F1098="Código não cadastrado","Código inválido","OK")))</f>
        <v>0</v>
      </c>
    </row>
    <row r="1099" spans="1:8">
      <c r="A1099" s="16"/>
      <c r="B1099" s="15"/>
      <c r="C1099" s="20"/>
      <c r="D1099" s="22"/>
      <c r="E1099" s="15"/>
      <c r="F1099" s="23">
        <f>IF($B1099="","",IFERROR(INDEX(ProdNome,MATCH($B1099,ProdCod,0)),"Código não cadastrado"))</f>
        <v>0</v>
      </c>
      <c r="G1099" s="24">
        <f>IF(OR($B1099="",$D1099=""),"",$D1099*IFERROR(INDEX(ProdCusto,MATCH($B1099,ProdCod,0)),0))</f>
        <v>0</v>
      </c>
      <c r="H1099" s="25">
        <f>IF($A1099="","",IF(OR($B1099="",$C1099="",$D1099=""),"Preencher tudo",IF($F1099="Código não cadastrado","Código inválido","OK")))</f>
        <v>0</v>
      </c>
    </row>
    <row r="1100" spans="1:8">
      <c r="A1100" s="16"/>
      <c r="B1100" s="15"/>
      <c r="C1100" s="20"/>
      <c r="D1100" s="22"/>
      <c r="E1100" s="15"/>
      <c r="F1100" s="23">
        <f>IF($B1100="","",IFERROR(INDEX(ProdNome,MATCH($B1100,ProdCod,0)),"Código não cadastrado"))</f>
        <v>0</v>
      </c>
      <c r="G1100" s="24">
        <f>IF(OR($B1100="",$D1100=""),"",$D1100*IFERROR(INDEX(ProdCusto,MATCH($B1100,ProdCod,0)),0))</f>
        <v>0</v>
      </c>
      <c r="H1100" s="25">
        <f>IF($A1100="","",IF(OR($B1100="",$C1100="",$D1100=""),"Preencher tudo",IF($F1100="Código não cadastrado","Código inválido","OK")))</f>
        <v>0</v>
      </c>
    </row>
    <row r="1101" spans="1:8">
      <c r="A1101" s="16"/>
      <c r="B1101" s="15"/>
      <c r="C1101" s="20"/>
      <c r="D1101" s="22"/>
      <c r="E1101" s="15"/>
      <c r="F1101" s="23">
        <f>IF($B1101="","",IFERROR(INDEX(ProdNome,MATCH($B1101,ProdCod,0)),"Código não cadastrado"))</f>
        <v>0</v>
      </c>
      <c r="G1101" s="24">
        <f>IF(OR($B1101="",$D1101=""),"",$D1101*IFERROR(INDEX(ProdCusto,MATCH($B1101,ProdCod,0)),0))</f>
        <v>0</v>
      </c>
      <c r="H1101" s="25">
        <f>IF($A1101="","",IF(OR($B1101="",$C1101="",$D1101=""),"Preencher tudo",IF($F1101="Código não cadastrado","Código inválido","OK")))</f>
        <v>0</v>
      </c>
    </row>
    <row r="1102" spans="1:8">
      <c r="A1102" s="16"/>
      <c r="B1102" s="15"/>
      <c r="C1102" s="20"/>
      <c r="D1102" s="22"/>
      <c r="E1102" s="15"/>
      <c r="F1102" s="23">
        <f>IF($B1102="","",IFERROR(INDEX(ProdNome,MATCH($B1102,ProdCod,0)),"Código não cadastrado"))</f>
        <v>0</v>
      </c>
      <c r="G1102" s="24">
        <f>IF(OR($B1102="",$D1102=""),"",$D1102*IFERROR(INDEX(ProdCusto,MATCH($B1102,ProdCod,0)),0))</f>
        <v>0</v>
      </c>
      <c r="H1102" s="25">
        <f>IF($A1102="","",IF(OR($B1102="",$C1102="",$D1102=""),"Preencher tudo",IF($F1102="Código não cadastrado","Código inválido","OK")))</f>
        <v>0</v>
      </c>
    </row>
    <row r="1103" spans="1:8">
      <c r="A1103" s="16"/>
      <c r="B1103" s="15"/>
      <c r="C1103" s="20"/>
      <c r="D1103" s="22"/>
      <c r="E1103" s="15"/>
      <c r="F1103" s="23">
        <f>IF($B1103="","",IFERROR(INDEX(ProdNome,MATCH($B1103,ProdCod,0)),"Código não cadastrado"))</f>
        <v>0</v>
      </c>
      <c r="G1103" s="24">
        <f>IF(OR($B1103="",$D1103=""),"",$D1103*IFERROR(INDEX(ProdCusto,MATCH($B1103,ProdCod,0)),0))</f>
        <v>0</v>
      </c>
      <c r="H1103" s="25">
        <f>IF($A1103="","",IF(OR($B1103="",$C1103="",$D1103=""),"Preencher tudo",IF($F1103="Código não cadastrado","Código inválido","OK")))</f>
        <v>0</v>
      </c>
    </row>
    <row r="1104" spans="1:8">
      <c r="A1104" s="16"/>
      <c r="B1104" s="15"/>
      <c r="C1104" s="20"/>
      <c r="D1104" s="22"/>
      <c r="E1104" s="15"/>
      <c r="F1104" s="23">
        <f>IF($B1104="","",IFERROR(INDEX(ProdNome,MATCH($B1104,ProdCod,0)),"Código não cadastrado"))</f>
        <v>0</v>
      </c>
      <c r="G1104" s="24">
        <f>IF(OR($B1104="",$D1104=""),"",$D1104*IFERROR(INDEX(ProdCusto,MATCH($B1104,ProdCod,0)),0))</f>
        <v>0</v>
      </c>
      <c r="H1104" s="25">
        <f>IF($A1104="","",IF(OR($B1104="",$C1104="",$D1104=""),"Preencher tudo",IF($F1104="Código não cadastrado","Código inválido","OK")))</f>
        <v>0</v>
      </c>
    </row>
    <row r="1105" spans="1:8">
      <c r="A1105" s="16"/>
      <c r="B1105" s="15"/>
      <c r="C1105" s="20"/>
      <c r="D1105" s="22"/>
      <c r="E1105" s="15"/>
      <c r="F1105" s="23">
        <f>IF($B1105="","",IFERROR(INDEX(ProdNome,MATCH($B1105,ProdCod,0)),"Código não cadastrado"))</f>
        <v>0</v>
      </c>
      <c r="G1105" s="24">
        <f>IF(OR($B1105="",$D1105=""),"",$D1105*IFERROR(INDEX(ProdCusto,MATCH($B1105,ProdCod,0)),0))</f>
        <v>0</v>
      </c>
      <c r="H1105" s="25">
        <f>IF($A1105="","",IF(OR($B1105="",$C1105="",$D1105=""),"Preencher tudo",IF($F1105="Código não cadastrado","Código inválido","OK")))</f>
        <v>0</v>
      </c>
    </row>
    <row r="1106" spans="1:8">
      <c r="A1106" s="16"/>
      <c r="B1106" s="15"/>
      <c r="C1106" s="20"/>
      <c r="D1106" s="22"/>
      <c r="E1106" s="15"/>
      <c r="F1106" s="23">
        <f>IF($B1106="","",IFERROR(INDEX(ProdNome,MATCH($B1106,ProdCod,0)),"Código não cadastrado"))</f>
        <v>0</v>
      </c>
      <c r="G1106" s="24">
        <f>IF(OR($B1106="",$D1106=""),"",$D1106*IFERROR(INDEX(ProdCusto,MATCH($B1106,ProdCod,0)),0))</f>
        <v>0</v>
      </c>
      <c r="H1106" s="25">
        <f>IF($A1106="","",IF(OR($B1106="",$C1106="",$D1106=""),"Preencher tudo",IF($F1106="Código não cadastrado","Código inválido","OK")))</f>
        <v>0</v>
      </c>
    </row>
    <row r="1107" spans="1:8">
      <c r="A1107" s="16"/>
      <c r="B1107" s="15"/>
      <c r="C1107" s="20"/>
      <c r="D1107" s="22"/>
      <c r="E1107" s="15"/>
      <c r="F1107" s="23">
        <f>IF($B1107="","",IFERROR(INDEX(ProdNome,MATCH($B1107,ProdCod,0)),"Código não cadastrado"))</f>
        <v>0</v>
      </c>
      <c r="G1107" s="24">
        <f>IF(OR($B1107="",$D1107=""),"",$D1107*IFERROR(INDEX(ProdCusto,MATCH($B1107,ProdCod,0)),0))</f>
        <v>0</v>
      </c>
      <c r="H1107" s="25">
        <f>IF($A1107="","",IF(OR($B1107="",$C1107="",$D1107=""),"Preencher tudo",IF($F1107="Código não cadastrado","Código inválido","OK")))</f>
        <v>0</v>
      </c>
    </row>
    <row r="1108" spans="1:8">
      <c r="A1108" s="16"/>
      <c r="B1108" s="15"/>
      <c r="C1108" s="20"/>
      <c r="D1108" s="22"/>
      <c r="E1108" s="15"/>
      <c r="F1108" s="23">
        <f>IF($B1108="","",IFERROR(INDEX(ProdNome,MATCH($B1108,ProdCod,0)),"Código não cadastrado"))</f>
        <v>0</v>
      </c>
      <c r="G1108" s="24">
        <f>IF(OR($B1108="",$D1108=""),"",$D1108*IFERROR(INDEX(ProdCusto,MATCH($B1108,ProdCod,0)),0))</f>
        <v>0</v>
      </c>
      <c r="H1108" s="25">
        <f>IF($A1108="","",IF(OR($B1108="",$C1108="",$D1108=""),"Preencher tudo",IF($F1108="Código não cadastrado","Código inválido","OK")))</f>
        <v>0</v>
      </c>
    </row>
    <row r="1109" spans="1:8">
      <c r="A1109" s="16"/>
      <c r="B1109" s="15"/>
      <c r="C1109" s="20"/>
      <c r="D1109" s="22"/>
      <c r="E1109" s="15"/>
      <c r="F1109" s="23">
        <f>IF($B1109="","",IFERROR(INDEX(ProdNome,MATCH($B1109,ProdCod,0)),"Código não cadastrado"))</f>
        <v>0</v>
      </c>
      <c r="G1109" s="24">
        <f>IF(OR($B1109="",$D1109=""),"",$D1109*IFERROR(INDEX(ProdCusto,MATCH($B1109,ProdCod,0)),0))</f>
        <v>0</v>
      </c>
      <c r="H1109" s="25">
        <f>IF($A1109="","",IF(OR($B1109="",$C1109="",$D1109=""),"Preencher tudo",IF($F1109="Código não cadastrado","Código inválido","OK")))</f>
        <v>0</v>
      </c>
    </row>
    <row r="1110" spans="1:8">
      <c r="A1110" s="16"/>
      <c r="B1110" s="15"/>
      <c r="C1110" s="20"/>
      <c r="D1110" s="22"/>
      <c r="E1110" s="15"/>
      <c r="F1110" s="23">
        <f>IF($B1110="","",IFERROR(INDEX(ProdNome,MATCH($B1110,ProdCod,0)),"Código não cadastrado"))</f>
        <v>0</v>
      </c>
      <c r="G1110" s="24">
        <f>IF(OR($B1110="",$D1110=""),"",$D1110*IFERROR(INDEX(ProdCusto,MATCH($B1110,ProdCod,0)),0))</f>
        <v>0</v>
      </c>
      <c r="H1110" s="25">
        <f>IF($A1110="","",IF(OR($B1110="",$C1110="",$D1110=""),"Preencher tudo",IF($F1110="Código não cadastrado","Código inválido","OK")))</f>
        <v>0</v>
      </c>
    </row>
    <row r="1111" spans="1:8">
      <c r="A1111" s="16"/>
      <c r="B1111" s="15"/>
      <c r="C1111" s="20"/>
      <c r="D1111" s="22"/>
      <c r="E1111" s="15"/>
      <c r="F1111" s="23">
        <f>IF($B1111="","",IFERROR(INDEX(ProdNome,MATCH($B1111,ProdCod,0)),"Código não cadastrado"))</f>
        <v>0</v>
      </c>
      <c r="G1111" s="24">
        <f>IF(OR($B1111="",$D1111=""),"",$D1111*IFERROR(INDEX(ProdCusto,MATCH($B1111,ProdCod,0)),0))</f>
        <v>0</v>
      </c>
      <c r="H1111" s="25">
        <f>IF($A1111="","",IF(OR($B1111="",$C1111="",$D1111=""),"Preencher tudo",IF($F1111="Código não cadastrado","Código inválido","OK")))</f>
        <v>0</v>
      </c>
    </row>
    <row r="1112" spans="1:8">
      <c r="A1112" s="16"/>
      <c r="B1112" s="15"/>
      <c r="C1112" s="20"/>
      <c r="D1112" s="22"/>
      <c r="E1112" s="15"/>
      <c r="F1112" s="23">
        <f>IF($B1112="","",IFERROR(INDEX(ProdNome,MATCH($B1112,ProdCod,0)),"Código não cadastrado"))</f>
        <v>0</v>
      </c>
      <c r="G1112" s="24">
        <f>IF(OR($B1112="",$D1112=""),"",$D1112*IFERROR(INDEX(ProdCusto,MATCH($B1112,ProdCod,0)),0))</f>
        <v>0</v>
      </c>
      <c r="H1112" s="25">
        <f>IF($A1112="","",IF(OR($B1112="",$C1112="",$D1112=""),"Preencher tudo",IF($F1112="Código não cadastrado","Código inválido","OK")))</f>
        <v>0</v>
      </c>
    </row>
    <row r="1113" spans="1:8">
      <c r="A1113" s="16"/>
      <c r="B1113" s="15"/>
      <c r="C1113" s="20"/>
      <c r="D1113" s="22"/>
      <c r="E1113" s="15"/>
      <c r="F1113" s="23">
        <f>IF($B1113="","",IFERROR(INDEX(ProdNome,MATCH($B1113,ProdCod,0)),"Código não cadastrado"))</f>
        <v>0</v>
      </c>
      <c r="G1113" s="24">
        <f>IF(OR($B1113="",$D1113=""),"",$D1113*IFERROR(INDEX(ProdCusto,MATCH($B1113,ProdCod,0)),0))</f>
        <v>0</v>
      </c>
      <c r="H1113" s="25">
        <f>IF($A1113="","",IF(OR($B1113="",$C1113="",$D1113=""),"Preencher tudo",IF($F1113="Código não cadastrado","Código inválido","OK")))</f>
        <v>0</v>
      </c>
    </row>
    <row r="1114" spans="1:8">
      <c r="A1114" s="16"/>
      <c r="B1114" s="15"/>
      <c r="C1114" s="20"/>
      <c r="D1114" s="22"/>
      <c r="E1114" s="15"/>
      <c r="F1114" s="23">
        <f>IF($B1114="","",IFERROR(INDEX(ProdNome,MATCH($B1114,ProdCod,0)),"Código não cadastrado"))</f>
        <v>0</v>
      </c>
      <c r="G1114" s="24">
        <f>IF(OR($B1114="",$D1114=""),"",$D1114*IFERROR(INDEX(ProdCusto,MATCH($B1114,ProdCod,0)),0))</f>
        <v>0</v>
      </c>
      <c r="H1114" s="25">
        <f>IF($A1114="","",IF(OR($B1114="",$C1114="",$D1114=""),"Preencher tudo",IF($F1114="Código não cadastrado","Código inválido","OK")))</f>
        <v>0</v>
      </c>
    </row>
    <row r="1115" spans="1:8">
      <c r="A1115" s="16"/>
      <c r="B1115" s="15"/>
      <c r="C1115" s="20"/>
      <c r="D1115" s="22"/>
      <c r="E1115" s="15"/>
      <c r="F1115" s="23">
        <f>IF($B1115="","",IFERROR(INDEX(ProdNome,MATCH($B1115,ProdCod,0)),"Código não cadastrado"))</f>
        <v>0</v>
      </c>
      <c r="G1115" s="24">
        <f>IF(OR($B1115="",$D1115=""),"",$D1115*IFERROR(INDEX(ProdCusto,MATCH($B1115,ProdCod,0)),0))</f>
        <v>0</v>
      </c>
      <c r="H1115" s="25">
        <f>IF($A1115="","",IF(OR($B1115="",$C1115="",$D1115=""),"Preencher tudo",IF($F1115="Código não cadastrado","Código inválido","OK")))</f>
        <v>0</v>
      </c>
    </row>
    <row r="1116" spans="1:8">
      <c r="A1116" s="16"/>
      <c r="B1116" s="15"/>
      <c r="C1116" s="20"/>
      <c r="D1116" s="22"/>
      <c r="E1116" s="15"/>
      <c r="F1116" s="23">
        <f>IF($B1116="","",IFERROR(INDEX(ProdNome,MATCH($B1116,ProdCod,0)),"Código não cadastrado"))</f>
        <v>0</v>
      </c>
      <c r="G1116" s="24">
        <f>IF(OR($B1116="",$D1116=""),"",$D1116*IFERROR(INDEX(ProdCusto,MATCH($B1116,ProdCod,0)),0))</f>
        <v>0</v>
      </c>
      <c r="H1116" s="25">
        <f>IF($A1116="","",IF(OR($B1116="",$C1116="",$D1116=""),"Preencher tudo",IF($F1116="Código não cadastrado","Código inválido","OK")))</f>
        <v>0</v>
      </c>
    </row>
    <row r="1117" spans="1:8">
      <c r="A1117" s="16"/>
      <c r="B1117" s="15"/>
      <c r="C1117" s="20"/>
      <c r="D1117" s="22"/>
      <c r="E1117" s="15"/>
      <c r="F1117" s="23">
        <f>IF($B1117="","",IFERROR(INDEX(ProdNome,MATCH($B1117,ProdCod,0)),"Código não cadastrado"))</f>
        <v>0</v>
      </c>
      <c r="G1117" s="24">
        <f>IF(OR($B1117="",$D1117=""),"",$D1117*IFERROR(INDEX(ProdCusto,MATCH($B1117,ProdCod,0)),0))</f>
        <v>0</v>
      </c>
      <c r="H1117" s="25">
        <f>IF($A1117="","",IF(OR($B1117="",$C1117="",$D1117=""),"Preencher tudo",IF($F1117="Código não cadastrado","Código inválido","OK")))</f>
        <v>0</v>
      </c>
    </row>
    <row r="1118" spans="1:8">
      <c r="A1118" s="16"/>
      <c r="B1118" s="15"/>
      <c r="C1118" s="20"/>
      <c r="D1118" s="22"/>
      <c r="E1118" s="15"/>
      <c r="F1118" s="23">
        <f>IF($B1118="","",IFERROR(INDEX(ProdNome,MATCH($B1118,ProdCod,0)),"Código não cadastrado"))</f>
        <v>0</v>
      </c>
      <c r="G1118" s="24">
        <f>IF(OR($B1118="",$D1118=""),"",$D1118*IFERROR(INDEX(ProdCusto,MATCH($B1118,ProdCod,0)),0))</f>
        <v>0</v>
      </c>
      <c r="H1118" s="25">
        <f>IF($A1118="","",IF(OR($B1118="",$C1118="",$D1118=""),"Preencher tudo",IF($F1118="Código não cadastrado","Código inválido","OK")))</f>
        <v>0</v>
      </c>
    </row>
    <row r="1119" spans="1:8">
      <c r="A1119" s="16"/>
      <c r="B1119" s="15"/>
      <c r="C1119" s="20"/>
      <c r="D1119" s="22"/>
      <c r="E1119" s="15"/>
      <c r="F1119" s="23">
        <f>IF($B1119="","",IFERROR(INDEX(ProdNome,MATCH($B1119,ProdCod,0)),"Código não cadastrado"))</f>
        <v>0</v>
      </c>
      <c r="G1119" s="24">
        <f>IF(OR($B1119="",$D1119=""),"",$D1119*IFERROR(INDEX(ProdCusto,MATCH($B1119,ProdCod,0)),0))</f>
        <v>0</v>
      </c>
      <c r="H1119" s="25">
        <f>IF($A1119="","",IF(OR($B1119="",$C1119="",$D1119=""),"Preencher tudo",IF($F1119="Código não cadastrado","Código inválido","OK")))</f>
        <v>0</v>
      </c>
    </row>
    <row r="1120" spans="1:8">
      <c r="A1120" s="16"/>
      <c r="B1120" s="15"/>
      <c r="C1120" s="20"/>
      <c r="D1120" s="22"/>
      <c r="E1120" s="15"/>
      <c r="F1120" s="23">
        <f>IF($B1120="","",IFERROR(INDEX(ProdNome,MATCH($B1120,ProdCod,0)),"Código não cadastrado"))</f>
        <v>0</v>
      </c>
      <c r="G1120" s="24">
        <f>IF(OR($B1120="",$D1120=""),"",$D1120*IFERROR(INDEX(ProdCusto,MATCH($B1120,ProdCod,0)),0))</f>
        <v>0</v>
      </c>
      <c r="H1120" s="25">
        <f>IF($A1120="","",IF(OR($B1120="",$C1120="",$D1120=""),"Preencher tudo",IF($F1120="Código não cadastrado","Código inválido","OK")))</f>
        <v>0</v>
      </c>
    </row>
    <row r="1121" spans="1:8">
      <c r="A1121" s="16"/>
      <c r="B1121" s="15"/>
      <c r="C1121" s="20"/>
      <c r="D1121" s="22"/>
      <c r="E1121" s="15"/>
      <c r="F1121" s="23">
        <f>IF($B1121="","",IFERROR(INDEX(ProdNome,MATCH($B1121,ProdCod,0)),"Código não cadastrado"))</f>
        <v>0</v>
      </c>
      <c r="G1121" s="24">
        <f>IF(OR($B1121="",$D1121=""),"",$D1121*IFERROR(INDEX(ProdCusto,MATCH($B1121,ProdCod,0)),0))</f>
        <v>0</v>
      </c>
      <c r="H1121" s="25">
        <f>IF($A1121="","",IF(OR($B1121="",$C1121="",$D1121=""),"Preencher tudo",IF($F1121="Código não cadastrado","Código inválido","OK")))</f>
        <v>0</v>
      </c>
    </row>
    <row r="1122" spans="1:8">
      <c r="A1122" s="16"/>
      <c r="B1122" s="15"/>
      <c r="C1122" s="20"/>
      <c r="D1122" s="22"/>
      <c r="E1122" s="15"/>
      <c r="F1122" s="23">
        <f>IF($B1122="","",IFERROR(INDEX(ProdNome,MATCH($B1122,ProdCod,0)),"Código não cadastrado"))</f>
        <v>0</v>
      </c>
      <c r="G1122" s="24">
        <f>IF(OR($B1122="",$D1122=""),"",$D1122*IFERROR(INDEX(ProdCusto,MATCH($B1122,ProdCod,0)),0))</f>
        <v>0</v>
      </c>
      <c r="H1122" s="25">
        <f>IF($A1122="","",IF(OR($B1122="",$C1122="",$D1122=""),"Preencher tudo",IF($F1122="Código não cadastrado","Código inválido","OK")))</f>
        <v>0</v>
      </c>
    </row>
    <row r="1123" spans="1:8">
      <c r="A1123" s="16"/>
      <c r="B1123" s="15"/>
      <c r="C1123" s="20"/>
      <c r="D1123" s="22"/>
      <c r="E1123" s="15"/>
      <c r="F1123" s="23">
        <f>IF($B1123="","",IFERROR(INDEX(ProdNome,MATCH($B1123,ProdCod,0)),"Código não cadastrado"))</f>
        <v>0</v>
      </c>
      <c r="G1123" s="24">
        <f>IF(OR($B1123="",$D1123=""),"",$D1123*IFERROR(INDEX(ProdCusto,MATCH($B1123,ProdCod,0)),0))</f>
        <v>0</v>
      </c>
      <c r="H1123" s="25">
        <f>IF($A1123="","",IF(OR($B1123="",$C1123="",$D1123=""),"Preencher tudo",IF($F1123="Código não cadastrado","Código inválido","OK")))</f>
        <v>0</v>
      </c>
    </row>
    <row r="1124" spans="1:8">
      <c r="A1124" s="16"/>
      <c r="B1124" s="15"/>
      <c r="C1124" s="20"/>
      <c r="D1124" s="22"/>
      <c r="E1124" s="15"/>
      <c r="F1124" s="23">
        <f>IF($B1124="","",IFERROR(INDEX(ProdNome,MATCH($B1124,ProdCod,0)),"Código não cadastrado"))</f>
        <v>0</v>
      </c>
      <c r="G1124" s="24">
        <f>IF(OR($B1124="",$D1124=""),"",$D1124*IFERROR(INDEX(ProdCusto,MATCH($B1124,ProdCod,0)),0))</f>
        <v>0</v>
      </c>
      <c r="H1124" s="25">
        <f>IF($A1124="","",IF(OR($B1124="",$C1124="",$D1124=""),"Preencher tudo",IF($F1124="Código não cadastrado","Código inválido","OK")))</f>
        <v>0</v>
      </c>
    </row>
    <row r="1125" spans="1:8">
      <c r="A1125" s="16"/>
      <c r="B1125" s="15"/>
      <c r="C1125" s="20"/>
      <c r="D1125" s="22"/>
      <c r="E1125" s="15"/>
      <c r="F1125" s="23">
        <f>IF($B1125="","",IFERROR(INDEX(ProdNome,MATCH($B1125,ProdCod,0)),"Código não cadastrado"))</f>
        <v>0</v>
      </c>
      <c r="G1125" s="24">
        <f>IF(OR($B1125="",$D1125=""),"",$D1125*IFERROR(INDEX(ProdCusto,MATCH($B1125,ProdCod,0)),0))</f>
        <v>0</v>
      </c>
      <c r="H1125" s="25">
        <f>IF($A1125="","",IF(OR($B1125="",$C1125="",$D1125=""),"Preencher tudo",IF($F1125="Código não cadastrado","Código inválido","OK")))</f>
        <v>0</v>
      </c>
    </row>
    <row r="1126" spans="1:8">
      <c r="A1126" s="16"/>
      <c r="B1126" s="15"/>
      <c r="C1126" s="20"/>
      <c r="D1126" s="22"/>
      <c r="E1126" s="15"/>
      <c r="F1126" s="23">
        <f>IF($B1126="","",IFERROR(INDEX(ProdNome,MATCH($B1126,ProdCod,0)),"Código não cadastrado"))</f>
        <v>0</v>
      </c>
      <c r="G1126" s="24">
        <f>IF(OR($B1126="",$D1126=""),"",$D1126*IFERROR(INDEX(ProdCusto,MATCH($B1126,ProdCod,0)),0))</f>
        <v>0</v>
      </c>
      <c r="H1126" s="25">
        <f>IF($A1126="","",IF(OR($B1126="",$C1126="",$D1126=""),"Preencher tudo",IF($F1126="Código não cadastrado","Código inválido","OK")))</f>
        <v>0</v>
      </c>
    </row>
    <row r="1127" spans="1:8">
      <c r="A1127" s="16"/>
      <c r="B1127" s="15"/>
      <c r="C1127" s="20"/>
      <c r="D1127" s="22"/>
      <c r="E1127" s="15"/>
      <c r="F1127" s="23">
        <f>IF($B1127="","",IFERROR(INDEX(ProdNome,MATCH($B1127,ProdCod,0)),"Código não cadastrado"))</f>
        <v>0</v>
      </c>
      <c r="G1127" s="24">
        <f>IF(OR($B1127="",$D1127=""),"",$D1127*IFERROR(INDEX(ProdCusto,MATCH($B1127,ProdCod,0)),0))</f>
        <v>0</v>
      </c>
      <c r="H1127" s="25">
        <f>IF($A1127="","",IF(OR($B1127="",$C1127="",$D1127=""),"Preencher tudo",IF($F1127="Código não cadastrado","Código inválido","OK")))</f>
        <v>0</v>
      </c>
    </row>
    <row r="1128" spans="1:8">
      <c r="A1128" s="16"/>
      <c r="B1128" s="15"/>
      <c r="C1128" s="20"/>
      <c r="D1128" s="22"/>
      <c r="E1128" s="15"/>
      <c r="F1128" s="23">
        <f>IF($B1128="","",IFERROR(INDEX(ProdNome,MATCH($B1128,ProdCod,0)),"Código não cadastrado"))</f>
        <v>0</v>
      </c>
      <c r="G1128" s="24">
        <f>IF(OR($B1128="",$D1128=""),"",$D1128*IFERROR(INDEX(ProdCusto,MATCH($B1128,ProdCod,0)),0))</f>
        <v>0</v>
      </c>
      <c r="H1128" s="25">
        <f>IF($A1128="","",IF(OR($B1128="",$C1128="",$D1128=""),"Preencher tudo",IF($F1128="Código não cadastrado","Código inválido","OK")))</f>
        <v>0</v>
      </c>
    </row>
    <row r="1129" spans="1:8">
      <c r="A1129" s="16"/>
      <c r="B1129" s="15"/>
      <c r="C1129" s="20"/>
      <c r="D1129" s="22"/>
      <c r="E1129" s="15"/>
      <c r="F1129" s="23">
        <f>IF($B1129="","",IFERROR(INDEX(ProdNome,MATCH($B1129,ProdCod,0)),"Código não cadastrado"))</f>
        <v>0</v>
      </c>
      <c r="G1129" s="24">
        <f>IF(OR($B1129="",$D1129=""),"",$D1129*IFERROR(INDEX(ProdCusto,MATCH($B1129,ProdCod,0)),0))</f>
        <v>0</v>
      </c>
      <c r="H1129" s="25">
        <f>IF($A1129="","",IF(OR($B1129="",$C1129="",$D1129=""),"Preencher tudo",IF($F1129="Código não cadastrado","Código inválido","OK")))</f>
        <v>0</v>
      </c>
    </row>
    <row r="1130" spans="1:8">
      <c r="A1130" s="16"/>
      <c r="B1130" s="15"/>
      <c r="C1130" s="20"/>
      <c r="D1130" s="22"/>
      <c r="E1130" s="15"/>
      <c r="F1130" s="23">
        <f>IF($B1130="","",IFERROR(INDEX(ProdNome,MATCH($B1130,ProdCod,0)),"Código não cadastrado"))</f>
        <v>0</v>
      </c>
      <c r="G1130" s="24">
        <f>IF(OR($B1130="",$D1130=""),"",$D1130*IFERROR(INDEX(ProdCusto,MATCH($B1130,ProdCod,0)),0))</f>
        <v>0</v>
      </c>
      <c r="H1130" s="25">
        <f>IF($A1130="","",IF(OR($B1130="",$C1130="",$D1130=""),"Preencher tudo",IF($F1130="Código não cadastrado","Código inválido","OK")))</f>
        <v>0</v>
      </c>
    </row>
    <row r="1131" spans="1:8">
      <c r="A1131" s="16"/>
      <c r="B1131" s="15"/>
      <c r="C1131" s="20"/>
      <c r="D1131" s="22"/>
      <c r="E1131" s="15"/>
      <c r="F1131" s="23">
        <f>IF($B1131="","",IFERROR(INDEX(ProdNome,MATCH($B1131,ProdCod,0)),"Código não cadastrado"))</f>
        <v>0</v>
      </c>
      <c r="G1131" s="24">
        <f>IF(OR($B1131="",$D1131=""),"",$D1131*IFERROR(INDEX(ProdCusto,MATCH($B1131,ProdCod,0)),0))</f>
        <v>0</v>
      </c>
      <c r="H1131" s="25">
        <f>IF($A1131="","",IF(OR($B1131="",$C1131="",$D1131=""),"Preencher tudo",IF($F1131="Código não cadastrado","Código inválido","OK")))</f>
        <v>0</v>
      </c>
    </row>
    <row r="1132" spans="1:8">
      <c r="A1132" s="16"/>
      <c r="B1132" s="15"/>
      <c r="C1132" s="20"/>
      <c r="D1132" s="22"/>
      <c r="E1132" s="15"/>
      <c r="F1132" s="23">
        <f>IF($B1132="","",IFERROR(INDEX(ProdNome,MATCH($B1132,ProdCod,0)),"Código não cadastrado"))</f>
        <v>0</v>
      </c>
      <c r="G1132" s="24">
        <f>IF(OR($B1132="",$D1132=""),"",$D1132*IFERROR(INDEX(ProdCusto,MATCH($B1132,ProdCod,0)),0))</f>
        <v>0</v>
      </c>
      <c r="H1132" s="25">
        <f>IF($A1132="","",IF(OR($B1132="",$C1132="",$D1132=""),"Preencher tudo",IF($F1132="Código não cadastrado","Código inválido","OK")))</f>
        <v>0</v>
      </c>
    </row>
    <row r="1133" spans="1:8">
      <c r="A1133" s="16"/>
      <c r="B1133" s="15"/>
      <c r="C1133" s="20"/>
      <c r="D1133" s="22"/>
      <c r="E1133" s="15"/>
      <c r="F1133" s="23">
        <f>IF($B1133="","",IFERROR(INDEX(ProdNome,MATCH($B1133,ProdCod,0)),"Código não cadastrado"))</f>
        <v>0</v>
      </c>
      <c r="G1133" s="24">
        <f>IF(OR($B1133="",$D1133=""),"",$D1133*IFERROR(INDEX(ProdCusto,MATCH($B1133,ProdCod,0)),0))</f>
        <v>0</v>
      </c>
      <c r="H1133" s="25">
        <f>IF($A1133="","",IF(OR($B1133="",$C1133="",$D1133=""),"Preencher tudo",IF($F1133="Código não cadastrado","Código inválido","OK")))</f>
        <v>0</v>
      </c>
    </row>
    <row r="1134" spans="1:8">
      <c r="A1134" s="16"/>
      <c r="B1134" s="15"/>
      <c r="C1134" s="20"/>
      <c r="D1134" s="22"/>
      <c r="E1134" s="15"/>
      <c r="F1134" s="23">
        <f>IF($B1134="","",IFERROR(INDEX(ProdNome,MATCH($B1134,ProdCod,0)),"Código não cadastrado"))</f>
        <v>0</v>
      </c>
      <c r="G1134" s="24">
        <f>IF(OR($B1134="",$D1134=""),"",$D1134*IFERROR(INDEX(ProdCusto,MATCH($B1134,ProdCod,0)),0))</f>
        <v>0</v>
      </c>
      <c r="H1134" s="25">
        <f>IF($A1134="","",IF(OR($B1134="",$C1134="",$D1134=""),"Preencher tudo",IF($F1134="Código não cadastrado","Código inválido","OK")))</f>
        <v>0</v>
      </c>
    </row>
    <row r="1135" spans="1:8">
      <c r="A1135" s="16"/>
      <c r="B1135" s="15"/>
      <c r="C1135" s="20"/>
      <c r="D1135" s="22"/>
      <c r="E1135" s="15"/>
      <c r="F1135" s="23">
        <f>IF($B1135="","",IFERROR(INDEX(ProdNome,MATCH($B1135,ProdCod,0)),"Código não cadastrado"))</f>
        <v>0</v>
      </c>
      <c r="G1135" s="24">
        <f>IF(OR($B1135="",$D1135=""),"",$D1135*IFERROR(INDEX(ProdCusto,MATCH($B1135,ProdCod,0)),0))</f>
        <v>0</v>
      </c>
      <c r="H1135" s="25">
        <f>IF($A1135="","",IF(OR($B1135="",$C1135="",$D1135=""),"Preencher tudo",IF($F1135="Código não cadastrado","Código inválido","OK")))</f>
        <v>0</v>
      </c>
    </row>
    <row r="1136" spans="1:8">
      <c r="A1136" s="16"/>
      <c r="B1136" s="15"/>
      <c r="C1136" s="20"/>
      <c r="D1136" s="22"/>
      <c r="E1136" s="15"/>
      <c r="F1136" s="23">
        <f>IF($B1136="","",IFERROR(INDEX(ProdNome,MATCH($B1136,ProdCod,0)),"Código não cadastrado"))</f>
        <v>0</v>
      </c>
      <c r="G1136" s="24">
        <f>IF(OR($B1136="",$D1136=""),"",$D1136*IFERROR(INDEX(ProdCusto,MATCH($B1136,ProdCod,0)),0))</f>
        <v>0</v>
      </c>
      <c r="H1136" s="25">
        <f>IF($A1136="","",IF(OR($B1136="",$C1136="",$D1136=""),"Preencher tudo",IF($F1136="Código não cadastrado","Código inválido","OK")))</f>
        <v>0</v>
      </c>
    </row>
    <row r="1137" spans="1:8">
      <c r="A1137" s="16"/>
      <c r="B1137" s="15"/>
      <c r="C1137" s="20"/>
      <c r="D1137" s="22"/>
      <c r="E1137" s="15"/>
      <c r="F1137" s="23">
        <f>IF($B1137="","",IFERROR(INDEX(ProdNome,MATCH($B1137,ProdCod,0)),"Código não cadastrado"))</f>
        <v>0</v>
      </c>
      <c r="G1137" s="24">
        <f>IF(OR($B1137="",$D1137=""),"",$D1137*IFERROR(INDEX(ProdCusto,MATCH($B1137,ProdCod,0)),0))</f>
        <v>0</v>
      </c>
      <c r="H1137" s="25">
        <f>IF($A1137="","",IF(OR($B1137="",$C1137="",$D1137=""),"Preencher tudo",IF($F1137="Código não cadastrado","Código inválido","OK")))</f>
        <v>0</v>
      </c>
    </row>
    <row r="1138" spans="1:8">
      <c r="A1138" s="16"/>
      <c r="B1138" s="15"/>
      <c r="C1138" s="20"/>
      <c r="D1138" s="22"/>
      <c r="E1138" s="15"/>
      <c r="F1138" s="23">
        <f>IF($B1138="","",IFERROR(INDEX(ProdNome,MATCH($B1138,ProdCod,0)),"Código não cadastrado"))</f>
        <v>0</v>
      </c>
      <c r="G1138" s="24">
        <f>IF(OR($B1138="",$D1138=""),"",$D1138*IFERROR(INDEX(ProdCusto,MATCH($B1138,ProdCod,0)),0))</f>
        <v>0</v>
      </c>
      <c r="H1138" s="25">
        <f>IF($A1138="","",IF(OR($B1138="",$C1138="",$D1138=""),"Preencher tudo",IF($F1138="Código não cadastrado","Código inválido","OK")))</f>
        <v>0</v>
      </c>
    </row>
    <row r="1139" spans="1:8">
      <c r="A1139" s="16"/>
      <c r="B1139" s="15"/>
      <c r="C1139" s="20"/>
      <c r="D1139" s="22"/>
      <c r="E1139" s="15"/>
      <c r="F1139" s="23">
        <f>IF($B1139="","",IFERROR(INDEX(ProdNome,MATCH($B1139,ProdCod,0)),"Código não cadastrado"))</f>
        <v>0</v>
      </c>
      <c r="G1139" s="24">
        <f>IF(OR($B1139="",$D1139=""),"",$D1139*IFERROR(INDEX(ProdCusto,MATCH($B1139,ProdCod,0)),0))</f>
        <v>0</v>
      </c>
      <c r="H1139" s="25">
        <f>IF($A1139="","",IF(OR($B1139="",$C1139="",$D1139=""),"Preencher tudo",IF($F1139="Código não cadastrado","Código inválido","OK")))</f>
        <v>0</v>
      </c>
    </row>
    <row r="1140" spans="1:8">
      <c r="A1140" s="16"/>
      <c r="B1140" s="15"/>
      <c r="C1140" s="20"/>
      <c r="D1140" s="22"/>
      <c r="E1140" s="15"/>
      <c r="F1140" s="23">
        <f>IF($B1140="","",IFERROR(INDEX(ProdNome,MATCH($B1140,ProdCod,0)),"Código não cadastrado"))</f>
        <v>0</v>
      </c>
      <c r="G1140" s="24">
        <f>IF(OR($B1140="",$D1140=""),"",$D1140*IFERROR(INDEX(ProdCusto,MATCH($B1140,ProdCod,0)),0))</f>
        <v>0</v>
      </c>
      <c r="H1140" s="25">
        <f>IF($A1140="","",IF(OR($B1140="",$C1140="",$D1140=""),"Preencher tudo",IF($F1140="Código não cadastrado","Código inválido","OK")))</f>
        <v>0</v>
      </c>
    </row>
    <row r="1141" spans="1:8">
      <c r="A1141" s="16"/>
      <c r="B1141" s="15"/>
      <c r="C1141" s="20"/>
      <c r="D1141" s="22"/>
      <c r="E1141" s="15"/>
      <c r="F1141" s="23">
        <f>IF($B1141="","",IFERROR(INDEX(ProdNome,MATCH($B1141,ProdCod,0)),"Código não cadastrado"))</f>
        <v>0</v>
      </c>
      <c r="G1141" s="24">
        <f>IF(OR($B1141="",$D1141=""),"",$D1141*IFERROR(INDEX(ProdCusto,MATCH($B1141,ProdCod,0)),0))</f>
        <v>0</v>
      </c>
      <c r="H1141" s="25">
        <f>IF($A1141="","",IF(OR($B1141="",$C1141="",$D1141=""),"Preencher tudo",IF($F1141="Código não cadastrado","Código inválido","OK")))</f>
        <v>0</v>
      </c>
    </row>
    <row r="1142" spans="1:8">
      <c r="A1142" s="16"/>
      <c r="B1142" s="15"/>
      <c r="C1142" s="20"/>
      <c r="D1142" s="22"/>
      <c r="E1142" s="15"/>
      <c r="F1142" s="23">
        <f>IF($B1142="","",IFERROR(INDEX(ProdNome,MATCH($B1142,ProdCod,0)),"Código não cadastrado"))</f>
        <v>0</v>
      </c>
      <c r="G1142" s="24">
        <f>IF(OR($B1142="",$D1142=""),"",$D1142*IFERROR(INDEX(ProdCusto,MATCH($B1142,ProdCod,0)),0))</f>
        <v>0</v>
      </c>
      <c r="H1142" s="25">
        <f>IF($A1142="","",IF(OR($B1142="",$C1142="",$D1142=""),"Preencher tudo",IF($F1142="Código não cadastrado","Código inválido","OK")))</f>
        <v>0</v>
      </c>
    </row>
    <row r="1143" spans="1:8">
      <c r="A1143" s="16"/>
      <c r="B1143" s="15"/>
      <c r="C1143" s="20"/>
      <c r="D1143" s="22"/>
      <c r="E1143" s="15"/>
      <c r="F1143" s="23">
        <f>IF($B1143="","",IFERROR(INDEX(ProdNome,MATCH($B1143,ProdCod,0)),"Código não cadastrado"))</f>
        <v>0</v>
      </c>
      <c r="G1143" s="24">
        <f>IF(OR($B1143="",$D1143=""),"",$D1143*IFERROR(INDEX(ProdCusto,MATCH($B1143,ProdCod,0)),0))</f>
        <v>0</v>
      </c>
      <c r="H1143" s="25">
        <f>IF($A1143="","",IF(OR($B1143="",$C1143="",$D1143=""),"Preencher tudo",IF($F1143="Código não cadastrado","Código inválido","OK")))</f>
        <v>0</v>
      </c>
    </row>
    <row r="1144" spans="1:8">
      <c r="A1144" s="16"/>
      <c r="B1144" s="15"/>
      <c r="C1144" s="20"/>
      <c r="D1144" s="22"/>
      <c r="E1144" s="15"/>
      <c r="F1144" s="23">
        <f>IF($B1144="","",IFERROR(INDEX(ProdNome,MATCH($B1144,ProdCod,0)),"Código não cadastrado"))</f>
        <v>0</v>
      </c>
      <c r="G1144" s="24">
        <f>IF(OR($B1144="",$D1144=""),"",$D1144*IFERROR(INDEX(ProdCusto,MATCH($B1144,ProdCod,0)),0))</f>
        <v>0</v>
      </c>
      <c r="H1144" s="25">
        <f>IF($A1144="","",IF(OR($B1144="",$C1144="",$D1144=""),"Preencher tudo",IF($F1144="Código não cadastrado","Código inválido","OK")))</f>
        <v>0</v>
      </c>
    </row>
    <row r="1145" spans="1:8">
      <c r="A1145" s="16"/>
      <c r="B1145" s="15"/>
      <c r="C1145" s="20"/>
      <c r="D1145" s="22"/>
      <c r="E1145" s="15"/>
      <c r="F1145" s="23">
        <f>IF($B1145="","",IFERROR(INDEX(ProdNome,MATCH($B1145,ProdCod,0)),"Código não cadastrado"))</f>
        <v>0</v>
      </c>
      <c r="G1145" s="24">
        <f>IF(OR($B1145="",$D1145=""),"",$D1145*IFERROR(INDEX(ProdCusto,MATCH($B1145,ProdCod,0)),0))</f>
        <v>0</v>
      </c>
      <c r="H1145" s="25">
        <f>IF($A1145="","",IF(OR($B1145="",$C1145="",$D1145=""),"Preencher tudo",IF($F1145="Código não cadastrado","Código inválido","OK")))</f>
        <v>0</v>
      </c>
    </row>
    <row r="1146" spans="1:8">
      <c r="A1146" s="16"/>
      <c r="B1146" s="15"/>
      <c r="C1146" s="20"/>
      <c r="D1146" s="22"/>
      <c r="E1146" s="15"/>
      <c r="F1146" s="23">
        <f>IF($B1146="","",IFERROR(INDEX(ProdNome,MATCH($B1146,ProdCod,0)),"Código não cadastrado"))</f>
        <v>0</v>
      </c>
      <c r="G1146" s="24">
        <f>IF(OR($B1146="",$D1146=""),"",$D1146*IFERROR(INDEX(ProdCusto,MATCH($B1146,ProdCod,0)),0))</f>
        <v>0</v>
      </c>
      <c r="H1146" s="25">
        <f>IF($A1146="","",IF(OR($B1146="",$C1146="",$D1146=""),"Preencher tudo",IF($F1146="Código não cadastrado","Código inválido","OK")))</f>
        <v>0</v>
      </c>
    </row>
    <row r="1147" spans="1:8">
      <c r="A1147" s="16"/>
      <c r="B1147" s="15"/>
      <c r="C1147" s="20"/>
      <c r="D1147" s="22"/>
      <c r="E1147" s="15"/>
      <c r="F1147" s="23">
        <f>IF($B1147="","",IFERROR(INDEX(ProdNome,MATCH($B1147,ProdCod,0)),"Código não cadastrado"))</f>
        <v>0</v>
      </c>
      <c r="G1147" s="24">
        <f>IF(OR($B1147="",$D1147=""),"",$D1147*IFERROR(INDEX(ProdCusto,MATCH($B1147,ProdCod,0)),0))</f>
        <v>0</v>
      </c>
      <c r="H1147" s="25">
        <f>IF($A1147="","",IF(OR($B1147="",$C1147="",$D1147=""),"Preencher tudo",IF($F1147="Código não cadastrado","Código inválido","OK")))</f>
        <v>0</v>
      </c>
    </row>
    <row r="1148" spans="1:8">
      <c r="A1148" s="16"/>
      <c r="B1148" s="15"/>
      <c r="C1148" s="20"/>
      <c r="D1148" s="22"/>
      <c r="E1148" s="15"/>
      <c r="F1148" s="23">
        <f>IF($B1148="","",IFERROR(INDEX(ProdNome,MATCH($B1148,ProdCod,0)),"Código não cadastrado"))</f>
        <v>0</v>
      </c>
      <c r="G1148" s="24">
        <f>IF(OR($B1148="",$D1148=""),"",$D1148*IFERROR(INDEX(ProdCusto,MATCH($B1148,ProdCod,0)),0))</f>
        <v>0</v>
      </c>
      <c r="H1148" s="25">
        <f>IF($A1148="","",IF(OR($B1148="",$C1148="",$D1148=""),"Preencher tudo",IF($F1148="Código não cadastrado","Código inválido","OK")))</f>
        <v>0</v>
      </c>
    </row>
    <row r="1149" spans="1:8">
      <c r="A1149" s="16"/>
      <c r="B1149" s="15"/>
      <c r="C1149" s="20"/>
      <c r="D1149" s="22"/>
      <c r="E1149" s="15"/>
      <c r="F1149" s="23">
        <f>IF($B1149="","",IFERROR(INDEX(ProdNome,MATCH($B1149,ProdCod,0)),"Código não cadastrado"))</f>
        <v>0</v>
      </c>
      <c r="G1149" s="24">
        <f>IF(OR($B1149="",$D1149=""),"",$D1149*IFERROR(INDEX(ProdCusto,MATCH($B1149,ProdCod,0)),0))</f>
        <v>0</v>
      </c>
      <c r="H1149" s="25">
        <f>IF($A1149="","",IF(OR($B1149="",$C1149="",$D1149=""),"Preencher tudo",IF($F1149="Código não cadastrado","Código inválido","OK")))</f>
        <v>0</v>
      </c>
    </row>
    <row r="1150" spans="1:8">
      <c r="A1150" s="16"/>
      <c r="B1150" s="15"/>
      <c r="C1150" s="20"/>
      <c r="D1150" s="22"/>
      <c r="E1150" s="15"/>
      <c r="F1150" s="23">
        <f>IF($B1150="","",IFERROR(INDEX(ProdNome,MATCH($B1150,ProdCod,0)),"Código não cadastrado"))</f>
        <v>0</v>
      </c>
      <c r="G1150" s="24">
        <f>IF(OR($B1150="",$D1150=""),"",$D1150*IFERROR(INDEX(ProdCusto,MATCH($B1150,ProdCod,0)),0))</f>
        <v>0</v>
      </c>
      <c r="H1150" s="25">
        <f>IF($A1150="","",IF(OR($B1150="",$C1150="",$D1150=""),"Preencher tudo",IF($F1150="Código não cadastrado","Código inválido","OK")))</f>
        <v>0</v>
      </c>
    </row>
    <row r="1151" spans="1:8">
      <c r="A1151" s="16"/>
      <c r="B1151" s="15"/>
      <c r="C1151" s="20"/>
      <c r="D1151" s="22"/>
      <c r="E1151" s="15"/>
      <c r="F1151" s="23">
        <f>IF($B1151="","",IFERROR(INDEX(ProdNome,MATCH($B1151,ProdCod,0)),"Código não cadastrado"))</f>
        <v>0</v>
      </c>
      <c r="G1151" s="24">
        <f>IF(OR($B1151="",$D1151=""),"",$D1151*IFERROR(INDEX(ProdCusto,MATCH($B1151,ProdCod,0)),0))</f>
        <v>0</v>
      </c>
      <c r="H1151" s="25">
        <f>IF($A1151="","",IF(OR($B1151="",$C1151="",$D1151=""),"Preencher tudo",IF($F1151="Código não cadastrado","Código inválido","OK")))</f>
        <v>0</v>
      </c>
    </row>
    <row r="1152" spans="1:8">
      <c r="A1152" s="16"/>
      <c r="B1152" s="15"/>
      <c r="C1152" s="20"/>
      <c r="D1152" s="22"/>
      <c r="E1152" s="15"/>
      <c r="F1152" s="23">
        <f>IF($B1152="","",IFERROR(INDEX(ProdNome,MATCH($B1152,ProdCod,0)),"Código não cadastrado"))</f>
        <v>0</v>
      </c>
      <c r="G1152" s="24">
        <f>IF(OR($B1152="",$D1152=""),"",$D1152*IFERROR(INDEX(ProdCusto,MATCH($B1152,ProdCod,0)),0))</f>
        <v>0</v>
      </c>
      <c r="H1152" s="25">
        <f>IF($A1152="","",IF(OR($B1152="",$C1152="",$D1152=""),"Preencher tudo",IF($F1152="Código não cadastrado","Código inválido","OK")))</f>
        <v>0</v>
      </c>
    </row>
    <row r="1153" spans="1:8">
      <c r="A1153" s="16"/>
      <c r="B1153" s="15"/>
      <c r="C1153" s="20"/>
      <c r="D1153" s="22"/>
      <c r="E1153" s="15"/>
      <c r="F1153" s="23">
        <f>IF($B1153="","",IFERROR(INDEX(ProdNome,MATCH($B1153,ProdCod,0)),"Código não cadastrado"))</f>
        <v>0</v>
      </c>
      <c r="G1153" s="24">
        <f>IF(OR($B1153="",$D1153=""),"",$D1153*IFERROR(INDEX(ProdCusto,MATCH($B1153,ProdCod,0)),0))</f>
        <v>0</v>
      </c>
      <c r="H1153" s="25">
        <f>IF($A1153="","",IF(OR($B1153="",$C1153="",$D1153=""),"Preencher tudo",IF($F1153="Código não cadastrado","Código inválido","OK")))</f>
        <v>0</v>
      </c>
    </row>
    <row r="1154" spans="1:8">
      <c r="A1154" s="16"/>
      <c r="B1154" s="15"/>
      <c r="C1154" s="20"/>
      <c r="D1154" s="22"/>
      <c r="E1154" s="15"/>
      <c r="F1154" s="23">
        <f>IF($B1154="","",IFERROR(INDEX(ProdNome,MATCH($B1154,ProdCod,0)),"Código não cadastrado"))</f>
        <v>0</v>
      </c>
      <c r="G1154" s="24">
        <f>IF(OR($B1154="",$D1154=""),"",$D1154*IFERROR(INDEX(ProdCusto,MATCH($B1154,ProdCod,0)),0))</f>
        <v>0</v>
      </c>
      <c r="H1154" s="25">
        <f>IF($A1154="","",IF(OR($B1154="",$C1154="",$D1154=""),"Preencher tudo",IF($F1154="Código não cadastrado","Código inválido","OK")))</f>
        <v>0</v>
      </c>
    </row>
    <row r="1155" spans="1:8">
      <c r="A1155" s="16"/>
      <c r="B1155" s="15"/>
      <c r="C1155" s="20"/>
      <c r="D1155" s="22"/>
      <c r="E1155" s="15"/>
      <c r="F1155" s="23">
        <f>IF($B1155="","",IFERROR(INDEX(ProdNome,MATCH($B1155,ProdCod,0)),"Código não cadastrado"))</f>
        <v>0</v>
      </c>
      <c r="G1155" s="24">
        <f>IF(OR($B1155="",$D1155=""),"",$D1155*IFERROR(INDEX(ProdCusto,MATCH($B1155,ProdCod,0)),0))</f>
        <v>0</v>
      </c>
      <c r="H1155" s="25">
        <f>IF($A1155="","",IF(OR($B1155="",$C1155="",$D1155=""),"Preencher tudo",IF($F1155="Código não cadastrado","Código inválido","OK")))</f>
        <v>0</v>
      </c>
    </row>
    <row r="1156" spans="1:8">
      <c r="A1156" s="16"/>
      <c r="B1156" s="15"/>
      <c r="C1156" s="20"/>
      <c r="D1156" s="22"/>
      <c r="E1156" s="15"/>
      <c r="F1156" s="23">
        <f>IF($B1156="","",IFERROR(INDEX(ProdNome,MATCH($B1156,ProdCod,0)),"Código não cadastrado"))</f>
        <v>0</v>
      </c>
      <c r="G1156" s="24">
        <f>IF(OR($B1156="",$D1156=""),"",$D1156*IFERROR(INDEX(ProdCusto,MATCH($B1156,ProdCod,0)),0))</f>
        <v>0</v>
      </c>
      <c r="H1156" s="25">
        <f>IF($A1156="","",IF(OR($B1156="",$C1156="",$D1156=""),"Preencher tudo",IF($F1156="Código não cadastrado","Código inválido","OK")))</f>
        <v>0</v>
      </c>
    </row>
    <row r="1157" spans="1:8">
      <c r="A1157" s="16"/>
      <c r="B1157" s="15"/>
      <c r="C1157" s="20"/>
      <c r="D1157" s="22"/>
      <c r="E1157" s="15"/>
      <c r="F1157" s="23">
        <f>IF($B1157="","",IFERROR(INDEX(ProdNome,MATCH($B1157,ProdCod,0)),"Código não cadastrado"))</f>
        <v>0</v>
      </c>
      <c r="G1157" s="24">
        <f>IF(OR($B1157="",$D1157=""),"",$D1157*IFERROR(INDEX(ProdCusto,MATCH($B1157,ProdCod,0)),0))</f>
        <v>0</v>
      </c>
      <c r="H1157" s="25">
        <f>IF($A1157="","",IF(OR($B1157="",$C1157="",$D1157=""),"Preencher tudo",IF($F1157="Código não cadastrado","Código inválido","OK")))</f>
        <v>0</v>
      </c>
    </row>
    <row r="1158" spans="1:8">
      <c r="A1158" s="16"/>
      <c r="B1158" s="15"/>
      <c r="C1158" s="20"/>
      <c r="D1158" s="22"/>
      <c r="E1158" s="15"/>
      <c r="F1158" s="23">
        <f>IF($B1158="","",IFERROR(INDEX(ProdNome,MATCH($B1158,ProdCod,0)),"Código não cadastrado"))</f>
        <v>0</v>
      </c>
      <c r="G1158" s="24">
        <f>IF(OR($B1158="",$D1158=""),"",$D1158*IFERROR(INDEX(ProdCusto,MATCH($B1158,ProdCod,0)),0))</f>
        <v>0</v>
      </c>
      <c r="H1158" s="25">
        <f>IF($A1158="","",IF(OR($B1158="",$C1158="",$D1158=""),"Preencher tudo",IF($F1158="Código não cadastrado","Código inválido","OK")))</f>
        <v>0</v>
      </c>
    </row>
    <row r="1159" spans="1:8">
      <c r="A1159" s="16"/>
      <c r="B1159" s="15"/>
      <c r="C1159" s="20"/>
      <c r="D1159" s="22"/>
      <c r="E1159" s="15"/>
      <c r="F1159" s="23">
        <f>IF($B1159="","",IFERROR(INDEX(ProdNome,MATCH($B1159,ProdCod,0)),"Código não cadastrado"))</f>
        <v>0</v>
      </c>
      <c r="G1159" s="24">
        <f>IF(OR($B1159="",$D1159=""),"",$D1159*IFERROR(INDEX(ProdCusto,MATCH($B1159,ProdCod,0)),0))</f>
        <v>0</v>
      </c>
      <c r="H1159" s="25">
        <f>IF($A1159="","",IF(OR($B1159="",$C1159="",$D1159=""),"Preencher tudo",IF($F1159="Código não cadastrado","Código inválido","OK")))</f>
        <v>0</v>
      </c>
    </row>
    <row r="1160" spans="1:8">
      <c r="A1160" s="16"/>
      <c r="B1160" s="15"/>
      <c r="C1160" s="20"/>
      <c r="D1160" s="22"/>
      <c r="E1160" s="15"/>
      <c r="F1160" s="23">
        <f>IF($B1160="","",IFERROR(INDEX(ProdNome,MATCH($B1160,ProdCod,0)),"Código não cadastrado"))</f>
        <v>0</v>
      </c>
      <c r="G1160" s="24">
        <f>IF(OR($B1160="",$D1160=""),"",$D1160*IFERROR(INDEX(ProdCusto,MATCH($B1160,ProdCod,0)),0))</f>
        <v>0</v>
      </c>
      <c r="H1160" s="25">
        <f>IF($A1160="","",IF(OR($B1160="",$C1160="",$D1160=""),"Preencher tudo",IF($F1160="Código não cadastrado","Código inválido","OK")))</f>
        <v>0</v>
      </c>
    </row>
    <row r="1161" spans="1:8">
      <c r="A1161" s="16"/>
      <c r="B1161" s="15"/>
      <c r="C1161" s="20"/>
      <c r="D1161" s="22"/>
      <c r="E1161" s="15"/>
      <c r="F1161" s="23">
        <f>IF($B1161="","",IFERROR(INDEX(ProdNome,MATCH($B1161,ProdCod,0)),"Código não cadastrado"))</f>
        <v>0</v>
      </c>
      <c r="G1161" s="24">
        <f>IF(OR($B1161="",$D1161=""),"",$D1161*IFERROR(INDEX(ProdCusto,MATCH($B1161,ProdCod,0)),0))</f>
        <v>0</v>
      </c>
      <c r="H1161" s="25">
        <f>IF($A1161="","",IF(OR($B1161="",$C1161="",$D1161=""),"Preencher tudo",IF($F1161="Código não cadastrado","Código inválido","OK")))</f>
        <v>0</v>
      </c>
    </row>
    <row r="1162" spans="1:8">
      <c r="A1162" s="16"/>
      <c r="B1162" s="15"/>
      <c r="C1162" s="20"/>
      <c r="D1162" s="22"/>
      <c r="E1162" s="15"/>
      <c r="F1162" s="23">
        <f>IF($B1162="","",IFERROR(INDEX(ProdNome,MATCH($B1162,ProdCod,0)),"Código não cadastrado"))</f>
        <v>0</v>
      </c>
      <c r="G1162" s="24">
        <f>IF(OR($B1162="",$D1162=""),"",$D1162*IFERROR(INDEX(ProdCusto,MATCH($B1162,ProdCod,0)),0))</f>
        <v>0</v>
      </c>
      <c r="H1162" s="25">
        <f>IF($A1162="","",IF(OR($B1162="",$C1162="",$D1162=""),"Preencher tudo",IF($F1162="Código não cadastrado","Código inválido","OK")))</f>
        <v>0</v>
      </c>
    </row>
    <row r="1163" spans="1:8">
      <c r="A1163" s="16"/>
      <c r="B1163" s="15"/>
      <c r="C1163" s="20"/>
      <c r="D1163" s="22"/>
      <c r="E1163" s="15"/>
      <c r="F1163" s="23">
        <f>IF($B1163="","",IFERROR(INDEX(ProdNome,MATCH($B1163,ProdCod,0)),"Código não cadastrado"))</f>
        <v>0</v>
      </c>
      <c r="G1163" s="24">
        <f>IF(OR($B1163="",$D1163=""),"",$D1163*IFERROR(INDEX(ProdCusto,MATCH($B1163,ProdCod,0)),0))</f>
        <v>0</v>
      </c>
      <c r="H1163" s="25">
        <f>IF($A1163="","",IF(OR($B1163="",$C1163="",$D1163=""),"Preencher tudo",IF($F1163="Código não cadastrado","Código inválido","OK")))</f>
        <v>0</v>
      </c>
    </row>
    <row r="1164" spans="1:8">
      <c r="A1164" s="16"/>
      <c r="B1164" s="15"/>
      <c r="C1164" s="20"/>
      <c r="D1164" s="22"/>
      <c r="E1164" s="15"/>
      <c r="F1164" s="23">
        <f>IF($B1164="","",IFERROR(INDEX(ProdNome,MATCH($B1164,ProdCod,0)),"Código não cadastrado"))</f>
        <v>0</v>
      </c>
      <c r="G1164" s="24">
        <f>IF(OR($B1164="",$D1164=""),"",$D1164*IFERROR(INDEX(ProdCusto,MATCH($B1164,ProdCod,0)),0))</f>
        <v>0</v>
      </c>
      <c r="H1164" s="25">
        <f>IF($A1164="","",IF(OR($B1164="",$C1164="",$D1164=""),"Preencher tudo",IF($F1164="Código não cadastrado","Código inválido","OK")))</f>
        <v>0</v>
      </c>
    </row>
    <row r="1165" spans="1:8">
      <c r="A1165" s="16"/>
      <c r="B1165" s="15"/>
      <c r="C1165" s="20"/>
      <c r="D1165" s="22"/>
      <c r="E1165" s="15"/>
      <c r="F1165" s="23">
        <f>IF($B1165="","",IFERROR(INDEX(ProdNome,MATCH($B1165,ProdCod,0)),"Código não cadastrado"))</f>
        <v>0</v>
      </c>
      <c r="G1165" s="24">
        <f>IF(OR($B1165="",$D1165=""),"",$D1165*IFERROR(INDEX(ProdCusto,MATCH($B1165,ProdCod,0)),0))</f>
        <v>0</v>
      </c>
      <c r="H1165" s="25">
        <f>IF($A1165="","",IF(OR($B1165="",$C1165="",$D1165=""),"Preencher tudo",IF($F1165="Código não cadastrado","Código inválido","OK")))</f>
        <v>0</v>
      </c>
    </row>
    <row r="1166" spans="1:8">
      <c r="A1166" s="16"/>
      <c r="B1166" s="15"/>
      <c r="C1166" s="20"/>
      <c r="D1166" s="22"/>
      <c r="E1166" s="15"/>
      <c r="F1166" s="23">
        <f>IF($B1166="","",IFERROR(INDEX(ProdNome,MATCH($B1166,ProdCod,0)),"Código não cadastrado"))</f>
        <v>0</v>
      </c>
      <c r="G1166" s="24">
        <f>IF(OR($B1166="",$D1166=""),"",$D1166*IFERROR(INDEX(ProdCusto,MATCH($B1166,ProdCod,0)),0))</f>
        <v>0</v>
      </c>
      <c r="H1166" s="25">
        <f>IF($A1166="","",IF(OR($B1166="",$C1166="",$D1166=""),"Preencher tudo",IF($F1166="Código não cadastrado","Código inválido","OK")))</f>
        <v>0</v>
      </c>
    </row>
    <row r="1167" spans="1:8">
      <c r="A1167" s="16"/>
      <c r="B1167" s="15"/>
      <c r="C1167" s="20"/>
      <c r="D1167" s="22"/>
      <c r="E1167" s="15"/>
      <c r="F1167" s="23">
        <f>IF($B1167="","",IFERROR(INDEX(ProdNome,MATCH($B1167,ProdCod,0)),"Código não cadastrado"))</f>
        <v>0</v>
      </c>
      <c r="G1167" s="24">
        <f>IF(OR($B1167="",$D1167=""),"",$D1167*IFERROR(INDEX(ProdCusto,MATCH($B1167,ProdCod,0)),0))</f>
        <v>0</v>
      </c>
      <c r="H1167" s="25">
        <f>IF($A1167="","",IF(OR($B1167="",$C1167="",$D1167=""),"Preencher tudo",IF($F1167="Código não cadastrado","Código inválido","OK")))</f>
        <v>0</v>
      </c>
    </row>
    <row r="1168" spans="1:8">
      <c r="A1168" s="16"/>
      <c r="B1168" s="15"/>
      <c r="C1168" s="20"/>
      <c r="D1168" s="22"/>
      <c r="E1168" s="15"/>
      <c r="F1168" s="23">
        <f>IF($B1168="","",IFERROR(INDEX(ProdNome,MATCH($B1168,ProdCod,0)),"Código não cadastrado"))</f>
        <v>0</v>
      </c>
      <c r="G1168" s="24">
        <f>IF(OR($B1168="",$D1168=""),"",$D1168*IFERROR(INDEX(ProdCusto,MATCH($B1168,ProdCod,0)),0))</f>
        <v>0</v>
      </c>
      <c r="H1168" s="25">
        <f>IF($A1168="","",IF(OR($B1168="",$C1168="",$D1168=""),"Preencher tudo",IF($F1168="Código não cadastrado","Código inválido","OK")))</f>
        <v>0</v>
      </c>
    </row>
    <row r="1169" spans="1:8">
      <c r="A1169" s="16"/>
      <c r="B1169" s="15"/>
      <c r="C1169" s="20"/>
      <c r="D1169" s="22"/>
      <c r="E1169" s="15"/>
      <c r="F1169" s="23">
        <f>IF($B1169="","",IFERROR(INDEX(ProdNome,MATCH($B1169,ProdCod,0)),"Código não cadastrado"))</f>
        <v>0</v>
      </c>
      <c r="G1169" s="24">
        <f>IF(OR($B1169="",$D1169=""),"",$D1169*IFERROR(INDEX(ProdCusto,MATCH($B1169,ProdCod,0)),0))</f>
        <v>0</v>
      </c>
      <c r="H1169" s="25">
        <f>IF($A1169="","",IF(OR($B1169="",$C1169="",$D1169=""),"Preencher tudo",IF($F1169="Código não cadastrado","Código inválido","OK")))</f>
        <v>0</v>
      </c>
    </row>
    <row r="1170" spans="1:8">
      <c r="A1170" s="16"/>
      <c r="B1170" s="15"/>
      <c r="C1170" s="20"/>
      <c r="D1170" s="22"/>
      <c r="E1170" s="15"/>
      <c r="F1170" s="23">
        <f>IF($B1170="","",IFERROR(INDEX(ProdNome,MATCH($B1170,ProdCod,0)),"Código não cadastrado"))</f>
        <v>0</v>
      </c>
      <c r="G1170" s="24">
        <f>IF(OR($B1170="",$D1170=""),"",$D1170*IFERROR(INDEX(ProdCusto,MATCH($B1170,ProdCod,0)),0))</f>
        <v>0</v>
      </c>
      <c r="H1170" s="25">
        <f>IF($A1170="","",IF(OR($B1170="",$C1170="",$D1170=""),"Preencher tudo",IF($F1170="Código não cadastrado","Código inválido","OK")))</f>
        <v>0</v>
      </c>
    </row>
    <row r="1171" spans="1:8">
      <c r="A1171" s="16"/>
      <c r="B1171" s="15"/>
      <c r="C1171" s="20"/>
      <c r="D1171" s="22"/>
      <c r="E1171" s="15"/>
      <c r="F1171" s="23">
        <f>IF($B1171="","",IFERROR(INDEX(ProdNome,MATCH($B1171,ProdCod,0)),"Código não cadastrado"))</f>
        <v>0</v>
      </c>
      <c r="G1171" s="24">
        <f>IF(OR($B1171="",$D1171=""),"",$D1171*IFERROR(INDEX(ProdCusto,MATCH($B1171,ProdCod,0)),0))</f>
        <v>0</v>
      </c>
      <c r="H1171" s="25">
        <f>IF($A1171="","",IF(OR($B1171="",$C1171="",$D1171=""),"Preencher tudo",IF($F1171="Código não cadastrado","Código inválido","OK")))</f>
        <v>0</v>
      </c>
    </row>
    <row r="1172" spans="1:8">
      <c r="A1172" s="16"/>
      <c r="B1172" s="15"/>
      <c r="C1172" s="20"/>
      <c r="D1172" s="22"/>
      <c r="E1172" s="15"/>
      <c r="F1172" s="23">
        <f>IF($B1172="","",IFERROR(INDEX(ProdNome,MATCH($B1172,ProdCod,0)),"Código não cadastrado"))</f>
        <v>0</v>
      </c>
      <c r="G1172" s="24">
        <f>IF(OR($B1172="",$D1172=""),"",$D1172*IFERROR(INDEX(ProdCusto,MATCH($B1172,ProdCod,0)),0))</f>
        <v>0</v>
      </c>
      <c r="H1172" s="25">
        <f>IF($A1172="","",IF(OR($B1172="",$C1172="",$D1172=""),"Preencher tudo",IF($F1172="Código não cadastrado","Código inválido","OK")))</f>
        <v>0</v>
      </c>
    </row>
    <row r="1173" spans="1:8">
      <c r="A1173" s="16"/>
      <c r="B1173" s="15"/>
      <c r="C1173" s="20"/>
      <c r="D1173" s="22"/>
      <c r="E1173" s="15"/>
      <c r="F1173" s="23">
        <f>IF($B1173="","",IFERROR(INDEX(ProdNome,MATCH($B1173,ProdCod,0)),"Código não cadastrado"))</f>
        <v>0</v>
      </c>
      <c r="G1173" s="24">
        <f>IF(OR($B1173="",$D1173=""),"",$D1173*IFERROR(INDEX(ProdCusto,MATCH($B1173,ProdCod,0)),0))</f>
        <v>0</v>
      </c>
      <c r="H1173" s="25">
        <f>IF($A1173="","",IF(OR($B1173="",$C1173="",$D1173=""),"Preencher tudo",IF($F1173="Código não cadastrado","Código inválido","OK")))</f>
        <v>0</v>
      </c>
    </row>
    <row r="1174" spans="1:8">
      <c r="A1174" s="16"/>
      <c r="B1174" s="15"/>
      <c r="C1174" s="20"/>
      <c r="D1174" s="22"/>
      <c r="E1174" s="15"/>
      <c r="F1174" s="23">
        <f>IF($B1174="","",IFERROR(INDEX(ProdNome,MATCH($B1174,ProdCod,0)),"Código não cadastrado"))</f>
        <v>0</v>
      </c>
      <c r="G1174" s="24">
        <f>IF(OR($B1174="",$D1174=""),"",$D1174*IFERROR(INDEX(ProdCusto,MATCH($B1174,ProdCod,0)),0))</f>
        <v>0</v>
      </c>
      <c r="H1174" s="25">
        <f>IF($A1174="","",IF(OR($B1174="",$C1174="",$D1174=""),"Preencher tudo",IF($F1174="Código não cadastrado","Código inválido","OK")))</f>
        <v>0</v>
      </c>
    </row>
    <row r="1175" spans="1:8">
      <c r="A1175" s="16"/>
      <c r="B1175" s="15"/>
      <c r="C1175" s="20"/>
      <c r="D1175" s="22"/>
      <c r="E1175" s="15"/>
      <c r="F1175" s="23">
        <f>IF($B1175="","",IFERROR(INDEX(ProdNome,MATCH($B1175,ProdCod,0)),"Código não cadastrado"))</f>
        <v>0</v>
      </c>
      <c r="G1175" s="24">
        <f>IF(OR($B1175="",$D1175=""),"",$D1175*IFERROR(INDEX(ProdCusto,MATCH($B1175,ProdCod,0)),0))</f>
        <v>0</v>
      </c>
      <c r="H1175" s="25">
        <f>IF($A1175="","",IF(OR($B1175="",$C1175="",$D1175=""),"Preencher tudo",IF($F1175="Código não cadastrado","Código inválido","OK")))</f>
        <v>0</v>
      </c>
    </row>
    <row r="1176" spans="1:8">
      <c r="A1176" s="16"/>
      <c r="B1176" s="15"/>
      <c r="C1176" s="20"/>
      <c r="D1176" s="22"/>
      <c r="E1176" s="15"/>
      <c r="F1176" s="23">
        <f>IF($B1176="","",IFERROR(INDEX(ProdNome,MATCH($B1176,ProdCod,0)),"Código não cadastrado"))</f>
        <v>0</v>
      </c>
      <c r="G1176" s="24">
        <f>IF(OR($B1176="",$D1176=""),"",$D1176*IFERROR(INDEX(ProdCusto,MATCH($B1176,ProdCod,0)),0))</f>
        <v>0</v>
      </c>
      <c r="H1176" s="25">
        <f>IF($A1176="","",IF(OR($B1176="",$C1176="",$D1176=""),"Preencher tudo",IF($F1176="Código não cadastrado","Código inválido","OK")))</f>
        <v>0</v>
      </c>
    </row>
    <row r="1177" spans="1:8">
      <c r="A1177" s="16"/>
      <c r="B1177" s="15"/>
      <c r="C1177" s="20"/>
      <c r="D1177" s="22"/>
      <c r="E1177" s="15"/>
      <c r="F1177" s="23">
        <f>IF($B1177="","",IFERROR(INDEX(ProdNome,MATCH($B1177,ProdCod,0)),"Código não cadastrado"))</f>
        <v>0</v>
      </c>
      <c r="G1177" s="24">
        <f>IF(OR($B1177="",$D1177=""),"",$D1177*IFERROR(INDEX(ProdCusto,MATCH($B1177,ProdCod,0)),0))</f>
        <v>0</v>
      </c>
      <c r="H1177" s="25">
        <f>IF($A1177="","",IF(OR($B1177="",$C1177="",$D1177=""),"Preencher tudo",IF($F1177="Código não cadastrado","Código inválido","OK")))</f>
        <v>0</v>
      </c>
    </row>
    <row r="1178" spans="1:8">
      <c r="A1178" s="16"/>
      <c r="B1178" s="15"/>
      <c r="C1178" s="20"/>
      <c r="D1178" s="22"/>
      <c r="E1178" s="15"/>
      <c r="F1178" s="23">
        <f>IF($B1178="","",IFERROR(INDEX(ProdNome,MATCH($B1178,ProdCod,0)),"Código não cadastrado"))</f>
        <v>0</v>
      </c>
      <c r="G1178" s="24">
        <f>IF(OR($B1178="",$D1178=""),"",$D1178*IFERROR(INDEX(ProdCusto,MATCH($B1178,ProdCod,0)),0))</f>
        <v>0</v>
      </c>
      <c r="H1178" s="25">
        <f>IF($A1178="","",IF(OR($B1178="",$C1178="",$D1178=""),"Preencher tudo",IF($F1178="Código não cadastrado","Código inválido","OK")))</f>
        <v>0</v>
      </c>
    </row>
    <row r="1179" spans="1:8">
      <c r="A1179" s="16"/>
      <c r="B1179" s="15"/>
      <c r="C1179" s="20"/>
      <c r="D1179" s="22"/>
      <c r="E1179" s="15"/>
      <c r="F1179" s="23">
        <f>IF($B1179="","",IFERROR(INDEX(ProdNome,MATCH($B1179,ProdCod,0)),"Código não cadastrado"))</f>
        <v>0</v>
      </c>
      <c r="G1179" s="24">
        <f>IF(OR($B1179="",$D1179=""),"",$D1179*IFERROR(INDEX(ProdCusto,MATCH($B1179,ProdCod,0)),0))</f>
        <v>0</v>
      </c>
      <c r="H1179" s="25">
        <f>IF($A1179="","",IF(OR($B1179="",$C1179="",$D1179=""),"Preencher tudo",IF($F1179="Código não cadastrado","Código inválido","OK")))</f>
        <v>0</v>
      </c>
    </row>
    <row r="1180" spans="1:8">
      <c r="A1180" s="16"/>
      <c r="B1180" s="15"/>
      <c r="C1180" s="20"/>
      <c r="D1180" s="22"/>
      <c r="E1180" s="15"/>
      <c r="F1180" s="23">
        <f>IF($B1180="","",IFERROR(INDEX(ProdNome,MATCH($B1180,ProdCod,0)),"Código não cadastrado"))</f>
        <v>0</v>
      </c>
      <c r="G1180" s="24">
        <f>IF(OR($B1180="",$D1180=""),"",$D1180*IFERROR(INDEX(ProdCusto,MATCH($B1180,ProdCod,0)),0))</f>
        <v>0</v>
      </c>
      <c r="H1180" s="25">
        <f>IF($A1180="","",IF(OR($B1180="",$C1180="",$D1180=""),"Preencher tudo",IF($F1180="Código não cadastrado","Código inválido","OK")))</f>
        <v>0</v>
      </c>
    </row>
    <row r="1181" spans="1:8">
      <c r="A1181" s="16"/>
      <c r="B1181" s="15"/>
      <c r="C1181" s="20"/>
      <c r="D1181" s="22"/>
      <c r="E1181" s="15"/>
      <c r="F1181" s="23">
        <f>IF($B1181="","",IFERROR(INDEX(ProdNome,MATCH($B1181,ProdCod,0)),"Código não cadastrado"))</f>
        <v>0</v>
      </c>
      <c r="G1181" s="24">
        <f>IF(OR($B1181="",$D1181=""),"",$D1181*IFERROR(INDEX(ProdCusto,MATCH($B1181,ProdCod,0)),0))</f>
        <v>0</v>
      </c>
      <c r="H1181" s="25">
        <f>IF($A1181="","",IF(OR($B1181="",$C1181="",$D1181=""),"Preencher tudo",IF($F1181="Código não cadastrado","Código inválido","OK")))</f>
        <v>0</v>
      </c>
    </row>
    <row r="1182" spans="1:8">
      <c r="A1182" s="16"/>
      <c r="B1182" s="15"/>
      <c r="C1182" s="20"/>
      <c r="D1182" s="22"/>
      <c r="E1182" s="15"/>
      <c r="F1182" s="23">
        <f>IF($B1182="","",IFERROR(INDEX(ProdNome,MATCH($B1182,ProdCod,0)),"Código não cadastrado"))</f>
        <v>0</v>
      </c>
      <c r="G1182" s="24">
        <f>IF(OR($B1182="",$D1182=""),"",$D1182*IFERROR(INDEX(ProdCusto,MATCH($B1182,ProdCod,0)),0))</f>
        <v>0</v>
      </c>
      <c r="H1182" s="25">
        <f>IF($A1182="","",IF(OR($B1182="",$C1182="",$D1182=""),"Preencher tudo",IF($F1182="Código não cadastrado","Código inválido","OK")))</f>
        <v>0</v>
      </c>
    </row>
    <row r="1183" spans="1:8">
      <c r="A1183" s="16"/>
      <c r="B1183" s="15"/>
      <c r="C1183" s="20"/>
      <c r="D1183" s="22"/>
      <c r="E1183" s="15"/>
      <c r="F1183" s="23">
        <f>IF($B1183="","",IFERROR(INDEX(ProdNome,MATCH($B1183,ProdCod,0)),"Código não cadastrado"))</f>
        <v>0</v>
      </c>
      <c r="G1183" s="24">
        <f>IF(OR($B1183="",$D1183=""),"",$D1183*IFERROR(INDEX(ProdCusto,MATCH($B1183,ProdCod,0)),0))</f>
        <v>0</v>
      </c>
      <c r="H1183" s="25">
        <f>IF($A1183="","",IF(OR($B1183="",$C1183="",$D1183=""),"Preencher tudo",IF($F1183="Código não cadastrado","Código inválido","OK")))</f>
        <v>0</v>
      </c>
    </row>
    <row r="1184" spans="1:8">
      <c r="A1184" s="16"/>
      <c r="B1184" s="15"/>
      <c r="C1184" s="20"/>
      <c r="D1184" s="22"/>
      <c r="E1184" s="15"/>
      <c r="F1184" s="23">
        <f>IF($B1184="","",IFERROR(INDEX(ProdNome,MATCH($B1184,ProdCod,0)),"Código não cadastrado"))</f>
        <v>0</v>
      </c>
      <c r="G1184" s="24">
        <f>IF(OR($B1184="",$D1184=""),"",$D1184*IFERROR(INDEX(ProdCusto,MATCH($B1184,ProdCod,0)),0))</f>
        <v>0</v>
      </c>
      <c r="H1184" s="25">
        <f>IF($A1184="","",IF(OR($B1184="",$C1184="",$D1184=""),"Preencher tudo",IF($F1184="Código não cadastrado","Código inválido","OK")))</f>
        <v>0</v>
      </c>
    </row>
    <row r="1185" spans="1:8">
      <c r="A1185" s="16"/>
      <c r="B1185" s="15"/>
      <c r="C1185" s="20"/>
      <c r="D1185" s="22"/>
      <c r="E1185" s="15"/>
      <c r="F1185" s="23">
        <f>IF($B1185="","",IFERROR(INDEX(ProdNome,MATCH($B1185,ProdCod,0)),"Código não cadastrado"))</f>
        <v>0</v>
      </c>
      <c r="G1185" s="24">
        <f>IF(OR($B1185="",$D1185=""),"",$D1185*IFERROR(INDEX(ProdCusto,MATCH($B1185,ProdCod,0)),0))</f>
        <v>0</v>
      </c>
      <c r="H1185" s="25">
        <f>IF($A1185="","",IF(OR($B1185="",$C1185="",$D1185=""),"Preencher tudo",IF($F1185="Código não cadastrado","Código inválido","OK")))</f>
        <v>0</v>
      </c>
    </row>
    <row r="1186" spans="1:8">
      <c r="A1186" s="16"/>
      <c r="B1186" s="15"/>
      <c r="C1186" s="20"/>
      <c r="D1186" s="22"/>
      <c r="E1186" s="15"/>
      <c r="F1186" s="23">
        <f>IF($B1186="","",IFERROR(INDEX(ProdNome,MATCH($B1186,ProdCod,0)),"Código não cadastrado"))</f>
        <v>0</v>
      </c>
      <c r="G1186" s="24">
        <f>IF(OR($B1186="",$D1186=""),"",$D1186*IFERROR(INDEX(ProdCusto,MATCH($B1186,ProdCod,0)),0))</f>
        <v>0</v>
      </c>
      <c r="H1186" s="25">
        <f>IF($A1186="","",IF(OR($B1186="",$C1186="",$D1186=""),"Preencher tudo",IF($F1186="Código não cadastrado","Código inválido","OK")))</f>
        <v>0</v>
      </c>
    </row>
    <row r="1187" spans="1:8">
      <c r="A1187" s="16"/>
      <c r="B1187" s="15"/>
      <c r="C1187" s="20"/>
      <c r="D1187" s="22"/>
      <c r="E1187" s="15"/>
      <c r="F1187" s="23">
        <f>IF($B1187="","",IFERROR(INDEX(ProdNome,MATCH($B1187,ProdCod,0)),"Código não cadastrado"))</f>
        <v>0</v>
      </c>
      <c r="G1187" s="24">
        <f>IF(OR($B1187="",$D1187=""),"",$D1187*IFERROR(INDEX(ProdCusto,MATCH($B1187,ProdCod,0)),0))</f>
        <v>0</v>
      </c>
      <c r="H1187" s="25">
        <f>IF($A1187="","",IF(OR($B1187="",$C1187="",$D1187=""),"Preencher tudo",IF($F1187="Código não cadastrado","Código inválido","OK")))</f>
        <v>0</v>
      </c>
    </row>
    <row r="1188" spans="1:8">
      <c r="A1188" s="16"/>
      <c r="B1188" s="15"/>
      <c r="C1188" s="20"/>
      <c r="D1188" s="22"/>
      <c r="E1188" s="15"/>
      <c r="F1188" s="23">
        <f>IF($B1188="","",IFERROR(INDEX(ProdNome,MATCH($B1188,ProdCod,0)),"Código não cadastrado"))</f>
        <v>0</v>
      </c>
      <c r="G1188" s="24">
        <f>IF(OR($B1188="",$D1188=""),"",$D1188*IFERROR(INDEX(ProdCusto,MATCH($B1188,ProdCod,0)),0))</f>
        <v>0</v>
      </c>
      <c r="H1188" s="25">
        <f>IF($A1188="","",IF(OR($B1188="",$C1188="",$D1188=""),"Preencher tudo",IF($F1188="Código não cadastrado","Código inválido","OK")))</f>
        <v>0</v>
      </c>
    </row>
    <row r="1189" spans="1:8">
      <c r="A1189" s="16"/>
      <c r="B1189" s="15"/>
      <c r="C1189" s="20"/>
      <c r="D1189" s="22"/>
      <c r="E1189" s="15"/>
      <c r="F1189" s="23">
        <f>IF($B1189="","",IFERROR(INDEX(ProdNome,MATCH($B1189,ProdCod,0)),"Código não cadastrado"))</f>
        <v>0</v>
      </c>
      <c r="G1189" s="24">
        <f>IF(OR($B1189="",$D1189=""),"",$D1189*IFERROR(INDEX(ProdCusto,MATCH($B1189,ProdCod,0)),0))</f>
        <v>0</v>
      </c>
      <c r="H1189" s="25">
        <f>IF($A1189="","",IF(OR($B1189="",$C1189="",$D1189=""),"Preencher tudo",IF($F1189="Código não cadastrado","Código inválido","OK")))</f>
        <v>0</v>
      </c>
    </row>
    <row r="1190" spans="1:8">
      <c r="A1190" s="16"/>
      <c r="B1190" s="15"/>
      <c r="C1190" s="20"/>
      <c r="D1190" s="22"/>
      <c r="E1190" s="15"/>
      <c r="F1190" s="23">
        <f>IF($B1190="","",IFERROR(INDEX(ProdNome,MATCH($B1190,ProdCod,0)),"Código não cadastrado"))</f>
        <v>0</v>
      </c>
      <c r="G1190" s="24">
        <f>IF(OR($B1190="",$D1190=""),"",$D1190*IFERROR(INDEX(ProdCusto,MATCH($B1190,ProdCod,0)),0))</f>
        <v>0</v>
      </c>
      <c r="H1190" s="25">
        <f>IF($A1190="","",IF(OR($B1190="",$C1190="",$D1190=""),"Preencher tudo",IF($F1190="Código não cadastrado","Código inválido","OK")))</f>
        <v>0</v>
      </c>
    </row>
    <row r="1191" spans="1:8">
      <c r="A1191" s="16"/>
      <c r="B1191" s="15"/>
      <c r="C1191" s="20"/>
      <c r="D1191" s="22"/>
      <c r="E1191" s="15"/>
      <c r="F1191" s="23">
        <f>IF($B1191="","",IFERROR(INDEX(ProdNome,MATCH($B1191,ProdCod,0)),"Código não cadastrado"))</f>
        <v>0</v>
      </c>
      <c r="G1191" s="24">
        <f>IF(OR($B1191="",$D1191=""),"",$D1191*IFERROR(INDEX(ProdCusto,MATCH($B1191,ProdCod,0)),0))</f>
        <v>0</v>
      </c>
      <c r="H1191" s="25">
        <f>IF($A1191="","",IF(OR($B1191="",$C1191="",$D1191=""),"Preencher tudo",IF($F1191="Código não cadastrado","Código inválido","OK")))</f>
        <v>0</v>
      </c>
    </row>
    <row r="1192" spans="1:8">
      <c r="A1192" s="16"/>
      <c r="B1192" s="15"/>
      <c r="C1192" s="20"/>
      <c r="D1192" s="22"/>
      <c r="E1192" s="15"/>
      <c r="F1192" s="23">
        <f>IF($B1192="","",IFERROR(INDEX(ProdNome,MATCH($B1192,ProdCod,0)),"Código não cadastrado"))</f>
        <v>0</v>
      </c>
      <c r="G1192" s="24">
        <f>IF(OR($B1192="",$D1192=""),"",$D1192*IFERROR(INDEX(ProdCusto,MATCH($B1192,ProdCod,0)),0))</f>
        <v>0</v>
      </c>
      <c r="H1192" s="25">
        <f>IF($A1192="","",IF(OR($B1192="",$C1192="",$D1192=""),"Preencher tudo",IF($F1192="Código não cadastrado","Código inválido","OK")))</f>
        <v>0</v>
      </c>
    </row>
    <row r="1193" spans="1:8">
      <c r="A1193" s="16"/>
      <c r="B1193" s="15"/>
      <c r="C1193" s="20"/>
      <c r="D1193" s="22"/>
      <c r="E1193" s="15"/>
      <c r="F1193" s="23">
        <f>IF($B1193="","",IFERROR(INDEX(ProdNome,MATCH($B1193,ProdCod,0)),"Código não cadastrado"))</f>
        <v>0</v>
      </c>
      <c r="G1193" s="24">
        <f>IF(OR($B1193="",$D1193=""),"",$D1193*IFERROR(INDEX(ProdCusto,MATCH($B1193,ProdCod,0)),0))</f>
        <v>0</v>
      </c>
      <c r="H1193" s="25">
        <f>IF($A1193="","",IF(OR($B1193="",$C1193="",$D1193=""),"Preencher tudo",IF($F1193="Código não cadastrado","Código inválido","OK")))</f>
        <v>0</v>
      </c>
    </row>
    <row r="1194" spans="1:8">
      <c r="A1194" s="16"/>
      <c r="B1194" s="15"/>
      <c r="C1194" s="20"/>
      <c r="D1194" s="22"/>
      <c r="E1194" s="15"/>
      <c r="F1194" s="23">
        <f>IF($B1194="","",IFERROR(INDEX(ProdNome,MATCH($B1194,ProdCod,0)),"Código não cadastrado"))</f>
        <v>0</v>
      </c>
      <c r="G1194" s="24">
        <f>IF(OR($B1194="",$D1194=""),"",$D1194*IFERROR(INDEX(ProdCusto,MATCH($B1194,ProdCod,0)),0))</f>
        <v>0</v>
      </c>
      <c r="H1194" s="25">
        <f>IF($A1194="","",IF(OR($B1194="",$C1194="",$D1194=""),"Preencher tudo",IF($F1194="Código não cadastrado","Código inválido","OK")))</f>
        <v>0</v>
      </c>
    </row>
    <row r="1195" spans="1:8">
      <c r="A1195" s="16"/>
      <c r="B1195" s="15"/>
      <c r="C1195" s="20"/>
      <c r="D1195" s="22"/>
      <c r="E1195" s="15"/>
      <c r="F1195" s="23">
        <f>IF($B1195="","",IFERROR(INDEX(ProdNome,MATCH($B1195,ProdCod,0)),"Código não cadastrado"))</f>
        <v>0</v>
      </c>
      <c r="G1195" s="24">
        <f>IF(OR($B1195="",$D1195=""),"",$D1195*IFERROR(INDEX(ProdCusto,MATCH($B1195,ProdCod,0)),0))</f>
        <v>0</v>
      </c>
      <c r="H1195" s="25">
        <f>IF($A1195="","",IF(OR($B1195="",$C1195="",$D1195=""),"Preencher tudo",IF($F1195="Código não cadastrado","Código inválido","OK")))</f>
        <v>0</v>
      </c>
    </row>
    <row r="1196" spans="1:8">
      <c r="A1196" s="16"/>
      <c r="B1196" s="15"/>
      <c r="C1196" s="20"/>
      <c r="D1196" s="22"/>
      <c r="E1196" s="15"/>
      <c r="F1196" s="23">
        <f>IF($B1196="","",IFERROR(INDEX(ProdNome,MATCH($B1196,ProdCod,0)),"Código não cadastrado"))</f>
        <v>0</v>
      </c>
      <c r="G1196" s="24">
        <f>IF(OR($B1196="",$D1196=""),"",$D1196*IFERROR(INDEX(ProdCusto,MATCH($B1196,ProdCod,0)),0))</f>
        <v>0</v>
      </c>
      <c r="H1196" s="25">
        <f>IF($A1196="","",IF(OR($B1196="",$C1196="",$D1196=""),"Preencher tudo",IF($F1196="Código não cadastrado","Código inválido","OK")))</f>
        <v>0</v>
      </c>
    </row>
    <row r="1197" spans="1:8">
      <c r="A1197" s="16"/>
      <c r="B1197" s="15"/>
      <c r="C1197" s="20"/>
      <c r="D1197" s="22"/>
      <c r="E1197" s="15"/>
      <c r="F1197" s="23">
        <f>IF($B1197="","",IFERROR(INDEX(ProdNome,MATCH($B1197,ProdCod,0)),"Código não cadastrado"))</f>
        <v>0</v>
      </c>
      <c r="G1197" s="24">
        <f>IF(OR($B1197="",$D1197=""),"",$D1197*IFERROR(INDEX(ProdCusto,MATCH($B1197,ProdCod,0)),0))</f>
        <v>0</v>
      </c>
      <c r="H1197" s="25">
        <f>IF($A1197="","",IF(OR($B1197="",$C1197="",$D1197=""),"Preencher tudo",IF($F1197="Código não cadastrado","Código inválido","OK")))</f>
        <v>0</v>
      </c>
    </row>
    <row r="1198" spans="1:8">
      <c r="A1198" s="16"/>
      <c r="B1198" s="15"/>
      <c r="C1198" s="20"/>
      <c r="D1198" s="22"/>
      <c r="E1198" s="15"/>
      <c r="F1198" s="23">
        <f>IF($B1198="","",IFERROR(INDEX(ProdNome,MATCH($B1198,ProdCod,0)),"Código não cadastrado"))</f>
        <v>0</v>
      </c>
      <c r="G1198" s="24">
        <f>IF(OR($B1198="",$D1198=""),"",$D1198*IFERROR(INDEX(ProdCusto,MATCH($B1198,ProdCod,0)),0))</f>
        <v>0</v>
      </c>
      <c r="H1198" s="25">
        <f>IF($A1198="","",IF(OR($B1198="",$C1198="",$D1198=""),"Preencher tudo",IF($F1198="Código não cadastrado","Código inválido","OK")))</f>
        <v>0</v>
      </c>
    </row>
    <row r="1199" spans="1:8">
      <c r="A1199" s="16"/>
      <c r="B1199" s="15"/>
      <c r="C1199" s="20"/>
      <c r="D1199" s="22"/>
      <c r="E1199" s="15"/>
      <c r="F1199" s="23">
        <f>IF($B1199="","",IFERROR(INDEX(ProdNome,MATCH($B1199,ProdCod,0)),"Código não cadastrado"))</f>
        <v>0</v>
      </c>
      <c r="G1199" s="24">
        <f>IF(OR($B1199="",$D1199=""),"",$D1199*IFERROR(INDEX(ProdCusto,MATCH($B1199,ProdCod,0)),0))</f>
        <v>0</v>
      </c>
      <c r="H1199" s="25">
        <f>IF($A1199="","",IF(OR($B1199="",$C1199="",$D1199=""),"Preencher tudo",IF($F1199="Código não cadastrado","Código inválido","OK")))</f>
        <v>0</v>
      </c>
    </row>
    <row r="1200" spans="1:8">
      <c r="A1200" s="16"/>
      <c r="B1200" s="15"/>
      <c r="C1200" s="20"/>
      <c r="D1200" s="22"/>
      <c r="E1200" s="15"/>
      <c r="F1200" s="23">
        <f>IF($B1200="","",IFERROR(INDEX(ProdNome,MATCH($B1200,ProdCod,0)),"Código não cadastrado"))</f>
        <v>0</v>
      </c>
      <c r="G1200" s="24">
        <f>IF(OR($B1200="",$D1200=""),"",$D1200*IFERROR(INDEX(ProdCusto,MATCH($B1200,ProdCod,0)),0))</f>
        <v>0</v>
      </c>
      <c r="H1200" s="25">
        <f>IF($A1200="","",IF(OR($B1200="",$C1200="",$D1200=""),"Preencher tudo",IF($F1200="Código não cadastrado","Código inválido","OK")))</f>
        <v>0</v>
      </c>
    </row>
    <row r="1201" spans="1:8">
      <c r="A1201" s="16"/>
      <c r="B1201" s="15"/>
      <c r="C1201" s="20"/>
      <c r="D1201" s="22"/>
      <c r="E1201" s="15"/>
      <c r="F1201" s="23">
        <f>IF($B1201="","",IFERROR(INDEX(ProdNome,MATCH($B1201,ProdCod,0)),"Código não cadastrado"))</f>
        <v>0</v>
      </c>
      <c r="G1201" s="24">
        <f>IF(OR($B1201="",$D1201=""),"",$D1201*IFERROR(INDEX(ProdCusto,MATCH($B1201,ProdCod,0)),0))</f>
        <v>0</v>
      </c>
      <c r="H1201" s="25">
        <f>IF($A1201="","",IF(OR($B1201="",$C1201="",$D1201=""),"Preencher tudo",IF($F1201="Código não cadastrado","Código inválido","OK")))</f>
        <v>0</v>
      </c>
    </row>
    <row r="1202" spans="1:8">
      <c r="A1202" s="16"/>
      <c r="B1202" s="15"/>
      <c r="C1202" s="20"/>
      <c r="D1202" s="22"/>
      <c r="E1202" s="15"/>
      <c r="F1202" s="23">
        <f>IF($B1202="","",IFERROR(INDEX(ProdNome,MATCH($B1202,ProdCod,0)),"Código não cadastrado"))</f>
        <v>0</v>
      </c>
      <c r="G1202" s="24">
        <f>IF(OR($B1202="",$D1202=""),"",$D1202*IFERROR(INDEX(ProdCusto,MATCH($B1202,ProdCod,0)),0))</f>
        <v>0</v>
      </c>
      <c r="H1202" s="25">
        <f>IF($A1202="","",IF(OR($B1202="",$C1202="",$D1202=""),"Preencher tudo",IF($F1202="Código não cadastrado","Código inválido","OK")))</f>
        <v>0</v>
      </c>
    </row>
    <row r="1203" spans="1:8">
      <c r="A1203" s="16"/>
      <c r="B1203" s="15"/>
      <c r="C1203" s="20"/>
      <c r="D1203" s="22"/>
      <c r="E1203" s="15"/>
      <c r="F1203" s="23">
        <f>IF($B1203="","",IFERROR(INDEX(ProdNome,MATCH($B1203,ProdCod,0)),"Código não cadastrado"))</f>
        <v>0</v>
      </c>
      <c r="G1203" s="24">
        <f>IF(OR($B1203="",$D1203=""),"",$D1203*IFERROR(INDEX(ProdCusto,MATCH($B1203,ProdCod,0)),0))</f>
        <v>0</v>
      </c>
      <c r="H1203" s="25">
        <f>IF($A1203="","",IF(OR($B1203="",$C1203="",$D1203=""),"Preencher tudo",IF($F1203="Código não cadastrado","Código inválido","OK")))</f>
        <v>0</v>
      </c>
    </row>
    <row r="1204" spans="1:8">
      <c r="A1204" s="16"/>
      <c r="B1204" s="15"/>
      <c r="C1204" s="20"/>
      <c r="D1204" s="22"/>
      <c r="E1204" s="15"/>
      <c r="F1204" s="23">
        <f>IF($B1204="","",IFERROR(INDEX(ProdNome,MATCH($B1204,ProdCod,0)),"Código não cadastrado"))</f>
        <v>0</v>
      </c>
      <c r="G1204" s="24">
        <f>IF(OR($B1204="",$D1204=""),"",$D1204*IFERROR(INDEX(ProdCusto,MATCH($B1204,ProdCod,0)),0))</f>
        <v>0</v>
      </c>
      <c r="H1204" s="25">
        <f>IF($A1204="","",IF(OR($B1204="",$C1204="",$D1204=""),"Preencher tudo",IF($F1204="Código não cadastrado","Código inválido","OK")))</f>
        <v>0</v>
      </c>
    </row>
    <row r="1205" spans="1:8">
      <c r="A1205" s="16"/>
      <c r="B1205" s="15"/>
      <c r="C1205" s="20"/>
      <c r="D1205" s="22"/>
      <c r="E1205" s="15"/>
      <c r="F1205" s="23">
        <f>IF($B1205="","",IFERROR(INDEX(ProdNome,MATCH($B1205,ProdCod,0)),"Código não cadastrado"))</f>
        <v>0</v>
      </c>
      <c r="G1205" s="24">
        <f>IF(OR($B1205="",$D1205=""),"",$D1205*IFERROR(INDEX(ProdCusto,MATCH($B1205,ProdCod,0)),0))</f>
        <v>0</v>
      </c>
      <c r="H1205" s="25">
        <f>IF($A1205="","",IF(OR($B1205="",$C1205="",$D1205=""),"Preencher tudo",IF($F1205="Código não cadastrado","Código inválido","OK")))</f>
        <v>0</v>
      </c>
    </row>
    <row r="1206" spans="1:8">
      <c r="A1206" s="16"/>
      <c r="B1206" s="15"/>
      <c r="C1206" s="20"/>
      <c r="D1206" s="22"/>
      <c r="E1206" s="15"/>
      <c r="F1206" s="23">
        <f>IF($B1206="","",IFERROR(INDEX(ProdNome,MATCH($B1206,ProdCod,0)),"Código não cadastrado"))</f>
        <v>0</v>
      </c>
      <c r="G1206" s="24">
        <f>IF(OR($B1206="",$D1206=""),"",$D1206*IFERROR(INDEX(ProdCusto,MATCH($B1206,ProdCod,0)),0))</f>
        <v>0</v>
      </c>
      <c r="H1206" s="25">
        <f>IF($A1206="","",IF(OR($B1206="",$C1206="",$D1206=""),"Preencher tudo",IF($F1206="Código não cadastrado","Código inválido","OK")))</f>
        <v>0</v>
      </c>
    </row>
    <row r="1207" spans="1:8">
      <c r="A1207" s="16"/>
      <c r="B1207" s="15"/>
      <c r="C1207" s="20"/>
      <c r="D1207" s="22"/>
      <c r="E1207" s="15"/>
      <c r="F1207" s="23">
        <f>IF($B1207="","",IFERROR(INDEX(ProdNome,MATCH($B1207,ProdCod,0)),"Código não cadastrado"))</f>
        <v>0</v>
      </c>
      <c r="G1207" s="24">
        <f>IF(OR($B1207="",$D1207=""),"",$D1207*IFERROR(INDEX(ProdCusto,MATCH($B1207,ProdCod,0)),0))</f>
        <v>0</v>
      </c>
      <c r="H1207" s="25">
        <f>IF($A1207="","",IF(OR($B1207="",$C1207="",$D1207=""),"Preencher tudo",IF($F1207="Código não cadastrado","Código inválido","OK")))</f>
        <v>0</v>
      </c>
    </row>
    <row r="1208" spans="1:8">
      <c r="A1208" s="16"/>
      <c r="B1208" s="15"/>
      <c r="C1208" s="20"/>
      <c r="D1208" s="22"/>
      <c r="E1208" s="15"/>
      <c r="F1208" s="23">
        <f>IF($B1208="","",IFERROR(INDEX(ProdNome,MATCH($B1208,ProdCod,0)),"Código não cadastrado"))</f>
        <v>0</v>
      </c>
      <c r="G1208" s="24">
        <f>IF(OR($B1208="",$D1208=""),"",$D1208*IFERROR(INDEX(ProdCusto,MATCH($B1208,ProdCod,0)),0))</f>
        <v>0</v>
      </c>
      <c r="H1208" s="25">
        <f>IF($A1208="","",IF(OR($B1208="",$C1208="",$D1208=""),"Preencher tudo",IF($F1208="Código não cadastrado","Código inválido","OK")))</f>
        <v>0</v>
      </c>
    </row>
    <row r="1209" spans="1:8">
      <c r="A1209" s="16"/>
      <c r="B1209" s="15"/>
      <c r="C1209" s="20"/>
      <c r="D1209" s="22"/>
      <c r="E1209" s="15"/>
      <c r="F1209" s="23">
        <f>IF($B1209="","",IFERROR(INDEX(ProdNome,MATCH($B1209,ProdCod,0)),"Código não cadastrado"))</f>
        <v>0</v>
      </c>
      <c r="G1209" s="24">
        <f>IF(OR($B1209="",$D1209=""),"",$D1209*IFERROR(INDEX(ProdCusto,MATCH($B1209,ProdCod,0)),0))</f>
        <v>0</v>
      </c>
      <c r="H1209" s="25">
        <f>IF($A1209="","",IF(OR($B1209="",$C1209="",$D1209=""),"Preencher tudo",IF($F1209="Código não cadastrado","Código inválido","OK")))</f>
        <v>0</v>
      </c>
    </row>
    <row r="1210" spans="1:8">
      <c r="A1210" s="16"/>
      <c r="B1210" s="15"/>
      <c r="C1210" s="20"/>
      <c r="D1210" s="22"/>
      <c r="E1210" s="15"/>
      <c r="F1210" s="23">
        <f>IF($B1210="","",IFERROR(INDEX(ProdNome,MATCH($B1210,ProdCod,0)),"Código não cadastrado"))</f>
        <v>0</v>
      </c>
      <c r="G1210" s="24">
        <f>IF(OR($B1210="",$D1210=""),"",$D1210*IFERROR(INDEX(ProdCusto,MATCH($B1210,ProdCod,0)),0))</f>
        <v>0</v>
      </c>
      <c r="H1210" s="25">
        <f>IF($A1210="","",IF(OR($B1210="",$C1210="",$D1210=""),"Preencher tudo",IF($F1210="Código não cadastrado","Código inválido","OK")))</f>
        <v>0</v>
      </c>
    </row>
    <row r="1211" spans="1:8">
      <c r="A1211" s="16"/>
      <c r="B1211" s="15"/>
      <c r="C1211" s="20"/>
      <c r="D1211" s="22"/>
      <c r="E1211" s="15"/>
      <c r="F1211" s="23">
        <f>IF($B1211="","",IFERROR(INDEX(ProdNome,MATCH($B1211,ProdCod,0)),"Código não cadastrado"))</f>
        <v>0</v>
      </c>
      <c r="G1211" s="24">
        <f>IF(OR($B1211="",$D1211=""),"",$D1211*IFERROR(INDEX(ProdCusto,MATCH($B1211,ProdCod,0)),0))</f>
        <v>0</v>
      </c>
      <c r="H1211" s="25">
        <f>IF($A1211="","",IF(OR($B1211="",$C1211="",$D1211=""),"Preencher tudo",IF($F1211="Código não cadastrado","Código inválido","OK")))</f>
        <v>0</v>
      </c>
    </row>
    <row r="1212" spans="1:8">
      <c r="A1212" s="16"/>
      <c r="B1212" s="15"/>
      <c r="C1212" s="20"/>
      <c r="D1212" s="22"/>
      <c r="E1212" s="15"/>
      <c r="F1212" s="23">
        <f>IF($B1212="","",IFERROR(INDEX(ProdNome,MATCH($B1212,ProdCod,0)),"Código não cadastrado"))</f>
        <v>0</v>
      </c>
      <c r="G1212" s="24">
        <f>IF(OR($B1212="",$D1212=""),"",$D1212*IFERROR(INDEX(ProdCusto,MATCH($B1212,ProdCod,0)),0))</f>
        <v>0</v>
      </c>
      <c r="H1212" s="25">
        <f>IF($A1212="","",IF(OR($B1212="",$C1212="",$D1212=""),"Preencher tudo",IF($F1212="Código não cadastrado","Código inválido","OK")))</f>
        <v>0</v>
      </c>
    </row>
    <row r="1213" spans="1:8">
      <c r="A1213" s="16"/>
      <c r="B1213" s="15"/>
      <c r="C1213" s="20"/>
      <c r="D1213" s="22"/>
      <c r="E1213" s="15"/>
      <c r="F1213" s="23">
        <f>IF($B1213="","",IFERROR(INDEX(ProdNome,MATCH($B1213,ProdCod,0)),"Código não cadastrado"))</f>
        <v>0</v>
      </c>
      <c r="G1213" s="24">
        <f>IF(OR($B1213="",$D1213=""),"",$D1213*IFERROR(INDEX(ProdCusto,MATCH($B1213,ProdCod,0)),0))</f>
        <v>0</v>
      </c>
      <c r="H1213" s="25">
        <f>IF($A1213="","",IF(OR($B1213="",$C1213="",$D1213=""),"Preencher tudo",IF($F1213="Código não cadastrado","Código inválido","OK")))</f>
        <v>0</v>
      </c>
    </row>
    <row r="1214" spans="1:8">
      <c r="A1214" s="16"/>
      <c r="B1214" s="15"/>
      <c r="C1214" s="20"/>
      <c r="D1214" s="22"/>
      <c r="E1214" s="15"/>
      <c r="F1214" s="23">
        <f>IF($B1214="","",IFERROR(INDEX(ProdNome,MATCH($B1214,ProdCod,0)),"Código não cadastrado"))</f>
        <v>0</v>
      </c>
      <c r="G1214" s="24">
        <f>IF(OR($B1214="",$D1214=""),"",$D1214*IFERROR(INDEX(ProdCusto,MATCH($B1214,ProdCod,0)),0))</f>
        <v>0</v>
      </c>
      <c r="H1214" s="25">
        <f>IF($A1214="","",IF(OR($B1214="",$C1214="",$D1214=""),"Preencher tudo",IF($F1214="Código não cadastrado","Código inválido","OK")))</f>
        <v>0</v>
      </c>
    </row>
    <row r="1215" spans="1:8">
      <c r="A1215" s="16"/>
      <c r="B1215" s="15"/>
      <c r="C1215" s="20"/>
      <c r="D1215" s="22"/>
      <c r="E1215" s="15"/>
      <c r="F1215" s="23">
        <f>IF($B1215="","",IFERROR(INDEX(ProdNome,MATCH($B1215,ProdCod,0)),"Código não cadastrado"))</f>
        <v>0</v>
      </c>
      <c r="G1215" s="24">
        <f>IF(OR($B1215="",$D1215=""),"",$D1215*IFERROR(INDEX(ProdCusto,MATCH($B1215,ProdCod,0)),0))</f>
        <v>0</v>
      </c>
      <c r="H1215" s="25">
        <f>IF($A1215="","",IF(OR($B1215="",$C1215="",$D1215=""),"Preencher tudo",IF($F1215="Código não cadastrado","Código inválido","OK")))</f>
        <v>0</v>
      </c>
    </row>
    <row r="1216" spans="1:8">
      <c r="A1216" s="16"/>
      <c r="B1216" s="15"/>
      <c r="C1216" s="20"/>
      <c r="D1216" s="22"/>
      <c r="E1216" s="15"/>
      <c r="F1216" s="23">
        <f>IF($B1216="","",IFERROR(INDEX(ProdNome,MATCH($B1216,ProdCod,0)),"Código não cadastrado"))</f>
        <v>0</v>
      </c>
      <c r="G1216" s="24">
        <f>IF(OR($B1216="",$D1216=""),"",$D1216*IFERROR(INDEX(ProdCusto,MATCH($B1216,ProdCod,0)),0))</f>
        <v>0</v>
      </c>
      <c r="H1216" s="25">
        <f>IF($A1216="","",IF(OR($B1216="",$C1216="",$D1216=""),"Preencher tudo",IF($F1216="Código não cadastrado","Código inválido","OK")))</f>
        <v>0</v>
      </c>
    </row>
    <row r="1217" spans="1:8">
      <c r="A1217" s="16"/>
      <c r="B1217" s="15"/>
      <c r="C1217" s="20"/>
      <c r="D1217" s="22"/>
      <c r="E1217" s="15"/>
      <c r="F1217" s="23">
        <f>IF($B1217="","",IFERROR(INDEX(ProdNome,MATCH($B1217,ProdCod,0)),"Código não cadastrado"))</f>
        <v>0</v>
      </c>
      <c r="G1217" s="24">
        <f>IF(OR($B1217="",$D1217=""),"",$D1217*IFERROR(INDEX(ProdCusto,MATCH($B1217,ProdCod,0)),0))</f>
        <v>0</v>
      </c>
      <c r="H1217" s="25">
        <f>IF($A1217="","",IF(OR($B1217="",$C1217="",$D1217=""),"Preencher tudo",IF($F1217="Código não cadastrado","Código inválido","OK")))</f>
        <v>0</v>
      </c>
    </row>
    <row r="1218" spans="1:8">
      <c r="A1218" s="16"/>
      <c r="B1218" s="15"/>
      <c r="C1218" s="20"/>
      <c r="D1218" s="22"/>
      <c r="E1218" s="15"/>
      <c r="F1218" s="23">
        <f>IF($B1218="","",IFERROR(INDEX(ProdNome,MATCH($B1218,ProdCod,0)),"Código não cadastrado"))</f>
        <v>0</v>
      </c>
      <c r="G1218" s="24">
        <f>IF(OR($B1218="",$D1218=""),"",$D1218*IFERROR(INDEX(ProdCusto,MATCH($B1218,ProdCod,0)),0))</f>
        <v>0</v>
      </c>
      <c r="H1218" s="25">
        <f>IF($A1218="","",IF(OR($B1218="",$C1218="",$D1218=""),"Preencher tudo",IF($F1218="Código não cadastrado","Código inválido","OK")))</f>
        <v>0</v>
      </c>
    </row>
    <row r="1219" spans="1:8">
      <c r="A1219" s="16"/>
      <c r="B1219" s="15"/>
      <c r="C1219" s="20"/>
      <c r="D1219" s="22"/>
      <c r="E1219" s="15"/>
      <c r="F1219" s="23">
        <f>IF($B1219="","",IFERROR(INDEX(ProdNome,MATCH($B1219,ProdCod,0)),"Código não cadastrado"))</f>
        <v>0</v>
      </c>
      <c r="G1219" s="24">
        <f>IF(OR($B1219="",$D1219=""),"",$D1219*IFERROR(INDEX(ProdCusto,MATCH($B1219,ProdCod,0)),0))</f>
        <v>0</v>
      </c>
      <c r="H1219" s="25">
        <f>IF($A1219="","",IF(OR($B1219="",$C1219="",$D1219=""),"Preencher tudo",IF($F1219="Código não cadastrado","Código inválido","OK")))</f>
        <v>0</v>
      </c>
    </row>
    <row r="1220" spans="1:8">
      <c r="A1220" s="16"/>
      <c r="B1220" s="15"/>
      <c r="C1220" s="20"/>
      <c r="D1220" s="22"/>
      <c r="E1220" s="15"/>
      <c r="F1220" s="23">
        <f>IF($B1220="","",IFERROR(INDEX(ProdNome,MATCH($B1220,ProdCod,0)),"Código não cadastrado"))</f>
        <v>0</v>
      </c>
      <c r="G1220" s="24">
        <f>IF(OR($B1220="",$D1220=""),"",$D1220*IFERROR(INDEX(ProdCusto,MATCH($B1220,ProdCod,0)),0))</f>
        <v>0</v>
      </c>
      <c r="H1220" s="25">
        <f>IF($A1220="","",IF(OR($B1220="",$C1220="",$D1220=""),"Preencher tudo",IF($F1220="Código não cadastrado","Código inválido","OK")))</f>
        <v>0</v>
      </c>
    </row>
    <row r="1221" spans="1:8">
      <c r="A1221" s="16"/>
      <c r="B1221" s="15"/>
      <c r="C1221" s="20"/>
      <c r="D1221" s="22"/>
      <c r="E1221" s="15"/>
      <c r="F1221" s="23">
        <f>IF($B1221="","",IFERROR(INDEX(ProdNome,MATCH($B1221,ProdCod,0)),"Código não cadastrado"))</f>
        <v>0</v>
      </c>
      <c r="G1221" s="24">
        <f>IF(OR($B1221="",$D1221=""),"",$D1221*IFERROR(INDEX(ProdCusto,MATCH($B1221,ProdCod,0)),0))</f>
        <v>0</v>
      </c>
      <c r="H1221" s="25">
        <f>IF($A1221="","",IF(OR($B1221="",$C1221="",$D1221=""),"Preencher tudo",IF($F1221="Código não cadastrado","Código inválido","OK")))</f>
        <v>0</v>
      </c>
    </row>
    <row r="1222" spans="1:8">
      <c r="A1222" s="16"/>
      <c r="B1222" s="15"/>
      <c r="C1222" s="20"/>
      <c r="D1222" s="22"/>
      <c r="E1222" s="15"/>
      <c r="F1222" s="23">
        <f>IF($B1222="","",IFERROR(INDEX(ProdNome,MATCH($B1222,ProdCod,0)),"Código não cadastrado"))</f>
        <v>0</v>
      </c>
      <c r="G1222" s="24">
        <f>IF(OR($B1222="",$D1222=""),"",$D1222*IFERROR(INDEX(ProdCusto,MATCH($B1222,ProdCod,0)),0))</f>
        <v>0</v>
      </c>
      <c r="H1222" s="25">
        <f>IF($A1222="","",IF(OR($B1222="",$C1222="",$D1222=""),"Preencher tudo",IF($F1222="Código não cadastrado","Código inválido","OK")))</f>
        <v>0</v>
      </c>
    </row>
    <row r="1223" spans="1:8">
      <c r="A1223" s="16"/>
      <c r="B1223" s="15"/>
      <c r="C1223" s="20"/>
      <c r="D1223" s="22"/>
      <c r="E1223" s="15"/>
      <c r="F1223" s="23">
        <f>IF($B1223="","",IFERROR(INDEX(ProdNome,MATCH($B1223,ProdCod,0)),"Código não cadastrado"))</f>
        <v>0</v>
      </c>
      <c r="G1223" s="24">
        <f>IF(OR($B1223="",$D1223=""),"",$D1223*IFERROR(INDEX(ProdCusto,MATCH($B1223,ProdCod,0)),0))</f>
        <v>0</v>
      </c>
      <c r="H1223" s="25">
        <f>IF($A1223="","",IF(OR($B1223="",$C1223="",$D1223=""),"Preencher tudo",IF($F1223="Código não cadastrado","Código inválido","OK")))</f>
        <v>0</v>
      </c>
    </row>
    <row r="1224" spans="1:8">
      <c r="A1224" s="16"/>
      <c r="B1224" s="15"/>
      <c r="C1224" s="20"/>
      <c r="D1224" s="22"/>
      <c r="E1224" s="15"/>
      <c r="F1224" s="23">
        <f>IF($B1224="","",IFERROR(INDEX(ProdNome,MATCH($B1224,ProdCod,0)),"Código não cadastrado"))</f>
        <v>0</v>
      </c>
      <c r="G1224" s="24">
        <f>IF(OR($B1224="",$D1224=""),"",$D1224*IFERROR(INDEX(ProdCusto,MATCH($B1224,ProdCod,0)),0))</f>
        <v>0</v>
      </c>
      <c r="H1224" s="25">
        <f>IF($A1224="","",IF(OR($B1224="",$C1224="",$D1224=""),"Preencher tudo",IF($F1224="Código não cadastrado","Código inválido","OK")))</f>
        <v>0</v>
      </c>
    </row>
    <row r="1225" spans="1:8">
      <c r="A1225" s="16"/>
      <c r="B1225" s="15"/>
      <c r="C1225" s="20"/>
      <c r="D1225" s="22"/>
      <c r="E1225" s="15"/>
      <c r="F1225" s="23">
        <f>IF($B1225="","",IFERROR(INDEX(ProdNome,MATCH($B1225,ProdCod,0)),"Código não cadastrado"))</f>
        <v>0</v>
      </c>
      <c r="G1225" s="24">
        <f>IF(OR($B1225="",$D1225=""),"",$D1225*IFERROR(INDEX(ProdCusto,MATCH($B1225,ProdCod,0)),0))</f>
        <v>0</v>
      </c>
      <c r="H1225" s="25">
        <f>IF($A1225="","",IF(OR($B1225="",$C1225="",$D1225=""),"Preencher tudo",IF($F1225="Código não cadastrado","Código inválido","OK")))</f>
        <v>0</v>
      </c>
    </row>
    <row r="1226" spans="1:8">
      <c r="A1226" s="16"/>
      <c r="B1226" s="15"/>
      <c r="C1226" s="20"/>
      <c r="D1226" s="22"/>
      <c r="E1226" s="15"/>
      <c r="F1226" s="23">
        <f>IF($B1226="","",IFERROR(INDEX(ProdNome,MATCH($B1226,ProdCod,0)),"Código não cadastrado"))</f>
        <v>0</v>
      </c>
      <c r="G1226" s="24">
        <f>IF(OR($B1226="",$D1226=""),"",$D1226*IFERROR(INDEX(ProdCusto,MATCH($B1226,ProdCod,0)),0))</f>
        <v>0</v>
      </c>
      <c r="H1226" s="25">
        <f>IF($A1226="","",IF(OR($B1226="",$C1226="",$D1226=""),"Preencher tudo",IF($F1226="Código não cadastrado","Código inválido","OK")))</f>
        <v>0</v>
      </c>
    </row>
    <row r="1227" spans="1:8">
      <c r="A1227" s="16"/>
      <c r="B1227" s="15"/>
      <c r="C1227" s="20"/>
      <c r="D1227" s="22"/>
      <c r="E1227" s="15"/>
      <c r="F1227" s="23">
        <f>IF($B1227="","",IFERROR(INDEX(ProdNome,MATCH($B1227,ProdCod,0)),"Código não cadastrado"))</f>
        <v>0</v>
      </c>
      <c r="G1227" s="24">
        <f>IF(OR($B1227="",$D1227=""),"",$D1227*IFERROR(INDEX(ProdCusto,MATCH($B1227,ProdCod,0)),0))</f>
        <v>0</v>
      </c>
      <c r="H1227" s="25">
        <f>IF($A1227="","",IF(OR($B1227="",$C1227="",$D1227=""),"Preencher tudo",IF($F1227="Código não cadastrado","Código inválido","OK")))</f>
        <v>0</v>
      </c>
    </row>
    <row r="1228" spans="1:8">
      <c r="A1228" s="16"/>
      <c r="B1228" s="15"/>
      <c r="C1228" s="20"/>
      <c r="D1228" s="22"/>
      <c r="E1228" s="15"/>
      <c r="F1228" s="23">
        <f>IF($B1228="","",IFERROR(INDEX(ProdNome,MATCH($B1228,ProdCod,0)),"Código não cadastrado"))</f>
        <v>0</v>
      </c>
      <c r="G1228" s="24">
        <f>IF(OR($B1228="",$D1228=""),"",$D1228*IFERROR(INDEX(ProdCusto,MATCH($B1228,ProdCod,0)),0))</f>
        <v>0</v>
      </c>
      <c r="H1228" s="25">
        <f>IF($A1228="","",IF(OR($B1228="",$C1228="",$D1228=""),"Preencher tudo",IF($F1228="Código não cadastrado","Código inválido","OK")))</f>
        <v>0</v>
      </c>
    </row>
    <row r="1229" spans="1:8">
      <c r="A1229" s="16"/>
      <c r="B1229" s="15"/>
      <c r="C1229" s="20"/>
      <c r="D1229" s="22"/>
      <c r="E1229" s="15"/>
      <c r="F1229" s="23">
        <f>IF($B1229="","",IFERROR(INDEX(ProdNome,MATCH($B1229,ProdCod,0)),"Código não cadastrado"))</f>
        <v>0</v>
      </c>
      <c r="G1229" s="24">
        <f>IF(OR($B1229="",$D1229=""),"",$D1229*IFERROR(INDEX(ProdCusto,MATCH($B1229,ProdCod,0)),0))</f>
        <v>0</v>
      </c>
      <c r="H1229" s="25">
        <f>IF($A1229="","",IF(OR($B1229="",$C1229="",$D1229=""),"Preencher tudo",IF($F1229="Código não cadastrado","Código inválido","OK")))</f>
        <v>0</v>
      </c>
    </row>
    <row r="1230" spans="1:8">
      <c r="A1230" s="16"/>
      <c r="B1230" s="15"/>
      <c r="C1230" s="20"/>
      <c r="D1230" s="22"/>
      <c r="E1230" s="15"/>
      <c r="F1230" s="23">
        <f>IF($B1230="","",IFERROR(INDEX(ProdNome,MATCH($B1230,ProdCod,0)),"Código não cadastrado"))</f>
        <v>0</v>
      </c>
      <c r="G1230" s="24">
        <f>IF(OR($B1230="",$D1230=""),"",$D1230*IFERROR(INDEX(ProdCusto,MATCH($B1230,ProdCod,0)),0))</f>
        <v>0</v>
      </c>
      <c r="H1230" s="25">
        <f>IF($A1230="","",IF(OR($B1230="",$C1230="",$D1230=""),"Preencher tudo",IF($F1230="Código não cadastrado","Código inválido","OK")))</f>
        <v>0</v>
      </c>
    </row>
    <row r="1231" spans="1:8">
      <c r="A1231" s="16"/>
      <c r="B1231" s="15"/>
      <c r="C1231" s="20"/>
      <c r="D1231" s="22"/>
      <c r="E1231" s="15"/>
      <c r="F1231" s="23">
        <f>IF($B1231="","",IFERROR(INDEX(ProdNome,MATCH($B1231,ProdCod,0)),"Código não cadastrado"))</f>
        <v>0</v>
      </c>
      <c r="G1231" s="24">
        <f>IF(OR($B1231="",$D1231=""),"",$D1231*IFERROR(INDEX(ProdCusto,MATCH($B1231,ProdCod,0)),0))</f>
        <v>0</v>
      </c>
      <c r="H1231" s="25">
        <f>IF($A1231="","",IF(OR($B1231="",$C1231="",$D1231=""),"Preencher tudo",IF($F1231="Código não cadastrado","Código inválido","OK")))</f>
        <v>0</v>
      </c>
    </row>
    <row r="1232" spans="1:8">
      <c r="A1232" s="16"/>
      <c r="B1232" s="15"/>
      <c r="C1232" s="20"/>
      <c r="D1232" s="22"/>
      <c r="E1232" s="15"/>
      <c r="F1232" s="23">
        <f>IF($B1232="","",IFERROR(INDEX(ProdNome,MATCH($B1232,ProdCod,0)),"Código não cadastrado"))</f>
        <v>0</v>
      </c>
      <c r="G1232" s="24">
        <f>IF(OR($B1232="",$D1232=""),"",$D1232*IFERROR(INDEX(ProdCusto,MATCH($B1232,ProdCod,0)),0))</f>
        <v>0</v>
      </c>
      <c r="H1232" s="25">
        <f>IF($A1232="","",IF(OR($B1232="",$C1232="",$D1232=""),"Preencher tudo",IF($F1232="Código não cadastrado","Código inválido","OK")))</f>
        <v>0</v>
      </c>
    </row>
    <row r="1233" spans="1:8">
      <c r="A1233" s="16"/>
      <c r="B1233" s="15"/>
      <c r="C1233" s="20"/>
      <c r="D1233" s="22"/>
      <c r="E1233" s="15"/>
      <c r="F1233" s="23">
        <f>IF($B1233="","",IFERROR(INDEX(ProdNome,MATCH($B1233,ProdCod,0)),"Código não cadastrado"))</f>
        <v>0</v>
      </c>
      <c r="G1233" s="24">
        <f>IF(OR($B1233="",$D1233=""),"",$D1233*IFERROR(INDEX(ProdCusto,MATCH($B1233,ProdCod,0)),0))</f>
        <v>0</v>
      </c>
      <c r="H1233" s="25">
        <f>IF($A1233="","",IF(OR($B1233="",$C1233="",$D1233=""),"Preencher tudo",IF($F1233="Código não cadastrado","Código inválido","OK")))</f>
        <v>0</v>
      </c>
    </row>
    <row r="1234" spans="1:8">
      <c r="A1234" s="16"/>
      <c r="B1234" s="15"/>
      <c r="C1234" s="20"/>
      <c r="D1234" s="22"/>
      <c r="E1234" s="15"/>
      <c r="F1234" s="23">
        <f>IF($B1234="","",IFERROR(INDEX(ProdNome,MATCH($B1234,ProdCod,0)),"Código não cadastrado"))</f>
        <v>0</v>
      </c>
      <c r="G1234" s="24">
        <f>IF(OR($B1234="",$D1234=""),"",$D1234*IFERROR(INDEX(ProdCusto,MATCH($B1234,ProdCod,0)),0))</f>
        <v>0</v>
      </c>
      <c r="H1234" s="25">
        <f>IF($A1234="","",IF(OR($B1234="",$C1234="",$D1234=""),"Preencher tudo",IF($F1234="Código não cadastrado","Código inválido","OK")))</f>
        <v>0</v>
      </c>
    </row>
    <row r="1235" spans="1:8">
      <c r="A1235" s="16"/>
      <c r="B1235" s="15"/>
      <c r="C1235" s="20"/>
      <c r="D1235" s="22"/>
      <c r="E1235" s="15"/>
      <c r="F1235" s="23">
        <f>IF($B1235="","",IFERROR(INDEX(ProdNome,MATCH($B1235,ProdCod,0)),"Código não cadastrado"))</f>
        <v>0</v>
      </c>
      <c r="G1235" s="24">
        <f>IF(OR($B1235="",$D1235=""),"",$D1235*IFERROR(INDEX(ProdCusto,MATCH($B1235,ProdCod,0)),0))</f>
        <v>0</v>
      </c>
      <c r="H1235" s="25">
        <f>IF($A1235="","",IF(OR($B1235="",$C1235="",$D1235=""),"Preencher tudo",IF($F1235="Código não cadastrado","Código inválido","OK")))</f>
        <v>0</v>
      </c>
    </row>
    <row r="1236" spans="1:8">
      <c r="A1236" s="16"/>
      <c r="B1236" s="15"/>
      <c r="C1236" s="20"/>
      <c r="D1236" s="22"/>
      <c r="E1236" s="15"/>
      <c r="F1236" s="23">
        <f>IF($B1236="","",IFERROR(INDEX(ProdNome,MATCH($B1236,ProdCod,0)),"Código não cadastrado"))</f>
        <v>0</v>
      </c>
      <c r="G1236" s="24">
        <f>IF(OR($B1236="",$D1236=""),"",$D1236*IFERROR(INDEX(ProdCusto,MATCH($B1236,ProdCod,0)),0))</f>
        <v>0</v>
      </c>
      <c r="H1236" s="25">
        <f>IF($A1236="","",IF(OR($B1236="",$C1236="",$D1236=""),"Preencher tudo",IF($F1236="Código não cadastrado","Código inválido","OK")))</f>
        <v>0</v>
      </c>
    </row>
    <row r="1237" spans="1:8">
      <c r="A1237" s="16"/>
      <c r="B1237" s="15"/>
      <c r="C1237" s="20"/>
      <c r="D1237" s="22"/>
      <c r="E1237" s="15"/>
      <c r="F1237" s="23">
        <f>IF($B1237="","",IFERROR(INDEX(ProdNome,MATCH($B1237,ProdCod,0)),"Código não cadastrado"))</f>
        <v>0</v>
      </c>
      <c r="G1237" s="24">
        <f>IF(OR($B1237="",$D1237=""),"",$D1237*IFERROR(INDEX(ProdCusto,MATCH($B1237,ProdCod,0)),0))</f>
        <v>0</v>
      </c>
      <c r="H1237" s="25">
        <f>IF($A1237="","",IF(OR($B1237="",$C1237="",$D1237=""),"Preencher tudo",IF($F1237="Código não cadastrado","Código inválido","OK")))</f>
        <v>0</v>
      </c>
    </row>
    <row r="1238" spans="1:8">
      <c r="A1238" s="16"/>
      <c r="B1238" s="15"/>
      <c r="C1238" s="20"/>
      <c r="D1238" s="22"/>
      <c r="E1238" s="15"/>
      <c r="F1238" s="23">
        <f>IF($B1238="","",IFERROR(INDEX(ProdNome,MATCH($B1238,ProdCod,0)),"Código não cadastrado"))</f>
        <v>0</v>
      </c>
      <c r="G1238" s="24">
        <f>IF(OR($B1238="",$D1238=""),"",$D1238*IFERROR(INDEX(ProdCusto,MATCH($B1238,ProdCod,0)),0))</f>
        <v>0</v>
      </c>
      <c r="H1238" s="25">
        <f>IF($A1238="","",IF(OR($B1238="",$C1238="",$D1238=""),"Preencher tudo",IF($F1238="Código não cadastrado","Código inválido","OK")))</f>
        <v>0</v>
      </c>
    </row>
    <row r="1239" spans="1:8">
      <c r="A1239" s="16"/>
      <c r="B1239" s="15"/>
      <c r="C1239" s="20"/>
      <c r="D1239" s="22"/>
      <c r="E1239" s="15"/>
      <c r="F1239" s="23">
        <f>IF($B1239="","",IFERROR(INDEX(ProdNome,MATCH($B1239,ProdCod,0)),"Código não cadastrado"))</f>
        <v>0</v>
      </c>
      <c r="G1239" s="24">
        <f>IF(OR($B1239="",$D1239=""),"",$D1239*IFERROR(INDEX(ProdCusto,MATCH($B1239,ProdCod,0)),0))</f>
        <v>0</v>
      </c>
      <c r="H1239" s="25">
        <f>IF($A1239="","",IF(OR($B1239="",$C1239="",$D1239=""),"Preencher tudo",IF($F1239="Código não cadastrado","Código inválido","OK")))</f>
        <v>0</v>
      </c>
    </row>
    <row r="1240" spans="1:8">
      <c r="A1240" s="16"/>
      <c r="B1240" s="15"/>
      <c r="C1240" s="20"/>
      <c r="D1240" s="22"/>
      <c r="E1240" s="15"/>
      <c r="F1240" s="23">
        <f>IF($B1240="","",IFERROR(INDEX(ProdNome,MATCH($B1240,ProdCod,0)),"Código não cadastrado"))</f>
        <v>0</v>
      </c>
      <c r="G1240" s="24">
        <f>IF(OR($B1240="",$D1240=""),"",$D1240*IFERROR(INDEX(ProdCusto,MATCH($B1240,ProdCod,0)),0))</f>
        <v>0</v>
      </c>
      <c r="H1240" s="25">
        <f>IF($A1240="","",IF(OR($B1240="",$C1240="",$D1240=""),"Preencher tudo",IF($F1240="Código não cadastrado","Código inválido","OK")))</f>
        <v>0</v>
      </c>
    </row>
    <row r="1241" spans="1:8">
      <c r="A1241" s="16"/>
      <c r="B1241" s="15"/>
      <c r="C1241" s="20"/>
      <c r="D1241" s="22"/>
      <c r="E1241" s="15"/>
      <c r="F1241" s="23">
        <f>IF($B1241="","",IFERROR(INDEX(ProdNome,MATCH($B1241,ProdCod,0)),"Código não cadastrado"))</f>
        <v>0</v>
      </c>
      <c r="G1241" s="24">
        <f>IF(OR($B1241="",$D1241=""),"",$D1241*IFERROR(INDEX(ProdCusto,MATCH($B1241,ProdCod,0)),0))</f>
        <v>0</v>
      </c>
      <c r="H1241" s="25">
        <f>IF($A1241="","",IF(OR($B1241="",$C1241="",$D1241=""),"Preencher tudo",IF($F1241="Código não cadastrado","Código inválido","OK")))</f>
        <v>0</v>
      </c>
    </row>
    <row r="1242" spans="1:8">
      <c r="A1242" s="16"/>
      <c r="B1242" s="15"/>
      <c r="C1242" s="20"/>
      <c r="D1242" s="22"/>
      <c r="E1242" s="15"/>
      <c r="F1242" s="23">
        <f>IF($B1242="","",IFERROR(INDEX(ProdNome,MATCH($B1242,ProdCod,0)),"Código não cadastrado"))</f>
        <v>0</v>
      </c>
      <c r="G1242" s="24">
        <f>IF(OR($B1242="",$D1242=""),"",$D1242*IFERROR(INDEX(ProdCusto,MATCH($B1242,ProdCod,0)),0))</f>
        <v>0</v>
      </c>
      <c r="H1242" s="25">
        <f>IF($A1242="","",IF(OR($B1242="",$C1242="",$D1242=""),"Preencher tudo",IF($F1242="Código não cadastrado","Código inválido","OK")))</f>
        <v>0</v>
      </c>
    </row>
    <row r="1243" spans="1:8">
      <c r="A1243" s="16"/>
      <c r="B1243" s="15"/>
      <c r="C1243" s="20"/>
      <c r="D1243" s="22"/>
      <c r="E1243" s="15"/>
      <c r="F1243" s="23">
        <f>IF($B1243="","",IFERROR(INDEX(ProdNome,MATCH($B1243,ProdCod,0)),"Código não cadastrado"))</f>
        <v>0</v>
      </c>
      <c r="G1243" s="24">
        <f>IF(OR($B1243="",$D1243=""),"",$D1243*IFERROR(INDEX(ProdCusto,MATCH($B1243,ProdCod,0)),0))</f>
        <v>0</v>
      </c>
      <c r="H1243" s="25">
        <f>IF($A1243="","",IF(OR($B1243="",$C1243="",$D1243=""),"Preencher tudo",IF($F1243="Código não cadastrado","Código inválido","OK")))</f>
        <v>0</v>
      </c>
    </row>
    <row r="1244" spans="1:8">
      <c r="A1244" s="16"/>
      <c r="B1244" s="15"/>
      <c r="C1244" s="20"/>
      <c r="D1244" s="22"/>
      <c r="E1244" s="15"/>
      <c r="F1244" s="23">
        <f>IF($B1244="","",IFERROR(INDEX(ProdNome,MATCH($B1244,ProdCod,0)),"Código não cadastrado"))</f>
        <v>0</v>
      </c>
      <c r="G1244" s="24">
        <f>IF(OR($B1244="",$D1244=""),"",$D1244*IFERROR(INDEX(ProdCusto,MATCH($B1244,ProdCod,0)),0))</f>
        <v>0</v>
      </c>
      <c r="H1244" s="25">
        <f>IF($A1244="","",IF(OR($B1244="",$C1244="",$D1244=""),"Preencher tudo",IF($F1244="Código não cadastrado","Código inválido","OK")))</f>
        <v>0</v>
      </c>
    </row>
    <row r="1245" spans="1:8">
      <c r="A1245" s="16"/>
      <c r="B1245" s="15"/>
      <c r="C1245" s="20"/>
      <c r="D1245" s="22"/>
      <c r="E1245" s="15"/>
      <c r="F1245" s="23">
        <f>IF($B1245="","",IFERROR(INDEX(ProdNome,MATCH($B1245,ProdCod,0)),"Código não cadastrado"))</f>
        <v>0</v>
      </c>
      <c r="G1245" s="24">
        <f>IF(OR($B1245="",$D1245=""),"",$D1245*IFERROR(INDEX(ProdCusto,MATCH($B1245,ProdCod,0)),0))</f>
        <v>0</v>
      </c>
      <c r="H1245" s="25">
        <f>IF($A1245="","",IF(OR($B1245="",$C1245="",$D1245=""),"Preencher tudo",IF($F1245="Código não cadastrado","Código inválido","OK")))</f>
        <v>0</v>
      </c>
    </row>
    <row r="1246" spans="1:8">
      <c r="A1246" s="16"/>
      <c r="B1246" s="15"/>
      <c r="C1246" s="20"/>
      <c r="D1246" s="22"/>
      <c r="E1246" s="15"/>
      <c r="F1246" s="23">
        <f>IF($B1246="","",IFERROR(INDEX(ProdNome,MATCH($B1246,ProdCod,0)),"Código não cadastrado"))</f>
        <v>0</v>
      </c>
      <c r="G1246" s="24">
        <f>IF(OR($B1246="",$D1246=""),"",$D1246*IFERROR(INDEX(ProdCusto,MATCH($B1246,ProdCod,0)),0))</f>
        <v>0</v>
      </c>
      <c r="H1246" s="25">
        <f>IF($A1246="","",IF(OR($B1246="",$C1246="",$D1246=""),"Preencher tudo",IF($F1246="Código não cadastrado","Código inválido","OK")))</f>
        <v>0</v>
      </c>
    </row>
    <row r="1247" spans="1:8">
      <c r="A1247" s="16"/>
      <c r="B1247" s="15"/>
      <c r="C1247" s="20"/>
      <c r="D1247" s="22"/>
      <c r="E1247" s="15"/>
      <c r="F1247" s="23">
        <f>IF($B1247="","",IFERROR(INDEX(ProdNome,MATCH($B1247,ProdCod,0)),"Código não cadastrado"))</f>
        <v>0</v>
      </c>
      <c r="G1247" s="24">
        <f>IF(OR($B1247="",$D1247=""),"",$D1247*IFERROR(INDEX(ProdCusto,MATCH($B1247,ProdCod,0)),0))</f>
        <v>0</v>
      </c>
      <c r="H1247" s="25">
        <f>IF($A1247="","",IF(OR($B1247="",$C1247="",$D1247=""),"Preencher tudo",IF($F1247="Código não cadastrado","Código inválido","OK")))</f>
        <v>0</v>
      </c>
    </row>
    <row r="1248" spans="1:8">
      <c r="A1248" s="16"/>
      <c r="B1248" s="15"/>
      <c r="C1248" s="20"/>
      <c r="D1248" s="22"/>
      <c r="E1248" s="15"/>
      <c r="F1248" s="23">
        <f>IF($B1248="","",IFERROR(INDEX(ProdNome,MATCH($B1248,ProdCod,0)),"Código não cadastrado"))</f>
        <v>0</v>
      </c>
      <c r="G1248" s="24">
        <f>IF(OR($B1248="",$D1248=""),"",$D1248*IFERROR(INDEX(ProdCusto,MATCH($B1248,ProdCod,0)),0))</f>
        <v>0</v>
      </c>
      <c r="H1248" s="25">
        <f>IF($A1248="","",IF(OR($B1248="",$C1248="",$D1248=""),"Preencher tudo",IF($F1248="Código não cadastrado","Código inválido","OK")))</f>
        <v>0</v>
      </c>
    </row>
    <row r="1249" spans="1:8">
      <c r="A1249" s="16"/>
      <c r="B1249" s="15"/>
      <c r="C1249" s="20"/>
      <c r="D1249" s="22"/>
      <c r="E1249" s="15"/>
      <c r="F1249" s="23">
        <f>IF($B1249="","",IFERROR(INDEX(ProdNome,MATCH($B1249,ProdCod,0)),"Código não cadastrado"))</f>
        <v>0</v>
      </c>
      <c r="G1249" s="24">
        <f>IF(OR($B1249="",$D1249=""),"",$D1249*IFERROR(INDEX(ProdCusto,MATCH($B1249,ProdCod,0)),0))</f>
        <v>0</v>
      </c>
      <c r="H1249" s="25">
        <f>IF($A1249="","",IF(OR($B1249="",$C1249="",$D1249=""),"Preencher tudo",IF($F1249="Código não cadastrado","Código inválido","OK")))</f>
        <v>0</v>
      </c>
    </row>
    <row r="1250" spans="1:8">
      <c r="A1250" s="16"/>
      <c r="B1250" s="15"/>
      <c r="C1250" s="20"/>
      <c r="D1250" s="22"/>
      <c r="E1250" s="15"/>
      <c r="F1250" s="23">
        <f>IF($B1250="","",IFERROR(INDEX(ProdNome,MATCH($B1250,ProdCod,0)),"Código não cadastrado"))</f>
        <v>0</v>
      </c>
      <c r="G1250" s="24">
        <f>IF(OR($B1250="",$D1250=""),"",$D1250*IFERROR(INDEX(ProdCusto,MATCH($B1250,ProdCod,0)),0))</f>
        <v>0</v>
      </c>
      <c r="H1250" s="25">
        <f>IF($A1250="","",IF(OR($B1250="",$C1250="",$D1250=""),"Preencher tudo",IF($F1250="Código não cadastrado","Código inválido","OK")))</f>
        <v>0</v>
      </c>
    </row>
    <row r="1251" spans="1:8">
      <c r="A1251" s="16"/>
      <c r="B1251" s="15"/>
      <c r="C1251" s="20"/>
      <c r="D1251" s="22"/>
      <c r="E1251" s="15"/>
      <c r="F1251" s="23">
        <f>IF($B1251="","",IFERROR(INDEX(ProdNome,MATCH($B1251,ProdCod,0)),"Código não cadastrado"))</f>
        <v>0</v>
      </c>
      <c r="G1251" s="24">
        <f>IF(OR($B1251="",$D1251=""),"",$D1251*IFERROR(INDEX(ProdCusto,MATCH($B1251,ProdCod,0)),0))</f>
        <v>0</v>
      </c>
      <c r="H1251" s="25">
        <f>IF($A1251="","",IF(OR($B1251="",$C1251="",$D1251=""),"Preencher tudo",IF($F1251="Código não cadastrado","Código inválido","OK")))</f>
        <v>0</v>
      </c>
    </row>
    <row r="1252" spans="1:8">
      <c r="A1252" s="16"/>
      <c r="B1252" s="15"/>
      <c r="C1252" s="20"/>
      <c r="D1252" s="22"/>
      <c r="E1252" s="15"/>
      <c r="F1252" s="23">
        <f>IF($B1252="","",IFERROR(INDEX(ProdNome,MATCH($B1252,ProdCod,0)),"Código não cadastrado"))</f>
        <v>0</v>
      </c>
      <c r="G1252" s="24">
        <f>IF(OR($B1252="",$D1252=""),"",$D1252*IFERROR(INDEX(ProdCusto,MATCH($B1252,ProdCod,0)),0))</f>
        <v>0</v>
      </c>
      <c r="H1252" s="25">
        <f>IF($A1252="","",IF(OR($B1252="",$C1252="",$D1252=""),"Preencher tudo",IF($F1252="Código não cadastrado","Código inválido","OK")))</f>
        <v>0</v>
      </c>
    </row>
    <row r="1253" spans="1:8">
      <c r="A1253" s="16"/>
      <c r="B1253" s="15"/>
      <c r="C1253" s="20"/>
      <c r="D1253" s="22"/>
      <c r="E1253" s="15"/>
      <c r="F1253" s="23">
        <f>IF($B1253="","",IFERROR(INDEX(ProdNome,MATCH($B1253,ProdCod,0)),"Código não cadastrado"))</f>
        <v>0</v>
      </c>
      <c r="G1253" s="24">
        <f>IF(OR($B1253="",$D1253=""),"",$D1253*IFERROR(INDEX(ProdCusto,MATCH($B1253,ProdCod,0)),0))</f>
        <v>0</v>
      </c>
      <c r="H1253" s="25">
        <f>IF($A1253="","",IF(OR($B1253="",$C1253="",$D1253=""),"Preencher tudo",IF($F1253="Código não cadastrado","Código inválido","OK")))</f>
        <v>0</v>
      </c>
    </row>
    <row r="1254" spans="1:8">
      <c r="A1254" s="16"/>
      <c r="B1254" s="15"/>
      <c r="C1254" s="20"/>
      <c r="D1254" s="22"/>
      <c r="E1254" s="15"/>
      <c r="F1254" s="23">
        <f>IF($B1254="","",IFERROR(INDEX(ProdNome,MATCH($B1254,ProdCod,0)),"Código não cadastrado"))</f>
        <v>0</v>
      </c>
      <c r="G1254" s="24">
        <f>IF(OR($B1254="",$D1254=""),"",$D1254*IFERROR(INDEX(ProdCusto,MATCH($B1254,ProdCod,0)),0))</f>
        <v>0</v>
      </c>
      <c r="H1254" s="25">
        <f>IF($A1254="","",IF(OR($B1254="",$C1254="",$D1254=""),"Preencher tudo",IF($F1254="Código não cadastrado","Código inválido","OK")))</f>
        <v>0</v>
      </c>
    </row>
    <row r="1255" spans="1:8">
      <c r="A1255" s="16"/>
      <c r="B1255" s="15"/>
      <c r="C1255" s="20"/>
      <c r="D1255" s="22"/>
      <c r="E1255" s="15"/>
      <c r="F1255" s="23">
        <f>IF($B1255="","",IFERROR(INDEX(ProdNome,MATCH($B1255,ProdCod,0)),"Código não cadastrado"))</f>
        <v>0</v>
      </c>
      <c r="G1255" s="24">
        <f>IF(OR($B1255="",$D1255=""),"",$D1255*IFERROR(INDEX(ProdCusto,MATCH($B1255,ProdCod,0)),0))</f>
        <v>0</v>
      </c>
      <c r="H1255" s="25">
        <f>IF($A1255="","",IF(OR($B1255="",$C1255="",$D1255=""),"Preencher tudo",IF($F1255="Código não cadastrado","Código inválido","OK")))</f>
        <v>0</v>
      </c>
    </row>
    <row r="1256" spans="1:8">
      <c r="A1256" s="16"/>
      <c r="B1256" s="15"/>
      <c r="C1256" s="20"/>
      <c r="D1256" s="22"/>
      <c r="E1256" s="15"/>
      <c r="F1256" s="23">
        <f>IF($B1256="","",IFERROR(INDEX(ProdNome,MATCH($B1256,ProdCod,0)),"Código não cadastrado"))</f>
        <v>0</v>
      </c>
      <c r="G1256" s="24">
        <f>IF(OR($B1256="",$D1256=""),"",$D1256*IFERROR(INDEX(ProdCusto,MATCH($B1256,ProdCod,0)),0))</f>
        <v>0</v>
      </c>
      <c r="H1256" s="25">
        <f>IF($A1256="","",IF(OR($B1256="",$C1256="",$D1256=""),"Preencher tudo",IF($F1256="Código não cadastrado","Código inválido","OK")))</f>
        <v>0</v>
      </c>
    </row>
    <row r="1257" spans="1:8">
      <c r="A1257" s="16"/>
      <c r="B1257" s="15"/>
      <c r="C1257" s="20"/>
      <c r="D1257" s="22"/>
      <c r="E1257" s="15"/>
      <c r="F1257" s="23">
        <f>IF($B1257="","",IFERROR(INDEX(ProdNome,MATCH($B1257,ProdCod,0)),"Código não cadastrado"))</f>
        <v>0</v>
      </c>
      <c r="G1257" s="24">
        <f>IF(OR($B1257="",$D1257=""),"",$D1257*IFERROR(INDEX(ProdCusto,MATCH($B1257,ProdCod,0)),0))</f>
        <v>0</v>
      </c>
      <c r="H1257" s="25">
        <f>IF($A1257="","",IF(OR($B1257="",$C1257="",$D1257=""),"Preencher tudo",IF($F1257="Código não cadastrado","Código inválido","OK")))</f>
        <v>0</v>
      </c>
    </row>
    <row r="1258" spans="1:8">
      <c r="A1258" s="16"/>
      <c r="B1258" s="15"/>
      <c r="C1258" s="20"/>
      <c r="D1258" s="22"/>
      <c r="E1258" s="15"/>
      <c r="F1258" s="23">
        <f>IF($B1258="","",IFERROR(INDEX(ProdNome,MATCH($B1258,ProdCod,0)),"Código não cadastrado"))</f>
        <v>0</v>
      </c>
      <c r="G1258" s="24">
        <f>IF(OR($B1258="",$D1258=""),"",$D1258*IFERROR(INDEX(ProdCusto,MATCH($B1258,ProdCod,0)),0))</f>
        <v>0</v>
      </c>
      <c r="H1258" s="25">
        <f>IF($A1258="","",IF(OR($B1258="",$C1258="",$D1258=""),"Preencher tudo",IF($F1258="Código não cadastrado","Código inválido","OK")))</f>
        <v>0</v>
      </c>
    </row>
    <row r="1259" spans="1:8">
      <c r="A1259" s="16"/>
      <c r="B1259" s="15"/>
      <c r="C1259" s="20"/>
      <c r="D1259" s="22"/>
      <c r="E1259" s="15"/>
      <c r="F1259" s="23">
        <f>IF($B1259="","",IFERROR(INDEX(ProdNome,MATCH($B1259,ProdCod,0)),"Código não cadastrado"))</f>
        <v>0</v>
      </c>
      <c r="G1259" s="24">
        <f>IF(OR($B1259="",$D1259=""),"",$D1259*IFERROR(INDEX(ProdCusto,MATCH($B1259,ProdCod,0)),0))</f>
        <v>0</v>
      </c>
      <c r="H1259" s="25">
        <f>IF($A1259="","",IF(OR($B1259="",$C1259="",$D1259=""),"Preencher tudo",IF($F1259="Código não cadastrado","Código inválido","OK")))</f>
        <v>0</v>
      </c>
    </row>
    <row r="1260" spans="1:8">
      <c r="A1260" s="16"/>
      <c r="B1260" s="15"/>
      <c r="C1260" s="20"/>
      <c r="D1260" s="22"/>
      <c r="E1260" s="15"/>
      <c r="F1260" s="23">
        <f>IF($B1260="","",IFERROR(INDEX(ProdNome,MATCH($B1260,ProdCod,0)),"Código não cadastrado"))</f>
        <v>0</v>
      </c>
      <c r="G1260" s="24">
        <f>IF(OR($B1260="",$D1260=""),"",$D1260*IFERROR(INDEX(ProdCusto,MATCH($B1260,ProdCod,0)),0))</f>
        <v>0</v>
      </c>
      <c r="H1260" s="25">
        <f>IF($A1260="","",IF(OR($B1260="",$C1260="",$D1260=""),"Preencher tudo",IF($F1260="Código não cadastrado","Código inválido","OK")))</f>
        <v>0</v>
      </c>
    </row>
    <row r="1261" spans="1:8">
      <c r="A1261" s="16"/>
      <c r="B1261" s="15"/>
      <c r="C1261" s="20"/>
      <c r="D1261" s="22"/>
      <c r="E1261" s="15"/>
      <c r="F1261" s="23">
        <f>IF($B1261="","",IFERROR(INDEX(ProdNome,MATCH($B1261,ProdCod,0)),"Código não cadastrado"))</f>
        <v>0</v>
      </c>
      <c r="G1261" s="24">
        <f>IF(OR($B1261="",$D1261=""),"",$D1261*IFERROR(INDEX(ProdCusto,MATCH($B1261,ProdCod,0)),0))</f>
        <v>0</v>
      </c>
      <c r="H1261" s="25">
        <f>IF($A1261="","",IF(OR($B1261="",$C1261="",$D1261=""),"Preencher tudo",IF($F1261="Código não cadastrado","Código inválido","OK")))</f>
        <v>0</v>
      </c>
    </row>
    <row r="1262" spans="1:8">
      <c r="A1262" s="16"/>
      <c r="B1262" s="15"/>
      <c r="C1262" s="20"/>
      <c r="D1262" s="22"/>
      <c r="E1262" s="15"/>
      <c r="F1262" s="23">
        <f>IF($B1262="","",IFERROR(INDEX(ProdNome,MATCH($B1262,ProdCod,0)),"Código não cadastrado"))</f>
        <v>0</v>
      </c>
      <c r="G1262" s="24">
        <f>IF(OR($B1262="",$D1262=""),"",$D1262*IFERROR(INDEX(ProdCusto,MATCH($B1262,ProdCod,0)),0))</f>
        <v>0</v>
      </c>
      <c r="H1262" s="25">
        <f>IF($A1262="","",IF(OR($B1262="",$C1262="",$D1262=""),"Preencher tudo",IF($F1262="Código não cadastrado","Código inválido","OK")))</f>
        <v>0</v>
      </c>
    </row>
    <row r="1263" spans="1:8">
      <c r="A1263" s="16"/>
      <c r="B1263" s="15"/>
      <c r="C1263" s="20"/>
      <c r="D1263" s="22"/>
      <c r="E1263" s="15"/>
      <c r="F1263" s="23">
        <f>IF($B1263="","",IFERROR(INDEX(ProdNome,MATCH($B1263,ProdCod,0)),"Código não cadastrado"))</f>
        <v>0</v>
      </c>
      <c r="G1263" s="24">
        <f>IF(OR($B1263="",$D1263=""),"",$D1263*IFERROR(INDEX(ProdCusto,MATCH($B1263,ProdCod,0)),0))</f>
        <v>0</v>
      </c>
      <c r="H1263" s="25">
        <f>IF($A1263="","",IF(OR($B1263="",$C1263="",$D1263=""),"Preencher tudo",IF($F1263="Código não cadastrado","Código inválido","OK")))</f>
        <v>0</v>
      </c>
    </row>
    <row r="1264" spans="1:8">
      <c r="A1264" s="16"/>
      <c r="B1264" s="15"/>
      <c r="C1264" s="20"/>
      <c r="D1264" s="22"/>
      <c r="E1264" s="15"/>
      <c r="F1264" s="23">
        <f>IF($B1264="","",IFERROR(INDEX(ProdNome,MATCH($B1264,ProdCod,0)),"Código não cadastrado"))</f>
        <v>0</v>
      </c>
      <c r="G1264" s="24">
        <f>IF(OR($B1264="",$D1264=""),"",$D1264*IFERROR(INDEX(ProdCusto,MATCH($B1264,ProdCod,0)),0))</f>
        <v>0</v>
      </c>
      <c r="H1264" s="25">
        <f>IF($A1264="","",IF(OR($B1264="",$C1264="",$D1264=""),"Preencher tudo",IF($F1264="Código não cadastrado","Código inválido","OK")))</f>
        <v>0</v>
      </c>
    </row>
    <row r="1265" spans="1:8">
      <c r="A1265" s="16"/>
      <c r="B1265" s="15"/>
      <c r="C1265" s="20"/>
      <c r="D1265" s="22"/>
      <c r="E1265" s="15"/>
      <c r="F1265" s="23">
        <f>IF($B1265="","",IFERROR(INDEX(ProdNome,MATCH($B1265,ProdCod,0)),"Código não cadastrado"))</f>
        <v>0</v>
      </c>
      <c r="G1265" s="24">
        <f>IF(OR($B1265="",$D1265=""),"",$D1265*IFERROR(INDEX(ProdCusto,MATCH($B1265,ProdCod,0)),0))</f>
        <v>0</v>
      </c>
      <c r="H1265" s="25">
        <f>IF($A1265="","",IF(OR($B1265="",$C1265="",$D1265=""),"Preencher tudo",IF($F1265="Código não cadastrado","Código inválido","OK")))</f>
        <v>0</v>
      </c>
    </row>
    <row r="1266" spans="1:8">
      <c r="A1266" s="16"/>
      <c r="B1266" s="15"/>
      <c r="C1266" s="20"/>
      <c r="D1266" s="22"/>
      <c r="E1266" s="15"/>
      <c r="F1266" s="23">
        <f>IF($B1266="","",IFERROR(INDEX(ProdNome,MATCH($B1266,ProdCod,0)),"Código não cadastrado"))</f>
        <v>0</v>
      </c>
      <c r="G1266" s="24">
        <f>IF(OR($B1266="",$D1266=""),"",$D1266*IFERROR(INDEX(ProdCusto,MATCH($B1266,ProdCod,0)),0))</f>
        <v>0</v>
      </c>
      <c r="H1266" s="25">
        <f>IF($A1266="","",IF(OR($B1266="",$C1266="",$D1266=""),"Preencher tudo",IF($F1266="Código não cadastrado","Código inválido","OK")))</f>
        <v>0</v>
      </c>
    </row>
    <row r="1267" spans="1:8">
      <c r="A1267" s="16"/>
      <c r="B1267" s="15"/>
      <c r="C1267" s="20"/>
      <c r="D1267" s="22"/>
      <c r="E1267" s="15"/>
      <c r="F1267" s="23">
        <f>IF($B1267="","",IFERROR(INDEX(ProdNome,MATCH($B1267,ProdCod,0)),"Código não cadastrado"))</f>
        <v>0</v>
      </c>
      <c r="G1267" s="24">
        <f>IF(OR($B1267="",$D1267=""),"",$D1267*IFERROR(INDEX(ProdCusto,MATCH($B1267,ProdCod,0)),0))</f>
        <v>0</v>
      </c>
      <c r="H1267" s="25">
        <f>IF($A1267="","",IF(OR($B1267="",$C1267="",$D1267=""),"Preencher tudo",IF($F1267="Código não cadastrado","Código inválido","OK")))</f>
        <v>0</v>
      </c>
    </row>
    <row r="1268" spans="1:8">
      <c r="A1268" s="16"/>
      <c r="B1268" s="15"/>
      <c r="C1268" s="20"/>
      <c r="D1268" s="22"/>
      <c r="E1268" s="15"/>
      <c r="F1268" s="23">
        <f>IF($B1268="","",IFERROR(INDEX(ProdNome,MATCH($B1268,ProdCod,0)),"Código não cadastrado"))</f>
        <v>0</v>
      </c>
      <c r="G1268" s="24">
        <f>IF(OR($B1268="",$D1268=""),"",$D1268*IFERROR(INDEX(ProdCusto,MATCH($B1268,ProdCod,0)),0))</f>
        <v>0</v>
      </c>
      <c r="H1268" s="25">
        <f>IF($A1268="","",IF(OR($B1268="",$C1268="",$D1268=""),"Preencher tudo",IF($F1268="Código não cadastrado","Código inválido","OK")))</f>
        <v>0</v>
      </c>
    </row>
    <row r="1269" spans="1:8">
      <c r="A1269" s="16"/>
      <c r="B1269" s="15"/>
      <c r="C1269" s="20"/>
      <c r="D1269" s="22"/>
      <c r="E1269" s="15"/>
      <c r="F1269" s="23">
        <f>IF($B1269="","",IFERROR(INDEX(ProdNome,MATCH($B1269,ProdCod,0)),"Código não cadastrado"))</f>
        <v>0</v>
      </c>
      <c r="G1269" s="24">
        <f>IF(OR($B1269="",$D1269=""),"",$D1269*IFERROR(INDEX(ProdCusto,MATCH($B1269,ProdCod,0)),0))</f>
        <v>0</v>
      </c>
      <c r="H1269" s="25">
        <f>IF($A1269="","",IF(OR($B1269="",$C1269="",$D1269=""),"Preencher tudo",IF($F1269="Código não cadastrado","Código inválido","OK")))</f>
        <v>0</v>
      </c>
    </row>
    <row r="1270" spans="1:8">
      <c r="A1270" s="16"/>
      <c r="B1270" s="15"/>
      <c r="C1270" s="20"/>
      <c r="D1270" s="22"/>
      <c r="E1270" s="15"/>
      <c r="F1270" s="23">
        <f>IF($B1270="","",IFERROR(INDEX(ProdNome,MATCH($B1270,ProdCod,0)),"Código não cadastrado"))</f>
        <v>0</v>
      </c>
      <c r="G1270" s="24">
        <f>IF(OR($B1270="",$D1270=""),"",$D1270*IFERROR(INDEX(ProdCusto,MATCH($B1270,ProdCod,0)),0))</f>
        <v>0</v>
      </c>
      <c r="H1270" s="25">
        <f>IF($A1270="","",IF(OR($B1270="",$C1270="",$D1270=""),"Preencher tudo",IF($F1270="Código não cadastrado","Código inválido","OK")))</f>
        <v>0</v>
      </c>
    </row>
    <row r="1271" spans="1:8">
      <c r="A1271" s="16"/>
      <c r="B1271" s="15"/>
      <c r="C1271" s="20"/>
      <c r="D1271" s="22"/>
      <c r="E1271" s="15"/>
      <c r="F1271" s="23">
        <f>IF($B1271="","",IFERROR(INDEX(ProdNome,MATCH($B1271,ProdCod,0)),"Código não cadastrado"))</f>
        <v>0</v>
      </c>
      <c r="G1271" s="24">
        <f>IF(OR($B1271="",$D1271=""),"",$D1271*IFERROR(INDEX(ProdCusto,MATCH($B1271,ProdCod,0)),0))</f>
        <v>0</v>
      </c>
      <c r="H1271" s="25">
        <f>IF($A1271="","",IF(OR($B1271="",$C1271="",$D1271=""),"Preencher tudo",IF($F1271="Código não cadastrado","Código inválido","OK")))</f>
        <v>0</v>
      </c>
    </row>
    <row r="1272" spans="1:8">
      <c r="A1272" s="16"/>
      <c r="B1272" s="15"/>
      <c r="C1272" s="20"/>
      <c r="D1272" s="22"/>
      <c r="E1272" s="15"/>
      <c r="F1272" s="23">
        <f>IF($B1272="","",IFERROR(INDEX(ProdNome,MATCH($B1272,ProdCod,0)),"Código não cadastrado"))</f>
        <v>0</v>
      </c>
      <c r="G1272" s="24">
        <f>IF(OR($B1272="",$D1272=""),"",$D1272*IFERROR(INDEX(ProdCusto,MATCH($B1272,ProdCod,0)),0))</f>
        <v>0</v>
      </c>
      <c r="H1272" s="25">
        <f>IF($A1272="","",IF(OR($B1272="",$C1272="",$D1272=""),"Preencher tudo",IF($F1272="Código não cadastrado","Código inválido","OK")))</f>
        <v>0</v>
      </c>
    </row>
    <row r="1273" spans="1:8">
      <c r="A1273" s="16"/>
      <c r="B1273" s="15"/>
      <c r="C1273" s="20"/>
      <c r="D1273" s="22"/>
      <c r="E1273" s="15"/>
      <c r="F1273" s="23">
        <f>IF($B1273="","",IFERROR(INDEX(ProdNome,MATCH($B1273,ProdCod,0)),"Código não cadastrado"))</f>
        <v>0</v>
      </c>
      <c r="G1273" s="24">
        <f>IF(OR($B1273="",$D1273=""),"",$D1273*IFERROR(INDEX(ProdCusto,MATCH($B1273,ProdCod,0)),0))</f>
        <v>0</v>
      </c>
      <c r="H1273" s="25">
        <f>IF($A1273="","",IF(OR($B1273="",$C1273="",$D1273=""),"Preencher tudo",IF($F1273="Código não cadastrado","Código inválido","OK")))</f>
        <v>0</v>
      </c>
    </row>
    <row r="1274" spans="1:8">
      <c r="A1274" s="16"/>
      <c r="B1274" s="15"/>
      <c r="C1274" s="20"/>
      <c r="D1274" s="22"/>
      <c r="E1274" s="15"/>
      <c r="F1274" s="23">
        <f>IF($B1274="","",IFERROR(INDEX(ProdNome,MATCH($B1274,ProdCod,0)),"Código não cadastrado"))</f>
        <v>0</v>
      </c>
      <c r="G1274" s="24">
        <f>IF(OR($B1274="",$D1274=""),"",$D1274*IFERROR(INDEX(ProdCusto,MATCH($B1274,ProdCod,0)),0))</f>
        <v>0</v>
      </c>
      <c r="H1274" s="25">
        <f>IF($A1274="","",IF(OR($B1274="",$C1274="",$D1274=""),"Preencher tudo",IF($F1274="Código não cadastrado","Código inválido","OK")))</f>
        <v>0</v>
      </c>
    </row>
    <row r="1275" spans="1:8">
      <c r="A1275" s="16"/>
      <c r="B1275" s="15"/>
      <c r="C1275" s="20"/>
      <c r="D1275" s="22"/>
      <c r="E1275" s="15"/>
      <c r="F1275" s="23">
        <f>IF($B1275="","",IFERROR(INDEX(ProdNome,MATCH($B1275,ProdCod,0)),"Código não cadastrado"))</f>
        <v>0</v>
      </c>
      <c r="G1275" s="24">
        <f>IF(OR($B1275="",$D1275=""),"",$D1275*IFERROR(INDEX(ProdCusto,MATCH($B1275,ProdCod,0)),0))</f>
        <v>0</v>
      </c>
      <c r="H1275" s="25">
        <f>IF($A1275="","",IF(OR($B1275="",$C1275="",$D1275=""),"Preencher tudo",IF($F1275="Código não cadastrado","Código inválido","OK")))</f>
        <v>0</v>
      </c>
    </row>
    <row r="1276" spans="1:8">
      <c r="A1276" s="16"/>
      <c r="B1276" s="15"/>
      <c r="C1276" s="20"/>
      <c r="D1276" s="22"/>
      <c r="E1276" s="15"/>
      <c r="F1276" s="23">
        <f>IF($B1276="","",IFERROR(INDEX(ProdNome,MATCH($B1276,ProdCod,0)),"Código não cadastrado"))</f>
        <v>0</v>
      </c>
      <c r="G1276" s="24">
        <f>IF(OR($B1276="",$D1276=""),"",$D1276*IFERROR(INDEX(ProdCusto,MATCH($B1276,ProdCod,0)),0))</f>
        <v>0</v>
      </c>
      <c r="H1276" s="25">
        <f>IF($A1276="","",IF(OR($B1276="",$C1276="",$D1276=""),"Preencher tudo",IF($F1276="Código não cadastrado","Código inválido","OK")))</f>
        <v>0</v>
      </c>
    </row>
    <row r="1277" spans="1:8">
      <c r="A1277" s="16"/>
      <c r="B1277" s="15"/>
      <c r="C1277" s="20"/>
      <c r="D1277" s="22"/>
      <c r="E1277" s="15"/>
      <c r="F1277" s="23">
        <f>IF($B1277="","",IFERROR(INDEX(ProdNome,MATCH($B1277,ProdCod,0)),"Código não cadastrado"))</f>
        <v>0</v>
      </c>
      <c r="G1277" s="24">
        <f>IF(OR($B1277="",$D1277=""),"",$D1277*IFERROR(INDEX(ProdCusto,MATCH($B1277,ProdCod,0)),0))</f>
        <v>0</v>
      </c>
      <c r="H1277" s="25">
        <f>IF($A1277="","",IF(OR($B1277="",$C1277="",$D1277=""),"Preencher tudo",IF($F1277="Código não cadastrado","Código inválido","OK")))</f>
        <v>0</v>
      </c>
    </row>
    <row r="1278" spans="1:8">
      <c r="A1278" s="16"/>
      <c r="B1278" s="15"/>
      <c r="C1278" s="20"/>
      <c r="D1278" s="22"/>
      <c r="E1278" s="15"/>
      <c r="F1278" s="23">
        <f>IF($B1278="","",IFERROR(INDEX(ProdNome,MATCH($B1278,ProdCod,0)),"Código não cadastrado"))</f>
        <v>0</v>
      </c>
      <c r="G1278" s="24">
        <f>IF(OR($B1278="",$D1278=""),"",$D1278*IFERROR(INDEX(ProdCusto,MATCH($B1278,ProdCod,0)),0))</f>
        <v>0</v>
      </c>
      <c r="H1278" s="25">
        <f>IF($A1278="","",IF(OR($B1278="",$C1278="",$D1278=""),"Preencher tudo",IF($F1278="Código não cadastrado","Código inválido","OK")))</f>
        <v>0</v>
      </c>
    </row>
    <row r="1279" spans="1:8">
      <c r="A1279" s="16"/>
      <c r="B1279" s="15"/>
      <c r="C1279" s="20"/>
      <c r="D1279" s="22"/>
      <c r="E1279" s="15"/>
      <c r="F1279" s="23">
        <f>IF($B1279="","",IFERROR(INDEX(ProdNome,MATCH($B1279,ProdCod,0)),"Código não cadastrado"))</f>
        <v>0</v>
      </c>
      <c r="G1279" s="24">
        <f>IF(OR($B1279="",$D1279=""),"",$D1279*IFERROR(INDEX(ProdCusto,MATCH($B1279,ProdCod,0)),0))</f>
        <v>0</v>
      </c>
      <c r="H1279" s="25">
        <f>IF($A1279="","",IF(OR($B1279="",$C1279="",$D1279=""),"Preencher tudo",IF($F1279="Código não cadastrado","Código inválido","OK")))</f>
        <v>0</v>
      </c>
    </row>
    <row r="1280" spans="1:8">
      <c r="A1280" s="16"/>
      <c r="B1280" s="15"/>
      <c r="C1280" s="20"/>
      <c r="D1280" s="22"/>
      <c r="E1280" s="15"/>
      <c r="F1280" s="23">
        <f>IF($B1280="","",IFERROR(INDEX(ProdNome,MATCH($B1280,ProdCod,0)),"Código não cadastrado"))</f>
        <v>0</v>
      </c>
      <c r="G1280" s="24">
        <f>IF(OR($B1280="",$D1280=""),"",$D1280*IFERROR(INDEX(ProdCusto,MATCH($B1280,ProdCod,0)),0))</f>
        <v>0</v>
      </c>
      <c r="H1280" s="25">
        <f>IF($A1280="","",IF(OR($B1280="",$C1280="",$D1280=""),"Preencher tudo",IF($F1280="Código não cadastrado","Código inválido","OK")))</f>
        <v>0</v>
      </c>
    </row>
    <row r="1281" spans="1:8">
      <c r="A1281" s="16"/>
      <c r="B1281" s="15"/>
      <c r="C1281" s="20"/>
      <c r="D1281" s="22"/>
      <c r="E1281" s="15"/>
      <c r="F1281" s="23">
        <f>IF($B1281="","",IFERROR(INDEX(ProdNome,MATCH($B1281,ProdCod,0)),"Código não cadastrado"))</f>
        <v>0</v>
      </c>
      <c r="G1281" s="24">
        <f>IF(OR($B1281="",$D1281=""),"",$D1281*IFERROR(INDEX(ProdCusto,MATCH($B1281,ProdCod,0)),0))</f>
        <v>0</v>
      </c>
      <c r="H1281" s="25">
        <f>IF($A1281="","",IF(OR($B1281="",$C1281="",$D1281=""),"Preencher tudo",IF($F1281="Código não cadastrado","Código inválido","OK")))</f>
        <v>0</v>
      </c>
    </row>
    <row r="1282" spans="1:8">
      <c r="A1282" s="16"/>
      <c r="B1282" s="15"/>
      <c r="C1282" s="20"/>
      <c r="D1282" s="22"/>
      <c r="E1282" s="15"/>
      <c r="F1282" s="23">
        <f>IF($B1282="","",IFERROR(INDEX(ProdNome,MATCH($B1282,ProdCod,0)),"Código não cadastrado"))</f>
        <v>0</v>
      </c>
      <c r="G1282" s="24">
        <f>IF(OR($B1282="",$D1282=""),"",$D1282*IFERROR(INDEX(ProdCusto,MATCH($B1282,ProdCod,0)),0))</f>
        <v>0</v>
      </c>
      <c r="H1282" s="25">
        <f>IF($A1282="","",IF(OR($B1282="",$C1282="",$D1282=""),"Preencher tudo",IF($F1282="Código não cadastrado","Código inválido","OK")))</f>
        <v>0</v>
      </c>
    </row>
    <row r="1283" spans="1:8">
      <c r="A1283" s="16"/>
      <c r="B1283" s="15"/>
      <c r="C1283" s="20"/>
      <c r="D1283" s="22"/>
      <c r="E1283" s="15"/>
      <c r="F1283" s="23">
        <f>IF($B1283="","",IFERROR(INDEX(ProdNome,MATCH($B1283,ProdCod,0)),"Código não cadastrado"))</f>
        <v>0</v>
      </c>
      <c r="G1283" s="24">
        <f>IF(OR($B1283="",$D1283=""),"",$D1283*IFERROR(INDEX(ProdCusto,MATCH($B1283,ProdCod,0)),0))</f>
        <v>0</v>
      </c>
      <c r="H1283" s="25">
        <f>IF($A1283="","",IF(OR($B1283="",$C1283="",$D1283=""),"Preencher tudo",IF($F1283="Código não cadastrado","Código inválido","OK")))</f>
        <v>0</v>
      </c>
    </row>
    <row r="1284" spans="1:8">
      <c r="A1284" s="16"/>
      <c r="B1284" s="15"/>
      <c r="C1284" s="20"/>
      <c r="D1284" s="22"/>
      <c r="E1284" s="15"/>
      <c r="F1284" s="23">
        <f>IF($B1284="","",IFERROR(INDEX(ProdNome,MATCH($B1284,ProdCod,0)),"Código não cadastrado"))</f>
        <v>0</v>
      </c>
      <c r="G1284" s="24">
        <f>IF(OR($B1284="",$D1284=""),"",$D1284*IFERROR(INDEX(ProdCusto,MATCH($B1284,ProdCod,0)),0))</f>
        <v>0</v>
      </c>
      <c r="H1284" s="25">
        <f>IF($A1284="","",IF(OR($B1284="",$C1284="",$D1284=""),"Preencher tudo",IF($F1284="Código não cadastrado","Código inválido","OK")))</f>
        <v>0</v>
      </c>
    </row>
    <row r="1285" spans="1:8">
      <c r="A1285" s="16"/>
      <c r="B1285" s="15"/>
      <c r="C1285" s="20"/>
      <c r="D1285" s="22"/>
      <c r="E1285" s="15"/>
      <c r="F1285" s="23">
        <f>IF($B1285="","",IFERROR(INDEX(ProdNome,MATCH($B1285,ProdCod,0)),"Código não cadastrado"))</f>
        <v>0</v>
      </c>
      <c r="G1285" s="24">
        <f>IF(OR($B1285="",$D1285=""),"",$D1285*IFERROR(INDEX(ProdCusto,MATCH($B1285,ProdCod,0)),0))</f>
        <v>0</v>
      </c>
      <c r="H1285" s="25">
        <f>IF($A1285="","",IF(OR($B1285="",$C1285="",$D1285=""),"Preencher tudo",IF($F1285="Código não cadastrado","Código inválido","OK")))</f>
        <v>0</v>
      </c>
    </row>
    <row r="1286" spans="1:8">
      <c r="A1286" s="16"/>
      <c r="B1286" s="15"/>
      <c r="C1286" s="20"/>
      <c r="D1286" s="22"/>
      <c r="E1286" s="15"/>
      <c r="F1286" s="23">
        <f>IF($B1286="","",IFERROR(INDEX(ProdNome,MATCH($B1286,ProdCod,0)),"Código não cadastrado"))</f>
        <v>0</v>
      </c>
      <c r="G1286" s="24">
        <f>IF(OR($B1286="",$D1286=""),"",$D1286*IFERROR(INDEX(ProdCusto,MATCH($B1286,ProdCod,0)),0))</f>
        <v>0</v>
      </c>
      <c r="H1286" s="25">
        <f>IF($A1286="","",IF(OR($B1286="",$C1286="",$D1286=""),"Preencher tudo",IF($F1286="Código não cadastrado","Código inválido","OK")))</f>
        <v>0</v>
      </c>
    </row>
    <row r="1287" spans="1:8">
      <c r="A1287" s="16"/>
      <c r="B1287" s="15"/>
      <c r="C1287" s="20"/>
      <c r="D1287" s="22"/>
      <c r="E1287" s="15"/>
      <c r="F1287" s="23">
        <f>IF($B1287="","",IFERROR(INDEX(ProdNome,MATCH($B1287,ProdCod,0)),"Código não cadastrado"))</f>
        <v>0</v>
      </c>
      <c r="G1287" s="24">
        <f>IF(OR($B1287="",$D1287=""),"",$D1287*IFERROR(INDEX(ProdCusto,MATCH($B1287,ProdCod,0)),0))</f>
        <v>0</v>
      </c>
      <c r="H1287" s="25">
        <f>IF($A1287="","",IF(OR($B1287="",$C1287="",$D1287=""),"Preencher tudo",IF($F1287="Código não cadastrado","Código inválido","OK")))</f>
        <v>0</v>
      </c>
    </row>
    <row r="1288" spans="1:8">
      <c r="A1288" s="16"/>
      <c r="B1288" s="15"/>
      <c r="C1288" s="20"/>
      <c r="D1288" s="22"/>
      <c r="E1288" s="15"/>
      <c r="F1288" s="23">
        <f>IF($B1288="","",IFERROR(INDEX(ProdNome,MATCH($B1288,ProdCod,0)),"Código não cadastrado"))</f>
        <v>0</v>
      </c>
      <c r="G1288" s="24">
        <f>IF(OR($B1288="",$D1288=""),"",$D1288*IFERROR(INDEX(ProdCusto,MATCH($B1288,ProdCod,0)),0))</f>
        <v>0</v>
      </c>
      <c r="H1288" s="25">
        <f>IF($A1288="","",IF(OR($B1288="",$C1288="",$D1288=""),"Preencher tudo",IF($F1288="Código não cadastrado","Código inválido","OK")))</f>
        <v>0</v>
      </c>
    </row>
    <row r="1289" spans="1:8">
      <c r="A1289" s="16"/>
      <c r="B1289" s="15"/>
      <c r="C1289" s="20"/>
      <c r="D1289" s="22"/>
      <c r="E1289" s="15"/>
      <c r="F1289" s="23">
        <f>IF($B1289="","",IFERROR(INDEX(ProdNome,MATCH($B1289,ProdCod,0)),"Código não cadastrado"))</f>
        <v>0</v>
      </c>
      <c r="G1289" s="24">
        <f>IF(OR($B1289="",$D1289=""),"",$D1289*IFERROR(INDEX(ProdCusto,MATCH($B1289,ProdCod,0)),0))</f>
        <v>0</v>
      </c>
      <c r="H1289" s="25">
        <f>IF($A1289="","",IF(OR($B1289="",$C1289="",$D1289=""),"Preencher tudo",IF($F1289="Código não cadastrado","Código inválido","OK")))</f>
        <v>0</v>
      </c>
    </row>
    <row r="1290" spans="1:8">
      <c r="A1290" s="16"/>
      <c r="B1290" s="15"/>
      <c r="C1290" s="20"/>
      <c r="D1290" s="22"/>
      <c r="E1290" s="15"/>
      <c r="F1290" s="23">
        <f>IF($B1290="","",IFERROR(INDEX(ProdNome,MATCH($B1290,ProdCod,0)),"Código não cadastrado"))</f>
        <v>0</v>
      </c>
      <c r="G1290" s="24">
        <f>IF(OR($B1290="",$D1290=""),"",$D1290*IFERROR(INDEX(ProdCusto,MATCH($B1290,ProdCod,0)),0))</f>
        <v>0</v>
      </c>
      <c r="H1290" s="25">
        <f>IF($A1290="","",IF(OR($B1290="",$C1290="",$D1290=""),"Preencher tudo",IF($F1290="Código não cadastrado","Código inválido","OK")))</f>
        <v>0</v>
      </c>
    </row>
    <row r="1291" spans="1:8">
      <c r="A1291" s="16"/>
      <c r="B1291" s="15"/>
      <c r="C1291" s="20"/>
      <c r="D1291" s="22"/>
      <c r="E1291" s="15"/>
      <c r="F1291" s="23">
        <f>IF($B1291="","",IFERROR(INDEX(ProdNome,MATCH($B1291,ProdCod,0)),"Código não cadastrado"))</f>
        <v>0</v>
      </c>
      <c r="G1291" s="24">
        <f>IF(OR($B1291="",$D1291=""),"",$D1291*IFERROR(INDEX(ProdCusto,MATCH($B1291,ProdCod,0)),0))</f>
        <v>0</v>
      </c>
      <c r="H1291" s="25">
        <f>IF($A1291="","",IF(OR($B1291="",$C1291="",$D1291=""),"Preencher tudo",IF($F1291="Código não cadastrado","Código inválido","OK")))</f>
        <v>0</v>
      </c>
    </row>
    <row r="1292" spans="1:8">
      <c r="A1292" s="16"/>
      <c r="B1292" s="15"/>
      <c r="C1292" s="20"/>
      <c r="D1292" s="22"/>
      <c r="E1292" s="15"/>
      <c r="F1292" s="23">
        <f>IF($B1292="","",IFERROR(INDEX(ProdNome,MATCH($B1292,ProdCod,0)),"Código não cadastrado"))</f>
        <v>0</v>
      </c>
      <c r="G1292" s="24">
        <f>IF(OR($B1292="",$D1292=""),"",$D1292*IFERROR(INDEX(ProdCusto,MATCH($B1292,ProdCod,0)),0))</f>
        <v>0</v>
      </c>
      <c r="H1292" s="25">
        <f>IF($A1292="","",IF(OR($B1292="",$C1292="",$D1292=""),"Preencher tudo",IF($F1292="Código não cadastrado","Código inválido","OK")))</f>
        <v>0</v>
      </c>
    </row>
    <row r="1293" spans="1:8">
      <c r="A1293" s="16"/>
      <c r="B1293" s="15"/>
      <c r="C1293" s="20"/>
      <c r="D1293" s="22"/>
      <c r="E1293" s="15"/>
      <c r="F1293" s="23">
        <f>IF($B1293="","",IFERROR(INDEX(ProdNome,MATCH($B1293,ProdCod,0)),"Código não cadastrado"))</f>
        <v>0</v>
      </c>
      <c r="G1293" s="24">
        <f>IF(OR($B1293="",$D1293=""),"",$D1293*IFERROR(INDEX(ProdCusto,MATCH($B1293,ProdCod,0)),0))</f>
        <v>0</v>
      </c>
      <c r="H1293" s="25">
        <f>IF($A1293="","",IF(OR($B1293="",$C1293="",$D1293=""),"Preencher tudo",IF($F1293="Código não cadastrado","Código inválido","OK")))</f>
        <v>0</v>
      </c>
    </row>
    <row r="1294" spans="1:8">
      <c r="A1294" s="16"/>
      <c r="B1294" s="15"/>
      <c r="C1294" s="20"/>
      <c r="D1294" s="22"/>
      <c r="E1294" s="15"/>
      <c r="F1294" s="23">
        <f>IF($B1294="","",IFERROR(INDEX(ProdNome,MATCH($B1294,ProdCod,0)),"Código não cadastrado"))</f>
        <v>0</v>
      </c>
      <c r="G1294" s="24">
        <f>IF(OR($B1294="",$D1294=""),"",$D1294*IFERROR(INDEX(ProdCusto,MATCH($B1294,ProdCod,0)),0))</f>
        <v>0</v>
      </c>
      <c r="H1294" s="25">
        <f>IF($A1294="","",IF(OR($B1294="",$C1294="",$D1294=""),"Preencher tudo",IF($F1294="Código não cadastrado","Código inválido","OK")))</f>
        <v>0</v>
      </c>
    </row>
    <row r="1295" spans="1:8">
      <c r="A1295" s="16"/>
      <c r="B1295" s="15"/>
      <c r="C1295" s="20"/>
      <c r="D1295" s="22"/>
      <c r="E1295" s="15"/>
      <c r="F1295" s="23">
        <f>IF($B1295="","",IFERROR(INDEX(ProdNome,MATCH($B1295,ProdCod,0)),"Código não cadastrado"))</f>
        <v>0</v>
      </c>
      <c r="G1295" s="24">
        <f>IF(OR($B1295="",$D1295=""),"",$D1295*IFERROR(INDEX(ProdCusto,MATCH($B1295,ProdCod,0)),0))</f>
        <v>0</v>
      </c>
      <c r="H1295" s="25">
        <f>IF($A1295="","",IF(OR($B1295="",$C1295="",$D1295=""),"Preencher tudo",IF($F1295="Código não cadastrado","Código inválido","OK")))</f>
        <v>0</v>
      </c>
    </row>
    <row r="1296" spans="1:8">
      <c r="A1296" s="16"/>
      <c r="B1296" s="15"/>
      <c r="C1296" s="20"/>
      <c r="D1296" s="22"/>
      <c r="E1296" s="15"/>
      <c r="F1296" s="23">
        <f>IF($B1296="","",IFERROR(INDEX(ProdNome,MATCH($B1296,ProdCod,0)),"Código não cadastrado"))</f>
        <v>0</v>
      </c>
      <c r="G1296" s="24">
        <f>IF(OR($B1296="",$D1296=""),"",$D1296*IFERROR(INDEX(ProdCusto,MATCH($B1296,ProdCod,0)),0))</f>
        <v>0</v>
      </c>
      <c r="H1296" s="25">
        <f>IF($A1296="","",IF(OR($B1296="",$C1296="",$D1296=""),"Preencher tudo",IF($F1296="Código não cadastrado","Código inválido","OK")))</f>
        <v>0</v>
      </c>
    </row>
    <row r="1297" spans="1:8">
      <c r="A1297" s="16"/>
      <c r="B1297" s="15"/>
      <c r="C1297" s="20"/>
      <c r="D1297" s="22"/>
      <c r="E1297" s="15"/>
      <c r="F1297" s="23">
        <f>IF($B1297="","",IFERROR(INDEX(ProdNome,MATCH($B1297,ProdCod,0)),"Código não cadastrado"))</f>
        <v>0</v>
      </c>
      <c r="G1297" s="24">
        <f>IF(OR($B1297="",$D1297=""),"",$D1297*IFERROR(INDEX(ProdCusto,MATCH($B1297,ProdCod,0)),0))</f>
        <v>0</v>
      </c>
      <c r="H1297" s="25">
        <f>IF($A1297="","",IF(OR($B1297="",$C1297="",$D1297=""),"Preencher tudo",IF($F1297="Código não cadastrado","Código inválido","OK")))</f>
        <v>0</v>
      </c>
    </row>
    <row r="1298" spans="1:8">
      <c r="A1298" s="16"/>
      <c r="B1298" s="15"/>
      <c r="C1298" s="20"/>
      <c r="D1298" s="22"/>
      <c r="E1298" s="15"/>
      <c r="F1298" s="23">
        <f>IF($B1298="","",IFERROR(INDEX(ProdNome,MATCH($B1298,ProdCod,0)),"Código não cadastrado"))</f>
        <v>0</v>
      </c>
      <c r="G1298" s="24">
        <f>IF(OR($B1298="",$D1298=""),"",$D1298*IFERROR(INDEX(ProdCusto,MATCH($B1298,ProdCod,0)),0))</f>
        <v>0</v>
      </c>
      <c r="H1298" s="25">
        <f>IF($A1298="","",IF(OR($B1298="",$C1298="",$D1298=""),"Preencher tudo",IF($F1298="Código não cadastrado","Código inválido","OK")))</f>
        <v>0</v>
      </c>
    </row>
    <row r="1299" spans="1:8">
      <c r="A1299" s="16"/>
      <c r="B1299" s="15"/>
      <c r="C1299" s="20"/>
      <c r="D1299" s="22"/>
      <c r="E1299" s="15"/>
      <c r="F1299" s="23">
        <f>IF($B1299="","",IFERROR(INDEX(ProdNome,MATCH($B1299,ProdCod,0)),"Código não cadastrado"))</f>
        <v>0</v>
      </c>
      <c r="G1299" s="24">
        <f>IF(OR($B1299="",$D1299=""),"",$D1299*IFERROR(INDEX(ProdCusto,MATCH($B1299,ProdCod,0)),0))</f>
        <v>0</v>
      </c>
      <c r="H1299" s="25">
        <f>IF($A1299="","",IF(OR($B1299="",$C1299="",$D1299=""),"Preencher tudo",IF($F1299="Código não cadastrado","Código inválido","OK")))</f>
        <v>0</v>
      </c>
    </row>
    <row r="1300" spans="1:8">
      <c r="A1300" s="16"/>
      <c r="B1300" s="15"/>
      <c r="C1300" s="20"/>
      <c r="D1300" s="22"/>
      <c r="E1300" s="15"/>
      <c r="F1300" s="23">
        <f>IF($B1300="","",IFERROR(INDEX(ProdNome,MATCH($B1300,ProdCod,0)),"Código não cadastrado"))</f>
        <v>0</v>
      </c>
      <c r="G1300" s="24">
        <f>IF(OR($B1300="",$D1300=""),"",$D1300*IFERROR(INDEX(ProdCusto,MATCH($B1300,ProdCod,0)),0))</f>
        <v>0</v>
      </c>
      <c r="H1300" s="25">
        <f>IF($A1300="","",IF(OR($B1300="",$C1300="",$D1300=""),"Preencher tudo",IF($F1300="Código não cadastrado","Código inválido","OK")))</f>
        <v>0</v>
      </c>
    </row>
    <row r="1301" spans="1:8">
      <c r="A1301" s="16"/>
      <c r="B1301" s="15"/>
      <c r="C1301" s="20"/>
      <c r="D1301" s="22"/>
      <c r="E1301" s="15"/>
      <c r="F1301" s="23">
        <f>IF($B1301="","",IFERROR(INDEX(ProdNome,MATCH($B1301,ProdCod,0)),"Código não cadastrado"))</f>
        <v>0</v>
      </c>
      <c r="G1301" s="24">
        <f>IF(OR($B1301="",$D1301=""),"",$D1301*IFERROR(INDEX(ProdCusto,MATCH($B1301,ProdCod,0)),0))</f>
        <v>0</v>
      </c>
      <c r="H1301" s="25">
        <f>IF($A1301="","",IF(OR($B1301="",$C1301="",$D1301=""),"Preencher tudo",IF($F1301="Código não cadastrado","Código inválido","OK")))</f>
        <v>0</v>
      </c>
    </row>
    <row r="1302" spans="1:8">
      <c r="A1302" s="16"/>
      <c r="B1302" s="15"/>
      <c r="C1302" s="20"/>
      <c r="D1302" s="22"/>
      <c r="E1302" s="15"/>
      <c r="F1302" s="23">
        <f>IF($B1302="","",IFERROR(INDEX(ProdNome,MATCH($B1302,ProdCod,0)),"Código não cadastrado"))</f>
        <v>0</v>
      </c>
      <c r="G1302" s="24">
        <f>IF(OR($B1302="",$D1302=""),"",$D1302*IFERROR(INDEX(ProdCusto,MATCH($B1302,ProdCod,0)),0))</f>
        <v>0</v>
      </c>
      <c r="H1302" s="25">
        <f>IF($A1302="","",IF(OR($B1302="",$C1302="",$D1302=""),"Preencher tudo",IF($F1302="Código não cadastrado","Código inválido","OK")))</f>
        <v>0</v>
      </c>
    </row>
    <row r="1303" spans="1:8">
      <c r="A1303" s="16"/>
      <c r="B1303" s="15"/>
      <c r="C1303" s="20"/>
      <c r="D1303" s="22"/>
      <c r="E1303" s="15"/>
      <c r="F1303" s="23">
        <f>IF($B1303="","",IFERROR(INDEX(ProdNome,MATCH($B1303,ProdCod,0)),"Código não cadastrado"))</f>
        <v>0</v>
      </c>
      <c r="G1303" s="24">
        <f>IF(OR($B1303="",$D1303=""),"",$D1303*IFERROR(INDEX(ProdCusto,MATCH($B1303,ProdCod,0)),0))</f>
        <v>0</v>
      </c>
      <c r="H1303" s="25">
        <f>IF($A1303="","",IF(OR($B1303="",$C1303="",$D1303=""),"Preencher tudo",IF($F1303="Código não cadastrado","Código inválido","OK")))</f>
        <v>0</v>
      </c>
    </row>
    <row r="1304" spans="1:8">
      <c r="A1304" s="16"/>
      <c r="B1304" s="15"/>
      <c r="C1304" s="20"/>
      <c r="D1304" s="22"/>
      <c r="E1304" s="15"/>
      <c r="F1304" s="23">
        <f>IF($B1304="","",IFERROR(INDEX(ProdNome,MATCH($B1304,ProdCod,0)),"Código não cadastrado"))</f>
        <v>0</v>
      </c>
      <c r="G1304" s="24">
        <f>IF(OR($B1304="",$D1304=""),"",$D1304*IFERROR(INDEX(ProdCusto,MATCH($B1304,ProdCod,0)),0))</f>
        <v>0</v>
      </c>
      <c r="H1304" s="25">
        <f>IF($A1304="","",IF(OR($B1304="",$C1304="",$D1304=""),"Preencher tudo",IF($F1304="Código não cadastrado","Código inválido","OK")))</f>
        <v>0</v>
      </c>
    </row>
    <row r="1305" spans="1:8">
      <c r="A1305" s="16"/>
      <c r="B1305" s="15"/>
      <c r="C1305" s="20"/>
      <c r="D1305" s="22"/>
      <c r="E1305" s="15"/>
      <c r="F1305" s="23">
        <f>IF($B1305="","",IFERROR(INDEX(ProdNome,MATCH($B1305,ProdCod,0)),"Código não cadastrado"))</f>
        <v>0</v>
      </c>
      <c r="G1305" s="24">
        <f>IF(OR($B1305="",$D1305=""),"",$D1305*IFERROR(INDEX(ProdCusto,MATCH($B1305,ProdCod,0)),0))</f>
        <v>0</v>
      </c>
      <c r="H1305" s="25">
        <f>IF($A1305="","",IF(OR($B1305="",$C1305="",$D1305=""),"Preencher tudo",IF($F1305="Código não cadastrado","Código inválido","OK")))</f>
        <v>0</v>
      </c>
    </row>
    <row r="1306" spans="1:8">
      <c r="A1306" s="16"/>
      <c r="B1306" s="15"/>
      <c r="C1306" s="20"/>
      <c r="D1306" s="22"/>
      <c r="E1306" s="15"/>
      <c r="F1306" s="23">
        <f>IF($B1306="","",IFERROR(INDEX(ProdNome,MATCH($B1306,ProdCod,0)),"Código não cadastrado"))</f>
        <v>0</v>
      </c>
      <c r="G1306" s="24">
        <f>IF(OR($B1306="",$D1306=""),"",$D1306*IFERROR(INDEX(ProdCusto,MATCH($B1306,ProdCod,0)),0))</f>
        <v>0</v>
      </c>
      <c r="H1306" s="25">
        <f>IF($A1306="","",IF(OR($B1306="",$C1306="",$D1306=""),"Preencher tudo",IF($F1306="Código não cadastrado","Código inválido","OK")))</f>
        <v>0</v>
      </c>
    </row>
    <row r="1307" spans="1:8">
      <c r="A1307" s="16"/>
      <c r="B1307" s="15"/>
      <c r="C1307" s="20"/>
      <c r="D1307" s="22"/>
      <c r="E1307" s="15"/>
      <c r="F1307" s="23">
        <f>IF($B1307="","",IFERROR(INDEX(ProdNome,MATCH($B1307,ProdCod,0)),"Código não cadastrado"))</f>
        <v>0</v>
      </c>
      <c r="G1307" s="24">
        <f>IF(OR($B1307="",$D1307=""),"",$D1307*IFERROR(INDEX(ProdCusto,MATCH($B1307,ProdCod,0)),0))</f>
        <v>0</v>
      </c>
      <c r="H1307" s="25">
        <f>IF($A1307="","",IF(OR($B1307="",$C1307="",$D1307=""),"Preencher tudo",IF($F1307="Código não cadastrado","Código inválido","OK")))</f>
        <v>0</v>
      </c>
    </row>
    <row r="1308" spans="1:8">
      <c r="A1308" s="16"/>
      <c r="B1308" s="15"/>
      <c r="C1308" s="20"/>
      <c r="D1308" s="22"/>
      <c r="E1308" s="15"/>
      <c r="F1308" s="23">
        <f>IF($B1308="","",IFERROR(INDEX(ProdNome,MATCH($B1308,ProdCod,0)),"Código não cadastrado"))</f>
        <v>0</v>
      </c>
      <c r="G1308" s="24">
        <f>IF(OR($B1308="",$D1308=""),"",$D1308*IFERROR(INDEX(ProdCusto,MATCH($B1308,ProdCod,0)),0))</f>
        <v>0</v>
      </c>
      <c r="H1308" s="25">
        <f>IF($A1308="","",IF(OR($B1308="",$C1308="",$D1308=""),"Preencher tudo",IF($F1308="Código não cadastrado","Código inválido","OK")))</f>
        <v>0</v>
      </c>
    </row>
    <row r="1309" spans="1:8">
      <c r="A1309" s="16"/>
      <c r="B1309" s="15"/>
      <c r="C1309" s="20"/>
      <c r="D1309" s="22"/>
      <c r="E1309" s="15"/>
      <c r="F1309" s="23">
        <f>IF($B1309="","",IFERROR(INDEX(ProdNome,MATCH($B1309,ProdCod,0)),"Código não cadastrado"))</f>
        <v>0</v>
      </c>
      <c r="G1309" s="24">
        <f>IF(OR($B1309="",$D1309=""),"",$D1309*IFERROR(INDEX(ProdCusto,MATCH($B1309,ProdCod,0)),0))</f>
        <v>0</v>
      </c>
      <c r="H1309" s="25">
        <f>IF($A1309="","",IF(OR($B1309="",$C1309="",$D1309=""),"Preencher tudo",IF($F1309="Código não cadastrado","Código inválido","OK")))</f>
        <v>0</v>
      </c>
    </row>
    <row r="1310" spans="1:8">
      <c r="A1310" s="16"/>
      <c r="B1310" s="15"/>
      <c r="C1310" s="20"/>
      <c r="D1310" s="22"/>
      <c r="E1310" s="15"/>
      <c r="F1310" s="23">
        <f>IF($B1310="","",IFERROR(INDEX(ProdNome,MATCH($B1310,ProdCod,0)),"Código não cadastrado"))</f>
        <v>0</v>
      </c>
      <c r="G1310" s="24">
        <f>IF(OR($B1310="",$D1310=""),"",$D1310*IFERROR(INDEX(ProdCusto,MATCH($B1310,ProdCod,0)),0))</f>
        <v>0</v>
      </c>
      <c r="H1310" s="25">
        <f>IF($A1310="","",IF(OR($B1310="",$C1310="",$D1310=""),"Preencher tudo",IF($F1310="Código não cadastrado","Código inválido","OK")))</f>
        <v>0</v>
      </c>
    </row>
    <row r="1311" spans="1:8">
      <c r="A1311" s="16"/>
      <c r="B1311" s="15"/>
      <c r="C1311" s="20"/>
      <c r="D1311" s="22"/>
      <c r="E1311" s="15"/>
      <c r="F1311" s="23">
        <f>IF($B1311="","",IFERROR(INDEX(ProdNome,MATCH($B1311,ProdCod,0)),"Código não cadastrado"))</f>
        <v>0</v>
      </c>
      <c r="G1311" s="24">
        <f>IF(OR($B1311="",$D1311=""),"",$D1311*IFERROR(INDEX(ProdCusto,MATCH($B1311,ProdCod,0)),0))</f>
        <v>0</v>
      </c>
      <c r="H1311" s="25">
        <f>IF($A1311="","",IF(OR($B1311="",$C1311="",$D1311=""),"Preencher tudo",IF($F1311="Código não cadastrado","Código inválido","OK")))</f>
        <v>0</v>
      </c>
    </row>
    <row r="1312" spans="1:8">
      <c r="A1312" s="16"/>
      <c r="B1312" s="15"/>
      <c r="C1312" s="20"/>
      <c r="D1312" s="22"/>
      <c r="E1312" s="15"/>
      <c r="F1312" s="23">
        <f>IF($B1312="","",IFERROR(INDEX(ProdNome,MATCH($B1312,ProdCod,0)),"Código não cadastrado"))</f>
        <v>0</v>
      </c>
      <c r="G1312" s="24">
        <f>IF(OR($B1312="",$D1312=""),"",$D1312*IFERROR(INDEX(ProdCusto,MATCH($B1312,ProdCod,0)),0))</f>
        <v>0</v>
      </c>
      <c r="H1312" s="25">
        <f>IF($A1312="","",IF(OR($B1312="",$C1312="",$D1312=""),"Preencher tudo",IF($F1312="Código não cadastrado","Código inválido","OK")))</f>
        <v>0</v>
      </c>
    </row>
    <row r="1313" spans="1:8">
      <c r="A1313" s="16"/>
      <c r="B1313" s="15"/>
      <c r="C1313" s="20"/>
      <c r="D1313" s="22"/>
      <c r="E1313" s="15"/>
      <c r="F1313" s="23">
        <f>IF($B1313="","",IFERROR(INDEX(ProdNome,MATCH($B1313,ProdCod,0)),"Código não cadastrado"))</f>
        <v>0</v>
      </c>
      <c r="G1313" s="24">
        <f>IF(OR($B1313="",$D1313=""),"",$D1313*IFERROR(INDEX(ProdCusto,MATCH($B1313,ProdCod,0)),0))</f>
        <v>0</v>
      </c>
      <c r="H1313" s="25">
        <f>IF($A1313="","",IF(OR($B1313="",$C1313="",$D1313=""),"Preencher tudo",IF($F1313="Código não cadastrado","Código inválido","OK")))</f>
        <v>0</v>
      </c>
    </row>
    <row r="1314" spans="1:8">
      <c r="A1314" s="16"/>
      <c r="B1314" s="15"/>
      <c r="C1314" s="20"/>
      <c r="D1314" s="22"/>
      <c r="E1314" s="15"/>
      <c r="F1314" s="23">
        <f>IF($B1314="","",IFERROR(INDEX(ProdNome,MATCH($B1314,ProdCod,0)),"Código não cadastrado"))</f>
        <v>0</v>
      </c>
      <c r="G1314" s="24">
        <f>IF(OR($B1314="",$D1314=""),"",$D1314*IFERROR(INDEX(ProdCusto,MATCH($B1314,ProdCod,0)),0))</f>
        <v>0</v>
      </c>
      <c r="H1314" s="25">
        <f>IF($A1314="","",IF(OR($B1314="",$C1314="",$D1314=""),"Preencher tudo",IF($F1314="Código não cadastrado","Código inválido","OK")))</f>
        <v>0</v>
      </c>
    </row>
    <row r="1315" spans="1:8">
      <c r="A1315" s="16"/>
      <c r="B1315" s="15"/>
      <c r="C1315" s="20"/>
      <c r="D1315" s="22"/>
      <c r="E1315" s="15"/>
      <c r="F1315" s="23">
        <f>IF($B1315="","",IFERROR(INDEX(ProdNome,MATCH($B1315,ProdCod,0)),"Código não cadastrado"))</f>
        <v>0</v>
      </c>
      <c r="G1315" s="24">
        <f>IF(OR($B1315="",$D1315=""),"",$D1315*IFERROR(INDEX(ProdCusto,MATCH($B1315,ProdCod,0)),0))</f>
        <v>0</v>
      </c>
      <c r="H1315" s="25">
        <f>IF($A1315="","",IF(OR($B1315="",$C1315="",$D1315=""),"Preencher tudo",IF($F1315="Código não cadastrado","Código inválido","OK")))</f>
        <v>0</v>
      </c>
    </row>
    <row r="1316" spans="1:8">
      <c r="A1316" s="16"/>
      <c r="B1316" s="15"/>
      <c r="C1316" s="20"/>
      <c r="D1316" s="22"/>
      <c r="E1316" s="15"/>
      <c r="F1316" s="23">
        <f>IF($B1316="","",IFERROR(INDEX(ProdNome,MATCH($B1316,ProdCod,0)),"Código não cadastrado"))</f>
        <v>0</v>
      </c>
      <c r="G1316" s="24">
        <f>IF(OR($B1316="",$D1316=""),"",$D1316*IFERROR(INDEX(ProdCusto,MATCH($B1316,ProdCod,0)),0))</f>
        <v>0</v>
      </c>
      <c r="H1316" s="25">
        <f>IF($A1316="","",IF(OR($B1316="",$C1316="",$D1316=""),"Preencher tudo",IF($F1316="Código não cadastrado","Código inválido","OK")))</f>
        <v>0</v>
      </c>
    </row>
    <row r="1317" spans="1:8">
      <c r="A1317" s="16"/>
      <c r="B1317" s="15"/>
      <c r="C1317" s="20"/>
      <c r="D1317" s="22"/>
      <c r="E1317" s="15"/>
      <c r="F1317" s="23">
        <f>IF($B1317="","",IFERROR(INDEX(ProdNome,MATCH($B1317,ProdCod,0)),"Código não cadastrado"))</f>
        <v>0</v>
      </c>
      <c r="G1317" s="24">
        <f>IF(OR($B1317="",$D1317=""),"",$D1317*IFERROR(INDEX(ProdCusto,MATCH($B1317,ProdCod,0)),0))</f>
        <v>0</v>
      </c>
      <c r="H1317" s="25">
        <f>IF($A1317="","",IF(OR($B1317="",$C1317="",$D1317=""),"Preencher tudo",IF($F1317="Código não cadastrado","Código inválido","OK")))</f>
        <v>0</v>
      </c>
    </row>
    <row r="1318" spans="1:8">
      <c r="A1318" s="16"/>
      <c r="B1318" s="15"/>
      <c r="C1318" s="20"/>
      <c r="D1318" s="22"/>
      <c r="E1318" s="15"/>
      <c r="F1318" s="23">
        <f>IF($B1318="","",IFERROR(INDEX(ProdNome,MATCH($B1318,ProdCod,0)),"Código não cadastrado"))</f>
        <v>0</v>
      </c>
      <c r="G1318" s="24">
        <f>IF(OR($B1318="",$D1318=""),"",$D1318*IFERROR(INDEX(ProdCusto,MATCH($B1318,ProdCod,0)),0))</f>
        <v>0</v>
      </c>
      <c r="H1318" s="25">
        <f>IF($A1318="","",IF(OR($B1318="",$C1318="",$D1318=""),"Preencher tudo",IF($F1318="Código não cadastrado","Código inválido","OK")))</f>
        <v>0</v>
      </c>
    </row>
    <row r="1319" spans="1:8">
      <c r="A1319" s="16"/>
      <c r="B1319" s="15"/>
      <c r="C1319" s="20"/>
      <c r="D1319" s="22"/>
      <c r="E1319" s="15"/>
      <c r="F1319" s="23">
        <f>IF($B1319="","",IFERROR(INDEX(ProdNome,MATCH($B1319,ProdCod,0)),"Código não cadastrado"))</f>
        <v>0</v>
      </c>
      <c r="G1319" s="24">
        <f>IF(OR($B1319="",$D1319=""),"",$D1319*IFERROR(INDEX(ProdCusto,MATCH($B1319,ProdCod,0)),0))</f>
        <v>0</v>
      </c>
      <c r="H1319" s="25">
        <f>IF($A1319="","",IF(OR($B1319="",$C1319="",$D1319=""),"Preencher tudo",IF($F1319="Código não cadastrado","Código inválido","OK")))</f>
        <v>0</v>
      </c>
    </row>
    <row r="1320" spans="1:8">
      <c r="A1320" s="16"/>
      <c r="B1320" s="15"/>
      <c r="C1320" s="20"/>
      <c r="D1320" s="22"/>
      <c r="E1320" s="15"/>
      <c r="F1320" s="23">
        <f>IF($B1320="","",IFERROR(INDEX(ProdNome,MATCH($B1320,ProdCod,0)),"Código não cadastrado"))</f>
        <v>0</v>
      </c>
      <c r="G1320" s="24">
        <f>IF(OR($B1320="",$D1320=""),"",$D1320*IFERROR(INDEX(ProdCusto,MATCH($B1320,ProdCod,0)),0))</f>
        <v>0</v>
      </c>
      <c r="H1320" s="25">
        <f>IF($A1320="","",IF(OR($B1320="",$C1320="",$D1320=""),"Preencher tudo",IF($F1320="Código não cadastrado","Código inválido","OK")))</f>
        <v>0</v>
      </c>
    </row>
    <row r="1321" spans="1:8">
      <c r="A1321" s="16"/>
      <c r="B1321" s="15"/>
      <c r="C1321" s="20"/>
      <c r="D1321" s="22"/>
      <c r="E1321" s="15"/>
      <c r="F1321" s="23">
        <f>IF($B1321="","",IFERROR(INDEX(ProdNome,MATCH($B1321,ProdCod,0)),"Código não cadastrado"))</f>
        <v>0</v>
      </c>
      <c r="G1321" s="24">
        <f>IF(OR($B1321="",$D1321=""),"",$D1321*IFERROR(INDEX(ProdCusto,MATCH($B1321,ProdCod,0)),0))</f>
        <v>0</v>
      </c>
      <c r="H1321" s="25">
        <f>IF($A1321="","",IF(OR($B1321="",$C1321="",$D1321=""),"Preencher tudo",IF($F1321="Código não cadastrado","Código inválido","OK")))</f>
        <v>0</v>
      </c>
    </row>
    <row r="1322" spans="1:8">
      <c r="A1322" s="16"/>
      <c r="B1322" s="15"/>
      <c r="C1322" s="20"/>
      <c r="D1322" s="22"/>
      <c r="E1322" s="15"/>
      <c r="F1322" s="23">
        <f>IF($B1322="","",IFERROR(INDEX(ProdNome,MATCH($B1322,ProdCod,0)),"Código não cadastrado"))</f>
        <v>0</v>
      </c>
      <c r="G1322" s="24">
        <f>IF(OR($B1322="",$D1322=""),"",$D1322*IFERROR(INDEX(ProdCusto,MATCH($B1322,ProdCod,0)),0))</f>
        <v>0</v>
      </c>
      <c r="H1322" s="25">
        <f>IF($A1322="","",IF(OR($B1322="",$C1322="",$D1322=""),"Preencher tudo",IF($F1322="Código não cadastrado","Código inválido","OK")))</f>
        <v>0</v>
      </c>
    </row>
    <row r="1323" spans="1:8">
      <c r="A1323" s="16"/>
      <c r="B1323" s="15"/>
      <c r="C1323" s="20"/>
      <c r="D1323" s="22"/>
      <c r="E1323" s="15"/>
      <c r="F1323" s="23">
        <f>IF($B1323="","",IFERROR(INDEX(ProdNome,MATCH($B1323,ProdCod,0)),"Código não cadastrado"))</f>
        <v>0</v>
      </c>
      <c r="G1323" s="24">
        <f>IF(OR($B1323="",$D1323=""),"",$D1323*IFERROR(INDEX(ProdCusto,MATCH($B1323,ProdCod,0)),0))</f>
        <v>0</v>
      </c>
      <c r="H1323" s="25">
        <f>IF($A1323="","",IF(OR($B1323="",$C1323="",$D1323=""),"Preencher tudo",IF($F1323="Código não cadastrado","Código inválido","OK")))</f>
        <v>0</v>
      </c>
    </row>
    <row r="1324" spans="1:8">
      <c r="A1324" s="16"/>
      <c r="B1324" s="15"/>
      <c r="C1324" s="20"/>
      <c r="D1324" s="22"/>
      <c r="E1324" s="15"/>
      <c r="F1324" s="23">
        <f>IF($B1324="","",IFERROR(INDEX(ProdNome,MATCH($B1324,ProdCod,0)),"Código não cadastrado"))</f>
        <v>0</v>
      </c>
      <c r="G1324" s="24">
        <f>IF(OR($B1324="",$D1324=""),"",$D1324*IFERROR(INDEX(ProdCusto,MATCH($B1324,ProdCod,0)),0))</f>
        <v>0</v>
      </c>
      <c r="H1324" s="25">
        <f>IF($A1324="","",IF(OR($B1324="",$C1324="",$D1324=""),"Preencher tudo",IF($F1324="Código não cadastrado","Código inválido","OK")))</f>
        <v>0</v>
      </c>
    </row>
    <row r="1325" spans="1:8">
      <c r="A1325" s="16"/>
      <c r="B1325" s="15"/>
      <c r="C1325" s="20"/>
      <c r="D1325" s="22"/>
      <c r="E1325" s="15"/>
      <c r="F1325" s="23">
        <f>IF($B1325="","",IFERROR(INDEX(ProdNome,MATCH($B1325,ProdCod,0)),"Código não cadastrado"))</f>
        <v>0</v>
      </c>
      <c r="G1325" s="24">
        <f>IF(OR($B1325="",$D1325=""),"",$D1325*IFERROR(INDEX(ProdCusto,MATCH($B1325,ProdCod,0)),0))</f>
        <v>0</v>
      </c>
      <c r="H1325" s="25">
        <f>IF($A1325="","",IF(OR($B1325="",$C1325="",$D1325=""),"Preencher tudo",IF($F1325="Código não cadastrado","Código inválido","OK")))</f>
        <v>0</v>
      </c>
    </row>
    <row r="1326" spans="1:8">
      <c r="A1326" s="16"/>
      <c r="B1326" s="15"/>
      <c r="C1326" s="20"/>
      <c r="D1326" s="22"/>
      <c r="E1326" s="15"/>
      <c r="F1326" s="23">
        <f>IF($B1326="","",IFERROR(INDEX(ProdNome,MATCH($B1326,ProdCod,0)),"Código não cadastrado"))</f>
        <v>0</v>
      </c>
      <c r="G1326" s="24">
        <f>IF(OR($B1326="",$D1326=""),"",$D1326*IFERROR(INDEX(ProdCusto,MATCH($B1326,ProdCod,0)),0))</f>
        <v>0</v>
      </c>
      <c r="H1326" s="25">
        <f>IF($A1326="","",IF(OR($B1326="",$C1326="",$D1326=""),"Preencher tudo",IF($F1326="Código não cadastrado","Código inválido","OK")))</f>
        <v>0</v>
      </c>
    </row>
    <row r="1327" spans="1:8">
      <c r="A1327" s="16"/>
      <c r="B1327" s="15"/>
      <c r="C1327" s="20"/>
      <c r="D1327" s="22"/>
      <c r="E1327" s="15"/>
      <c r="F1327" s="23">
        <f>IF($B1327="","",IFERROR(INDEX(ProdNome,MATCH($B1327,ProdCod,0)),"Código não cadastrado"))</f>
        <v>0</v>
      </c>
      <c r="G1327" s="24">
        <f>IF(OR($B1327="",$D1327=""),"",$D1327*IFERROR(INDEX(ProdCusto,MATCH($B1327,ProdCod,0)),0))</f>
        <v>0</v>
      </c>
      <c r="H1327" s="25">
        <f>IF($A1327="","",IF(OR($B1327="",$C1327="",$D1327=""),"Preencher tudo",IF($F1327="Código não cadastrado","Código inválido","OK")))</f>
        <v>0</v>
      </c>
    </row>
    <row r="1328" spans="1:8">
      <c r="A1328" s="16"/>
      <c r="B1328" s="15"/>
      <c r="C1328" s="20"/>
      <c r="D1328" s="22"/>
      <c r="E1328" s="15"/>
      <c r="F1328" s="23">
        <f>IF($B1328="","",IFERROR(INDEX(ProdNome,MATCH($B1328,ProdCod,0)),"Código não cadastrado"))</f>
        <v>0</v>
      </c>
      <c r="G1328" s="24">
        <f>IF(OR($B1328="",$D1328=""),"",$D1328*IFERROR(INDEX(ProdCusto,MATCH($B1328,ProdCod,0)),0))</f>
        <v>0</v>
      </c>
      <c r="H1328" s="25">
        <f>IF($A1328="","",IF(OR($B1328="",$C1328="",$D1328=""),"Preencher tudo",IF($F1328="Código não cadastrado","Código inválido","OK")))</f>
        <v>0</v>
      </c>
    </row>
    <row r="1329" spans="1:8">
      <c r="A1329" s="16"/>
      <c r="B1329" s="15"/>
      <c r="C1329" s="20"/>
      <c r="D1329" s="22"/>
      <c r="E1329" s="15"/>
      <c r="F1329" s="23">
        <f>IF($B1329="","",IFERROR(INDEX(ProdNome,MATCH($B1329,ProdCod,0)),"Código não cadastrado"))</f>
        <v>0</v>
      </c>
      <c r="G1329" s="24">
        <f>IF(OR($B1329="",$D1329=""),"",$D1329*IFERROR(INDEX(ProdCusto,MATCH($B1329,ProdCod,0)),0))</f>
        <v>0</v>
      </c>
      <c r="H1329" s="25">
        <f>IF($A1329="","",IF(OR($B1329="",$C1329="",$D1329=""),"Preencher tudo",IF($F1329="Código não cadastrado","Código inválido","OK")))</f>
        <v>0</v>
      </c>
    </row>
    <row r="1330" spans="1:8">
      <c r="A1330" s="16"/>
      <c r="B1330" s="15"/>
      <c r="C1330" s="20"/>
      <c r="D1330" s="22"/>
      <c r="E1330" s="15"/>
      <c r="F1330" s="23">
        <f>IF($B1330="","",IFERROR(INDEX(ProdNome,MATCH($B1330,ProdCod,0)),"Código não cadastrado"))</f>
        <v>0</v>
      </c>
      <c r="G1330" s="24">
        <f>IF(OR($B1330="",$D1330=""),"",$D1330*IFERROR(INDEX(ProdCusto,MATCH($B1330,ProdCod,0)),0))</f>
        <v>0</v>
      </c>
      <c r="H1330" s="25">
        <f>IF($A1330="","",IF(OR($B1330="",$C1330="",$D1330=""),"Preencher tudo",IF($F1330="Código não cadastrado","Código inválido","OK")))</f>
        <v>0</v>
      </c>
    </row>
    <row r="1331" spans="1:8">
      <c r="A1331" s="16"/>
      <c r="B1331" s="15"/>
      <c r="C1331" s="20"/>
      <c r="D1331" s="22"/>
      <c r="E1331" s="15"/>
      <c r="F1331" s="23">
        <f>IF($B1331="","",IFERROR(INDEX(ProdNome,MATCH($B1331,ProdCod,0)),"Código não cadastrado"))</f>
        <v>0</v>
      </c>
      <c r="G1331" s="24">
        <f>IF(OR($B1331="",$D1331=""),"",$D1331*IFERROR(INDEX(ProdCusto,MATCH($B1331,ProdCod,0)),0))</f>
        <v>0</v>
      </c>
      <c r="H1331" s="25">
        <f>IF($A1331="","",IF(OR($B1331="",$C1331="",$D1331=""),"Preencher tudo",IF($F1331="Código não cadastrado","Código inválido","OK")))</f>
        <v>0</v>
      </c>
    </row>
    <row r="1332" spans="1:8">
      <c r="A1332" s="16"/>
      <c r="B1332" s="15"/>
      <c r="C1332" s="20"/>
      <c r="D1332" s="22"/>
      <c r="E1332" s="15"/>
      <c r="F1332" s="23">
        <f>IF($B1332="","",IFERROR(INDEX(ProdNome,MATCH($B1332,ProdCod,0)),"Código não cadastrado"))</f>
        <v>0</v>
      </c>
      <c r="G1332" s="24">
        <f>IF(OR($B1332="",$D1332=""),"",$D1332*IFERROR(INDEX(ProdCusto,MATCH($B1332,ProdCod,0)),0))</f>
        <v>0</v>
      </c>
      <c r="H1332" s="25">
        <f>IF($A1332="","",IF(OR($B1332="",$C1332="",$D1332=""),"Preencher tudo",IF($F1332="Código não cadastrado","Código inválido","OK")))</f>
        <v>0</v>
      </c>
    </row>
    <row r="1333" spans="1:8">
      <c r="A1333" s="16"/>
      <c r="B1333" s="15"/>
      <c r="C1333" s="20"/>
      <c r="D1333" s="22"/>
      <c r="E1333" s="15"/>
      <c r="F1333" s="23">
        <f>IF($B1333="","",IFERROR(INDEX(ProdNome,MATCH($B1333,ProdCod,0)),"Código não cadastrado"))</f>
        <v>0</v>
      </c>
      <c r="G1333" s="24">
        <f>IF(OR($B1333="",$D1333=""),"",$D1333*IFERROR(INDEX(ProdCusto,MATCH($B1333,ProdCod,0)),0))</f>
        <v>0</v>
      </c>
      <c r="H1333" s="25">
        <f>IF($A1333="","",IF(OR($B1333="",$C1333="",$D1333=""),"Preencher tudo",IF($F1333="Código não cadastrado","Código inválido","OK")))</f>
        <v>0</v>
      </c>
    </row>
    <row r="1334" spans="1:8">
      <c r="A1334" s="16"/>
      <c r="B1334" s="15"/>
      <c r="C1334" s="20"/>
      <c r="D1334" s="22"/>
      <c r="E1334" s="15"/>
      <c r="F1334" s="23">
        <f>IF($B1334="","",IFERROR(INDEX(ProdNome,MATCH($B1334,ProdCod,0)),"Código não cadastrado"))</f>
        <v>0</v>
      </c>
      <c r="G1334" s="24">
        <f>IF(OR($B1334="",$D1334=""),"",$D1334*IFERROR(INDEX(ProdCusto,MATCH($B1334,ProdCod,0)),0))</f>
        <v>0</v>
      </c>
      <c r="H1334" s="25">
        <f>IF($A1334="","",IF(OR($B1334="",$C1334="",$D1334=""),"Preencher tudo",IF($F1334="Código não cadastrado","Código inválido","OK")))</f>
        <v>0</v>
      </c>
    </row>
    <row r="1335" spans="1:8">
      <c r="A1335" s="16"/>
      <c r="B1335" s="15"/>
      <c r="C1335" s="20"/>
      <c r="D1335" s="22"/>
      <c r="E1335" s="15"/>
      <c r="F1335" s="23">
        <f>IF($B1335="","",IFERROR(INDEX(ProdNome,MATCH($B1335,ProdCod,0)),"Código não cadastrado"))</f>
        <v>0</v>
      </c>
      <c r="G1335" s="24">
        <f>IF(OR($B1335="",$D1335=""),"",$D1335*IFERROR(INDEX(ProdCusto,MATCH($B1335,ProdCod,0)),0))</f>
        <v>0</v>
      </c>
      <c r="H1335" s="25">
        <f>IF($A1335="","",IF(OR($B1335="",$C1335="",$D1335=""),"Preencher tudo",IF($F1335="Código não cadastrado","Código inválido","OK")))</f>
        <v>0</v>
      </c>
    </row>
    <row r="1336" spans="1:8">
      <c r="A1336" s="16"/>
      <c r="B1336" s="15"/>
      <c r="C1336" s="20"/>
      <c r="D1336" s="22"/>
      <c r="E1336" s="15"/>
      <c r="F1336" s="23">
        <f>IF($B1336="","",IFERROR(INDEX(ProdNome,MATCH($B1336,ProdCod,0)),"Código não cadastrado"))</f>
        <v>0</v>
      </c>
      <c r="G1336" s="24">
        <f>IF(OR($B1336="",$D1336=""),"",$D1336*IFERROR(INDEX(ProdCusto,MATCH($B1336,ProdCod,0)),0))</f>
        <v>0</v>
      </c>
      <c r="H1336" s="25">
        <f>IF($A1336="","",IF(OR($B1336="",$C1336="",$D1336=""),"Preencher tudo",IF($F1336="Código não cadastrado","Código inválido","OK")))</f>
        <v>0</v>
      </c>
    </row>
    <row r="1337" spans="1:8">
      <c r="A1337" s="16"/>
      <c r="B1337" s="15"/>
      <c r="C1337" s="20"/>
      <c r="D1337" s="22"/>
      <c r="E1337" s="15"/>
      <c r="F1337" s="23">
        <f>IF($B1337="","",IFERROR(INDEX(ProdNome,MATCH($B1337,ProdCod,0)),"Código não cadastrado"))</f>
        <v>0</v>
      </c>
      <c r="G1337" s="24">
        <f>IF(OR($B1337="",$D1337=""),"",$D1337*IFERROR(INDEX(ProdCusto,MATCH($B1337,ProdCod,0)),0))</f>
        <v>0</v>
      </c>
      <c r="H1337" s="25">
        <f>IF($A1337="","",IF(OR($B1337="",$C1337="",$D1337=""),"Preencher tudo",IF($F1337="Código não cadastrado","Código inválido","OK")))</f>
        <v>0</v>
      </c>
    </row>
    <row r="1338" spans="1:8">
      <c r="A1338" s="16"/>
      <c r="B1338" s="15"/>
      <c r="C1338" s="20"/>
      <c r="D1338" s="22"/>
      <c r="E1338" s="15"/>
      <c r="F1338" s="23">
        <f>IF($B1338="","",IFERROR(INDEX(ProdNome,MATCH($B1338,ProdCod,0)),"Código não cadastrado"))</f>
        <v>0</v>
      </c>
      <c r="G1338" s="24">
        <f>IF(OR($B1338="",$D1338=""),"",$D1338*IFERROR(INDEX(ProdCusto,MATCH($B1338,ProdCod,0)),0))</f>
        <v>0</v>
      </c>
      <c r="H1338" s="25">
        <f>IF($A1338="","",IF(OR($B1338="",$C1338="",$D1338=""),"Preencher tudo",IF($F1338="Código não cadastrado","Código inválido","OK")))</f>
        <v>0</v>
      </c>
    </row>
    <row r="1339" spans="1:8">
      <c r="A1339" s="16"/>
      <c r="B1339" s="15"/>
      <c r="C1339" s="20"/>
      <c r="D1339" s="22"/>
      <c r="E1339" s="15"/>
      <c r="F1339" s="23">
        <f>IF($B1339="","",IFERROR(INDEX(ProdNome,MATCH($B1339,ProdCod,0)),"Código não cadastrado"))</f>
        <v>0</v>
      </c>
      <c r="G1339" s="24">
        <f>IF(OR($B1339="",$D1339=""),"",$D1339*IFERROR(INDEX(ProdCusto,MATCH($B1339,ProdCod,0)),0))</f>
        <v>0</v>
      </c>
      <c r="H1339" s="25">
        <f>IF($A1339="","",IF(OR($B1339="",$C1339="",$D1339=""),"Preencher tudo",IF($F1339="Código não cadastrado","Código inválido","OK")))</f>
        <v>0</v>
      </c>
    </row>
    <row r="1340" spans="1:8">
      <c r="A1340" s="16"/>
      <c r="B1340" s="15"/>
      <c r="C1340" s="20"/>
      <c r="D1340" s="22"/>
      <c r="E1340" s="15"/>
      <c r="F1340" s="23">
        <f>IF($B1340="","",IFERROR(INDEX(ProdNome,MATCH($B1340,ProdCod,0)),"Código não cadastrado"))</f>
        <v>0</v>
      </c>
      <c r="G1340" s="24">
        <f>IF(OR($B1340="",$D1340=""),"",$D1340*IFERROR(INDEX(ProdCusto,MATCH($B1340,ProdCod,0)),0))</f>
        <v>0</v>
      </c>
      <c r="H1340" s="25">
        <f>IF($A1340="","",IF(OR($B1340="",$C1340="",$D1340=""),"Preencher tudo",IF($F1340="Código não cadastrado","Código inválido","OK")))</f>
        <v>0</v>
      </c>
    </row>
    <row r="1341" spans="1:8">
      <c r="A1341" s="16"/>
      <c r="B1341" s="15"/>
      <c r="C1341" s="20"/>
      <c r="D1341" s="22"/>
      <c r="E1341" s="15"/>
      <c r="F1341" s="23">
        <f>IF($B1341="","",IFERROR(INDEX(ProdNome,MATCH($B1341,ProdCod,0)),"Código não cadastrado"))</f>
        <v>0</v>
      </c>
      <c r="G1341" s="24">
        <f>IF(OR($B1341="",$D1341=""),"",$D1341*IFERROR(INDEX(ProdCusto,MATCH($B1341,ProdCod,0)),0))</f>
        <v>0</v>
      </c>
      <c r="H1341" s="25">
        <f>IF($A1341="","",IF(OR($B1341="",$C1341="",$D1341=""),"Preencher tudo",IF($F1341="Código não cadastrado","Código inválido","OK")))</f>
        <v>0</v>
      </c>
    </row>
    <row r="1342" spans="1:8">
      <c r="A1342" s="16"/>
      <c r="B1342" s="15"/>
      <c r="C1342" s="20"/>
      <c r="D1342" s="22"/>
      <c r="E1342" s="15"/>
      <c r="F1342" s="23">
        <f>IF($B1342="","",IFERROR(INDEX(ProdNome,MATCH($B1342,ProdCod,0)),"Código não cadastrado"))</f>
        <v>0</v>
      </c>
      <c r="G1342" s="24">
        <f>IF(OR($B1342="",$D1342=""),"",$D1342*IFERROR(INDEX(ProdCusto,MATCH($B1342,ProdCod,0)),0))</f>
        <v>0</v>
      </c>
      <c r="H1342" s="25">
        <f>IF($A1342="","",IF(OR($B1342="",$C1342="",$D1342=""),"Preencher tudo",IF($F1342="Código não cadastrado","Código inválido","OK")))</f>
        <v>0</v>
      </c>
    </row>
    <row r="1343" spans="1:8">
      <c r="A1343" s="16"/>
      <c r="B1343" s="15"/>
      <c r="C1343" s="20"/>
      <c r="D1343" s="22"/>
      <c r="E1343" s="15"/>
      <c r="F1343" s="23">
        <f>IF($B1343="","",IFERROR(INDEX(ProdNome,MATCH($B1343,ProdCod,0)),"Código não cadastrado"))</f>
        <v>0</v>
      </c>
      <c r="G1343" s="24">
        <f>IF(OR($B1343="",$D1343=""),"",$D1343*IFERROR(INDEX(ProdCusto,MATCH($B1343,ProdCod,0)),0))</f>
        <v>0</v>
      </c>
      <c r="H1343" s="25">
        <f>IF($A1343="","",IF(OR($B1343="",$C1343="",$D1343=""),"Preencher tudo",IF($F1343="Código não cadastrado","Código inválido","OK")))</f>
        <v>0</v>
      </c>
    </row>
    <row r="1344" spans="1:8">
      <c r="A1344" s="16"/>
      <c r="B1344" s="15"/>
      <c r="C1344" s="20"/>
      <c r="D1344" s="22"/>
      <c r="E1344" s="15"/>
      <c r="F1344" s="23">
        <f>IF($B1344="","",IFERROR(INDEX(ProdNome,MATCH($B1344,ProdCod,0)),"Código não cadastrado"))</f>
        <v>0</v>
      </c>
      <c r="G1344" s="24">
        <f>IF(OR($B1344="",$D1344=""),"",$D1344*IFERROR(INDEX(ProdCusto,MATCH($B1344,ProdCod,0)),0))</f>
        <v>0</v>
      </c>
      <c r="H1344" s="25">
        <f>IF($A1344="","",IF(OR($B1344="",$C1344="",$D1344=""),"Preencher tudo",IF($F1344="Código não cadastrado","Código inválido","OK")))</f>
        <v>0</v>
      </c>
    </row>
    <row r="1345" spans="1:8">
      <c r="A1345" s="16"/>
      <c r="B1345" s="15"/>
      <c r="C1345" s="20"/>
      <c r="D1345" s="22"/>
      <c r="E1345" s="15"/>
      <c r="F1345" s="23">
        <f>IF($B1345="","",IFERROR(INDEX(ProdNome,MATCH($B1345,ProdCod,0)),"Código não cadastrado"))</f>
        <v>0</v>
      </c>
      <c r="G1345" s="24">
        <f>IF(OR($B1345="",$D1345=""),"",$D1345*IFERROR(INDEX(ProdCusto,MATCH($B1345,ProdCod,0)),0))</f>
        <v>0</v>
      </c>
      <c r="H1345" s="25">
        <f>IF($A1345="","",IF(OR($B1345="",$C1345="",$D1345=""),"Preencher tudo",IF($F1345="Código não cadastrado","Código inválido","OK")))</f>
        <v>0</v>
      </c>
    </row>
    <row r="1346" spans="1:8">
      <c r="A1346" s="16"/>
      <c r="B1346" s="15"/>
      <c r="C1346" s="20"/>
      <c r="D1346" s="22"/>
      <c r="E1346" s="15"/>
      <c r="F1346" s="23">
        <f>IF($B1346="","",IFERROR(INDEX(ProdNome,MATCH($B1346,ProdCod,0)),"Código não cadastrado"))</f>
        <v>0</v>
      </c>
      <c r="G1346" s="24">
        <f>IF(OR($B1346="",$D1346=""),"",$D1346*IFERROR(INDEX(ProdCusto,MATCH($B1346,ProdCod,0)),0))</f>
        <v>0</v>
      </c>
      <c r="H1346" s="25">
        <f>IF($A1346="","",IF(OR($B1346="",$C1346="",$D1346=""),"Preencher tudo",IF($F1346="Código não cadastrado","Código inválido","OK")))</f>
        <v>0</v>
      </c>
    </row>
    <row r="1347" spans="1:8">
      <c r="A1347" s="16"/>
      <c r="B1347" s="15"/>
      <c r="C1347" s="20"/>
      <c r="D1347" s="22"/>
      <c r="E1347" s="15"/>
      <c r="F1347" s="23">
        <f>IF($B1347="","",IFERROR(INDEX(ProdNome,MATCH($B1347,ProdCod,0)),"Código não cadastrado"))</f>
        <v>0</v>
      </c>
      <c r="G1347" s="24">
        <f>IF(OR($B1347="",$D1347=""),"",$D1347*IFERROR(INDEX(ProdCusto,MATCH($B1347,ProdCod,0)),0))</f>
        <v>0</v>
      </c>
      <c r="H1347" s="25">
        <f>IF($A1347="","",IF(OR($B1347="",$C1347="",$D1347=""),"Preencher tudo",IF($F1347="Código não cadastrado","Código inválido","OK")))</f>
        <v>0</v>
      </c>
    </row>
    <row r="1348" spans="1:8">
      <c r="A1348" s="16"/>
      <c r="B1348" s="15"/>
      <c r="C1348" s="20"/>
      <c r="D1348" s="22"/>
      <c r="E1348" s="15"/>
      <c r="F1348" s="23">
        <f>IF($B1348="","",IFERROR(INDEX(ProdNome,MATCH($B1348,ProdCod,0)),"Código não cadastrado"))</f>
        <v>0</v>
      </c>
      <c r="G1348" s="24">
        <f>IF(OR($B1348="",$D1348=""),"",$D1348*IFERROR(INDEX(ProdCusto,MATCH($B1348,ProdCod,0)),0))</f>
        <v>0</v>
      </c>
      <c r="H1348" s="25">
        <f>IF($A1348="","",IF(OR($B1348="",$C1348="",$D1348=""),"Preencher tudo",IF($F1348="Código não cadastrado","Código inválido","OK")))</f>
        <v>0</v>
      </c>
    </row>
    <row r="1349" spans="1:8">
      <c r="A1349" s="16"/>
      <c r="B1349" s="15"/>
      <c r="C1349" s="20"/>
      <c r="D1349" s="22"/>
      <c r="E1349" s="15"/>
      <c r="F1349" s="23">
        <f>IF($B1349="","",IFERROR(INDEX(ProdNome,MATCH($B1349,ProdCod,0)),"Código não cadastrado"))</f>
        <v>0</v>
      </c>
      <c r="G1349" s="24">
        <f>IF(OR($B1349="",$D1349=""),"",$D1349*IFERROR(INDEX(ProdCusto,MATCH($B1349,ProdCod,0)),0))</f>
        <v>0</v>
      </c>
      <c r="H1349" s="25">
        <f>IF($A1349="","",IF(OR($B1349="",$C1349="",$D1349=""),"Preencher tudo",IF($F1349="Código não cadastrado","Código inválido","OK")))</f>
        <v>0</v>
      </c>
    </row>
    <row r="1350" spans="1:8">
      <c r="A1350" s="16"/>
      <c r="B1350" s="15"/>
      <c r="C1350" s="20"/>
      <c r="D1350" s="22"/>
      <c r="E1350" s="15"/>
      <c r="F1350" s="23">
        <f>IF($B1350="","",IFERROR(INDEX(ProdNome,MATCH($B1350,ProdCod,0)),"Código não cadastrado"))</f>
        <v>0</v>
      </c>
      <c r="G1350" s="24">
        <f>IF(OR($B1350="",$D1350=""),"",$D1350*IFERROR(INDEX(ProdCusto,MATCH($B1350,ProdCod,0)),0))</f>
        <v>0</v>
      </c>
      <c r="H1350" s="25">
        <f>IF($A1350="","",IF(OR($B1350="",$C1350="",$D1350=""),"Preencher tudo",IF($F1350="Código não cadastrado","Código inválido","OK")))</f>
        <v>0</v>
      </c>
    </row>
    <row r="1351" spans="1:8">
      <c r="A1351" s="16"/>
      <c r="B1351" s="15"/>
      <c r="C1351" s="20"/>
      <c r="D1351" s="22"/>
      <c r="E1351" s="15"/>
      <c r="F1351" s="23">
        <f>IF($B1351="","",IFERROR(INDEX(ProdNome,MATCH($B1351,ProdCod,0)),"Código não cadastrado"))</f>
        <v>0</v>
      </c>
      <c r="G1351" s="24">
        <f>IF(OR($B1351="",$D1351=""),"",$D1351*IFERROR(INDEX(ProdCusto,MATCH($B1351,ProdCod,0)),0))</f>
        <v>0</v>
      </c>
      <c r="H1351" s="25">
        <f>IF($A1351="","",IF(OR($B1351="",$C1351="",$D1351=""),"Preencher tudo",IF($F1351="Código não cadastrado","Código inválido","OK")))</f>
        <v>0</v>
      </c>
    </row>
    <row r="1352" spans="1:8">
      <c r="A1352" s="16"/>
      <c r="B1352" s="15"/>
      <c r="C1352" s="20"/>
      <c r="D1352" s="22"/>
      <c r="E1352" s="15"/>
      <c r="F1352" s="23">
        <f>IF($B1352="","",IFERROR(INDEX(ProdNome,MATCH($B1352,ProdCod,0)),"Código não cadastrado"))</f>
        <v>0</v>
      </c>
      <c r="G1352" s="24">
        <f>IF(OR($B1352="",$D1352=""),"",$D1352*IFERROR(INDEX(ProdCusto,MATCH($B1352,ProdCod,0)),0))</f>
        <v>0</v>
      </c>
      <c r="H1352" s="25">
        <f>IF($A1352="","",IF(OR($B1352="",$C1352="",$D1352=""),"Preencher tudo",IF($F1352="Código não cadastrado","Código inválido","OK")))</f>
        <v>0</v>
      </c>
    </row>
    <row r="1353" spans="1:8">
      <c r="A1353" s="16"/>
      <c r="B1353" s="15"/>
      <c r="C1353" s="20"/>
      <c r="D1353" s="22"/>
      <c r="E1353" s="15"/>
      <c r="F1353" s="23">
        <f>IF($B1353="","",IFERROR(INDEX(ProdNome,MATCH($B1353,ProdCod,0)),"Código não cadastrado"))</f>
        <v>0</v>
      </c>
      <c r="G1353" s="24">
        <f>IF(OR($B1353="",$D1353=""),"",$D1353*IFERROR(INDEX(ProdCusto,MATCH($B1353,ProdCod,0)),0))</f>
        <v>0</v>
      </c>
      <c r="H1353" s="25">
        <f>IF($A1353="","",IF(OR($B1353="",$C1353="",$D1353=""),"Preencher tudo",IF($F1353="Código não cadastrado","Código inválido","OK")))</f>
        <v>0</v>
      </c>
    </row>
    <row r="1354" spans="1:8">
      <c r="A1354" s="16"/>
      <c r="B1354" s="15"/>
      <c r="C1354" s="20"/>
      <c r="D1354" s="22"/>
      <c r="E1354" s="15"/>
      <c r="F1354" s="23">
        <f>IF($B1354="","",IFERROR(INDEX(ProdNome,MATCH($B1354,ProdCod,0)),"Código não cadastrado"))</f>
        <v>0</v>
      </c>
      <c r="G1354" s="24">
        <f>IF(OR($B1354="",$D1354=""),"",$D1354*IFERROR(INDEX(ProdCusto,MATCH($B1354,ProdCod,0)),0))</f>
        <v>0</v>
      </c>
      <c r="H1354" s="25">
        <f>IF($A1354="","",IF(OR($B1354="",$C1354="",$D1354=""),"Preencher tudo",IF($F1354="Código não cadastrado","Código inválido","OK")))</f>
        <v>0</v>
      </c>
    </row>
    <row r="1355" spans="1:8">
      <c r="A1355" s="16"/>
      <c r="B1355" s="15"/>
      <c r="C1355" s="20"/>
      <c r="D1355" s="22"/>
      <c r="E1355" s="15"/>
      <c r="F1355" s="23">
        <f>IF($B1355="","",IFERROR(INDEX(ProdNome,MATCH($B1355,ProdCod,0)),"Código não cadastrado"))</f>
        <v>0</v>
      </c>
      <c r="G1355" s="24">
        <f>IF(OR($B1355="",$D1355=""),"",$D1355*IFERROR(INDEX(ProdCusto,MATCH($B1355,ProdCod,0)),0))</f>
        <v>0</v>
      </c>
      <c r="H1355" s="25">
        <f>IF($A1355="","",IF(OR($B1355="",$C1355="",$D1355=""),"Preencher tudo",IF($F1355="Código não cadastrado","Código inválido","OK")))</f>
        <v>0</v>
      </c>
    </row>
    <row r="1356" spans="1:8">
      <c r="A1356" s="16"/>
      <c r="B1356" s="15"/>
      <c r="C1356" s="20"/>
      <c r="D1356" s="22"/>
      <c r="E1356" s="15"/>
      <c r="F1356" s="23">
        <f>IF($B1356="","",IFERROR(INDEX(ProdNome,MATCH($B1356,ProdCod,0)),"Código não cadastrado"))</f>
        <v>0</v>
      </c>
      <c r="G1356" s="24">
        <f>IF(OR($B1356="",$D1356=""),"",$D1356*IFERROR(INDEX(ProdCusto,MATCH($B1356,ProdCod,0)),0))</f>
        <v>0</v>
      </c>
      <c r="H1356" s="25">
        <f>IF($A1356="","",IF(OR($B1356="",$C1356="",$D1356=""),"Preencher tudo",IF($F1356="Código não cadastrado","Código inválido","OK")))</f>
        <v>0</v>
      </c>
    </row>
    <row r="1357" spans="1:8">
      <c r="A1357" s="16"/>
      <c r="B1357" s="15"/>
      <c r="C1357" s="20"/>
      <c r="D1357" s="22"/>
      <c r="E1357" s="15"/>
      <c r="F1357" s="23">
        <f>IF($B1357="","",IFERROR(INDEX(ProdNome,MATCH($B1357,ProdCod,0)),"Código não cadastrado"))</f>
        <v>0</v>
      </c>
      <c r="G1357" s="24">
        <f>IF(OR($B1357="",$D1357=""),"",$D1357*IFERROR(INDEX(ProdCusto,MATCH($B1357,ProdCod,0)),0))</f>
        <v>0</v>
      </c>
      <c r="H1357" s="25">
        <f>IF($A1357="","",IF(OR($B1357="",$C1357="",$D1357=""),"Preencher tudo",IF($F1357="Código não cadastrado","Código inválido","OK")))</f>
        <v>0</v>
      </c>
    </row>
    <row r="1358" spans="1:8">
      <c r="A1358" s="16"/>
      <c r="B1358" s="15"/>
      <c r="C1358" s="20"/>
      <c r="D1358" s="22"/>
      <c r="E1358" s="15"/>
      <c r="F1358" s="23">
        <f>IF($B1358="","",IFERROR(INDEX(ProdNome,MATCH($B1358,ProdCod,0)),"Código não cadastrado"))</f>
        <v>0</v>
      </c>
      <c r="G1358" s="24">
        <f>IF(OR($B1358="",$D1358=""),"",$D1358*IFERROR(INDEX(ProdCusto,MATCH($B1358,ProdCod,0)),0))</f>
        <v>0</v>
      </c>
      <c r="H1358" s="25">
        <f>IF($A1358="","",IF(OR($B1358="",$C1358="",$D1358=""),"Preencher tudo",IF($F1358="Código não cadastrado","Código inválido","OK")))</f>
        <v>0</v>
      </c>
    </row>
    <row r="1359" spans="1:8">
      <c r="A1359" s="16"/>
      <c r="B1359" s="15"/>
      <c r="C1359" s="20"/>
      <c r="D1359" s="22"/>
      <c r="E1359" s="15"/>
      <c r="F1359" s="23">
        <f>IF($B1359="","",IFERROR(INDEX(ProdNome,MATCH($B1359,ProdCod,0)),"Código não cadastrado"))</f>
        <v>0</v>
      </c>
      <c r="G1359" s="24">
        <f>IF(OR($B1359="",$D1359=""),"",$D1359*IFERROR(INDEX(ProdCusto,MATCH($B1359,ProdCod,0)),0))</f>
        <v>0</v>
      </c>
      <c r="H1359" s="25">
        <f>IF($A1359="","",IF(OR($B1359="",$C1359="",$D1359=""),"Preencher tudo",IF($F1359="Código não cadastrado","Código inválido","OK")))</f>
        <v>0</v>
      </c>
    </row>
    <row r="1360" spans="1:8">
      <c r="A1360" s="16"/>
      <c r="B1360" s="15"/>
      <c r="C1360" s="20"/>
      <c r="D1360" s="22"/>
      <c r="E1360" s="15"/>
      <c r="F1360" s="23">
        <f>IF($B1360="","",IFERROR(INDEX(ProdNome,MATCH($B1360,ProdCod,0)),"Código não cadastrado"))</f>
        <v>0</v>
      </c>
      <c r="G1360" s="24">
        <f>IF(OR($B1360="",$D1360=""),"",$D1360*IFERROR(INDEX(ProdCusto,MATCH($B1360,ProdCod,0)),0))</f>
        <v>0</v>
      </c>
      <c r="H1360" s="25">
        <f>IF($A1360="","",IF(OR($B1360="",$C1360="",$D1360=""),"Preencher tudo",IF($F1360="Código não cadastrado","Código inválido","OK")))</f>
        <v>0</v>
      </c>
    </row>
    <row r="1361" spans="1:8">
      <c r="A1361" s="16"/>
      <c r="B1361" s="15"/>
      <c r="C1361" s="20"/>
      <c r="D1361" s="22"/>
      <c r="E1361" s="15"/>
      <c r="F1361" s="23">
        <f>IF($B1361="","",IFERROR(INDEX(ProdNome,MATCH($B1361,ProdCod,0)),"Código não cadastrado"))</f>
        <v>0</v>
      </c>
      <c r="G1361" s="24">
        <f>IF(OR($B1361="",$D1361=""),"",$D1361*IFERROR(INDEX(ProdCusto,MATCH($B1361,ProdCod,0)),0))</f>
        <v>0</v>
      </c>
      <c r="H1361" s="25">
        <f>IF($A1361="","",IF(OR($B1361="",$C1361="",$D1361=""),"Preencher tudo",IF($F1361="Código não cadastrado","Código inválido","OK")))</f>
        <v>0</v>
      </c>
    </row>
    <row r="1362" spans="1:8">
      <c r="A1362" s="16"/>
      <c r="B1362" s="15"/>
      <c r="C1362" s="20"/>
      <c r="D1362" s="22"/>
      <c r="E1362" s="15"/>
      <c r="F1362" s="23">
        <f>IF($B1362="","",IFERROR(INDEX(ProdNome,MATCH($B1362,ProdCod,0)),"Código não cadastrado"))</f>
        <v>0</v>
      </c>
      <c r="G1362" s="24">
        <f>IF(OR($B1362="",$D1362=""),"",$D1362*IFERROR(INDEX(ProdCusto,MATCH($B1362,ProdCod,0)),0))</f>
        <v>0</v>
      </c>
      <c r="H1362" s="25">
        <f>IF($A1362="","",IF(OR($B1362="",$C1362="",$D1362=""),"Preencher tudo",IF($F1362="Código não cadastrado","Código inválido","OK")))</f>
        <v>0</v>
      </c>
    </row>
    <row r="1363" spans="1:8">
      <c r="A1363" s="16"/>
      <c r="B1363" s="15"/>
      <c r="C1363" s="20"/>
      <c r="D1363" s="22"/>
      <c r="E1363" s="15"/>
      <c r="F1363" s="23">
        <f>IF($B1363="","",IFERROR(INDEX(ProdNome,MATCH($B1363,ProdCod,0)),"Código não cadastrado"))</f>
        <v>0</v>
      </c>
      <c r="G1363" s="24">
        <f>IF(OR($B1363="",$D1363=""),"",$D1363*IFERROR(INDEX(ProdCusto,MATCH($B1363,ProdCod,0)),0))</f>
        <v>0</v>
      </c>
      <c r="H1363" s="25">
        <f>IF($A1363="","",IF(OR($B1363="",$C1363="",$D1363=""),"Preencher tudo",IF($F1363="Código não cadastrado","Código inválido","OK")))</f>
        <v>0</v>
      </c>
    </row>
    <row r="1364" spans="1:8">
      <c r="A1364" s="16"/>
      <c r="B1364" s="15"/>
      <c r="C1364" s="20"/>
      <c r="D1364" s="22"/>
      <c r="E1364" s="15"/>
      <c r="F1364" s="23">
        <f>IF($B1364="","",IFERROR(INDEX(ProdNome,MATCH($B1364,ProdCod,0)),"Código não cadastrado"))</f>
        <v>0</v>
      </c>
      <c r="G1364" s="24">
        <f>IF(OR($B1364="",$D1364=""),"",$D1364*IFERROR(INDEX(ProdCusto,MATCH($B1364,ProdCod,0)),0))</f>
        <v>0</v>
      </c>
      <c r="H1364" s="25">
        <f>IF($A1364="","",IF(OR($B1364="",$C1364="",$D1364=""),"Preencher tudo",IF($F1364="Código não cadastrado","Código inválido","OK")))</f>
        <v>0</v>
      </c>
    </row>
    <row r="1365" spans="1:8">
      <c r="A1365" s="16"/>
      <c r="B1365" s="15"/>
      <c r="C1365" s="20"/>
      <c r="D1365" s="22"/>
      <c r="E1365" s="15"/>
      <c r="F1365" s="23">
        <f>IF($B1365="","",IFERROR(INDEX(ProdNome,MATCH($B1365,ProdCod,0)),"Código não cadastrado"))</f>
        <v>0</v>
      </c>
      <c r="G1365" s="24">
        <f>IF(OR($B1365="",$D1365=""),"",$D1365*IFERROR(INDEX(ProdCusto,MATCH($B1365,ProdCod,0)),0))</f>
        <v>0</v>
      </c>
      <c r="H1365" s="25">
        <f>IF($A1365="","",IF(OR($B1365="",$C1365="",$D1365=""),"Preencher tudo",IF($F1365="Código não cadastrado","Código inválido","OK")))</f>
        <v>0</v>
      </c>
    </row>
    <row r="1366" spans="1:8">
      <c r="A1366" s="16"/>
      <c r="B1366" s="15"/>
      <c r="C1366" s="20"/>
      <c r="D1366" s="22"/>
      <c r="E1366" s="15"/>
      <c r="F1366" s="23">
        <f>IF($B1366="","",IFERROR(INDEX(ProdNome,MATCH($B1366,ProdCod,0)),"Código não cadastrado"))</f>
        <v>0</v>
      </c>
      <c r="G1366" s="24">
        <f>IF(OR($B1366="",$D1366=""),"",$D1366*IFERROR(INDEX(ProdCusto,MATCH($B1366,ProdCod,0)),0))</f>
        <v>0</v>
      </c>
      <c r="H1366" s="25">
        <f>IF($A1366="","",IF(OR($B1366="",$C1366="",$D1366=""),"Preencher tudo",IF($F1366="Código não cadastrado","Código inválido","OK")))</f>
        <v>0</v>
      </c>
    </row>
    <row r="1367" spans="1:8">
      <c r="A1367" s="16"/>
      <c r="B1367" s="15"/>
      <c r="C1367" s="20"/>
      <c r="D1367" s="22"/>
      <c r="E1367" s="15"/>
      <c r="F1367" s="23">
        <f>IF($B1367="","",IFERROR(INDEX(ProdNome,MATCH($B1367,ProdCod,0)),"Código não cadastrado"))</f>
        <v>0</v>
      </c>
      <c r="G1367" s="24">
        <f>IF(OR($B1367="",$D1367=""),"",$D1367*IFERROR(INDEX(ProdCusto,MATCH($B1367,ProdCod,0)),0))</f>
        <v>0</v>
      </c>
      <c r="H1367" s="25">
        <f>IF($A1367="","",IF(OR($B1367="",$C1367="",$D1367=""),"Preencher tudo",IF($F1367="Código não cadastrado","Código inválido","OK")))</f>
        <v>0</v>
      </c>
    </row>
    <row r="1368" spans="1:8">
      <c r="A1368" s="16"/>
      <c r="B1368" s="15"/>
      <c r="C1368" s="20"/>
      <c r="D1368" s="22"/>
      <c r="E1368" s="15"/>
      <c r="F1368" s="23">
        <f>IF($B1368="","",IFERROR(INDEX(ProdNome,MATCH($B1368,ProdCod,0)),"Código não cadastrado"))</f>
        <v>0</v>
      </c>
      <c r="G1368" s="24">
        <f>IF(OR($B1368="",$D1368=""),"",$D1368*IFERROR(INDEX(ProdCusto,MATCH($B1368,ProdCod,0)),0))</f>
        <v>0</v>
      </c>
      <c r="H1368" s="25">
        <f>IF($A1368="","",IF(OR($B1368="",$C1368="",$D1368=""),"Preencher tudo",IF($F1368="Código não cadastrado","Código inválido","OK")))</f>
        <v>0</v>
      </c>
    </row>
    <row r="1369" spans="1:8">
      <c r="A1369" s="16"/>
      <c r="B1369" s="15"/>
      <c r="C1369" s="20"/>
      <c r="D1369" s="22"/>
      <c r="E1369" s="15"/>
      <c r="F1369" s="23">
        <f>IF($B1369="","",IFERROR(INDEX(ProdNome,MATCH($B1369,ProdCod,0)),"Código não cadastrado"))</f>
        <v>0</v>
      </c>
      <c r="G1369" s="24">
        <f>IF(OR($B1369="",$D1369=""),"",$D1369*IFERROR(INDEX(ProdCusto,MATCH($B1369,ProdCod,0)),0))</f>
        <v>0</v>
      </c>
      <c r="H1369" s="25">
        <f>IF($A1369="","",IF(OR($B1369="",$C1369="",$D1369=""),"Preencher tudo",IF($F1369="Código não cadastrado","Código inválido","OK")))</f>
        <v>0</v>
      </c>
    </row>
    <row r="1370" spans="1:8">
      <c r="A1370" s="16"/>
      <c r="B1370" s="15"/>
      <c r="C1370" s="20"/>
      <c r="D1370" s="22"/>
      <c r="E1370" s="15"/>
      <c r="F1370" s="23">
        <f>IF($B1370="","",IFERROR(INDEX(ProdNome,MATCH($B1370,ProdCod,0)),"Código não cadastrado"))</f>
        <v>0</v>
      </c>
      <c r="G1370" s="24">
        <f>IF(OR($B1370="",$D1370=""),"",$D1370*IFERROR(INDEX(ProdCusto,MATCH($B1370,ProdCod,0)),0))</f>
        <v>0</v>
      </c>
      <c r="H1370" s="25">
        <f>IF($A1370="","",IF(OR($B1370="",$C1370="",$D1370=""),"Preencher tudo",IF($F1370="Código não cadastrado","Código inválido","OK")))</f>
        <v>0</v>
      </c>
    </row>
    <row r="1371" spans="1:8">
      <c r="A1371" s="16"/>
      <c r="B1371" s="15"/>
      <c r="C1371" s="20"/>
      <c r="D1371" s="22"/>
      <c r="E1371" s="15"/>
      <c r="F1371" s="23">
        <f>IF($B1371="","",IFERROR(INDEX(ProdNome,MATCH($B1371,ProdCod,0)),"Código não cadastrado"))</f>
        <v>0</v>
      </c>
      <c r="G1371" s="24">
        <f>IF(OR($B1371="",$D1371=""),"",$D1371*IFERROR(INDEX(ProdCusto,MATCH($B1371,ProdCod,0)),0))</f>
        <v>0</v>
      </c>
      <c r="H1371" s="25">
        <f>IF($A1371="","",IF(OR($B1371="",$C1371="",$D1371=""),"Preencher tudo",IF($F1371="Código não cadastrado","Código inválido","OK")))</f>
        <v>0</v>
      </c>
    </row>
    <row r="1372" spans="1:8">
      <c r="A1372" s="16"/>
      <c r="B1372" s="15"/>
      <c r="C1372" s="20"/>
      <c r="D1372" s="22"/>
      <c r="E1372" s="15"/>
      <c r="F1372" s="23">
        <f>IF($B1372="","",IFERROR(INDEX(ProdNome,MATCH($B1372,ProdCod,0)),"Código não cadastrado"))</f>
        <v>0</v>
      </c>
      <c r="G1372" s="24">
        <f>IF(OR($B1372="",$D1372=""),"",$D1372*IFERROR(INDEX(ProdCusto,MATCH($B1372,ProdCod,0)),0))</f>
        <v>0</v>
      </c>
      <c r="H1372" s="25">
        <f>IF($A1372="","",IF(OR($B1372="",$C1372="",$D1372=""),"Preencher tudo",IF($F1372="Código não cadastrado","Código inválido","OK")))</f>
        <v>0</v>
      </c>
    </row>
    <row r="1373" spans="1:8">
      <c r="A1373" s="16"/>
      <c r="B1373" s="15"/>
      <c r="C1373" s="20"/>
      <c r="D1373" s="22"/>
      <c r="E1373" s="15"/>
      <c r="F1373" s="23">
        <f>IF($B1373="","",IFERROR(INDEX(ProdNome,MATCH($B1373,ProdCod,0)),"Código não cadastrado"))</f>
        <v>0</v>
      </c>
      <c r="G1373" s="24">
        <f>IF(OR($B1373="",$D1373=""),"",$D1373*IFERROR(INDEX(ProdCusto,MATCH($B1373,ProdCod,0)),0))</f>
        <v>0</v>
      </c>
      <c r="H1373" s="25">
        <f>IF($A1373="","",IF(OR($B1373="",$C1373="",$D1373=""),"Preencher tudo",IF($F1373="Código não cadastrado","Código inválido","OK")))</f>
        <v>0</v>
      </c>
    </row>
    <row r="1374" spans="1:8">
      <c r="A1374" s="16"/>
      <c r="B1374" s="15"/>
      <c r="C1374" s="20"/>
      <c r="D1374" s="22"/>
      <c r="E1374" s="15"/>
      <c r="F1374" s="23">
        <f>IF($B1374="","",IFERROR(INDEX(ProdNome,MATCH($B1374,ProdCod,0)),"Código não cadastrado"))</f>
        <v>0</v>
      </c>
      <c r="G1374" s="24">
        <f>IF(OR($B1374="",$D1374=""),"",$D1374*IFERROR(INDEX(ProdCusto,MATCH($B1374,ProdCod,0)),0))</f>
        <v>0</v>
      </c>
      <c r="H1374" s="25">
        <f>IF($A1374="","",IF(OR($B1374="",$C1374="",$D1374=""),"Preencher tudo",IF($F1374="Código não cadastrado","Código inválido","OK")))</f>
        <v>0</v>
      </c>
    </row>
    <row r="1375" spans="1:8">
      <c r="A1375" s="16"/>
      <c r="B1375" s="15"/>
      <c r="C1375" s="20"/>
      <c r="D1375" s="22"/>
      <c r="E1375" s="15"/>
      <c r="F1375" s="23">
        <f>IF($B1375="","",IFERROR(INDEX(ProdNome,MATCH($B1375,ProdCod,0)),"Código não cadastrado"))</f>
        <v>0</v>
      </c>
      <c r="G1375" s="24">
        <f>IF(OR($B1375="",$D1375=""),"",$D1375*IFERROR(INDEX(ProdCusto,MATCH($B1375,ProdCod,0)),0))</f>
        <v>0</v>
      </c>
      <c r="H1375" s="25">
        <f>IF($A1375="","",IF(OR($B1375="",$C1375="",$D1375=""),"Preencher tudo",IF($F1375="Código não cadastrado","Código inválido","OK")))</f>
        <v>0</v>
      </c>
    </row>
    <row r="1376" spans="1:8">
      <c r="A1376" s="16"/>
      <c r="B1376" s="15"/>
      <c r="C1376" s="20"/>
      <c r="D1376" s="22"/>
      <c r="E1376" s="15"/>
      <c r="F1376" s="23">
        <f>IF($B1376="","",IFERROR(INDEX(ProdNome,MATCH($B1376,ProdCod,0)),"Código não cadastrado"))</f>
        <v>0</v>
      </c>
      <c r="G1376" s="24">
        <f>IF(OR($B1376="",$D1376=""),"",$D1376*IFERROR(INDEX(ProdCusto,MATCH($B1376,ProdCod,0)),0))</f>
        <v>0</v>
      </c>
      <c r="H1376" s="25">
        <f>IF($A1376="","",IF(OR($B1376="",$C1376="",$D1376=""),"Preencher tudo",IF($F1376="Código não cadastrado","Código inválido","OK")))</f>
        <v>0</v>
      </c>
    </row>
    <row r="1377" spans="1:8">
      <c r="A1377" s="16"/>
      <c r="B1377" s="15"/>
      <c r="C1377" s="20"/>
      <c r="D1377" s="22"/>
      <c r="E1377" s="15"/>
      <c r="F1377" s="23">
        <f>IF($B1377="","",IFERROR(INDEX(ProdNome,MATCH($B1377,ProdCod,0)),"Código não cadastrado"))</f>
        <v>0</v>
      </c>
      <c r="G1377" s="24">
        <f>IF(OR($B1377="",$D1377=""),"",$D1377*IFERROR(INDEX(ProdCusto,MATCH($B1377,ProdCod,0)),0))</f>
        <v>0</v>
      </c>
      <c r="H1377" s="25">
        <f>IF($A1377="","",IF(OR($B1377="",$C1377="",$D1377=""),"Preencher tudo",IF($F1377="Código não cadastrado","Código inválido","OK")))</f>
        <v>0</v>
      </c>
    </row>
    <row r="1378" spans="1:8">
      <c r="A1378" s="16"/>
      <c r="B1378" s="15"/>
      <c r="C1378" s="20"/>
      <c r="D1378" s="22"/>
      <c r="E1378" s="15"/>
      <c r="F1378" s="23">
        <f>IF($B1378="","",IFERROR(INDEX(ProdNome,MATCH($B1378,ProdCod,0)),"Código não cadastrado"))</f>
        <v>0</v>
      </c>
      <c r="G1378" s="24">
        <f>IF(OR($B1378="",$D1378=""),"",$D1378*IFERROR(INDEX(ProdCusto,MATCH($B1378,ProdCod,0)),0))</f>
        <v>0</v>
      </c>
      <c r="H1378" s="25">
        <f>IF($A1378="","",IF(OR($B1378="",$C1378="",$D1378=""),"Preencher tudo",IF($F1378="Código não cadastrado","Código inválido","OK")))</f>
        <v>0</v>
      </c>
    </row>
    <row r="1379" spans="1:8">
      <c r="A1379" s="16"/>
      <c r="B1379" s="15"/>
      <c r="C1379" s="20"/>
      <c r="D1379" s="22"/>
      <c r="E1379" s="15"/>
      <c r="F1379" s="23">
        <f>IF($B1379="","",IFERROR(INDEX(ProdNome,MATCH($B1379,ProdCod,0)),"Código não cadastrado"))</f>
        <v>0</v>
      </c>
      <c r="G1379" s="24">
        <f>IF(OR($B1379="",$D1379=""),"",$D1379*IFERROR(INDEX(ProdCusto,MATCH($B1379,ProdCod,0)),0))</f>
        <v>0</v>
      </c>
      <c r="H1379" s="25">
        <f>IF($A1379="","",IF(OR($B1379="",$C1379="",$D1379=""),"Preencher tudo",IF($F1379="Código não cadastrado","Código inválido","OK")))</f>
        <v>0</v>
      </c>
    </row>
    <row r="1380" spans="1:8">
      <c r="A1380" s="16"/>
      <c r="B1380" s="15"/>
      <c r="C1380" s="20"/>
      <c r="D1380" s="22"/>
      <c r="E1380" s="15"/>
      <c r="F1380" s="23">
        <f>IF($B1380="","",IFERROR(INDEX(ProdNome,MATCH($B1380,ProdCod,0)),"Código não cadastrado"))</f>
        <v>0</v>
      </c>
      <c r="G1380" s="24">
        <f>IF(OR($B1380="",$D1380=""),"",$D1380*IFERROR(INDEX(ProdCusto,MATCH($B1380,ProdCod,0)),0))</f>
        <v>0</v>
      </c>
      <c r="H1380" s="25">
        <f>IF($A1380="","",IF(OR($B1380="",$C1380="",$D1380=""),"Preencher tudo",IF($F1380="Código não cadastrado","Código inválido","OK")))</f>
        <v>0</v>
      </c>
    </row>
    <row r="1381" spans="1:8">
      <c r="A1381" s="16"/>
      <c r="B1381" s="15"/>
      <c r="C1381" s="20"/>
      <c r="D1381" s="22"/>
      <c r="E1381" s="15"/>
      <c r="F1381" s="23">
        <f>IF($B1381="","",IFERROR(INDEX(ProdNome,MATCH($B1381,ProdCod,0)),"Código não cadastrado"))</f>
        <v>0</v>
      </c>
      <c r="G1381" s="24">
        <f>IF(OR($B1381="",$D1381=""),"",$D1381*IFERROR(INDEX(ProdCusto,MATCH($B1381,ProdCod,0)),0))</f>
        <v>0</v>
      </c>
      <c r="H1381" s="25">
        <f>IF($A1381="","",IF(OR($B1381="",$C1381="",$D1381=""),"Preencher tudo",IF($F1381="Código não cadastrado","Código inválido","OK")))</f>
        <v>0</v>
      </c>
    </row>
    <row r="1382" spans="1:8">
      <c r="A1382" s="16"/>
      <c r="B1382" s="15"/>
      <c r="C1382" s="20"/>
      <c r="D1382" s="22"/>
      <c r="E1382" s="15"/>
      <c r="F1382" s="23">
        <f>IF($B1382="","",IFERROR(INDEX(ProdNome,MATCH($B1382,ProdCod,0)),"Código não cadastrado"))</f>
        <v>0</v>
      </c>
      <c r="G1382" s="24">
        <f>IF(OR($B1382="",$D1382=""),"",$D1382*IFERROR(INDEX(ProdCusto,MATCH($B1382,ProdCod,0)),0))</f>
        <v>0</v>
      </c>
      <c r="H1382" s="25">
        <f>IF($A1382="","",IF(OR($B1382="",$C1382="",$D1382=""),"Preencher tudo",IF($F1382="Código não cadastrado","Código inválido","OK")))</f>
        <v>0</v>
      </c>
    </row>
    <row r="1383" spans="1:8">
      <c r="A1383" s="16"/>
      <c r="B1383" s="15"/>
      <c r="C1383" s="20"/>
      <c r="D1383" s="22"/>
      <c r="E1383" s="15"/>
      <c r="F1383" s="23">
        <f>IF($B1383="","",IFERROR(INDEX(ProdNome,MATCH($B1383,ProdCod,0)),"Código não cadastrado"))</f>
        <v>0</v>
      </c>
      <c r="G1383" s="24">
        <f>IF(OR($B1383="",$D1383=""),"",$D1383*IFERROR(INDEX(ProdCusto,MATCH($B1383,ProdCod,0)),0))</f>
        <v>0</v>
      </c>
      <c r="H1383" s="25">
        <f>IF($A1383="","",IF(OR($B1383="",$C1383="",$D1383=""),"Preencher tudo",IF($F1383="Código não cadastrado","Código inválido","OK")))</f>
        <v>0</v>
      </c>
    </row>
    <row r="1384" spans="1:8">
      <c r="A1384" s="16"/>
      <c r="B1384" s="15"/>
      <c r="C1384" s="20"/>
      <c r="D1384" s="22"/>
      <c r="E1384" s="15"/>
      <c r="F1384" s="23">
        <f>IF($B1384="","",IFERROR(INDEX(ProdNome,MATCH($B1384,ProdCod,0)),"Código não cadastrado"))</f>
        <v>0</v>
      </c>
      <c r="G1384" s="24">
        <f>IF(OR($B1384="",$D1384=""),"",$D1384*IFERROR(INDEX(ProdCusto,MATCH($B1384,ProdCod,0)),0))</f>
        <v>0</v>
      </c>
      <c r="H1384" s="25">
        <f>IF($A1384="","",IF(OR($B1384="",$C1384="",$D1384=""),"Preencher tudo",IF($F1384="Código não cadastrado","Código inválido","OK")))</f>
        <v>0</v>
      </c>
    </row>
    <row r="1385" spans="1:8">
      <c r="A1385" s="16"/>
      <c r="B1385" s="15"/>
      <c r="C1385" s="20"/>
      <c r="D1385" s="22"/>
      <c r="E1385" s="15"/>
      <c r="F1385" s="23">
        <f>IF($B1385="","",IFERROR(INDEX(ProdNome,MATCH($B1385,ProdCod,0)),"Código não cadastrado"))</f>
        <v>0</v>
      </c>
      <c r="G1385" s="24">
        <f>IF(OR($B1385="",$D1385=""),"",$D1385*IFERROR(INDEX(ProdCusto,MATCH($B1385,ProdCod,0)),0))</f>
        <v>0</v>
      </c>
      <c r="H1385" s="25">
        <f>IF($A1385="","",IF(OR($B1385="",$C1385="",$D1385=""),"Preencher tudo",IF($F1385="Código não cadastrado","Código inválido","OK")))</f>
        <v>0</v>
      </c>
    </row>
    <row r="1386" spans="1:8">
      <c r="A1386" s="16"/>
      <c r="B1386" s="15"/>
      <c r="C1386" s="20"/>
      <c r="D1386" s="22"/>
      <c r="E1386" s="15"/>
      <c r="F1386" s="23">
        <f>IF($B1386="","",IFERROR(INDEX(ProdNome,MATCH($B1386,ProdCod,0)),"Código não cadastrado"))</f>
        <v>0</v>
      </c>
      <c r="G1386" s="24">
        <f>IF(OR($B1386="",$D1386=""),"",$D1386*IFERROR(INDEX(ProdCusto,MATCH($B1386,ProdCod,0)),0))</f>
        <v>0</v>
      </c>
      <c r="H1386" s="25">
        <f>IF($A1386="","",IF(OR($B1386="",$C1386="",$D1386=""),"Preencher tudo",IF($F1386="Código não cadastrado","Código inválido","OK")))</f>
        <v>0</v>
      </c>
    </row>
    <row r="1387" spans="1:8">
      <c r="A1387" s="16"/>
      <c r="B1387" s="15"/>
      <c r="C1387" s="20"/>
      <c r="D1387" s="22"/>
      <c r="E1387" s="15"/>
      <c r="F1387" s="23">
        <f>IF($B1387="","",IFERROR(INDEX(ProdNome,MATCH($B1387,ProdCod,0)),"Código não cadastrado"))</f>
        <v>0</v>
      </c>
      <c r="G1387" s="24">
        <f>IF(OR($B1387="",$D1387=""),"",$D1387*IFERROR(INDEX(ProdCusto,MATCH($B1387,ProdCod,0)),0))</f>
        <v>0</v>
      </c>
      <c r="H1387" s="25">
        <f>IF($A1387="","",IF(OR($B1387="",$C1387="",$D1387=""),"Preencher tudo",IF($F1387="Código não cadastrado","Código inválido","OK")))</f>
        <v>0</v>
      </c>
    </row>
    <row r="1388" spans="1:8">
      <c r="A1388" s="16"/>
      <c r="B1388" s="15"/>
      <c r="C1388" s="20"/>
      <c r="D1388" s="22"/>
      <c r="E1388" s="15"/>
      <c r="F1388" s="23">
        <f>IF($B1388="","",IFERROR(INDEX(ProdNome,MATCH($B1388,ProdCod,0)),"Código não cadastrado"))</f>
        <v>0</v>
      </c>
      <c r="G1388" s="24">
        <f>IF(OR($B1388="",$D1388=""),"",$D1388*IFERROR(INDEX(ProdCusto,MATCH($B1388,ProdCod,0)),0))</f>
        <v>0</v>
      </c>
      <c r="H1388" s="25">
        <f>IF($A1388="","",IF(OR($B1388="",$C1388="",$D1388=""),"Preencher tudo",IF($F1388="Código não cadastrado","Código inválido","OK")))</f>
        <v>0</v>
      </c>
    </row>
    <row r="1389" spans="1:8">
      <c r="A1389" s="16"/>
      <c r="B1389" s="15"/>
      <c r="C1389" s="20"/>
      <c r="D1389" s="22"/>
      <c r="E1389" s="15"/>
      <c r="F1389" s="23">
        <f>IF($B1389="","",IFERROR(INDEX(ProdNome,MATCH($B1389,ProdCod,0)),"Código não cadastrado"))</f>
        <v>0</v>
      </c>
      <c r="G1389" s="24">
        <f>IF(OR($B1389="",$D1389=""),"",$D1389*IFERROR(INDEX(ProdCusto,MATCH($B1389,ProdCod,0)),0))</f>
        <v>0</v>
      </c>
      <c r="H1389" s="25">
        <f>IF($A1389="","",IF(OR($B1389="",$C1389="",$D1389=""),"Preencher tudo",IF($F1389="Código não cadastrado","Código inválido","OK")))</f>
        <v>0</v>
      </c>
    </row>
    <row r="1390" spans="1:8">
      <c r="A1390" s="16"/>
      <c r="B1390" s="15"/>
      <c r="C1390" s="20"/>
      <c r="D1390" s="22"/>
      <c r="E1390" s="15"/>
      <c r="F1390" s="23">
        <f>IF($B1390="","",IFERROR(INDEX(ProdNome,MATCH($B1390,ProdCod,0)),"Código não cadastrado"))</f>
        <v>0</v>
      </c>
      <c r="G1390" s="24">
        <f>IF(OR($B1390="",$D1390=""),"",$D1390*IFERROR(INDEX(ProdCusto,MATCH($B1390,ProdCod,0)),0))</f>
        <v>0</v>
      </c>
      <c r="H1390" s="25">
        <f>IF($A1390="","",IF(OR($B1390="",$C1390="",$D1390=""),"Preencher tudo",IF($F1390="Código não cadastrado","Código inválido","OK")))</f>
        <v>0</v>
      </c>
    </row>
    <row r="1391" spans="1:8">
      <c r="A1391" s="16"/>
      <c r="B1391" s="15"/>
      <c r="C1391" s="20"/>
      <c r="D1391" s="22"/>
      <c r="E1391" s="15"/>
      <c r="F1391" s="23">
        <f>IF($B1391="","",IFERROR(INDEX(ProdNome,MATCH($B1391,ProdCod,0)),"Código não cadastrado"))</f>
        <v>0</v>
      </c>
      <c r="G1391" s="24">
        <f>IF(OR($B1391="",$D1391=""),"",$D1391*IFERROR(INDEX(ProdCusto,MATCH($B1391,ProdCod,0)),0))</f>
        <v>0</v>
      </c>
      <c r="H1391" s="25">
        <f>IF($A1391="","",IF(OR($B1391="",$C1391="",$D1391=""),"Preencher tudo",IF($F1391="Código não cadastrado","Código inválido","OK")))</f>
        <v>0</v>
      </c>
    </row>
    <row r="1392" spans="1:8">
      <c r="A1392" s="16"/>
      <c r="B1392" s="15"/>
      <c r="C1392" s="20"/>
      <c r="D1392" s="22"/>
      <c r="E1392" s="15"/>
      <c r="F1392" s="23">
        <f>IF($B1392="","",IFERROR(INDEX(ProdNome,MATCH($B1392,ProdCod,0)),"Código não cadastrado"))</f>
        <v>0</v>
      </c>
      <c r="G1392" s="24">
        <f>IF(OR($B1392="",$D1392=""),"",$D1392*IFERROR(INDEX(ProdCusto,MATCH($B1392,ProdCod,0)),0))</f>
        <v>0</v>
      </c>
      <c r="H1392" s="25">
        <f>IF($A1392="","",IF(OR($B1392="",$C1392="",$D1392=""),"Preencher tudo",IF($F1392="Código não cadastrado","Código inválido","OK")))</f>
        <v>0</v>
      </c>
    </row>
    <row r="1393" spans="1:8">
      <c r="A1393" s="16"/>
      <c r="B1393" s="15"/>
      <c r="C1393" s="20"/>
      <c r="D1393" s="22"/>
      <c r="E1393" s="15"/>
      <c r="F1393" s="23">
        <f>IF($B1393="","",IFERROR(INDEX(ProdNome,MATCH($B1393,ProdCod,0)),"Código não cadastrado"))</f>
        <v>0</v>
      </c>
      <c r="G1393" s="24">
        <f>IF(OR($B1393="",$D1393=""),"",$D1393*IFERROR(INDEX(ProdCusto,MATCH($B1393,ProdCod,0)),0))</f>
        <v>0</v>
      </c>
      <c r="H1393" s="25">
        <f>IF($A1393="","",IF(OR($B1393="",$C1393="",$D1393=""),"Preencher tudo",IF($F1393="Código não cadastrado","Código inválido","OK")))</f>
        <v>0</v>
      </c>
    </row>
    <row r="1394" spans="1:8">
      <c r="A1394" s="16"/>
      <c r="B1394" s="15"/>
      <c r="C1394" s="20"/>
      <c r="D1394" s="22"/>
      <c r="E1394" s="15"/>
      <c r="F1394" s="23">
        <f>IF($B1394="","",IFERROR(INDEX(ProdNome,MATCH($B1394,ProdCod,0)),"Código não cadastrado"))</f>
        <v>0</v>
      </c>
      <c r="G1394" s="24">
        <f>IF(OR($B1394="",$D1394=""),"",$D1394*IFERROR(INDEX(ProdCusto,MATCH($B1394,ProdCod,0)),0))</f>
        <v>0</v>
      </c>
      <c r="H1394" s="25">
        <f>IF($A1394="","",IF(OR($B1394="",$C1394="",$D1394=""),"Preencher tudo",IF($F1394="Código não cadastrado","Código inválido","OK")))</f>
        <v>0</v>
      </c>
    </row>
    <row r="1395" spans="1:8">
      <c r="A1395" s="16"/>
      <c r="B1395" s="15"/>
      <c r="C1395" s="20"/>
      <c r="D1395" s="22"/>
      <c r="E1395" s="15"/>
      <c r="F1395" s="23">
        <f>IF($B1395="","",IFERROR(INDEX(ProdNome,MATCH($B1395,ProdCod,0)),"Código não cadastrado"))</f>
        <v>0</v>
      </c>
      <c r="G1395" s="24">
        <f>IF(OR($B1395="",$D1395=""),"",$D1395*IFERROR(INDEX(ProdCusto,MATCH($B1395,ProdCod,0)),0))</f>
        <v>0</v>
      </c>
      <c r="H1395" s="25">
        <f>IF($A1395="","",IF(OR($B1395="",$C1395="",$D1395=""),"Preencher tudo",IF($F1395="Código não cadastrado","Código inválido","OK")))</f>
        <v>0</v>
      </c>
    </row>
    <row r="1396" spans="1:8">
      <c r="A1396" s="16"/>
      <c r="B1396" s="15"/>
      <c r="C1396" s="20"/>
      <c r="D1396" s="22"/>
      <c r="E1396" s="15"/>
      <c r="F1396" s="23">
        <f>IF($B1396="","",IFERROR(INDEX(ProdNome,MATCH($B1396,ProdCod,0)),"Código não cadastrado"))</f>
        <v>0</v>
      </c>
      <c r="G1396" s="24">
        <f>IF(OR($B1396="",$D1396=""),"",$D1396*IFERROR(INDEX(ProdCusto,MATCH($B1396,ProdCod,0)),0))</f>
        <v>0</v>
      </c>
      <c r="H1396" s="25">
        <f>IF($A1396="","",IF(OR($B1396="",$C1396="",$D1396=""),"Preencher tudo",IF($F1396="Código não cadastrado","Código inválido","OK")))</f>
        <v>0</v>
      </c>
    </row>
    <row r="1397" spans="1:8">
      <c r="A1397" s="16"/>
      <c r="B1397" s="15"/>
      <c r="C1397" s="20"/>
      <c r="D1397" s="22"/>
      <c r="E1397" s="15"/>
      <c r="F1397" s="23">
        <f>IF($B1397="","",IFERROR(INDEX(ProdNome,MATCH($B1397,ProdCod,0)),"Código não cadastrado"))</f>
        <v>0</v>
      </c>
      <c r="G1397" s="24">
        <f>IF(OR($B1397="",$D1397=""),"",$D1397*IFERROR(INDEX(ProdCusto,MATCH($B1397,ProdCod,0)),0))</f>
        <v>0</v>
      </c>
      <c r="H1397" s="25">
        <f>IF($A1397="","",IF(OR($B1397="",$C1397="",$D1397=""),"Preencher tudo",IF($F1397="Código não cadastrado","Código inválido","OK")))</f>
        <v>0</v>
      </c>
    </row>
    <row r="1398" spans="1:8">
      <c r="A1398" s="16"/>
      <c r="B1398" s="15"/>
      <c r="C1398" s="20"/>
      <c r="D1398" s="22"/>
      <c r="E1398" s="15"/>
      <c r="F1398" s="23">
        <f>IF($B1398="","",IFERROR(INDEX(ProdNome,MATCH($B1398,ProdCod,0)),"Código não cadastrado"))</f>
        <v>0</v>
      </c>
      <c r="G1398" s="24">
        <f>IF(OR($B1398="",$D1398=""),"",$D1398*IFERROR(INDEX(ProdCusto,MATCH($B1398,ProdCod,0)),0))</f>
        <v>0</v>
      </c>
      <c r="H1398" s="25">
        <f>IF($A1398="","",IF(OR($B1398="",$C1398="",$D1398=""),"Preencher tudo",IF($F1398="Código não cadastrado","Código inválido","OK")))</f>
        <v>0</v>
      </c>
    </row>
    <row r="1399" spans="1:8">
      <c r="A1399" s="16"/>
      <c r="B1399" s="15"/>
      <c r="C1399" s="20"/>
      <c r="D1399" s="22"/>
      <c r="E1399" s="15"/>
      <c r="F1399" s="23">
        <f>IF($B1399="","",IFERROR(INDEX(ProdNome,MATCH($B1399,ProdCod,0)),"Código não cadastrado"))</f>
        <v>0</v>
      </c>
      <c r="G1399" s="24">
        <f>IF(OR($B1399="",$D1399=""),"",$D1399*IFERROR(INDEX(ProdCusto,MATCH($B1399,ProdCod,0)),0))</f>
        <v>0</v>
      </c>
      <c r="H1399" s="25">
        <f>IF($A1399="","",IF(OR($B1399="",$C1399="",$D1399=""),"Preencher tudo",IF($F1399="Código não cadastrado","Código inválido","OK")))</f>
        <v>0</v>
      </c>
    </row>
    <row r="1400" spans="1:8">
      <c r="A1400" s="16"/>
      <c r="B1400" s="15"/>
      <c r="C1400" s="20"/>
      <c r="D1400" s="22"/>
      <c r="E1400" s="15"/>
      <c r="F1400" s="23">
        <f>IF($B1400="","",IFERROR(INDEX(ProdNome,MATCH($B1400,ProdCod,0)),"Código não cadastrado"))</f>
        <v>0</v>
      </c>
      <c r="G1400" s="24">
        <f>IF(OR($B1400="",$D1400=""),"",$D1400*IFERROR(INDEX(ProdCusto,MATCH($B1400,ProdCod,0)),0))</f>
        <v>0</v>
      </c>
      <c r="H1400" s="25">
        <f>IF($A1400="","",IF(OR($B1400="",$C1400="",$D1400=""),"Preencher tudo",IF($F1400="Código não cadastrado","Código inválido","OK")))</f>
        <v>0</v>
      </c>
    </row>
    <row r="1401" spans="1:8">
      <c r="A1401" s="16"/>
      <c r="B1401" s="15"/>
      <c r="C1401" s="20"/>
      <c r="D1401" s="22"/>
      <c r="E1401" s="15"/>
      <c r="F1401" s="23">
        <f>IF($B1401="","",IFERROR(INDEX(ProdNome,MATCH($B1401,ProdCod,0)),"Código não cadastrado"))</f>
        <v>0</v>
      </c>
      <c r="G1401" s="24">
        <f>IF(OR($B1401="",$D1401=""),"",$D1401*IFERROR(INDEX(ProdCusto,MATCH($B1401,ProdCod,0)),0))</f>
        <v>0</v>
      </c>
      <c r="H1401" s="25">
        <f>IF($A1401="","",IF(OR($B1401="",$C1401="",$D1401=""),"Preencher tudo",IF($F1401="Código não cadastrado","Código inválido","OK")))</f>
        <v>0</v>
      </c>
    </row>
    <row r="1402" spans="1:8">
      <c r="A1402" s="16"/>
      <c r="B1402" s="15"/>
      <c r="C1402" s="20"/>
      <c r="D1402" s="22"/>
      <c r="E1402" s="15"/>
      <c r="F1402" s="23">
        <f>IF($B1402="","",IFERROR(INDEX(ProdNome,MATCH($B1402,ProdCod,0)),"Código não cadastrado"))</f>
        <v>0</v>
      </c>
      <c r="G1402" s="24">
        <f>IF(OR($B1402="",$D1402=""),"",$D1402*IFERROR(INDEX(ProdCusto,MATCH($B1402,ProdCod,0)),0))</f>
        <v>0</v>
      </c>
      <c r="H1402" s="25">
        <f>IF($A1402="","",IF(OR($B1402="",$C1402="",$D1402=""),"Preencher tudo",IF($F1402="Código não cadastrado","Código inválido","OK")))</f>
        <v>0</v>
      </c>
    </row>
    <row r="1403" spans="1:8">
      <c r="A1403" s="16"/>
      <c r="B1403" s="15"/>
      <c r="C1403" s="20"/>
      <c r="D1403" s="22"/>
      <c r="E1403" s="15"/>
      <c r="F1403" s="23">
        <f>IF($B1403="","",IFERROR(INDEX(ProdNome,MATCH($B1403,ProdCod,0)),"Código não cadastrado"))</f>
        <v>0</v>
      </c>
      <c r="G1403" s="24">
        <f>IF(OR($B1403="",$D1403=""),"",$D1403*IFERROR(INDEX(ProdCusto,MATCH($B1403,ProdCod,0)),0))</f>
        <v>0</v>
      </c>
      <c r="H1403" s="25">
        <f>IF($A1403="","",IF(OR($B1403="",$C1403="",$D1403=""),"Preencher tudo",IF($F1403="Código não cadastrado","Código inválido","OK")))</f>
        <v>0</v>
      </c>
    </row>
    <row r="1404" spans="1:8">
      <c r="A1404" s="16"/>
      <c r="B1404" s="15"/>
      <c r="C1404" s="20"/>
      <c r="D1404" s="22"/>
      <c r="E1404" s="15"/>
      <c r="F1404" s="23">
        <f>IF($B1404="","",IFERROR(INDEX(ProdNome,MATCH($B1404,ProdCod,0)),"Código não cadastrado"))</f>
        <v>0</v>
      </c>
      <c r="G1404" s="24">
        <f>IF(OR($B1404="",$D1404=""),"",$D1404*IFERROR(INDEX(ProdCusto,MATCH($B1404,ProdCod,0)),0))</f>
        <v>0</v>
      </c>
      <c r="H1404" s="25">
        <f>IF($A1404="","",IF(OR($B1404="",$C1404="",$D1404=""),"Preencher tudo",IF($F1404="Código não cadastrado","Código inválido","OK")))</f>
        <v>0</v>
      </c>
    </row>
    <row r="1405" spans="1:8">
      <c r="A1405" s="16"/>
      <c r="B1405" s="15"/>
      <c r="C1405" s="20"/>
      <c r="D1405" s="22"/>
      <c r="E1405" s="15"/>
      <c r="F1405" s="23">
        <f>IF($B1405="","",IFERROR(INDEX(ProdNome,MATCH($B1405,ProdCod,0)),"Código não cadastrado"))</f>
        <v>0</v>
      </c>
      <c r="G1405" s="24">
        <f>IF(OR($B1405="",$D1405=""),"",$D1405*IFERROR(INDEX(ProdCusto,MATCH($B1405,ProdCod,0)),0))</f>
        <v>0</v>
      </c>
      <c r="H1405" s="25">
        <f>IF($A1405="","",IF(OR($B1405="",$C1405="",$D1405=""),"Preencher tudo",IF($F1405="Código não cadastrado","Código inválido","OK")))</f>
        <v>0</v>
      </c>
    </row>
    <row r="1406" spans="1:8">
      <c r="A1406" s="16"/>
      <c r="B1406" s="15"/>
      <c r="C1406" s="20"/>
      <c r="D1406" s="22"/>
      <c r="E1406" s="15"/>
      <c r="F1406" s="23">
        <f>IF($B1406="","",IFERROR(INDEX(ProdNome,MATCH($B1406,ProdCod,0)),"Código não cadastrado"))</f>
        <v>0</v>
      </c>
      <c r="G1406" s="24">
        <f>IF(OR($B1406="",$D1406=""),"",$D1406*IFERROR(INDEX(ProdCusto,MATCH($B1406,ProdCod,0)),0))</f>
        <v>0</v>
      </c>
      <c r="H1406" s="25">
        <f>IF($A1406="","",IF(OR($B1406="",$C1406="",$D1406=""),"Preencher tudo",IF($F1406="Código não cadastrado","Código inválido","OK")))</f>
        <v>0</v>
      </c>
    </row>
    <row r="1407" spans="1:8">
      <c r="A1407" s="16"/>
      <c r="B1407" s="15"/>
      <c r="C1407" s="20"/>
      <c r="D1407" s="22"/>
      <c r="E1407" s="15"/>
      <c r="F1407" s="23">
        <f>IF($B1407="","",IFERROR(INDEX(ProdNome,MATCH($B1407,ProdCod,0)),"Código não cadastrado"))</f>
        <v>0</v>
      </c>
      <c r="G1407" s="24">
        <f>IF(OR($B1407="",$D1407=""),"",$D1407*IFERROR(INDEX(ProdCusto,MATCH($B1407,ProdCod,0)),0))</f>
        <v>0</v>
      </c>
      <c r="H1407" s="25">
        <f>IF($A1407="","",IF(OR($B1407="",$C1407="",$D1407=""),"Preencher tudo",IF($F1407="Código não cadastrado","Código inválido","OK")))</f>
        <v>0</v>
      </c>
    </row>
    <row r="1408" spans="1:8">
      <c r="A1408" s="16"/>
      <c r="B1408" s="15"/>
      <c r="C1408" s="20"/>
      <c r="D1408" s="22"/>
      <c r="E1408" s="15"/>
      <c r="F1408" s="23">
        <f>IF($B1408="","",IFERROR(INDEX(ProdNome,MATCH($B1408,ProdCod,0)),"Código não cadastrado"))</f>
        <v>0</v>
      </c>
      <c r="G1408" s="24">
        <f>IF(OR($B1408="",$D1408=""),"",$D1408*IFERROR(INDEX(ProdCusto,MATCH($B1408,ProdCod,0)),0))</f>
        <v>0</v>
      </c>
      <c r="H1408" s="25">
        <f>IF($A1408="","",IF(OR($B1408="",$C1408="",$D1408=""),"Preencher tudo",IF($F1408="Código não cadastrado","Código inválido","OK")))</f>
        <v>0</v>
      </c>
    </row>
    <row r="1409" spans="1:8">
      <c r="A1409" s="16"/>
      <c r="B1409" s="15"/>
      <c r="C1409" s="20"/>
      <c r="D1409" s="22"/>
      <c r="E1409" s="15"/>
      <c r="F1409" s="23">
        <f>IF($B1409="","",IFERROR(INDEX(ProdNome,MATCH($B1409,ProdCod,0)),"Código não cadastrado"))</f>
        <v>0</v>
      </c>
      <c r="G1409" s="24">
        <f>IF(OR($B1409="",$D1409=""),"",$D1409*IFERROR(INDEX(ProdCusto,MATCH($B1409,ProdCod,0)),0))</f>
        <v>0</v>
      </c>
      <c r="H1409" s="25">
        <f>IF($A1409="","",IF(OR($B1409="",$C1409="",$D1409=""),"Preencher tudo",IF($F1409="Código não cadastrado","Código inválido","OK")))</f>
        <v>0</v>
      </c>
    </row>
    <row r="1410" spans="1:8">
      <c r="A1410" s="16"/>
      <c r="B1410" s="15"/>
      <c r="C1410" s="20"/>
      <c r="D1410" s="22"/>
      <c r="E1410" s="15"/>
      <c r="F1410" s="23">
        <f>IF($B1410="","",IFERROR(INDEX(ProdNome,MATCH($B1410,ProdCod,0)),"Código não cadastrado"))</f>
        <v>0</v>
      </c>
      <c r="G1410" s="24">
        <f>IF(OR($B1410="",$D1410=""),"",$D1410*IFERROR(INDEX(ProdCusto,MATCH($B1410,ProdCod,0)),0))</f>
        <v>0</v>
      </c>
      <c r="H1410" s="25">
        <f>IF($A1410="","",IF(OR($B1410="",$C1410="",$D1410=""),"Preencher tudo",IF($F1410="Código não cadastrado","Código inválido","OK")))</f>
        <v>0</v>
      </c>
    </row>
    <row r="1411" spans="1:8">
      <c r="A1411" s="16"/>
      <c r="B1411" s="15"/>
      <c r="C1411" s="20"/>
      <c r="D1411" s="22"/>
      <c r="E1411" s="15"/>
      <c r="F1411" s="23">
        <f>IF($B1411="","",IFERROR(INDEX(ProdNome,MATCH($B1411,ProdCod,0)),"Código não cadastrado"))</f>
        <v>0</v>
      </c>
      <c r="G1411" s="24">
        <f>IF(OR($B1411="",$D1411=""),"",$D1411*IFERROR(INDEX(ProdCusto,MATCH($B1411,ProdCod,0)),0))</f>
        <v>0</v>
      </c>
      <c r="H1411" s="25">
        <f>IF($A1411="","",IF(OR($B1411="",$C1411="",$D1411=""),"Preencher tudo",IF($F1411="Código não cadastrado","Código inválido","OK")))</f>
        <v>0</v>
      </c>
    </row>
    <row r="1412" spans="1:8">
      <c r="A1412" s="16"/>
      <c r="B1412" s="15"/>
      <c r="C1412" s="20"/>
      <c r="D1412" s="22"/>
      <c r="E1412" s="15"/>
      <c r="F1412" s="23">
        <f>IF($B1412="","",IFERROR(INDEX(ProdNome,MATCH($B1412,ProdCod,0)),"Código não cadastrado"))</f>
        <v>0</v>
      </c>
      <c r="G1412" s="24">
        <f>IF(OR($B1412="",$D1412=""),"",$D1412*IFERROR(INDEX(ProdCusto,MATCH($B1412,ProdCod,0)),0))</f>
        <v>0</v>
      </c>
      <c r="H1412" s="25">
        <f>IF($A1412="","",IF(OR($B1412="",$C1412="",$D1412=""),"Preencher tudo",IF($F1412="Código não cadastrado","Código inválido","OK")))</f>
        <v>0</v>
      </c>
    </row>
    <row r="1413" spans="1:8">
      <c r="A1413" s="16"/>
      <c r="B1413" s="15"/>
      <c r="C1413" s="20"/>
      <c r="D1413" s="22"/>
      <c r="E1413" s="15"/>
      <c r="F1413" s="23">
        <f>IF($B1413="","",IFERROR(INDEX(ProdNome,MATCH($B1413,ProdCod,0)),"Código não cadastrado"))</f>
        <v>0</v>
      </c>
      <c r="G1413" s="24">
        <f>IF(OR($B1413="",$D1413=""),"",$D1413*IFERROR(INDEX(ProdCusto,MATCH($B1413,ProdCod,0)),0))</f>
        <v>0</v>
      </c>
      <c r="H1413" s="25">
        <f>IF($A1413="","",IF(OR($B1413="",$C1413="",$D1413=""),"Preencher tudo",IF($F1413="Código não cadastrado","Código inválido","OK")))</f>
        <v>0</v>
      </c>
    </row>
    <row r="1414" spans="1:8">
      <c r="A1414" s="16"/>
      <c r="B1414" s="15"/>
      <c r="C1414" s="20"/>
      <c r="D1414" s="22"/>
      <c r="E1414" s="15"/>
      <c r="F1414" s="23">
        <f>IF($B1414="","",IFERROR(INDEX(ProdNome,MATCH($B1414,ProdCod,0)),"Código não cadastrado"))</f>
        <v>0</v>
      </c>
      <c r="G1414" s="24">
        <f>IF(OR($B1414="",$D1414=""),"",$D1414*IFERROR(INDEX(ProdCusto,MATCH($B1414,ProdCod,0)),0))</f>
        <v>0</v>
      </c>
      <c r="H1414" s="25">
        <f>IF($A1414="","",IF(OR($B1414="",$C1414="",$D1414=""),"Preencher tudo",IF($F1414="Código não cadastrado","Código inválido","OK")))</f>
        <v>0</v>
      </c>
    </row>
    <row r="1415" spans="1:8">
      <c r="A1415" s="16"/>
      <c r="B1415" s="15"/>
      <c r="C1415" s="20"/>
      <c r="D1415" s="22"/>
      <c r="E1415" s="15"/>
      <c r="F1415" s="23">
        <f>IF($B1415="","",IFERROR(INDEX(ProdNome,MATCH($B1415,ProdCod,0)),"Código não cadastrado"))</f>
        <v>0</v>
      </c>
      <c r="G1415" s="24">
        <f>IF(OR($B1415="",$D1415=""),"",$D1415*IFERROR(INDEX(ProdCusto,MATCH($B1415,ProdCod,0)),0))</f>
        <v>0</v>
      </c>
      <c r="H1415" s="25">
        <f>IF($A1415="","",IF(OR($B1415="",$C1415="",$D1415=""),"Preencher tudo",IF($F1415="Código não cadastrado","Código inválido","OK")))</f>
        <v>0</v>
      </c>
    </row>
    <row r="1416" spans="1:8">
      <c r="A1416" s="16"/>
      <c r="B1416" s="15"/>
      <c r="C1416" s="20"/>
      <c r="D1416" s="22"/>
      <c r="E1416" s="15"/>
      <c r="F1416" s="23">
        <f>IF($B1416="","",IFERROR(INDEX(ProdNome,MATCH($B1416,ProdCod,0)),"Código não cadastrado"))</f>
        <v>0</v>
      </c>
      <c r="G1416" s="24">
        <f>IF(OR($B1416="",$D1416=""),"",$D1416*IFERROR(INDEX(ProdCusto,MATCH($B1416,ProdCod,0)),0))</f>
        <v>0</v>
      </c>
      <c r="H1416" s="25">
        <f>IF($A1416="","",IF(OR($B1416="",$C1416="",$D1416=""),"Preencher tudo",IF($F1416="Código não cadastrado","Código inválido","OK")))</f>
        <v>0</v>
      </c>
    </row>
    <row r="1417" spans="1:8">
      <c r="A1417" s="16"/>
      <c r="B1417" s="15"/>
      <c r="C1417" s="20"/>
      <c r="D1417" s="22"/>
      <c r="E1417" s="15"/>
      <c r="F1417" s="23">
        <f>IF($B1417="","",IFERROR(INDEX(ProdNome,MATCH($B1417,ProdCod,0)),"Código não cadastrado"))</f>
        <v>0</v>
      </c>
      <c r="G1417" s="24">
        <f>IF(OR($B1417="",$D1417=""),"",$D1417*IFERROR(INDEX(ProdCusto,MATCH($B1417,ProdCod,0)),0))</f>
        <v>0</v>
      </c>
      <c r="H1417" s="25">
        <f>IF($A1417="","",IF(OR($B1417="",$C1417="",$D1417=""),"Preencher tudo",IF($F1417="Código não cadastrado","Código inválido","OK")))</f>
        <v>0</v>
      </c>
    </row>
    <row r="1418" spans="1:8">
      <c r="A1418" s="16"/>
      <c r="B1418" s="15"/>
      <c r="C1418" s="20"/>
      <c r="D1418" s="22"/>
      <c r="E1418" s="15"/>
      <c r="F1418" s="23">
        <f>IF($B1418="","",IFERROR(INDEX(ProdNome,MATCH($B1418,ProdCod,0)),"Código não cadastrado"))</f>
        <v>0</v>
      </c>
      <c r="G1418" s="24">
        <f>IF(OR($B1418="",$D1418=""),"",$D1418*IFERROR(INDEX(ProdCusto,MATCH($B1418,ProdCod,0)),0))</f>
        <v>0</v>
      </c>
      <c r="H1418" s="25">
        <f>IF($A1418="","",IF(OR($B1418="",$C1418="",$D1418=""),"Preencher tudo",IF($F1418="Código não cadastrado","Código inválido","OK")))</f>
        <v>0</v>
      </c>
    </row>
    <row r="1419" spans="1:8">
      <c r="A1419" s="16"/>
      <c r="B1419" s="15"/>
      <c r="C1419" s="20"/>
      <c r="D1419" s="22"/>
      <c r="E1419" s="15"/>
      <c r="F1419" s="23">
        <f>IF($B1419="","",IFERROR(INDEX(ProdNome,MATCH($B1419,ProdCod,0)),"Código não cadastrado"))</f>
        <v>0</v>
      </c>
      <c r="G1419" s="24">
        <f>IF(OR($B1419="",$D1419=""),"",$D1419*IFERROR(INDEX(ProdCusto,MATCH($B1419,ProdCod,0)),0))</f>
        <v>0</v>
      </c>
      <c r="H1419" s="25">
        <f>IF($A1419="","",IF(OR($B1419="",$C1419="",$D1419=""),"Preencher tudo",IF($F1419="Código não cadastrado","Código inválido","OK")))</f>
        <v>0</v>
      </c>
    </row>
    <row r="1420" spans="1:8">
      <c r="A1420" s="16"/>
      <c r="B1420" s="15"/>
      <c r="C1420" s="20"/>
      <c r="D1420" s="22"/>
      <c r="E1420" s="15"/>
      <c r="F1420" s="23">
        <f>IF($B1420="","",IFERROR(INDEX(ProdNome,MATCH($B1420,ProdCod,0)),"Código não cadastrado"))</f>
        <v>0</v>
      </c>
      <c r="G1420" s="24">
        <f>IF(OR($B1420="",$D1420=""),"",$D1420*IFERROR(INDEX(ProdCusto,MATCH($B1420,ProdCod,0)),0))</f>
        <v>0</v>
      </c>
      <c r="H1420" s="25">
        <f>IF($A1420="","",IF(OR($B1420="",$C1420="",$D1420=""),"Preencher tudo",IF($F1420="Código não cadastrado","Código inválido","OK")))</f>
        <v>0</v>
      </c>
    </row>
    <row r="1421" spans="1:8">
      <c r="A1421" s="16"/>
      <c r="B1421" s="15"/>
      <c r="C1421" s="20"/>
      <c r="D1421" s="22"/>
      <c r="E1421" s="15"/>
      <c r="F1421" s="23">
        <f>IF($B1421="","",IFERROR(INDEX(ProdNome,MATCH($B1421,ProdCod,0)),"Código não cadastrado"))</f>
        <v>0</v>
      </c>
      <c r="G1421" s="24">
        <f>IF(OR($B1421="",$D1421=""),"",$D1421*IFERROR(INDEX(ProdCusto,MATCH($B1421,ProdCod,0)),0))</f>
        <v>0</v>
      </c>
      <c r="H1421" s="25">
        <f>IF($A1421="","",IF(OR($B1421="",$C1421="",$D1421=""),"Preencher tudo",IF($F1421="Código não cadastrado","Código inválido","OK")))</f>
        <v>0</v>
      </c>
    </row>
    <row r="1422" spans="1:8">
      <c r="A1422" s="16"/>
      <c r="B1422" s="15"/>
      <c r="C1422" s="20"/>
      <c r="D1422" s="22"/>
      <c r="E1422" s="15"/>
      <c r="F1422" s="23">
        <f>IF($B1422="","",IFERROR(INDEX(ProdNome,MATCH($B1422,ProdCod,0)),"Código não cadastrado"))</f>
        <v>0</v>
      </c>
      <c r="G1422" s="24">
        <f>IF(OR($B1422="",$D1422=""),"",$D1422*IFERROR(INDEX(ProdCusto,MATCH($B1422,ProdCod,0)),0))</f>
        <v>0</v>
      </c>
      <c r="H1422" s="25">
        <f>IF($A1422="","",IF(OR($B1422="",$C1422="",$D1422=""),"Preencher tudo",IF($F1422="Código não cadastrado","Código inválido","OK")))</f>
        <v>0</v>
      </c>
    </row>
    <row r="1423" spans="1:8">
      <c r="A1423" s="16"/>
      <c r="B1423" s="15"/>
      <c r="C1423" s="20"/>
      <c r="D1423" s="22"/>
      <c r="E1423" s="15"/>
      <c r="F1423" s="23">
        <f>IF($B1423="","",IFERROR(INDEX(ProdNome,MATCH($B1423,ProdCod,0)),"Código não cadastrado"))</f>
        <v>0</v>
      </c>
      <c r="G1423" s="24">
        <f>IF(OR($B1423="",$D1423=""),"",$D1423*IFERROR(INDEX(ProdCusto,MATCH($B1423,ProdCod,0)),0))</f>
        <v>0</v>
      </c>
      <c r="H1423" s="25">
        <f>IF($A1423="","",IF(OR($B1423="",$C1423="",$D1423=""),"Preencher tudo",IF($F1423="Código não cadastrado","Código inválido","OK")))</f>
        <v>0</v>
      </c>
    </row>
    <row r="1424" spans="1:8">
      <c r="A1424" s="16"/>
      <c r="B1424" s="15"/>
      <c r="C1424" s="20"/>
      <c r="D1424" s="22"/>
      <c r="E1424" s="15"/>
      <c r="F1424" s="23">
        <f>IF($B1424="","",IFERROR(INDEX(ProdNome,MATCH($B1424,ProdCod,0)),"Código não cadastrado"))</f>
        <v>0</v>
      </c>
      <c r="G1424" s="24">
        <f>IF(OR($B1424="",$D1424=""),"",$D1424*IFERROR(INDEX(ProdCusto,MATCH($B1424,ProdCod,0)),0))</f>
        <v>0</v>
      </c>
      <c r="H1424" s="25">
        <f>IF($A1424="","",IF(OR($B1424="",$C1424="",$D1424=""),"Preencher tudo",IF($F1424="Código não cadastrado","Código inválido","OK")))</f>
        <v>0</v>
      </c>
    </row>
    <row r="1425" spans="1:8">
      <c r="A1425" s="16"/>
      <c r="B1425" s="15"/>
      <c r="C1425" s="20"/>
      <c r="D1425" s="22"/>
      <c r="E1425" s="15"/>
      <c r="F1425" s="23">
        <f>IF($B1425="","",IFERROR(INDEX(ProdNome,MATCH($B1425,ProdCod,0)),"Código não cadastrado"))</f>
        <v>0</v>
      </c>
      <c r="G1425" s="24">
        <f>IF(OR($B1425="",$D1425=""),"",$D1425*IFERROR(INDEX(ProdCusto,MATCH($B1425,ProdCod,0)),0))</f>
        <v>0</v>
      </c>
      <c r="H1425" s="25">
        <f>IF($A1425="","",IF(OR($B1425="",$C1425="",$D1425=""),"Preencher tudo",IF($F1425="Código não cadastrado","Código inválido","OK")))</f>
        <v>0</v>
      </c>
    </row>
    <row r="1426" spans="1:8">
      <c r="A1426" s="16"/>
      <c r="B1426" s="15"/>
      <c r="C1426" s="20"/>
      <c r="D1426" s="22"/>
      <c r="E1426" s="15"/>
      <c r="F1426" s="23">
        <f>IF($B1426="","",IFERROR(INDEX(ProdNome,MATCH($B1426,ProdCod,0)),"Código não cadastrado"))</f>
        <v>0</v>
      </c>
      <c r="G1426" s="24">
        <f>IF(OR($B1426="",$D1426=""),"",$D1426*IFERROR(INDEX(ProdCusto,MATCH($B1426,ProdCod,0)),0))</f>
        <v>0</v>
      </c>
      <c r="H1426" s="25">
        <f>IF($A1426="","",IF(OR($B1426="",$C1426="",$D1426=""),"Preencher tudo",IF($F1426="Código não cadastrado","Código inválido","OK")))</f>
        <v>0</v>
      </c>
    </row>
    <row r="1427" spans="1:8">
      <c r="A1427" s="16"/>
      <c r="B1427" s="15"/>
      <c r="C1427" s="20"/>
      <c r="D1427" s="22"/>
      <c r="E1427" s="15"/>
      <c r="F1427" s="23">
        <f>IF($B1427="","",IFERROR(INDEX(ProdNome,MATCH($B1427,ProdCod,0)),"Código não cadastrado"))</f>
        <v>0</v>
      </c>
      <c r="G1427" s="24">
        <f>IF(OR($B1427="",$D1427=""),"",$D1427*IFERROR(INDEX(ProdCusto,MATCH($B1427,ProdCod,0)),0))</f>
        <v>0</v>
      </c>
      <c r="H1427" s="25">
        <f>IF($A1427="","",IF(OR($B1427="",$C1427="",$D1427=""),"Preencher tudo",IF($F1427="Código não cadastrado","Código inválido","OK")))</f>
        <v>0</v>
      </c>
    </row>
    <row r="1428" spans="1:8">
      <c r="A1428" s="16"/>
      <c r="B1428" s="15"/>
      <c r="C1428" s="20"/>
      <c r="D1428" s="22"/>
      <c r="E1428" s="15"/>
      <c r="F1428" s="23">
        <f>IF($B1428="","",IFERROR(INDEX(ProdNome,MATCH($B1428,ProdCod,0)),"Código não cadastrado"))</f>
        <v>0</v>
      </c>
      <c r="G1428" s="24">
        <f>IF(OR($B1428="",$D1428=""),"",$D1428*IFERROR(INDEX(ProdCusto,MATCH($B1428,ProdCod,0)),0))</f>
        <v>0</v>
      </c>
      <c r="H1428" s="25">
        <f>IF($A1428="","",IF(OR($B1428="",$C1428="",$D1428=""),"Preencher tudo",IF($F1428="Código não cadastrado","Código inválido","OK")))</f>
        <v>0</v>
      </c>
    </row>
    <row r="1429" spans="1:8">
      <c r="A1429" s="16"/>
      <c r="B1429" s="15"/>
      <c r="C1429" s="20"/>
      <c r="D1429" s="22"/>
      <c r="E1429" s="15"/>
      <c r="F1429" s="23">
        <f>IF($B1429="","",IFERROR(INDEX(ProdNome,MATCH($B1429,ProdCod,0)),"Código não cadastrado"))</f>
        <v>0</v>
      </c>
      <c r="G1429" s="24">
        <f>IF(OR($B1429="",$D1429=""),"",$D1429*IFERROR(INDEX(ProdCusto,MATCH($B1429,ProdCod,0)),0))</f>
        <v>0</v>
      </c>
      <c r="H1429" s="25">
        <f>IF($A1429="","",IF(OR($B1429="",$C1429="",$D1429=""),"Preencher tudo",IF($F1429="Código não cadastrado","Código inválido","OK")))</f>
        <v>0</v>
      </c>
    </row>
    <row r="1430" spans="1:8">
      <c r="A1430" s="16"/>
      <c r="B1430" s="15"/>
      <c r="C1430" s="20"/>
      <c r="D1430" s="22"/>
      <c r="E1430" s="15"/>
      <c r="F1430" s="23">
        <f>IF($B1430="","",IFERROR(INDEX(ProdNome,MATCH($B1430,ProdCod,0)),"Código não cadastrado"))</f>
        <v>0</v>
      </c>
      <c r="G1430" s="24">
        <f>IF(OR($B1430="",$D1430=""),"",$D1430*IFERROR(INDEX(ProdCusto,MATCH($B1430,ProdCod,0)),0))</f>
        <v>0</v>
      </c>
      <c r="H1430" s="25">
        <f>IF($A1430="","",IF(OR($B1430="",$C1430="",$D1430=""),"Preencher tudo",IF($F1430="Código não cadastrado","Código inválido","OK")))</f>
        <v>0</v>
      </c>
    </row>
    <row r="1431" spans="1:8">
      <c r="A1431" s="16"/>
      <c r="B1431" s="15"/>
      <c r="C1431" s="20"/>
      <c r="D1431" s="22"/>
      <c r="E1431" s="15"/>
      <c r="F1431" s="23">
        <f>IF($B1431="","",IFERROR(INDEX(ProdNome,MATCH($B1431,ProdCod,0)),"Código não cadastrado"))</f>
        <v>0</v>
      </c>
      <c r="G1431" s="24">
        <f>IF(OR($B1431="",$D1431=""),"",$D1431*IFERROR(INDEX(ProdCusto,MATCH($B1431,ProdCod,0)),0))</f>
        <v>0</v>
      </c>
      <c r="H1431" s="25">
        <f>IF($A1431="","",IF(OR($B1431="",$C1431="",$D1431=""),"Preencher tudo",IF($F1431="Código não cadastrado","Código inválido","OK")))</f>
        <v>0</v>
      </c>
    </row>
    <row r="1432" spans="1:8">
      <c r="A1432" s="16"/>
      <c r="B1432" s="15"/>
      <c r="C1432" s="20"/>
      <c r="D1432" s="22"/>
      <c r="E1432" s="15"/>
      <c r="F1432" s="23">
        <f>IF($B1432="","",IFERROR(INDEX(ProdNome,MATCH($B1432,ProdCod,0)),"Código não cadastrado"))</f>
        <v>0</v>
      </c>
      <c r="G1432" s="24">
        <f>IF(OR($B1432="",$D1432=""),"",$D1432*IFERROR(INDEX(ProdCusto,MATCH($B1432,ProdCod,0)),0))</f>
        <v>0</v>
      </c>
      <c r="H1432" s="25">
        <f>IF($A1432="","",IF(OR($B1432="",$C1432="",$D1432=""),"Preencher tudo",IF($F1432="Código não cadastrado","Código inválido","OK")))</f>
        <v>0</v>
      </c>
    </row>
    <row r="1433" spans="1:8">
      <c r="A1433" s="16"/>
      <c r="B1433" s="15"/>
      <c r="C1433" s="20"/>
      <c r="D1433" s="22"/>
      <c r="E1433" s="15"/>
      <c r="F1433" s="23">
        <f>IF($B1433="","",IFERROR(INDEX(ProdNome,MATCH($B1433,ProdCod,0)),"Código não cadastrado"))</f>
        <v>0</v>
      </c>
      <c r="G1433" s="24">
        <f>IF(OR($B1433="",$D1433=""),"",$D1433*IFERROR(INDEX(ProdCusto,MATCH($B1433,ProdCod,0)),0))</f>
        <v>0</v>
      </c>
      <c r="H1433" s="25">
        <f>IF($A1433="","",IF(OR($B1433="",$C1433="",$D1433=""),"Preencher tudo",IF($F1433="Código não cadastrado","Código inválido","OK")))</f>
        <v>0</v>
      </c>
    </row>
    <row r="1434" spans="1:8">
      <c r="A1434" s="16"/>
      <c r="B1434" s="15"/>
      <c r="C1434" s="20"/>
      <c r="D1434" s="22"/>
      <c r="E1434" s="15"/>
      <c r="F1434" s="23">
        <f>IF($B1434="","",IFERROR(INDEX(ProdNome,MATCH($B1434,ProdCod,0)),"Código não cadastrado"))</f>
        <v>0</v>
      </c>
      <c r="G1434" s="24">
        <f>IF(OR($B1434="",$D1434=""),"",$D1434*IFERROR(INDEX(ProdCusto,MATCH($B1434,ProdCod,0)),0))</f>
        <v>0</v>
      </c>
      <c r="H1434" s="25">
        <f>IF($A1434="","",IF(OR($B1434="",$C1434="",$D1434=""),"Preencher tudo",IF($F1434="Código não cadastrado","Código inválido","OK")))</f>
        <v>0</v>
      </c>
    </row>
    <row r="1435" spans="1:8">
      <c r="A1435" s="16"/>
      <c r="B1435" s="15"/>
      <c r="C1435" s="20"/>
      <c r="D1435" s="22"/>
      <c r="E1435" s="15"/>
      <c r="F1435" s="23">
        <f>IF($B1435="","",IFERROR(INDEX(ProdNome,MATCH($B1435,ProdCod,0)),"Código não cadastrado"))</f>
        <v>0</v>
      </c>
      <c r="G1435" s="24">
        <f>IF(OR($B1435="",$D1435=""),"",$D1435*IFERROR(INDEX(ProdCusto,MATCH($B1435,ProdCod,0)),0))</f>
        <v>0</v>
      </c>
      <c r="H1435" s="25">
        <f>IF($A1435="","",IF(OR($B1435="",$C1435="",$D1435=""),"Preencher tudo",IF($F1435="Código não cadastrado","Código inválido","OK")))</f>
        <v>0</v>
      </c>
    </row>
    <row r="1436" spans="1:8">
      <c r="A1436" s="16"/>
      <c r="B1436" s="15"/>
      <c r="C1436" s="20"/>
      <c r="D1436" s="22"/>
      <c r="E1436" s="15"/>
      <c r="F1436" s="23">
        <f>IF($B1436="","",IFERROR(INDEX(ProdNome,MATCH($B1436,ProdCod,0)),"Código não cadastrado"))</f>
        <v>0</v>
      </c>
      <c r="G1436" s="24">
        <f>IF(OR($B1436="",$D1436=""),"",$D1436*IFERROR(INDEX(ProdCusto,MATCH($B1436,ProdCod,0)),0))</f>
        <v>0</v>
      </c>
      <c r="H1436" s="25">
        <f>IF($A1436="","",IF(OR($B1436="",$C1436="",$D1436=""),"Preencher tudo",IF($F1436="Código não cadastrado","Código inválido","OK")))</f>
        <v>0</v>
      </c>
    </row>
    <row r="1437" spans="1:8">
      <c r="A1437" s="16"/>
      <c r="B1437" s="15"/>
      <c r="C1437" s="20"/>
      <c r="D1437" s="22"/>
      <c r="E1437" s="15"/>
      <c r="F1437" s="23">
        <f>IF($B1437="","",IFERROR(INDEX(ProdNome,MATCH($B1437,ProdCod,0)),"Código não cadastrado"))</f>
        <v>0</v>
      </c>
      <c r="G1437" s="24">
        <f>IF(OR($B1437="",$D1437=""),"",$D1437*IFERROR(INDEX(ProdCusto,MATCH($B1437,ProdCod,0)),0))</f>
        <v>0</v>
      </c>
      <c r="H1437" s="25">
        <f>IF($A1437="","",IF(OR($B1437="",$C1437="",$D1437=""),"Preencher tudo",IF($F1437="Código não cadastrado","Código inválido","OK")))</f>
        <v>0</v>
      </c>
    </row>
    <row r="1438" spans="1:8">
      <c r="A1438" s="16"/>
      <c r="B1438" s="15"/>
      <c r="C1438" s="20"/>
      <c r="D1438" s="22"/>
      <c r="E1438" s="15"/>
      <c r="F1438" s="23">
        <f>IF($B1438="","",IFERROR(INDEX(ProdNome,MATCH($B1438,ProdCod,0)),"Código não cadastrado"))</f>
        <v>0</v>
      </c>
      <c r="G1438" s="24">
        <f>IF(OR($B1438="",$D1438=""),"",$D1438*IFERROR(INDEX(ProdCusto,MATCH($B1438,ProdCod,0)),0))</f>
        <v>0</v>
      </c>
      <c r="H1438" s="25">
        <f>IF($A1438="","",IF(OR($B1438="",$C1438="",$D1438=""),"Preencher tudo",IF($F1438="Código não cadastrado","Código inválido","OK")))</f>
        <v>0</v>
      </c>
    </row>
    <row r="1439" spans="1:8">
      <c r="A1439" s="16"/>
      <c r="B1439" s="15"/>
      <c r="C1439" s="20"/>
      <c r="D1439" s="22"/>
      <c r="E1439" s="15"/>
      <c r="F1439" s="23">
        <f>IF($B1439="","",IFERROR(INDEX(ProdNome,MATCH($B1439,ProdCod,0)),"Código não cadastrado"))</f>
        <v>0</v>
      </c>
      <c r="G1439" s="24">
        <f>IF(OR($B1439="",$D1439=""),"",$D1439*IFERROR(INDEX(ProdCusto,MATCH($B1439,ProdCod,0)),0))</f>
        <v>0</v>
      </c>
      <c r="H1439" s="25">
        <f>IF($A1439="","",IF(OR($B1439="",$C1439="",$D1439=""),"Preencher tudo",IF($F1439="Código não cadastrado","Código inválido","OK")))</f>
        <v>0</v>
      </c>
    </row>
    <row r="1440" spans="1:8">
      <c r="A1440" s="16"/>
      <c r="B1440" s="15"/>
      <c r="C1440" s="20"/>
      <c r="D1440" s="22"/>
      <c r="E1440" s="15"/>
      <c r="F1440" s="23">
        <f>IF($B1440="","",IFERROR(INDEX(ProdNome,MATCH($B1440,ProdCod,0)),"Código não cadastrado"))</f>
        <v>0</v>
      </c>
      <c r="G1440" s="24">
        <f>IF(OR($B1440="",$D1440=""),"",$D1440*IFERROR(INDEX(ProdCusto,MATCH($B1440,ProdCod,0)),0))</f>
        <v>0</v>
      </c>
      <c r="H1440" s="25">
        <f>IF($A1440="","",IF(OR($B1440="",$C1440="",$D1440=""),"Preencher tudo",IF($F1440="Código não cadastrado","Código inválido","OK")))</f>
        <v>0</v>
      </c>
    </row>
    <row r="1441" spans="1:8">
      <c r="A1441" s="16"/>
      <c r="B1441" s="15"/>
      <c r="C1441" s="20"/>
      <c r="D1441" s="22"/>
      <c r="E1441" s="15"/>
      <c r="F1441" s="23">
        <f>IF($B1441="","",IFERROR(INDEX(ProdNome,MATCH($B1441,ProdCod,0)),"Código não cadastrado"))</f>
        <v>0</v>
      </c>
      <c r="G1441" s="24">
        <f>IF(OR($B1441="",$D1441=""),"",$D1441*IFERROR(INDEX(ProdCusto,MATCH($B1441,ProdCod,0)),0))</f>
        <v>0</v>
      </c>
      <c r="H1441" s="25">
        <f>IF($A1441="","",IF(OR($B1441="",$C1441="",$D1441=""),"Preencher tudo",IF($F1441="Código não cadastrado","Código inválido","OK")))</f>
        <v>0</v>
      </c>
    </row>
    <row r="1442" spans="1:8">
      <c r="A1442" s="16"/>
      <c r="B1442" s="15"/>
      <c r="C1442" s="20"/>
      <c r="D1442" s="22"/>
      <c r="E1442" s="15"/>
      <c r="F1442" s="23">
        <f>IF($B1442="","",IFERROR(INDEX(ProdNome,MATCH($B1442,ProdCod,0)),"Código não cadastrado"))</f>
        <v>0</v>
      </c>
      <c r="G1442" s="24">
        <f>IF(OR($B1442="",$D1442=""),"",$D1442*IFERROR(INDEX(ProdCusto,MATCH($B1442,ProdCod,0)),0))</f>
        <v>0</v>
      </c>
      <c r="H1442" s="25">
        <f>IF($A1442="","",IF(OR($B1442="",$C1442="",$D1442=""),"Preencher tudo",IF($F1442="Código não cadastrado","Código inválido","OK")))</f>
        <v>0</v>
      </c>
    </row>
    <row r="1443" spans="1:8">
      <c r="A1443" s="16"/>
      <c r="B1443" s="15"/>
      <c r="C1443" s="20"/>
      <c r="D1443" s="22"/>
      <c r="E1443" s="15"/>
      <c r="F1443" s="23">
        <f>IF($B1443="","",IFERROR(INDEX(ProdNome,MATCH($B1443,ProdCod,0)),"Código não cadastrado"))</f>
        <v>0</v>
      </c>
      <c r="G1443" s="24">
        <f>IF(OR($B1443="",$D1443=""),"",$D1443*IFERROR(INDEX(ProdCusto,MATCH($B1443,ProdCod,0)),0))</f>
        <v>0</v>
      </c>
      <c r="H1443" s="25">
        <f>IF($A1443="","",IF(OR($B1443="",$C1443="",$D1443=""),"Preencher tudo",IF($F1443="Código não cadastrado","Código inválido","OK")))</f>
        <v>0</v>
      </c>
    </row>
    <row r="1444" spans="1:8">
      <c r="A1444" s="16"/>
      <c r="B1444" s="15"/>
      <c r="C1444" s="20"/>
      <c r="D1444" s="22"/>
      <c r="E1444" s="15"/>
      <c r="F1444" s="23">
        <f>IF($B1444="","",IFERROR(INDEX(ProdNome,MATCH($B1444,ProdCod,0)),"Código não cadastrado"))</f>
        <v>0</v>
      </c>
      <c r="G1444" s="24">
        <f>IF(OR($B1444="",$D1444=""),"",$D1444*IFERROR(INDEX(ProdCusto,MATCH($B1444,ProdCod,0)),0))</f>
        <v>0</v>
      </c>
      <c r="H1444" s="25">
        <f>IF($A1444="","",IF(OR($B1444="",$C1444="",$D1444=""),"Preencher tudo",IF($F1444="Código não cadastrado","Código inválido","OK")))</f>
        <v>0</v>
      </c>
    </row>
    <row r="1445" spans="1:8">
      <c r="A1445" s="16"/>
      <c r="B1445" s="15"/>
      <c r="C1445" s="20"/>
      <c r="D1445" s="22"/>
      <c r="E1445" s="15"/>
      <c r="F1445" s="23">
        <f>IF($B1445="","",IFERROR(INDEX(ProdNome,MATCH($B1445,ProdCod,0)),"Código não cadastrado"))</f>
        <v>0</v>
      </c>
      <c r="G1445" s="24">
        <f>IF(OR($B1445="",$D1445=""),"",$D1445*IFERROR(INDEX(ProdCusto,MATCH($B1445,ProdCod,0)),0))</f>
        <v>0</v>
      </c>
      <c r="H1445" s="25">
        <f>IF($A1445="","",IF(OR($B1445="",$C1445="",$D1445=""),"Preencher tudo",IF($F1445="Código não cadastrado","Código inválido","OK")))</f>
        <v>0</v>
      </c>
    </row>
    <row r="1446" spans="1:8">
      <c r="A1446" s="16"/>
      <c r="B1446" s="15"/>
      <c r="C1446" s="20"/>
      <c r="D1446" s="22"/>
      <c r="E1446" s="15"/>
      <c r="F1446" s="23">
        <f>IF($B1446="","",IFERROR(INDEX(ProdNome,MATCH($B1446,ProdCod,0)),"Código não cadastrado"))</f>
        <v>0</v>
      </c>
      <c r="G1446" s="24">
        <f>IF(OR($B1446="",$D1446=""),"",$D1446*IFERROR(INDEX(ProdCusto,MATCH($B1446,ProdCod,0)),0))</f>
        <v>0</v>
      </c>
      <c r="H1446" s="25">
        <f>IF($A1446="","",IF(OR($B1446="",$C1446="",$D1446=""),"Preencher tudo",IF($F1446="Código não cadastrado","Código inválido","OK")))</f>
        <v>0</v>
      </c>
    </row>
    <row r="1447" spans="1:8">
      <c r="A1447" s="16"/>
      <c r="B1447" s="15"/>
      <c r="C1447" s="20"/>
      <c r="D1447" s="22"/>
      <c r="E1447" s="15"/>
      <c r="F1447" s="23">
        <f>IF($B1447="","",IFERROR(INDEX(ProdNome,MATCH($B1447,ProdCod,0)),"Código não cadastrado"))</f>
        <v>0</v>
      </c>
      <c r="G1447" s="24">
        <f>IF(OR($B1447="",$D1447=""),"",$D1447*IFERROR(INDEX(ProdCusto,MATCH($B1447,ProdCod,0)),0))</f>
        <v>0</v>
      </c>
      <c r="H1447" s="25">
        <f>IF($A1447="","",IF(OR($B1447="",$C1447="",$D1447=""),"Preencher tudo",IF($F1447="Código não cadastrado","Código inválido","OK")))</f>
        <v>0</v>
      </c>
    </row>
    <row r="1448" spans="1:8">
      <c r="A1448" s="16"/>
      <c r="B1448" s="15"/>
      <c r="C1448" s="20"/>
      <c r="D1448" s="22"/>
      <c r="E1448" s="15"/>
      <c r="F1448" s="23">
        <f>IF($B1448="","",IFERROR(INDEX(ProdNome,MATCH($B1448,ProdCod,0)),"Código não cadastrado"))</f>
        <v>0</v>
      </c>
      <c r="G1448" s="24">
        <f>IF(OR($B1448="",$D1448=""),"",$D1448*IFERROR(INDEX(ProdCusto,MATCH($B1448,ProdCod,0)),0))</f>
        <v>0</v>
      </c>
      <c r="H1448" s="25">
        <f>IF($A1448="","",IF(OR($B1448="",$C1448="",$D1448=""),"Preencher tudo",IF($F1448="Código não cadastrado","Código inválido","OK")))</f>
        <v>0</v>
      </c>
    </row>
    <row r="1449" spans="1:8">
      <c r="A1449" s="16"/>
      <c r="B1449" s="15"/>
      <c r="C1449" s="20"/>
      <c r="D1449" s="22"/>
      <c r="E1449" s="15"/>
      <c r="F1449" s="23">
        <f>IF($B1449="","",IFERROR(INDEX(ProdNome,MATCH($B1449,ProdCod,0)),"Código não cadastrado"))</f>
        <v>0</v>
      </c>
      <c r="G1449" s="24">
        <f>IF(OR($B1449="",$D1449=""),"",$D1449*IFERROR(INDEX(ProdCusto,MATCH($B1449,ProdCod,0)),0))</f>
        <v>0</v>
      </c>
      <c r="H1449" s="25">
        <f>IF($A1449="","",IF(OR($B1449="",$C1449="",$D1449=""),"Preencher tudo",IF($F1449="Código não cadastrado","Código inválido","OK")))</f>
        <v>0</v>
      </c>
    </row>
    <row r="1450" spans="1:8">
      <c r="A1450" s="16"/>
      <c r="B1450" s="15"/>
      <c r="C1450" s="20"/>
      <c r="D1450" s="22"/>
      <c r="E1450" s="15"/>
      <c r="F1450" s="23">
        <f>IF($B1450="","",IFERROR(INDEX(ProdNome,MATCH($B1450,ProdCod,0)),"Código não cadastrado"))</f>
        <v>0</v>
      </c>
      <c r="G1450" s="24">
        <f>IF(OR($B1450="",$D1450=""),"",$D1450*IFERROR(INDEX(ProdCusto,MATCH($B1450,ProdCod,0)),0))</f>
        <v>0</v>
      </c>
      <c r="H1450" s="25">
        <f>IF($A1450="","",IF(OR($B1450="",$C1450="",$D1450=""),"Preencher tudo",IF($F1450="Código não cadastrado","Código inválido","OK")))</f>
        <v>0</v>
      </c>
    </row>
    <row r="1451" spans="1:8">
      <c r="A1451" s="16"/>
      <c r="B1451" s="15"/>
      <c r="C1451" s="20"/>
      <c r="D1451" s="22"/>
      <c r="E1451" s="15"/>
      <c r="F1451" s="23">
        <f>IF($B1451="","",IFERROR(INDEX(ProdNome,MATCH($B1451,ProdCod,0)),"Código não cadastrado"))</f>
        <v>0</v>
      </c>
      <c r="G1451" s="24">
        <f>IF(OR($B1451="",$D1451=""),"",$D1451*IFERROR(INDEX(ProdCusto,MATCH($B1451,ProdCod,0)),0))</f>
        <v>0</v>
      </c>
      <c r="H1451" s="25">
        <f>IF($A1451="","",IF(OR($B1451="",$C1451="",$D1451=""),"Preencher tudo",IF($F1451="Código não cadastrado","Código inválido","OK")))</f>
        <v>0</v>
      </c>
    </row>
    <row r="1452" spans="1:8">
      <c r="A1452" s="16"/>
      <c r="B1452" s="15"/>
      <c r="C1452" s="20"/>
      <c r="D1452" s="22"/>
      <c r="E1452" s="15"/>
      <c r="F1452" s="23">
        <f>IF($B1452="","",IFERROR(INDEX(ProdNome,MATCH($B1452,ProdCod,0)),"Código não cadastrado"))</f>
        <v>0</v>
      </c>
      <c r="G1452" s="24">
        <f>IF(OR($B1452="",$D1452=""),"",$D1452*IFERROR(INDEX(ProdCusto,MATCH($B1452,ProdCod,0)),0))</f>
        <v>0</v>
      </c>
      <c r="H1452" s="25">
        <f>IF($A1452="","",IF(OR($B1452="",$C1452="",$D1452=""),"Preencher tudo",IF($F1452="Código não cadastrado","Código inválido","OK")))</f>
        <v>0</v>
      </c>
    </row>
    <row r="1453" spans="1:8">
      <c r="A1453" s="16"/>
      <c r="B1453" s="15"/>
      <c r="C1453" s="20"/>
      <c r="D1453" s="22"/>
      <c r="E1453" s="15"/>
      <c r="F1453" s="23">
        <f>IF($B1453="","",IFERROR(INDEX(ProdNome,MATCH($B1453,ProdCod,0)),"Código não cadastrado"))</f>
        <v>0</v>
      </c>
      <c r="G1453" s="24">
        <f>IF(OR($B1453="",$D1453=""),"",$D1453*IFERROR(INDEX(ProdCusto,MATCH($B1453,ProdCod,0)),0))</f>
        <v>0</v>
      </c>
      <c r="H1453" s="25">
        <f>IF($A1453="","",IF(OR($B1453="",$C1453="",$D1453=""),"Preencher tudo",IF($F1453="Código não cadastrado","Código inválido","OK")))</f>
        <v>0</v>
      </c>
    </row>
    <row r="1454" spans="1:8">
      <c r="A1454" s="16"/>
      <c r="B1454" s="15"/>
      <c r="C1454" s="20"/>
      <c r="D1454" s="22"/>
      <c r="E1454" s="15"/>
      <c r="F1454" s="23">
        <f>IF($B1454="","",IFERROR(INDEX(ProdNome,MATCH($B1454,ProdCod,0)),"Código não cadastrado"))</f>
        <v>0</v>
      </c>
      <c r="G1454" s="24">
        <f>IF(OR($B1454="",$D1454=""),"",$D1454*IFERROR(INDEX(ProdCusto,MATCH($B1454,ProdCod,0)),0))</f>
        <v>0</v>
      </c>
      <c r="H1454" s="25">
        <f>IF($A1454="","",IF(OR($B1454="",$C1454="",$D1454=""),"Preencher tudo",IF($F1454="Código não cadastrado","Código inválido","OK")))</f>
        <v>0</v>
      </c>
    </row>
    <row r="1455" spans="1:8">
      <c r="A1455" s="16"/>
      <c r="B1455" s="15"/>
      <c r="C1455" s="20"/>
      <c r="D1455" s="22"/>
      <c r="E1455" s="15"/>
      <c r="F1455" s="23">
        <f>IF($B1455="","",IFERROR(INDEX(ProdNome,MATCH($B1455,ProdCod,0)),"Código não cadastrado"))</f>
        <v>0</v>
      </c>
      <c r="G1455" s="24">
        <f>IF(OR($B1455="",$D1455=""),"",$D1455*IFERROR(INDEX(ProdCusto,MATCH($B1455,ProdCod,0)),0))</f>
        <v>0</v>
      </c>
      <c r="H1455" s="25">
        <f>IF($A1455="","",IF(OR($B1455="",$C1455="",$D1455=""),"Preencher tudo",IF($F1455="Código não cadastrado","Código inválido","OK")))</f>
        <v>0</v>
      </c>
    </row>
    <row r="1456" spans="1:8">
      <c r="A1456" s="16"/>
      <c r="B1456" s="15"/>
      <c r="C1456" s="20"/>
      <c r="D1456" s="22"/>
      <c r="E1456" s="15"/>
      <c r="F1456" s="23">
        <f>IF($B1456="","",IFERROR(INDEX(ProdNome,MATCH($B1456,ProdCod,0)),"Código não cadastrado"))</f>
        <v>0</v>
      </c>
      <c r="G1456" s="24">
        <f>IF(OR($B1456="",$D1456=""),"",$D1456*IFERROR(INDEX(ProdCusto,MATCH($B1456,ProdCod,0)),0))</f>
        <v>0</v>
      </c>
      <c r="H1456" s="25">
        <f>IF($A1456="","",IF(OR($B1456="",$C1456="",$D1456=""),"Preencher tudo",IF($F1456="Código não cadastrado","Código inválido","OK")))</f>
        <v>0</v>
      </c>
    </row>
    <row r="1457" spans="1:8">
      <c r="A1457" s="16"/>
      <c r="B1457" s="15"/>
      <c r="C1457" s="20"/>
      <c r="D1457" s="22"/>
      <c r="E1457" s="15"/>
      <c r="F1457" s="23">
        <f>IF($B1457="","",IFERROR(INDEX(ProdNome,MATCH($B1457,ProdCod,0)),"Código não cadastrado"))</f>
        <v>0</v>
      </c>
      <c r="G1457" s="24">
        <f>IF(OR($B1457="",$D1457=""),"",$D1457*IFERROR(INDEX(ProdCusto,MATCH($B1457,ProdCod,0)),0))</f>
        <v>0</v>
      </c>
      <c r="H1457" s="25">
        <f>IF($A1457="","",IF(OR($B1457="",$C1457="",$D1457=""),"Preencher tudo",IF($F1457="Código não cadastrado","Código inválido","OK")))</f>
        <v>0</v>
      </c>
    </row>
    <row r="1458" spans="1:8">
      <c r="A1458" s="16"/>
      <c r="B1458" s="15"/>
      <c r="C1458" s="20"/>
      <c r="D1458" s="22"/>
      <c r="E1458" s="15"/>
      <c r="F1458" s="23">
        <f>IF($B1458="","",IFERROR(INDEX(ProdNome,MATCH($B1458,ProdCod,0)),"Código não cadastrado"))</f>
        <v>0</v>
      </c>
      <c r="G1458" s="24">
        <f>IF(OR($B1458="",$D1458=""),"",$D1458*IFERROR(INDEX(ProdCusto,MATCH($B1458,ProdCod,0)),0))</f>
        <v>0</v>
      </c>
      <c r="H1458" s="25">
        <f>IF($A1458="","",IF(OR($B1458="",$C1458="",$D1458=""),"Preencher tudo",IF($F1458="Código não cadastrado","Código inválido","OK")))</f>
        <v>0</v>
      </c>
    </row>
    <row r="1459" spans="1:8">
      <c r="A1459" s="16"/>
      <c r="B1459" s="15"/>
      <c r="C1459" s="20"/>
      <c r="D1459" s="22"/>
      <c r="E1459" s="15"/>
      <c r="F1459" s="23">
        <f>IF($B1459="","",IFERROR(INDEX(ProdNome,MATCH($B1459,ProdCod,0)),"Código não cadastrado"))</f>
        <v>0</v>
      </c>
      <c r="G1459" s="24">
        <f>IF(OR($B1459="",$D1459=""),"",$D1459*IFERROR(INDEX(ProdCusto,MATCH($B1459,ProdCod,0)),0))</f>
        <v>0</v>
      </c>
      <c r="H1459" s="25">
        <f>IF($A1459="","",IF(OR($B1459="",$C1459="",$D1459=""),"Preencher tudo",IF($F1459="Código não cadastrado","Código inválido","OK")))</f>
        <v>0</v>
      </c>
    </row>
    <row r="1460" spans="1:8">
      <c r="A1460" s="16"/>
      <c r="B1460" s="15"/>
      <c r="C1460" s="20"/>
      <c r="D1460" s="22"/>
      <c r="E1460" s="15"/>
      <c r="F1460" s="23">
        <f>IF($B1460="","",IFERROR(INDEX(ProdNome,MATCH($B1460,ProdCod,0)),"Código não cadastrado"))</f>
        <v>0</v>
      </c>
      <c r="G1460" s="24">
        <f>IF(OR($B1460="",$D1460=""),"",$D1460*IFERROR(INDEX(ProdCusto,MATCH($B1460,ProdCod,0)),0))</f>
        <v>0</v>
      </c>
      <c r="H1460" s="25">
        <f>IF($A1460="","",IF(OR($B1460="",$C1460="",$D1460=""),"Preencher tudo",IF($F1460="Código não cadastrado","Código inválido","OK")))</f>
        <v>0</v>
      </c>
    </row>
    <row r="1461" spans="1:8">
      <c r="A1461" s="16"/>
      <c r="B1461" s="15"/>
      <c r="C1461" s="20"/>
      <c r="D1461" s="22"/>
      <c r="E1461" s="15"/>
      <c r="F1461" s="23">
        <f>IF($B1461="","",IFERROR(INDEX(ProdNome,MATCH($B1461,ProdCod,0)),"Código não cadastrado"))</f>
        <v>0</v>
      </c>
      <c r="G1461" s="24">
        <f>IF(OR($B1461="",$D1461=""),"",$D1461*IFERROR(INDEX(ProdCusto,MATCH($B1461,ProdCod,0)),0))</f>
        <v>0</v>
      </c>
      <c r="H1461" s="25">
        <f>IF($A1461="","",IF(OR($B1461="",$C1461="",$D1461=""),"Preencher tudo",IF($F1461="Código não cadastrado","Código inválido","OK")))</f>
        <v>0</v>
      </c>
    </row>
    <row r="1462" spans="1:8">
      <c r="A1462" s="16"/>
      <c r="B1462" s="15"/>
      <c r="C1462" s="20"/>
      <c r="D1462" s="22"/>
      <c r="E1462" s="15"/>
      <c r="F1462" s="23">
        <f>IF($B1462="","",IFERROR(INDEX(ProdNome,MATCH($B1462,ProdCod,0)),"Código não cadastrado"))</f>
        <v>0</v>
      </c>
      <c r="G1462" s="24">
        <f>IF(OR($B1462="",$D1462=""),"",$D1462*IFERROR(INDEX(ProdCusto,MATCH($B1462,ProdCod,0)),0))</f>
        <v>0</v>
      </c>
      <c r="H1462" s="25">
        <f>IF($A1462="","",IF(OR($B1462="",$C1462="",$D1462=""),"Preencher tudo",IF($F1462="Código não cadastrado","Código inválido","OK")))</f>
        <v>0</v>
      </c>
    </row>
    <row r="1463" spans="1:8">
      <c r="A1463" s="16"/>
      <c r="B1463" s="15"/>
      <c r="C1463" s="20"/>
      <c r="D1463" s="22"/>
      <c r="E1463" s="15"/>
      <c r="F1463" s="23">
        <f>IF($B1463="","",IFERROR(INDEX(ProdNome,MATCH($B1463,ProdCod,0)),"Código não cadastrado"))</f>
        <v>0</v>
      </c>
      <c r="G1463" s="24">
        <f>IF(OR($B1463="",$D1463=""),"",$D1463*IFERROR(INDEX(ProdCusto,MATCH($B1463,ProdCod,0)),0))</f>
        <v>0</v>
      </c>
      <c r="H1463" s="25">
        <f>IF($A1463="","",IF(OR($B1463="",$C1463="",$D1463=""),"Preencher tudo",IF($F1463="Código não cadastrado","Código inválido","OK")))</f>
        <v>0</v>
      </c>
    </row>
    <row r="1464" spans="1:8">
      <c r="A1464" s="16"/>
      <c r="B1464" s="15"/>
      <c r="C1464" s="20"/>
      <c r="D1464" s="22"/>
      <c r="E1464" s="15"/>
      <c r="F1464" s="23">
        <f>IF($B1464="","",IFERROR(INDEX(ProdNome,MATCH($B1464,ProdCod,0)),"Código não cadastrado"))</f>
        <v>0</v>
      </c>
      <c r="G1464" s="24">
        <f>IF(OR($B1464="",$D1464=""),"",$D1464*IFERROR(INDEX(ProdCusto,MATCH($B1464,ProdCod,0)),0))</f>
        <v>0</v>
      </c>
      <c r="H1464" s="25">
        <f>IF($A1464="","",IF(OR($B1464="",$C1464="",$D1464=""),"Preencher tudo",IF($F1464="Código não cadastrado","Código inválido","OK")))</f>
        <v>0</v>
      </c>
    </row>
    <row r="1465" spans="1:8">
      <c r="A1465" s="16"/>
      <c r="B1465" s="15"/>
      <c r="C1465" s="20"/>
      <c r="D1465" s="22"/>
      <c r="E1465" s="15"/>
      <c r="F1465" s="23">
        <f>IF($B1465="","",IFERROR(INDEX(ProdNome,MATCH($B1465,ProdCod,0)),"Código não cadastrado"))</f>
        <v>0</v>
      </c>
      <c r="G1465" s="24">
        <f>IF(OR($B1465="",$D1465=""),"",$D1465*IFERROR(INDEX(ProdCusto,MATCH($B1465,ProdCod,0)),0))</f>
        <v>0</v>
      </c>
      <c r="H1465" s="25">
        <f>IF($A1465="","",IF(OR($B1465="",$C1465="",$D1465=""),"Preencher tudo",IF($F1465="Código não cadastrado","Código inválido","OK")))</f>
        <v>0</v>
      </c>
    </row>
    <row r="1466" spans="1:8">
      <c r="A1466" s="16"/>
      <c r="B1466" s="15"/>
      <c r="C1466" s="20"/>
      <c r="D1466" s="22"/>
      <c r="E1466" s="15"/>
      <c r="F1466" s="23">
        <f>IF($B1466="","",IFERROR(INDEX(ProdNome,MATCH($B1466,ProdCod,0)),"Código não cadastrado"))</f>
        <v>0</v>
      </c>
      <c r="G1466" s="24">
        <f>IF(OR($B1466="",$D1466=""),"",$D1466*IFERROR(INDEX(ProdCusto,MATCH($B1466,ProdCod,0)),0))</f>
        <v>0</v>
      </c>
      <c r="H1466" s="25">
        <f>IF($A1466="","",IF(OR($B1466="",$C1466="",$D1466=""),"Preencher tudo",IF($F1466="Código não cadastrado","Código inválido","OK")))</f>
        <v>0</v>
      </c>
    </row>
    <row r="1467" spans="1:8">
      <c r="A1467" s="16"/>
      <c r="B1467" s="15"/>
      <c r="C1467" s="20"/>
      <c r="D1467" s="22"/>
      <c r="E1467" s="15"/>
      <c r="F1467" s="23">
        <f>IF($B1467="","",IFERROR(INDEX(ProdNome,MATCH($B1467,ProdCod,0)),"Código não cadastrado"))</f>
        <v>0</v>
      </c>
      <c r="G1467" s="24">
        <f>IF(OR($B1467="",$D1467=""),"",$D1467*IFERROR(INDEX(ProdCusto,MATCH($B1467,ProdCod,0)),0))</f>
        <v>0</v>
      </c>
      <c r="H1467" s="25">
        <f>IF($A1467="","",IF(OR($B1467="",$C1467="",$D1467=""),"Preencher tudo",IF($F1467="Código não cadastrado","Código inválido","OK")))</f>
        <v>0</v>
      </c>
    </row>
    <row r="1468" spans="1:8">
      <c r="A1468" s="16"/>
      <c r="B1468" s="15"/>
      <c r="C1468" s="20"/>
      <c r="D1468" s="22"/>
      <c r="E1468" s="15"/>
      <c r="F1468" s="23">
        <f>IF($B1468="","",IFERROR(INDEX(ProdNome,MATCH($B1468,ProdCod,0)),"Código não cadastrado"))</f>
        <v>0</v>
      </c>
      <c r="G1468" s="24">
        <f>IF(OR($B1468="",$D1468=""),"",$D1468*IFERROR(INDEX(ProdCusto,MATCH($B1468,ProdCod,0)),0))</f>
        <v>0</v>
      </c>
      <c r="H1468" s="25">
        <f>IF($A1468="","",IF(OR($B1468="",$C1468="",$D1468=""),"Preencher tudo",IF($F1468="Código não cadastrado","Código inválido","OK")))</f>
        <v>0</v>
      </c>
    </row>
    <row r="1469" spans="1:8">
      <c r="A1469" s="16"/>
      <c r="B1469" s="15"/>
      <c r="C1469" s="20"/>
      <c r="D1469" s="22"/>
      <c r="E1469" s="15"/>
      <c r="F1469" s="23">
        <f>IF($B1469="","",IFERROR(INDEX(ProdNome,MATCH($B1469,ProdCod,0)),"Código não cadastrado"))</f>
        <v>0</v>
      </c>
      <c r="G1469" s="24">
        <f>IF(OR($B1469="",$D1469=""),"",$D1469*IFERROR(INDEX(ProdCusto,MATCH($B1469,ProdCod,0)),0))</f>
        <v>0</v>
      </c>
      <c r="H1469" s="25">
        <f>IF($A1469="","",IF(OR($B1469="",$C1469="",$D1469=""),"Preencher tudo",IF($F1469="Código não cadastrado","Código inválido","OK")))</f>
        <v>0</v>
      </c>
    </row>
    <row r="1470" spans="1:8">
      <c r="A1470" s="16"/>
      <c r="B1470" s="15"/>
      <c r="C1470" s="20"/>
      <c r="D1470" s="22"/>
      <c r="E1470" s="15"/>
      <c r="F1470" s="23">
        <f>IF($B1470="","",IFERROR(INDEX(ProdNome,MATCH($B1470,ProdCod,0)),"Código não cadastrado"))</f>
        <v>0</v>
      </c>
      <c r="G1470" s="24">
        <f>IF(OR($B1470="",$D1470=""),"",$D1470*IFERROR(INDEX(ProdCusto,MATCH($B1470,ProdCod,0)),0))</f>
        <v>0</v>
      </c>
      <c r="H1470" s="25">
        <f>IF($A1470="","",IF(OR($B1470="",$C1470="",$D1470=""),"Preencher tudo",IF($F1470="Código não cadastrado","Código inválido","OK")))</f>
        <v>0</v>
      </c>
    </row>
    <row r="1471" spans="1:8">
      <c r="A1471" s="16"/>
      <c r="B1471" s="15"/>
      <c r="C1471" s="20"/>
      <c r="D1471" s="22"/>
      <c r="E1471" s="15"/>
      <c r="F1471" s="23">
        <f>IF($B1471="","",IFERROR(INDEX(ProdNome,MATCH($B1471,ProdCod,0)),"Código não cadastrado"))</f>
        <v>0</v>
      </c>
      <c r="G1471" s="24">
        <f>IF(OR($B1471="",$D1471=""),"",$D1471*IFERROR(INDEX(ProdCusto,MATCH($B1471,ProdCod,0)),0))</f>
        <v>0</v>
      </c>
      <c r="H1471" s="25">
        <f>IF($A1471="","",IF(OR($B1471="",$C1471="",$D1471=""),"Preencher tudo",IF($F1471="Código não cadastrado","Código inválido","OK")))</f>
        <v>0</v>
      </c>
    </row>
    <row r="1472" spans="1:8">
      <c r="A1472" s="16"/>
      <c r="B1472" s="15"/>
      <c r="C1472" s="20"/>
      <c r="D1472" s="22"/>
      <c r="E1472" s="15"/>
      <c r="F1472" s="23">
        <f>IF($B1472="","",IFERROR(INDEX(ProdNome,MATCH($B1472,ProdCod,0)),"Código não cadastrado"))</f>
        <v>0</v>
      </c>
      <c r="G1472" s="24">
        <f>IF(OR($B1472="",$D1472=""),"",$D1472*IFERROR(INDEX(ProdCusto,MATCH($B1472,ProdCod,0)),0))</f>
        <v>0</v>
      </c>
      <c r="H1472" s="25">
        <f>IF($A1472="","",IF(OR($B1472="",$C1472="",$D1472=""),"Preencher tudo",IF($F1472="Código não cadastrado","Código inválido","OK")))</f>
        <v>0</v>
      </c>
    </row>
    <row r="1473" spans="1:8">
      <c r="A1473" s="16"/>
      <c r="B1473" s="15"/>
      <c r="C1473" s="20"/>
      <c r="D1473" s="22"/>
      <c r="E1473" s="15"/>
      <c r="F1473" s="23">
        <f>IF($B1473="","",IFERROR(INDEX(ProdNome,MATCH($B1473,ProdCod,0)),"Código não cadastrado"))</f>
        <v>0</v>
      </c>
      <c r="G1473" s="24">
        <f>IF(OR($B1473="",$D1473=""),"",$D1473*IFERROR(INDEX(ProdCusto,MATCH($B1473,ProdCod,0)),0))</f>
        <v>0</v>
      </c>
      <c r="H1473" s="25">
        <f>IF($A1473="","",IF(OR($B1473="",$C1473="",$D1473=""),"Preencher tudo",IF($F1473="Código não cadastrado","Código inválido","OK")))</f>
        <v>0</v>
      </c>
    </row>
    <row r="1474" spans="1:8">
      <c r="A1474" s="16"/>
      <c r="B1474" s="15"/>
      <c r="C1474" s="20"/>
      <c r="D1474" s="22"/>
      <c r="E1474" s="15"/>
      <c r="F1474" s="23">
        <f>IF($B1474="","",IFERROR(INDEX(ProdNome,MATCH($B1474,ProdCod,0)),"Código não cadastrado"))</f>
        <v>0</v>
      </c>
      <c r="G1474" s="24">
        <f>IF(OR($B1474="",$D1474=""),"",$D1474*IFERROR(INDEX(ProdCusto,MATCH($B1474,ProdCod,0)),0))</f>
        <v>0</v>
      </c>
      <c r="H1474" s="25">
        <f>IF($A1474="","",IF(OR($B1474="",$C1474="",$D1474=""),"Preencher tudo",IF($F1474="Código não cadastrado","Código inválido","OK")))</f>
        <v>0</v>
      </c>
    </row>
    <row r="1475" spans="1:8">
      <c r="A1475" s="16"/>
      <c r="B1475" s="15"/>
      <c r="C1475" s="20"/>
      <c r="D1475" s="22"/>
      <c r="E1475" s="15"/>
      <c r="F1475" s="23">
        <f>IF($B1475="","",IFERROR(INDEX(ProdNome,MATCH($B1475,ProdCod,0)),"Código não cadastrado"))</f>
        <v>0</v>
      </c>
      <c r="G1475" s="24">
        <f>IF(OR($B1475="",$D1475=""),"",$D1475*IFERROR(INDEX(ProdCusto,MATCH($B1475,ProdCod,0)),0))</f>
        <v>0</v>
      </c>
      <c r="H1475" s="25">
        <f>IF($A1475="","",IF(OR($B1475="",$C1475="",$D1475=""),"Preencher tudo",IF($F1475="Código não cadastrado","Código inválido","OK")))</f>
        <v>0</v>
      </c>
    </row>
    <row r="1476" spans="1:8">
      <c r="A1476" s="16"/>
      <c r="B1476" s="15"/>
      <c r="C1476" s="20"/>
      <c r="D1476" s="22"/>
      <c r="E1476" s="15"/>
      <c r="F1476" s="23">
        <f>IF($B1476="","",IFERROR(INDEX(ProdNome,MATCH($B1476,ProdCod,0)),"Código não cadastrado"))</f>
        <v>0</v>
      </c>
      <c r="G1476" s="24">
        <f>IF(OR($B1476="",$D1476=""),"",$D1476*IFERROR(INDEX(ProdCusto,MATCH($B1476,ProdCod,0)),0))</f>
        <v>0</v>
      </c>
      <c r="H1476" s="25">
        <f>IF($A1476="","",IF(OR($B1476="",$C1476="",$D1476=""),"Preencher tudo",IF($F1476="Código não cadastrado","Código inválido","OK")))</f>
        <v>0</v>
      </c>
    </row>
    <row r="1477" spans="1:8">
      <c r="A1477" s="16"/>
      <c r="B1477" s="15"/>
      <c r="C1477" s="20"/>
      <c r="D1477" s="22"/>
      <c r="E1477" s="15"/>
      <c r="F1477" s="23">
        <f>IF($B1477="","",IFERROR(INDEX(ProdNome,MATCH($B1477,ProdCod,0)),"Código não cadastrado"))</f>
        <v>0</v>
      </c>
      <c r="G1477" s="24">
        <f>IF(OR($B1477="",$D1477=""),"",$D1477*IFERROR(INDEX(ProdCusto,MATCH($B1477,ProdCod,0)),0))</f>
        <v>0</v>
      </c>
      <c r="H1477" s="25">
        <f>IF($A1477="","",IF(OR($B1477="",$C1477="",$D1477=""),"Preencher tudo",IF($F1477="Código não cadastrado","Código inválido","OK")))</f>
        <v>0</v>
      </c>
    </row>
    <row r="1478" spans="1:8">
      <c r="A1478" s="16"/>
      <c r="B1478" s="15"/>
      <c r="C1478" s="20"/>
      <c r="D1478" s="22"/>
      <c r="E1478" s="15"/>
      <c r="F1478" s="23">
        <f>IF($B1478="","",IFERROR(INDEX(ProdNome,MATCH($B1478,ProdCod,0)),"Código não cadastrado"))</f>
        <v>0</v>
      </c>
      <c r="G1478" s="24">
        <f>IF(OR($B1478="",$D1478=""),"",$D1478*IFERROR(INDEX(ProdCusto,MATCH($B1478,ProdCod,0)),0))</f>
        <v>0</v>
      </c>
      <c r="H1478" s="25">
        <f>IF($A1478="","",IF(OR($B1478="",$C1478="",$D1478=""),"Preencher tudo",IF($F1478="Código não cadastrado","Código inválido","OK")))</f>
        <v>0</v>
      </c>
    </row>
    <row r="1479" spans="1:8">
      <c r="A1479" s="16"/>
      <c r="B1479" s="15"/>
      <c r="C1479" s="20"/>
      <c r="D1479" s="22"/>
      <c r="E1479" s="15"/>
      <c r="F1479" s="23">
        <f>IF($B1479="","",IFERROR(INDEX(ProdNome,MATCH($B1479,ProdCod,0)),"Código não cadastrado"))</f>
        <v>0</v>
      </c>
      <c r="G1479" s="24">
        <f>IF(OR($B1479="",$D1479=""),"",$D1479*IFERROR(INDEX(ProdCusto,MATCH($B1479,ProdCod,0)),0))</f>
        <v>0</v>
      </c>
      <c r="H1479" s="25">
        <f>IF($A1479="","",IF(OR($B1479="",$C1479="",$D1479=""),"Preencher tudo",IF($F1479="Código não cadastrado","Código inválido","OK")))</f>
        <v>0</v>
      </c>
    </row>
    <row r="1480" spans="1:8">
      <c r="A1480" s="16"/>
      <c r="B1480" s="15"/>
      <c r="C1480" s="20"/>
      <c r="D1480" s="22"/>
      <c r="E1480" s="15"/>
      <c r="F1480" s="23">
        <f>IF($B1480="","",IFERROR(INDEX(ProdNome,MATCH($B1480,ProdCod,0)),"Código não cadastrado"))</f>
        <v>0</v>
      </c>
      <c r="G1480" s="24">
        <f>IF(OR($B1480="",$D1480=""),"",$D1480*IFERROR(INDEX(ProdCusto,MATCH($B1480,ProdCod,0)),0))</f>
        <v>0</v>
      </c>
      <c r="H1480" s="25">
        <f>IF($A1480="","",IF(OR($B1480="",$C1480="",$D1480=""),"Preencher tudo",IF($F1480="Código não cadastrado","Código inválido","OK")))</f>
        <v>0</v>
      </c>
    </row>
    <row r="1481" spans="1:8">
      <c r="A1481" s="16"/>
      <c r="B1481" s="15"/>
      <c r="C1481" s="20"/>
      <c r="D1481" s="22"/>
      <c r="E1481" s="15"/>
      <c r="F1481" s="23">
        <f>IF($B1481="","",IFERROR(INDEX(ProdNome,MATCH($B1481,ProdCod,0)),"Código não cadastrado"))</f>
        <v>0</v>
      </c>
      <c r="G1481" s="24">
        <f>IF(OR($B1481="",$D1481=""),"",$D1481*IFERROR(INDEX(ProdCusto,MATCH($B1481,ProdCod,0)),0))</f>
        <v>0</v>
      </c>
      <c r="H1481" s="25">
        <f>IF($A1481="","",IF(OR($B1481="",$C1481="",$D1481=""),"Preencher tudo",IF($F1481="Código não cadastrado","Código inválido","OK")))</f>
        <v>0</v>
      </c>
    </row>
    <row r="1482" spans="1:8">
      <c r="A1482" s="16"/>
      <c r="B1482" s="15"/>
      <c r="C1482" s="20"/>
      <c r="D1482" s="22"/>
      <c r="E1482" s="15"/>
      <c r="F1482" s="23">
        <f>IF($B1482="","",IFERROR(INDEX(ProdNome,MATCH($B1482,ProdCod,0)),"Código não cadastrado"))</f>
        <v>0</v>
      </c>
      <c r="G1482" s="24">
        <f>IF(OR($B1482="",$D1482=""),"",$D1482*IFERROR(INDEX(ProdCusto,MATCH($B1482,ProdCod,0)),0))</f>
        <v>0</v>
      </c>
      <c r="H1482" s="25">
        <f>IF($A1482="","",IF(OR($B1482="",$C1482="",$D1482=""),"Preencher tudo",IF($F1482="Código não cadastrado","Código inválido","OK")))</f>
        <v>0</v>
      </c>
    </row>
    <row r="1483" spans="1:8">
      <c r="A1483" s="16"/>
      <c r="B1483" s="15"/>
      <c r="C1483" s="20"/>
      <c r="D1483" s="22"/>
      <c r="E1483" s="15"/>
      <c r="F1483" s="23">
        <f>IF($B1483="","",IFERROR(INDEX(ProdNome,MATCH($B1483,ProdCod,0)),"Código não cadastrado"))</f>
        <v>0</v>
      </c>
      <c r="G1483" s="24">
        <f>IF(OR($B1483="",$D1483=""),"",$D1483*IFERROR(INDEX(ProdCusto,MATCH($B1483,ProdCod,0)),0))</f>
        <v>0</v>
      </c>
      <c r="H1483" s="25">
        <f>IF($A1483="","",IF(OR($B1483="",$C1483="",$D1483=""),"Preencher tudo",IF($F1483="Código não cadastrado","Código inválido","OK")))</f>
        <v>0</v>
      </c>
    </row>
    <row r="1484" spans="1:8">
      <c r="A1484" s="16"/>
      <c r="B1484" s="15"/>
      <c r="C1484" s="20"/>
      <c r="D1484" s="22"/>
      <c r="E1484" s="15"/>
      <c r="F1484" s="23">
        <f>IF($B1484="","",IFERROR(INDEX(ProdNome,MATCH($B1484,ProdCod,0)),"Código não cadastrado"))</f>
        <v>0</v>
      </c>
      <c r="G1484" s="24">
        <f>IF(OR($B1484="",$D1484=""),"",$D1484*IFERROR(INDEX(ProdCusto,MATCH($B1484,ProdCod,0)),0))</f>
        <v>0</v>
      </c>
      <c r="H1484" s="25">
        <f>IF($A1484="","",IF(OR($B1484="",$C1484="",$D1484=""),"Preencher tudo",IF($F1484="Código não cadastrado","Código inválido","OK")))</f>
        <v>0</v>
      </c>
    </row>
    <row r="1485" spans="1:8">
      <c r="A1485" s="16"/>
      <c r="B1485" s="15"/>
      <c r="C1485" s="20"/>
      <c r="D1485" s="22"/>
      <c r="E1485" s="15"/>
      <c r="F1485" s="23">
        <f>IF($B1485="","",IFERROR(INDEX(ProdNome,MATCH($B1485,ProdCod,0)),"Código não cadastrado"))</f>
        <v>0</v>
      </c>
      <c r="G1485" s="24">
        <f>IF(OR($B1485="",$D1485=""),"",$D1485*IFERROR(INDEX(ProdCusto,MATCH($B1485,ProdCod,0)),0))</f>
        <v>0</v>
      </c>
      <c r="H1485" s="25">
        <f>IF($A1485="","",IF(OR($B1485="",$C1485="",$D1485=""),"Preencher tudo",IF($F1485="Código não cadastrado","Código inválido","OK")))</f>
        <v>0</v>
      </c>
    </row>
    <row r="1486" spans="1:8">
      <c r="A1486" s="16"/>
      <c r="B1486" s="15"/>
      <c r="C1486" s="20"/>
      <c r="D1486" s="22"/>
      <c r="E1486" s="15"/>
      <c r="F1486" s="23">
        <f>IF($B1486="","",IFERROR(INDEX(ProdNome,MATCH($B1486,ProdCod,0)),"Código não cadastrado"))</f>
        <v>0</v>
      </c>
      <c r="G1486" s="24">
        <f>IF(OR($B1486="",$D1486=""),"",$D1486*IFERROR(INDEX(ProdCusto,MATCH($B1486,ProdCod,0)),0))</f>
        <v>0</v>
      </c>
      <c r="H1486" s="25">
        <f>IF($A1486="","",IF(OR($B1486="",$C1486="",$D1486=""),"Preencher tudo",IF($F1486="Código não cadastrado","Código inválido","OK")))</f>
        <v>0</v>
      </c>
    </row>
    <row r="1487" spans="1:8">
      <c r="A1487" s="16"/>
      <c r="B1487" s="15"/>
      <c r="C1487" s="20"/>
      <c r="D1487" s="22"/>
      <c r="E1487" s="15"/>
      <c r="F1487" s="23">
        <f>IF($B1487="","",IFERROR(INDEX(ProdNome,MATCH($B1487,ProdCod,0)),"Código não cadastrado"))</f>
        <v>0</v>
      </c>
      <c r="G1487" s="24">
        <f>IF(OR($B1487="",$D1487=""),"",$D1487*IFERROR(INDEX(ProdCusto,MATCH($B1487,ProdCod,0)),0))</f>
        <v>0</v>
      </c>
      <c r="H1487" s="25">
        <f>IF($A1487="","",IF(OR($B1487="",$C1487="",$D1487=""),"Preencher tudo",IF($F1487="Código não cadastrado","Código inválido","OK")))</f>
        <v>0</v>
      </c>
    </row>
    <row r="1488" spans="1:8">
      <c r="A1488" s="16"/>
      <c r="B1488" s="15"/>
      <c r="C1488" s="20"/>
      <c r="D1488" s="22"/>
      <c r="E1488" s="15"/>
      <c r="F1488" s="23">
        <f>IF($B1488="","",IFERROR(INDEX(ProdNome,MATCH($B1488,ProdCod,0)),"Código não cadastrado"))</f>
        <v>0</v>
      </c>
      <c r="G1488" s="24">
        <f>IF(OR($B1488="",$D1488=""),"",$D1488*IFERROR(INDEX(ProdCusto,MATCH($B1488,ProdCod,0)),0))</f>
        <v>0</v>
      </c>
      <c r="H1488" s="25">
        <f>IF($A1488="","",IF(OR($B1488="",$C1488="",$D1488=""),"Preencher tudo",IF($F1488="Código não cadastrado","Código inválido","OK")))</f>
        <v>0</v>
      </c>
    </row>
    <row r="1489" spans="1:8">
      <c r="A1489" s="16"/>
      <c r="B1489" s="15"/>
      <c r="C1489" s="20"/>
      <c r="D1489" s="22"/>
      <c r="E1489" s="15"/>
      <c r="F1489" s="23">
        <f>IF($B1489="","",IFERROR(INDEX(ProdNome,MATCH($B1489,ProdCod,0)),"Código não cadastrado"))</f>
        <v>0</v>
      </c>
      <c r="G1489" s="24">
        <f>IF(OR($B1489="",$D1489=""),"",$D1489*IFERROR(INDEX(ProdCusto,MATCH($B1489,ProdCod,0)),0))</f>
        <v>0</v>
      </c>
      <c r="H1489" s="25">
        <f>IF($A1489="","",IF(OR($B1489="",$C1489="",$D1489=""),"Preencher tudo",IF($F1489="Código não cadastrado","Código inválido","OK")))</f>
        <v>0</v>
      </c>
    </row>
    <row r="1490" spans="1:8">
      <c r="A1490" s="16"/>
      <c r="B1490" s="15"/>
      <c r="C1490" s="20"/>
      <c r="D1490" s="22"/>
      <c r="E1490" s="15"/>
      <c r="F1490" s="23">
        <f>IF($B1490="","",IFERROR(INDEX(ProdNome,MATCH($B1490,ProdCod,0)),"Código não cadastrado"))</f>
        <v>0</v>
      </c>
      <c r="G1490" s="24">
        <f>IF(OR($B1490="",$D1490=""),"",$D1490*IFERROR(INDEX(ProdCusto,MATCH($B1490,ProdCod,0)),0))</f>
        <v>0</v>
      </c>
      <c r="H1490" s="25">
        <f>IF($A1490="","",IF(OR($B1490="",$C1490="",$D1490=""),"Preencher tudo",IF($F1490="Código não cadastrado","Código inválido","OK")))</f>
        <v>0</v>
      </c>
    </row>
    <row r="1491" spans="1:8">
      <c r="A1491" s="16"/>
      <c r="B1491" s="15"/>
      <c r="C1491" s="20"/>
      <c r="D1491" s="22"/>
      <c r="E1491" s="15"/>
      <c r="F1491" s="23">
        <f>IF($B1491="","",IFERROR(INDEX(ProdNome,MATCH($B1491,ProdCod,0)),"Código não cadastrado"))</f>
        <v>0</v>
      </c>
      <c r="G1491" s="24">
        <f>IF(OR($B1491="",$D1491=""),"",$D1491*IFERROR(INDEX(ProdCusto,MATCH($B1491,ProdCod,0)),0))</f>
        <v>0</v>
      </c>
      <c r="H1491" s="25">
        <f>IF($A1491="","",IF(OR($B1491="",$C1491="",$D1491=""),"Preencher tudo",IF($F1491="Código não cadastrado","Código inválido","OK")))</f>
        <v>0</v>
      </c>
    </row>
    <row r="1492" spans="1:8">
      <c r="A1492" s="16"/>
      <c r="B1492" s="15"/>
      <c r="C1492" s="20"/>
      <c r="D1492" s="22"/>
      <c r="E1492" s="15"/>
      <c r="F1492" s="23">
        <f>IF($B1492="","",IFERROR(INDEX(ProdNome,MATCH($B1492,ProdCod,0)),"Código não cadastrado"))</f>
        <v>0</v>
      </c>
      <c r="G1492" s="24">
        <f>IF(OR($B1492="",$D1492=""),"",$D1492*IFERROR(INDEX(ProdCusto,MATCH($B1492,ProdCod,0)),0))</f>
        <v>0</v>
      </c>
      <c r="H1492" s="25">
        <f>IF($A1492="","",IF(OR($B1492="",$C1492="",$D1492=""),"Preencher tudo",IF($F1492="Código não cadastrado","Código inválido","OK")))</f>
        <v>0</v>
      </c>
    </row>
    <row r="1493" spans="1:8">
      <c r="A1493" s="16"/>
      <c r="B1493" s="15"/>
      <c r="C1493" s="20"/>
      <c r="D1493" s="22"/>
      <c r="E1493" s="15"/>
      <c r="F1493" s="23">
        <f>IF($B1493="","",IFERROR(INDEX(ProdNome,MATCH($B1493,ProdCod,0)),"Código não cadastrado"))</f>
        <v>0</v>
      </c>
      <c r="G1493" s="24">
        <f>IF(OR($B1493="",$D1493=""),"",$D1493*IFERROR(INDEX(ProdCusto,MATCH($B1493,ProdCod,0)),0))</f>
        <v>0</v>
      </c>
      <c r="H1493" s="25">
        <f>IF($A1493="","",IF(OR($B1493="",$C1493="",$D1493=""),"Preencher tudo",IF($F1493="Código não cadastrado","Código inválido","OK")))</f>
        <v>0</v>
      </c>
    </row>
    <row r="1494" spans="1:8">
      <c r="A1494" s="16"/>
      <c r="B1494" s="15"/>
      <c r="C1494" s="20"/>
      <c r="D1494" s="22"/>
      <c r="E1494" s="15"/>
      <c r="F1494" s="23">
        <f>IF($B1494="","",IFERROR(INDEX(ProdNome,MATCH($B1494,ProdCod,0)),"Código não cadastrado"))</f>
        <v>0</v>
      </c>
      <c r="G1494" s="24">
        <f>IF(OR($B1494="",$D1494=""),"",$D1494*IFERROR(INDEX(ProdCusto,MATCH($B1494,ProdCod,0)),0))</f>
        <v>0</v>
      </c>
      <c r="H1494" s="25">
        <f>IF($A1494="","",IF(OR($B1494="",$C1494="",$D1494=""),"Preencher tudo",IF($F1494="Código não cadastrado","Código inválido","OK")))</f>
        <v>0</v>
      </c>
    </row>
    <row r="1495" spans="1:8">
      <c r="A1495" s="16"/>
      <c r="B1495" s="15"/>
      <c r="C1495" s="20"/>
      <c r="D1495" s="22"/>
      <c r="E1495" s="15"/>
      <c r="F1495" s="23">
        <f>IF($B1495="","",IFERROR(INDEX(ProdNome,MATCH($B1495,ProdCod,0)),"Código não cadastrado"))</f>
        <v>0</v>
      </c>
      <c r="G1495" s="24">
        <f>IF(OR($B1495="",$D1495=""),"",$D1495*IFERROR(INDEX(ProdCusto,MATCH($B1495,ProdCod,0)),0))</f>
        <v>0</v>
      </c>
      <c r="H1495" s="25">
        <f>IF($A1495="","",IF(OR($B1495="",$C1495="",$D1495=""),"Preencher tudo",IF($F1495="Código não cadastrado","Código inválido","OK")))</f>
        <v>0</v>
      </c>
    </row>
    <row r="1496" spans="1:8">
      <c r="A1496" s="16"/>
      <c r="B1496" s="15"/>
      <c r="C1496" s="20"/>
      <c r="D1496" s="22"/>
      <c r="E1496" s="15"/>
      <c r="F1496" s="23">
        <f>IF($B1496="","",IFERROR(INDEX(ProdNome,MATCH($B1496,ProdCod,0)),"Código não cadastrado"))</f>
        <v>0</v>
      </c>
      <c r="G1496" s="24">
        <f>IF(OR($B1496="",$D1496=""),"",$D1496*IFERROR(INDEX(ProdCusto,MATCH($B1496,ProdCod,0)),0))</f>
        <v>0</v>
      </c>
      <c r="H1496" s="25">
        <f>IF($A1496="","",IF(OR($B1496="",$C1496="",$D1496=""),"Preencher tudo",IF($F1496="Código não cadastrado","Código inválido","OK")))</f>
        <v>0</v>
      </c>
    </row>
    <row r="1497" spans="1:8">
      <c r="A1497" s="16"/>
      <c r="B1497" s="15"/>
      <c r="C1497" s="20"/>
      <c r="D1497" s="22"/>
      <c r="E1497" s="15"/>
      <c r="F1497" s="23">
        <f>IF($B1497="","",IFERROR(INDEX(ProdNome,MATCH($B1497,ProdCod,0)),"Código não cadastrado"))</f>
        <v>0</v>
      </c>
      <c r="G1497" s="24">
        <f>IF(OR($B1497="",$D1497=""),"",$D1497*IFERROR(INDEX(ProdCusto,MATCH($B1497,ProdCod,0)),0))</f>
        <v>0</v>
      </c>
      <c r="H1497" s="25">
        <f>IF($A1497="","",IF(OR($B1497="",$C1497="",$D1497=""),"Preencher tudo",IF($F1497="Código não cadastrado","Código inválido","OK")))</f>
        <v>0</v>
      </c>
    </row>
    <row r="1498" spans="1:8">
      <c r="A1498" s="16"/>
      <c r="B1498" s="15"/>
      <c r="C1498" s="20"/>
      <c r="D1498" s="22"/>
      <c r="E1498" s="15"/>
      <c r="F1498" s="23">
        <f>IF($B1498="","",IFERROR(INDEX(ProdNome,MATCH($B1498,ProdCod,0)),"Código não cadastrado"))</f>
        <v>0</v>
      </c>
      <c r="G1498" s="24">
        <f>IF(OR($B1498="",$D1498=""),"",$D1498*IFERROR(INDEX(ProdCusto,MATCH($B1498,ProdCod,0)),0))</f>
        <v>0</v>
      </c>
      <c r="H1498" s="25">
        <f>IF($A1498="","",IF(OR($B1498="",$C1498="",$D1498=""),"Preencher tudo",IF($F1498="Código não cadastrado","Código inválido","OK")))</f>
        <v>0</v>
      </c>
    </row>
    <row r="1499" spans="1:8">
      <c r="A1499" s="16"/>
      <c r="B1499" s="15"/>
      <c r="C1499" s="20"/>
      <c r="D1499" s="22"/>
      <c r="E1499" s="15"/>
      <c r="F1499" s="23">
        <f>IF($B1499="","",IFERROR(INDEX(ProdNome,MATCH($B1499,ProdCod,0)),"Código não cadastrado"))</f>
        <v>0</v>
      </c>
      <c r="G1499" s="24">
        <f>IF(OR($B1499="",$D1499=""),"",$D1499*IFERROR(INDEX(ProdCusto,MATCH($B1499,ProdCod,0)),0))</f>
        <v>0</v>
      </c>
      <c r="H1499" s="25">
        <f>IF($A1499="","",IF(OR($B1499="",$C1499="",$D1499=""),"Preencher tudo",IF($F1499="Código não cadastrado","Código inválido","OK")))</f>
        <v>0</v>
      </c>
    </row>
    <row r="1500" spans="1:8">
      <c r="A1500" s="16"/>
      <c r="B1500" s="15"/>
      <c r="C1500" s="20"/>
      <c r="D1500" s="22"/>
      <c r="E1500" s="15"/>
      <c r="F1500" s="23">
        <f>IF($B1500="","",IFERROR(INDEX(ProdNome,MATCH($B1500,ProdCod,0)),"Código não cadastrado"))</f>
        <v>0</v>
      </c>
      <c r="G1500" s="24">
        <f>IF(OR($B1500="",$D1500=""),"",$D1500*IFERROR(INDEX(ProdCusto,MATCH($B1500,ProdCod,0)),0))</f>
        <v>0</v>
      </c>
      <c r="H1500" s="25">
        <f>IF($A1500="","",IF(OR($B1500="",$C1500="",$D1500=""),"Preencher tudo",IF($F1500="Código não cadastrado","Código inválido","OK")))</f>
        <v>0</v>
      </c>
    </row>
    <row r="1501" spans="1:8">
      <c r="A1501" s="16"/>
      <c r="B1501" s="15"/>
      <c r="C1501" s="20"/>
      <c r="D1501" s="22"/>
      <c r="E1501" s="15"/>
      <c r="F1501" s="23">
        <f>IF($B1501="","",IFERROR(INDEX(ProdNome,MATCH($B1501,ProdCod,0)),"Código não cadastrado"))</f>
        <v>0</v>
      </c>
      <c r="G1501" s="24">
        <f>IF(OR($B1501="",$D1501=""),"",$D1501*IFERROR(INDEX(ProdCusto,MATCH($B1501,ProdCod,0)),0))</f>
        <v>0</v>
      </c>
      <c r="H1501" s="25">
        <f>IF($A1501="","",IF(OR($B1501="",$C1501="",$D1501=""),"Preencher tudo",IF($F1501="Código não cadastrado","Código inválido","OK")))</f>
        <v>0</v>
      </c>
    </row>
    <row r="1502" spans="1:8">
      <c r="A1502" s="16"/>
      <c r="B1502" s="15"/>
      <c r="C1502" s="20"/>
      <c r="D1502" s="22"/>
      <c r="E1502" s="15"/>
      <c r="F1502" s="23">
        <f>IF($B1502="","",IFERROR(INDEX(ProdNome,MATCH($B1502,ProdCod,0)),"Código não cadastrado"))</f>
        <v>0</v>
      </c>
      <c r="G1502" s="24">
        <f>IF(OR($B1502="",$D1502=""),"",$D1502*IFERROR(INDEX(ProdCusto,MATCH($B1502,ProdCod,0)),0))</f>
        <v>0</v>
      </c>
      <c r="H1502" s="25">
        <f>IF($A1502="","",IF(OR($B1502="",$C1502="",$D1502=""),"Preencher tudo",IF($F1502="Código não cadastrado","Código inválido","OK")))</f>
        <v>0</v>
      </c>
    </row>
    <row r="1503" spans="1:8">
      <c r="A1503" s="16"/>
      <c r="B1503" s="15"/>
      <c r="C1503" s="20"/>
      <c r="D1503" s="22"/>
      <c r="E1503" s="15"/>
      <c r="F1503" s="23">
        <f>IF($B1503="","",IFERROR(INDEX(ProdNome,MATCH($B1503,ProdCod,0)),"Código não cadastrado"))</f>
        <v>0</v>
      </c>
      <c r="G1503" s="24">
        <f>IF(OR($B1503="",$D1503=""),"",$D1503*IFERROR(INDEX(ProdCusto,MATCH($B1503,ProdCod,0)),0))</f>
        <v>0</v>
      </c>
      <c r="H1503" s="25">
        <f>IF($A1503="","",IF(OR($B1503="",$C1503="",$D1503=""),"Preencher tudo",IF($F1503="Código não cadastrado","Código inválido","OK")))</f>
        <v>0</v>
      </c>
    </row>
    <row r="1504" spans="1:8">
      <c r="A1504" s="16"/>
      <c r="B1504" s="15"/>
      <c r="C1504" s="20"/>
      <c r="D1504" s="22"/>
      <c r="E1504" s="15"/>
      <c r="F1504" s="23">
        <f>IF($B1504="","",IFERROR(INDEX(ProdNome,MATCH($B1504,ProdCod,0)),"Código não cadastrado"))</f>
        <v>0</v>
      </c>
      <c r="G1504" s="24">
        <f>IF(OR($B1504="",$D1504=""),"",$D1504*IFERROR(INDEX(ProdCusto,MATCH($B1504,ProdCod,0)),0))</f>
        <v>0</v>
      </c>
      <c r="H1504" s="25">
        <f>IF($A1504="","",IF(OR($B1504="",$C1504="",$D1504=""),"Preencher tudo",IF($F1504="Código não cadastrado","Código inválido","OK")))</f>
        <v>0</v>
      </c>
    </row>
    <row r="1505" spans="1:8">
      <c r="A1505" s="16"/>
      <c r="B1505" s="15"/>
      <c r="C1505" s="20"/>
      <c r="D1505" s="22"/>
      <c r="E1505" s="15"/>
      <c r="F1505" s="23">
        <f>IF($B1505="","",IFERROR(INDEX(ProdNome,MATCH($B1505,ProdCod,0)),"Código não cadastrado"))</f>
        <v>0</v>
      </c>
      <c r="G1505" s="24">
        <f>IF(OR($B1505="",$D1505=""),"",$D1505*IFERROR(INDEX(ProdCusto,MATCH($B1505,ProdCod,0)),0))</f>
        <v>0</v>
      </c>
      <c r="H1505" s="25">
        <f>IF($A1505="","",IF(OR($B1505="",$C1505="",$D1505=""),"Preencher tudo",IF($F1505="Código não cadastrado","Código inválido","OK")))</f>
        <v>0</v>
      </c>
    </row>
    <row r="1506" spans="1:8">
      <c r="A1506" s="16"/>
      <c r="B1506" s="15"/>
      <c r="C1506" s="20"/>
      <c r="D1506" s="22"/>
      <c r="E1506" s="15"/>
      <c r="F1506" s="23">
        <f>IF($B1506="","",IFERROR(INDEX(ProdNome,MATCH($B1506,ProdCod,0)),"Código não cadastrado"))</f>
        <v>0</v>
      </c>
      <c r="G1506" s="24">
        <f>IF(OR($B1506="",$D1506=""),"",$D1506*IFERROR(INDEX(ProdCusto,MATCH($B1506,ProdCod,0)),0))</f>
        <v>0</v>
      </c>
      <c r="H1506" s="25">
        <f>IF($A1506="","",IF(OR($B1506="",$C1506="",$D1506=""),"Preencher tudo",IF($F1506="Código não cadastrado","Código inválido","OK")))</f>
        <v>0</v>
      </c>
    </row>
    <row r="1507" spans="1:8">
      <c r="A1507" s="16"/>
      <c r="B1507" s="15"/>
      <c r="C1507" s="20"/>
      <c r="D1507" s="22"/>
      <c r="E1507" s="15"/>
      <c r="F1507" s="23">
        <f>IF($B1507="","",IFERROR(INDEX(ProdNome,MATCH($B1507,ProdCod,0)),"Código não cadastrado"))</f>
        <v>0</v>
      </c>
      <c r="G1507" s="24">
        <f>IF(OR($B1507="",$D1507=""),"",$D1507*IFERROR(INDEX(ProdCusto,MATCH($B1507,ProdCod,0)),0))</f>
        <v>0</v>
      </c>
      <c r="H1507" s="25">
        <f>IF($A1507="","",IF(OR($B1507="",$C1507="",$D1507=""),"Preencher tudo",IF($F1507="Código não cadastrado","Código inválido","OK")))</f>
        <v>0</v>
      </c>
    </row>
    <row r="1508" spans="1:8">
      <c r="A1508" s="16"/>
      <c r="B1508" s="15"/>
      <c r="C1508" s="20"/>
      <c r="D1508" s="22"/>
      <c r="E1508" s="15"/>
      <c r="F1508" s="23">
        <f>IF($B1508="","",IFERROR(INDEX(ProdNome,MATCH($B1508,ProdCod,0)),"Código não cadastrado"))</f>
        <v>0</v>
      </c>
      <c r="G1508" s="24">
        <f>IF(OR($B1508="",$D1508=""),"",$D1508*IFERROR(INDEX(ProdCusto,MATCH($B1508,ProdCod,0)),0))</f>
        <v>0</v>
      </c>
      <c r="H1508" s="25">
        <f>IF($A1508="","",IF(OR($B1508="",$C1508="",$D1508=""),"Preencher tudo",IF($F1508="Código não cadastrado","Código inválido","OK")))</f>
        <v>0</v>
      </c>
    </row>
    <row r="1509" spans="1:8">
      <c r="A1509" s="16"/>
      <c r="B1509" s="15"/>
      <c r="C1509" s="20"/>
      <c r="D1509" s="22"/>
      <c r="E1509" s="15"/>
      <c r="F1509" s="23">
        <f>IF($B1509="","",IFERROR(INDEX(ProdNome,MATCH($B1509,ProdCod,0)),"Código não cadastrado"))</f>
        <v>0</v>
      </c>
      <c r="G1509" s="24">
        <f>IF(OR($B1509="",$D1509=""),"",$D1509*IFERROR(INDEX(ProdCusto,MATCH($B1509,ProdCod,0)),0))</f>
        <v>0</v>
      </c>
      <c r="H1509" s="25">
        <f>IF($A1509="","",IF(OR($B1509="",$C1509="",$D1509=""),"Preencher tudo",IF($F1509="Código não cadastrado","Código inválido","OK")))</f>
        <v>0</v>
      </c>
    </row>
    <row r="1510" spans="1:8">
      <c r="A1510" s="16"/>
      <c r="B1510" s="15"/>
      <c r="C1510" s="20"/>
      <c r="D1510" s="22"/>
      <c r="E1510" s="15"/>
      <c r="F1510" s="23">
        <f>IF($B1510="","",IFERROR(INDEX(ProdNome,MATCH($B1510,ProdCod,0)),"Código não cadastrado"))</f>
        <v>0</v>
      </c>
      <c r="G1510" s="24">
        <f>IF(OR($B1510="",$D1510=""),"",$D1510*IFERROR(INDEX(ProdCusto,MATCH($B1510,ProdCod,0)),0))</f>
        <v>0</v>
      </c>
      <c r="H1510" s="25">
        <f>IF($A1510="","",IF(OR($B1510="",$C1510="",$D1510=""),"Preencher tudo",IF($F1510="Código não cadastrado","Código inválido","OK")))</f>
        <v>0</v>
      </c>
    </row>
    <row r="1511" spans="1:8">
      <c r="A1511" s="16"/>
      <c r="B1511" s="15"/>
      <c r="C1511" s="20"/>
      <c r="D1511" s="22"/>
      <c r="E1511" s="15"/>
      <c r="F1511" s="23">
        <f>IF($B1511="","",IFERROR(INDEX(ProdNome,MATCH($B1511,ProdCod,0)),"Código não cadastrado"))</f>
        <v>0</v>
      </c>
      <c r="G1511" s="24">
        <f>IF(OR($B1511="",$D1511=""),"",$D1511*IFERROR(INDEX(ProdCusto,MATCH($B1511,ProdCod,0)),0))</f>
        <v>0</v>
      </c>
      <c r="H1511" s="25">
        <f>IF($A1511="","",IF(OR($B1511="",$C1511="",$D1511=""),"Preencher tudo",IF($F1511="Código não cadastrado","Código inválido","OK")))</f>
        <v>0</v>
      </c>
    </row>
    <row r="1512" spans="1:8">
      <c r="A1512" s="16"/>
      <c r="B1512" s="15"/>
      <c r="C1512" s="20"/>
      <c r="D1512" s="22"/>
      <c r="E1512" s="15"/>
      <c r="F1512" s="23">
        <f>IF($B1512="","",IFERROR(INDEX(ProdNome,MATCH($B1512,ProdCod,0)),"Código não cadastrado"))</f>
        <v>0</v>
      </c>
      <c r="G1512" s="24">
        <f>IF(OR($B1512="",$D1512=""),"",$D1512*IFERROR(INDEX(ProdCusto,MATCH($B1512,ProdCod,0)),0))</f>
        <v>0</v>
      </c>
      <c r="H1512" s="25">
        <f>IF($A1512="","",IF(OR($B1512="",$C1512="",$D1512=""),"Preencher tudo",IF($F1512="Código não cadastrado","Código inválido","OK")))</f>
        <v>0</v>
      </c>
    </row>
    <row r="1513" spans="1:8">
      <c r="A1513" s="16"/>
      <c r="B1513" s="15"/>
      <c r="C1513" s="20"/>
      <c r="D1513" s="22"/>
      <c r="E1513" s="15"/>
      <c r="F1513" s="23">
        <f>IF($B1513="","",IFERROR(INDEX(ProdNome,MATCH($B1513,ProdCod,0)),"Código não cadastrado"))</f>
        <v>0</v>
      </c>
      <c r="G1513" s="24">
        <f>IF(OR($B1513="",$D1513=""),"",$D1513*IFERROR(INDEX(ProdCusto,MATCH($B1513,ProdCod,0)),0))</f>
        <v>0</v>
      </c>
      <c r="H1513" s="25">
        <f>IF($A1513="","",IF(OR($B1513="",$C1513="",$D1513=""),"Preencher tudo",IF($F1513="Código não cadastrado","Código inválido","OK")))</f>
        <v>0</v>
      </c>
    </row>
    <row r="1514" spans="1:8">
      <c r="A1514" s="16"/>
      <c r="B1514" s="15"/>
      <c r="C1514" s="20"/>
      <c r="D1514" s="22"/>
      <c r="E1514" s="15"/>
      <c r="F1514" s="23">
        <f>IF($B1514="","",IFERROR(INDEX(ProdNome,MATCH($B1514,ProdCod,0)),"Código não cadastrado"))</f>
        <v>0</v>
      </c>
      <c r="G1514" s="24">
        <f>IF(OR($B1514="",$D1514=""),"",$D1514*IFERROR(INDEX(ProdCusto,MATCH($B1514,ProdCod,0)),0))</f>
        <v>0</v>
      </c>
      <c r="H1514" s="25">
        <f>IF($A1514="","",IF(OR($B1514="",$C1514="",$D1514=""),"Preencher tudo",IF($F1514="Código não cadastrado","Código inválido","OK")))</f>
        <v>0</v>
      </c>
    </row>
    <row r="1515" spans="1:8">
      <c r="A1515" s="16"/>
      <c r="B1515" s="15"/>
      <c r="C1515" s="20"/>
      <c r="D1515" s="22"/>
      <c r="E1515" s="15"/>
      <c r="F1515" s="23">
        <f>IF($B1515="","",IFERROR(INDEX(ProdNome,MATCH($B1515,ProdCod,0)),"Código não cadastrado"))</f>
        <v>0</v>
      </c>
      <c r="G1515" s="24">
        <f>IF(OR($B1515="",$D1515=""),"",$D1515*IFERROR(INDEX(ProdCusto,MATCH($B1515,ProdCod,0)),0))</f>
        <v>0</v>
      </c>
      <c r="H1515" s="25">
        <f>IF($A1515="","",IF(OR($B1515="",$C1515="",$D1515=""),"Preencher tudo",IF($F1515="Código não cadastrado","Código inválido","OK")))</f>
        <v>0</v>
      </c>
    </row>
    <row r="1516" spans="1:8">
      <c r="A1516" s="16"/>
      <c r="B1516" s="15"/>
      <c r="C1516" s="20"/>
      <c r="D1516" s="22"/>
      <c r="E1516" s="15"/>
      <c r="F1516" s="23">
        <f>IF($B1516="","",IFERROR(INDEX(ProdNome,MATCH($B1516,ProdCod,0)),"Código não cadastrado"))</f>
        <v>0</v>
      </c>
      <c r="G1516" s="24">
        <f>IF(OR($B1516="",$D1516=""),"",$D1516*IFERROR(INDEX(ProdCusto,MATCH($B1516,ProdCod,0)),0))</f>
        <v>0</v>
      </c>
      <c r="H1516" s="25">
        <f>IF($A1516="","",IF(OR($B1516="",$C1516="",$D1516=""),"Preencher tudo",IF($F1516="Código não cadastrado","Código inválido","OK")))</f>
        <v>0</v>
      </c>
    </row>
    <row r="1517" spans="1:8">
      <c r="A1517" s="16"/>
      <c r="B1517" s="15"/>
      <c r="C1517" s="20"/>
      <c r="D1517" s="22"/>
      <c r="E1517" s="15"/>
      <c r="F1517" s="23">
        <f>IF($B1517="","",IFERROR(INDEX(ProdNome,MATCH($B1517,ProdCod,0)),"Código não cadastrado"))</f>
        <v>0</v>
      </c>
      <c r="G1517" s="24">
        <f>IF(OR($B1517="",$D1517=""),"",$D1517*IFERROR(INDEX(ProdCusto,MATCH($B1517,ProdCod,0)),0))</f>
        <v>0</v>
      </c>
      <c r="H1517" s="25">
        <f>IF($A1517="","",IF(OR($B1517="",$C1517="",$D1517=""),"Preencher tudo",IF($F1517="Código não cadastrado","Código inválido","OK")))</f>
        <v>0</v>
      </c>
    </row>
    <row r="1518" spans="1:8">
      <c r="A1518" s="16"/>
      <c r="B1518" s="15"/>
      <c r="C1518" s="20"/>
      <c r="D1518" s="22"/>
      <c r="E1518" s="15"/>
      <c r="F1518" s="23">
        <f>IF($B1518="","",IFERROR(INDEX(ProdNome,MATCH($B1518,ProdCod,0)),"Código não cadastrado"))</f>
        <v>0</v>
      </c>
      <c r="G1518" s="24">
        <f>IF(OR($B1518="",$D1518=""),"",$D1518*IFERROR(INDEX(ProdCusto,MATCH($B1518,ProdCod,0)),0))</f>
        <v>0</v>
      </c>
      <c r="H1518" s="25">
        <f>IF($A1518="","",IF(OR($B1518="",$C1518="",$D1518=""),"Preencher tudo",IF($F1518="Código não cadastrado","Código inválido","OK")))</f>
        <v>0</v>
      </c>
    </row>
    <row r="1519" spans="1:8">
      <c r="A1519" s="16"/>
      <c r="B1519" s="15"/>
      <c r="C1519" s="20"/>
      <c r="D1519" s="22"/>
      <c r="E1519" s="15"/>
      <c r="F1519" s="23">
        <f>IF($B1519="","",IFERROR(INDEX(ProdNome,MATCH($B1519,ProdCod,0)),"Código não cadastrado"))</f>
        <v>0</v>
      </c>
      <c r="G1519" s="24">
        <f>IF(OR($B1519="",$D1519=""),"",$D1519*IFERROR(INDEX(ProdCusto,MATCH($B1519,ProdCod,0)),0))</f>
        <v>0</v>
      </c>
      <c r="H1519" s="25">
        <f>IF($A1519="","",IF(OR($B1519="",$C1519="",$D1519=""),"Preencher tudo",IF($F1519="Código não cadastrado","Código inválido","OK")))</f>
        <v>0</v>
      </c>
    </row>
    <row r="1520" spans="1:8">
      <c r="A1520" s="16"/>
      <c r="B1520" s="15"/>
      <c r="C1520" s="20"/>
      <c r="D1520" s="22"/>
      <c r="E1520" s="15"/>
      <c r="F1520" s="23">
        <f>IF($B1520="","",IFERROR(INDEX(ProdNome,MATCH($B1520,ProdCod,0)),"Código não cadastrado"))</f>
        <v>0</v>
      </c>
      <c r="G1520" s="24">
        <f>IF(OR($B1520="",$D1520=""),"",$D1520*IFERROR(INDEX(ProdCusto,MATCH($B1520,ProdCod,0)),0))</f>
        <v>0</v>
      </c>
      <c r="H1520" s="25">
        <f>IF($A1520="","",IF(OR($B1520="",$C1520="",$D1520=""),"Preencher tudo",IF($F1520="Código não cadastrado","Código inválido","OK")))</f>
        <v>0</v>
      </c>
    </row>
    <row r="1521" spans="1:8">
      <c r="A1521" s="16"/>
      <c r="B1521" s="15"/>
      <c r="C1521" s="20"/>
      <c r="D1521" s="22"/>
      <c r="E1521" s="15"/>
      <c r="F1521" s="23">
        <f>IF($B1521="","",IFERROR(INDEX(ProdNome,MATCH($B1521,ProdCod,0)),"Código não cadastrado"))</f>
        <v>0</v>
      </c>
      <c r="G1521" s="24">
        <f>IF(OR($B1521="",$D1521=""),"",$D1521*IFERROR(INDEX(ProdCusto,MATCH($B1521,ProdCod,0)),0))</f>
        <v>0</v>
      </c>
      <c r="H1521" s="25">
        <f>IF($A1521="","",IF(OR($B1521="",$C1521="",$D1521=""),"Preencher tudo",IF($F1521="Código não cadastrado","Código inválido","OK")))</f>
        <v>0</v>
      </c>
    </row>
    <row r="1522" spans="1:8">
      <c r="A1522" s="16"/>
      <c r="B1522" s="15"/>
      <c r="C1522" s="20"/>
      <c r="D1522" s="22"/>
      <c r="E1522" s="15"/>
      <c r="F1522" s="23">
        <f>IF($B1522="","",IFERROR(INDEX(ProdNome,MATCH($B1522,ProdCod,0)),"Código não cadastrado"))</f>
        <v>0</v>
      </c>
      <c r="G1522" s="24">
        <f>IF(OR($B1522="",$D1522=""),"",$D1522*IFERROR(INDEX(ProdCusto,MATCH($B1522,ProdCod,0)),0))</f>
        <v>0</v>
      </c>
      <c r="H1522" s="25">
        <f>IF($A1522="","",IF(OR($B1522="",$C1522="",$D1522=""),"Preencher tudo",IF($F1522="Código não cadastrado","Código inválido","OK")))</f>
        <v>0</v>
      </c>
    </row>
    <row r="1523" spans="1:8">
      <c r="A1523" s="16"/>
      <c r="B1523" s="15"/>
      <c r="C1523" s="20"/>
      <c r="D1523" s="22"/>
      <c r="E1523" s="15"/>
      <c r="F1523" s="23">
        <f>IF($B1523="","",IFERROR(INDEX(ProdNome,MATCH($B1523,ProdCod,0)),"Código não cadastrado"))</f>
        <v>0</v>
      </c>
      <c r="G1523" s="24">
        <f>IF(OR($B1523="",$D1523=""),"",$D1523*IFERROR(INDEX(ProdCusto,MATCH($B1523,ProdCod,0)),0))</f>
        <v>0</v>
      </c>
      <c r="H1523" s="25">
        <f>IF($A1523="","",IF(OR($B1523="",$C1523="",$D1523=""),"Preencher tudo",IF($F1523="Código não cadastrado","Código inválido","OK")))</f>
        <v>0</v>
      </c>
    </row>
    <row r="1524" spans="1:8">
      <c r="A1524" s="16"/>
      <c r="B1524" s="15"/>
      <c r="C1524" s="20"/>
      <c r="D1524" s="22"/>
      <c r="E1524" s="15"/>
      <c r="F1524" s="23">
        <f>IF($B1524="","",IFERROR(INDEX(ProdNome,MATCH($B1524,ProdCod,0)),"Código não cadastrado"))</f>
        <v>0</v>
      </c>
      <c r="G1524" s="24">
        <f>IF(OR($B1524="",$D1524=""),"",$D1524*IFERROR(INDEX(ProdCusto,MATCH($B1524,ProdCod,0)),0))</f>
        <v>0</v>
      </c>
      <c r="H1524" s="25">
        <f>IF($A1524="","",IF(OR($B1524="",$C1524="",$D1524=""),"Preencher tudo",IF($F1524="Código não cadastrado","Código inválido","OK")))</f>
        <v>0</v>
      </c>
    </row>
    <row r="1525" spans="1:8">
      <c r="A1525" s="16"/>
      <c r="B1525" s="15"/>
      <c r="C1525" s="20"/>
      <c r="D1525" s="22"/>
      <c r="E1525" s="15"/>
      <c r="F1525" s="23">
        <f>IF($B1525="","",IFERROR(INDEX(ProdNome,MATCH($B1525,ProdCod,0)),"Código não cadastrado"))</f>
        <v>0</v>
      </c>
      <c r="G1525" s="24">
        <f>IF(OR($B1525="",$D1525=""),"",$D1525*IFERROR(INDEX(ProdCusto,MATCH($B1525,ProdCod,0)),0))</f>
        <v>0</v>
      </c>
      <c r="H1525" s="25">
        <f>IF($A1525="","",IF(OR($B1525="",$C1525="",$D1525=""),"Preencher tudo",IF($F1525="Código não cadastrado","Código inválido","OK")))</f>
        <v>0</v>
      </c>
    </row>
    <row r="1526" spans="1:8">
      <c r="A1526" s="16"/>
      <c r="B1526" s="15"/>
      <c r="C1526" s="20"/>
      <c r="D1526" s="22"/>
      <c r="E1526" s="15"/>
      <c r="F1526" s="23">
        <f>IF($B1526="","",IFERROR(INDEX(ProdNome,MATCH($B1526,ProdCod,0)),"Código não cadastrado"))</f>
        <v>0</v>
      </c>
      <c r="G1526" s="24">
        <f>IF(OR($B1526="",$D1526=""),"",$D1526*IFERROR(INDEX(ProdCusto,MATCH($B1526,ProdCod,0)),0))</f>
        <v>0</v>
      </c>
      <c r="H1526" s="25">
        <f>IF($A1526="","",IF(OR($B1526="",$C1526="",$D1526=""),"Preencher tudo",IF($F1526="Código não cadastrado","Código inválido","OK")))</f>
        <v>0</v>
      </c>
    </row>
    <row r="1527" spans="1:8">
      <c r="A1527" s="16"/>
      <c r="B1527" s="15"/>
      <c r="C1527" s="20"/>
      <c r="D1527" s="22"/>
      <c r="E1527" s="15"/>
      <c r="F1527" s="23">
        <f>IF($B1527="","",IFERROR(INDEX(ProdNome,MATCH($B1527,ProdCod,0)),"Código não cadastrado"))</f>
        <v>0</v>
      </c>
      <c r="G1527" s="24">
        <f>IF(OR($B1527="",$D1527=""),"",$D1527*IFERROR(INDEX(ProdCusto,MATCH($B1527,ProdCod,0)),0))</f>
        <v>0</v>
      </c>
      <c r="H1527" s="25">
        <f>IF($A1527="","",IF(OR($B1527="",$C1527="",$D1527=""),"Preencher tudo",IF($F1527="Código não cadastrado","Código inválido","OK")))</f>
        <v>0</v>
      </c>
    </row>
    <row r="1528" spans="1:8">
      <c r="A1528" s="16"/>
      <c r="B1528" s="15"/>
      <c r="C1528" s="20"/>
      <c r="D1528" s="22"/>
      <c r="E1528" s="15"/>
      <c r="F1528" s="23">
        <f>IF($B1528="","",IFERROR(INDEX(ProdNome,MATCH($B1528,ProdCod,0)),"Código não cadastrado"))</f>
        <v>0</v>
      </c>
      <c r="G1528" s="24">
        <f>IF(OR($B1528="",$D1528=""),"",$D1528*IFERROR(INDEX(ProdCusto,MATCH($B1528,ProdCod,0)),0))</f>
        <v>0</v>
      </c>
      <c r="H1528" s="25">
        <f>IF($A1528="","",IF(OR($B1528="",$C1528="",$D1528=""),"Preencher tudo",IF($F1528="Código não cadastrado","Código inválido","OK")))</f>
        <v>0</v>
      </c>
    </row>
    <row r="1529" spans="1:8">
      <c r="A1529" s="16"/>
      <c r="B1529" s="15"/>
      <c r="C1529" s="20"/>
      <c r="D1529" s="22"/>
      <c r="E1529" s="15"/>
      <c r="F1529" s="23">
        <f>IF($B1529="","",IFERROR(INDEX(ProdNome,MATCH($B1529,ProdCod,0)),"Código não cadastrado"))</f>
        <v>0</v>
      </c>
      <c r="G1529" s="24">
        <f>IF(OR($B1529="",$D1529=""),"",$D1529*IFERROR(INDEX(ProdCusto,MATCH($B1529,ProdCod,0)),0))</f>
        <v>0</v>
      </c>
      <c r="H1529" s="25">
        <f>IF($A1529="","",IF(OR($B1529="",$C1529="",$D1529=""),"Preencher tudo",IF($F1529="Código não cadastrado","Código inválido","OK")))</f>
        <v>0</v>
      </c>
    </row>
    <row r="1530" spans="1:8">
      <c r="A1530" s="16"/>
      <c r="B1530" s="15"/>
      <c r="C1530" s="20"/>
      <c r="D1530" s="22"/>
      <c r="E1530" s="15"/>
      <c r="F1530" s="23">
        <f>IF($B1530="","",IFERROR(INDEX(ProdNome,MATCH($B1530,ProdCod,0)),"Código não cadastrado"))</f>
        <v>0</v>
      </c>
      <c r="G1530" s="24">
        <f>IF(OR($B1530="",$D1530=""),"",$D1530*IFERROR(INDEX(ProdCusto,MATCH($B1530,ProdCod,0)),0))</f>
        <v>0</v>
      </c>
      <c r="H1530" s="25">
        <f>IF($A1530="","",IF(OR($B1530="",$C1530="",$D1530=""),"Preencher tudo",IF($F1530="Código não cadastrado","Código inválido","OK")))</f>
        <v>0</v>
      </c>
    </row>
    <row r="1531" spans="1:8">
      <c r="A1531" s="16"/>
      <c r="B1531" s="15"/>
      <c r="C1531" s="20"/>
      <c r="D1531" s="22"/>
      <c r="E1531" s="15"/>
      <c r="F1531" s="23">
        <f>IF($B1531="","",IFERROR(INDEX(ProdNome,MATCH($B1531,ProdCod,0)),"Código não cadastrado"))</f>
        <v>0</v>
      </c>
      <c r="G1531" s="24">
        <f>IF(OR($B1531="",$D1531=""),"",$D1531*IFERROR(INDEX(ProdCusto,MATCH($B1531,ProdCod,0)),0))</f>
        <v>0</v>
      </c>
      <c r="H1531" s="25">
        <f>IF($A1531="","",IF(OR($B1531="",$C1531="",$D1531=""),"Preencher tudo",IF($F1531="Código não cadastrado","Código inválido","OK")))</f>
        <v>0</v>
      </c>
    </row>
    <row r="1532" spans="1:8">
      <c r="A1532" s="16"/>
      <c r="B1532" s="15"/>
      <c r="C1532" s="20"/>
      <c r="D1532" s="22"/>
      <c r="E1532" s="15"/>
      <c r="F1532" s="23">
        <f>IF($B1532="","",IFERROR(INDEX(ProdNome,MATCH($B1532,ProdCod,0)),"Código não cadastrado"))</f>
        <v>0</v>
      </c>
      <c r="G1532" s="24">
        <f>IF(OR($B1532="",$D1532=""),"",$D1532*IFERROR(INDEX(ProdCusto,MATCH($B1532,ProdCod,0)),0))</f>
        <v>0</v>
      </c>
      <c r="H1532" s="25">
        <f>IF($A1532="","",IF(OR($B1532="",$C1532="",$D1532=""),"Preencher tudo",IF($F1532="Código não cadastrado","Código inválido","OK")))</f>
        <v>0</v>
      </c>
    </row>
    <row r="1533" spans="1:8">
      <c r="A1533" s="16"/>
      <c r="B1533" s="15"/>
      <c r="C1533" s="20"/>
      <c r="D1533" s="22"/>
      <c r="E1533" s="15"/>
      <c r="F1533" s="23">
        <f>IF($B1533="","",IFERROR(INDEX(ProdNome,MATCH($B1533,ProdCod,0)),"Código não cadastrado"))</f>
        <v>0</v>
      </c>
      <c r="G1533" s="24">
        <f>IF(OR($B1533="",$D1533=""),"",$D1533*IFERROR(INDEX(ProdCusto,MATCH($B1533,ProdCod,0)),0))</f>
        <v>0</v>
      </c>
      <c r="H1533" s="25">
        <f>IF($A1533="","",IF(OR($B1533="",$C1533="",$D1533=""),"Preencher tudo",IF($F1533="Código não cadastrado","Código inválido","OK")))</f>
        <v>0</v>
      </c>
    </row>
    <row r="1534" spans="1:8">
      <c r="A1534" s="16"/>
      <c r="B1534" s="15"/>
      <c r="C1534" s="20"/>
      <c r="D1534" s="22"/>
      <c r="E1534" s="15"/>
      <c r="F1534" s="23">
        <f>IF($B1534="","",IFERROR(INDEX(ProdNome,MATCH($B1534,ProdCod,0)),"Código não cadastrado"))</f>
        <v>0</v>
      </c>
      <c r="G1534" s="24">
        <f>IF(OR($B1534="",$D1534=""),"",$D1534*IFERROR(INDEX(ProdCusto,MATCH($B1534,ProdCod,0)),0))</f>
        <v>0</v>
      </c>
      <c r="H1534" s="25">
        <f>IF($A1534="","",IF(OR($B1534="",$C1534="",$D1534=""),"Preencher tudo",IF($F1534="Código não cadastrado","Código inválido","OK")))</f>
        <v>0</v>
      </c>
    </row>
    <row r="1535" spans="1:8">
      <c r="A1535" s="16"/>
      <c r="B1535" s="15"/>
      <c r="C1535" s="20"/>
      <c r="D1535" s="22"/>
      <c r="E1535" s="15"/>
      <c r="F1535" s="23">
        <f>IF($B1535="","",IFERROR(INDEX(ProdNome,MATCH($B1535,ProdCod,0)),"Código não cadastrado"))</f>
        <v>0</v>
      </c>
      <c r="G1535" s="24">
        <f>IF(OR($B1535="",$D1535=""),"",$D1535*IFERROR(INDEX(ProdCusto,MATCH($B1535,ProdCod,0)),0))</f>
        <v>0</v>
      </c>
      <c r="H1535" s="25">
        <f>IF($A1535="","",IF(OR($B1535="",$C1535="",$D1535=""),"Preencher tudo",IF($F1535="Código não cadastrado","Código inválido","OK")))</f>
        <v>0</v>
      </c>
    </row>
    <row r="1536" spans="1:8">
      <c r="A1536" s="16"/>
      <c r="B1536" s="15"/>
      <c r="C1536" s="20"/>
      <c r="D1536" s="22"/>
      <c r="E1536" s="15"/>
      <c r="F1536" s="23">
        <f>IF($B1536="","",IFERROR(INDEX(ProdNome,MATCH($B1536,ProdCod,0)),"Código não cadastrado"))</f>
        <v>0</v>
      </c>
      <c r="G1536" s="24">
        <f>IF(OR($B1536="",$D1536=""),"",$D1536*IFERROR(INDEX(ProdCusto,MATCH($B1536,ProdCod,0)),0))</f>
        <v>0</v>
      </c>
      <c r="H1536" s="25">
        <f>IF($A1536="","",IF(OR($B1536="",$C1536="",$D1536=""),"Preencher tudo",IF($F1536="Código não cadastrado","Código inválido","OK")))</f>
        <v>0</v>
      </c>
    </row>
    <row r="1537" spans="1:8">
      <c r="A1537" s="16"/>
      <c r="B1537" s="15"/>
      <c r="C1537" s="20"/>
      <c r="D1537" s="22"/>
      <c r="E1537" s="15"/>
      <c r="F1537" s="23">
        <f>IF($B1537="","",IFERROR(INDEX(ProdNome,MATCH($B1537,ProdCod,0)),"Código não cadastrado"))</f>
        <v>0</v>
      </c>
      <c r="G1537" s="24">
        <f>IF(OR($B1537="",$D1537=""),"",$D1537*IFERROR(INDEX(ProdCusto,MATCH($B1537,ProdCod,0)),0))</f>
        <v>0</v>
      </c>
      <c r="H1537" s="25">
        <f>IF($A1537="","",IF(OR($B1537="",$C1537="",$D1537=""),"Preencher tudo",IF($F1537="Código não cadastrado","Código inválido","OK")))</f>
        <v>0</v>
      </c>
    </row>
    <row r="1538" spans="1:8">
      <c r="A1538" s="16"/>
      <c r="B1538" s="15"/>
      <c r="C1538" s="20"/>
      <c r="D1538" s="22"/>
      <c r="E1538" s="15"/>
      <c r="F1538" s="23">
        <f>IF($B1538="","",IFERROR(INDEX(ProdNome,MATCH($B1538,ProdCod,0)),"Código não cadastrado"))</f>
        <v>0</v>
      </c>
      <c r="G1538" s="24">
        <f>IF(OR($B1538="",$D1538=""),"",$D1538*IFERROR(INDEX(ProdCusto,MATCH($B1538,ProdCod,0)),0))</f>
        <v>0</v>
      </c>
      <c r="H1538" s="25">
        <f>IF($A1538="","",IF(OR($B1538="",$C1538="",$D1538=""),"Preencher tudo",IF($F1538="Código não cadastrado","Código inválido","OK")))</f>
        <v>0</v>
      </c>
    </row>
    <row r="1539" spans="1:8">
      <c r="A1539" s="16"/>
      <c r="B1539" s="15"/>
      <c r="C1539" s="20"/>
      <c r="D1539" s="22"/>
      <c r="E1539" s="15"/>
      <c r="F1539" s="23">
        <f>IF($B1539="","",IFERROR(INDEX(ProdNome,MATCH($B1539,ProdCod,0)),"Código não cadastrado"))</f>
        <v>0</v>
      </c>
      <c r="G1539" s="24">
        <f>IF(OR($B1539="",$D1539=""),"",$D1539*IFERROR(INDEX(ProdCusto,MATCH($B1539,ProdCod,0)),0))</f>
        <v>0</v>
      </c>
      <c r="H1539" s="25">
        <f>IF($A1539="","",IF(OR($B1539="",$C1539="",$D1539=""),"Preencher tudo",IF($F1539="Código não cadastrado","Código inválido","OK")))</f>
        <v>0</v>
      </c>
    </row>
    <row r="1540" spans="1:8">
      <c r="A1540" s="16"/>
      <c r="B1540" s="15"/>
      <c r="C1540" s="20"/>
      <c r="D1540" s="22"/>
      <c r="E1540" s="15"/>
      <c r="F1540" s="23">
        <f>IF($B1540="","",IFERROR(INDEX(ProdNome,MATCH($B1540,ProdCod,0)),"Código não cadastrado"))</f>
        <v>0</v>
      </c>
      <c r="G1540" s="24">
        <f>IF(OR($B1540="",$D1540=""),"",$D1540*IFERROR(INDEX(ProdCusto,MATCH($B1540,ProdCod,0)),0))</f>
        <v>0</v>
      </c>
      <c r="H1540" s="25">
        <f>IF($A1540="","",IF(OR($B1540="",$C1540="",$D1540=""),"Preencher tudo",IF($F1540="Código não cadastrado","Código inválido","OK")))</f>
        <v>0</v>
      </c>
    </row>
    <row r="1541" spans="1:8">
      <c r="A1541" s="16"/>
      <c r="B1541" s="15"/>
      <c r="C1541" s="20"/>
      <c r="D1541" s="22"/>
      <c r="E1541" s="15"/>
      <c r="F1541" s="23">
        <f>IF($B1541="","",IFERROR(INDEX(ProdNome,MATCH($B1541,ProdCod,0)),"Código não cadastrado"))</f>
        <v>0</v>
      </c>
      <c r="G1541" s="24">
        <f>IF(OR($B1541="",$D1541=""),"",$D1541*IFERROR(INDEX(ProdCusto,MATCH($B1541,ProdCod,0)),0))</f>
        <v>0</v>
      </c>
      <c r="H1541" s="25">
        <f>IF($A1541="","",IF(OR($B1541="",$C1541="",$D1541=""),"Preencher tudo",IF($F1541="Código não cadastrado","Código inválido","OK")))</f>
        <v>0</v>
      </c>
    </row>
    <row r="1542" spans="1:8">
      <c r="A1542" s="16"/>
      <c r="B1542" s="15"/>
      <c r="C1542" s="20"/>
      <c r="D1542" s="22"/>
      <c r="E1542" s="15"/>
      <c r="F1542" s="23">
        <f>IF($B1542="","",IFERROR(INDEX(ProdNome,MATCH($B1542,ProdCod,0)),"Código não cadastrado"))</f>
        <v>0</v>
      </c>
      <c r="G1542" s="24">
        <f>IF(OR($B1542="",$D1542=""),"",$D1542*IFERROR(INDEX(ProdCusto,MATCH($B1542,ProdCod,0)),0))</f>
        <v>0</v>
      </c>
      <c r="H1542" s="25">
        <f>IF($A1542="","",IF(OR($B1542="",$C1542="",$D1542=""),"Preencher tudo",IF($F1542="Código não cadastrado","Código inválido","OK")))</f>
        <v>0</v>
      </c>
    </row>
    <row r="1543" spans="1:8">
      <c r="A1543" s="16"/>
      <c r="B1543" s="15"/>
      <c r="C1543" s="20"/>
      <c r="D1543" s="22"/>
      <c r="E1543" s="15"/>
      <c r="F1543" s="23">
        <f>IF($B1543="","",IFERROR(INDEX(ProdNome,MATCH($B1543,ProdCod,0)),"Código não cadastrado"))</f>
        <v>0</v>
      </c>
      <c r="G1543" s="24">
        <f>IF(OR($B1543="",$D1543=""),"",$D1543*IFERROR(INDEX(ProdCusto,MATCH($B1543,ProdCod,0)),0))</f>
        <v>0</v>
      </c>
      <c r="H1543" s="25">
        <f>IF($A1543="","",IF(OR($B1543="",$C1543="",$D1543=""),"Preencher tudo",IF($F1543="Código não cadastrado","Código inválido","OK")))</f>
        <v>0</v>
      </c>
    </row>
    <row r="1544" spans="1:8">
      <c r="A1544" s="16"/>
      <c r="B1544" s="15"/>
      <c r="C1544" s="20"/>
      <c r="D1544" s="22"/>
      <c r="E1544" s="15"/>
      <c r="F1544" s="23">
        <f>IF($B1544="","",IFERROR(INDEX(ProdNome,MATCH($B1544,ProdCod,0)),"Código não cadastrado"))</f>
        <v>0</v>
      </c>
      <c r="G1544" s="24">
        <f>IF(OR($B1544="",$D1544=""),"",$D1544*IFERROR(INDEX(ProdCusto,MATCH($B1544,ProdCod,0)),0))</f>
        <v>0</v>
      </c>
      <c r="H1544" s="25">
        <f>IF($A1544="","",IF(OR($B1544="",$C1544="",$D1544=""),"Preencher tudo",IF($F1544="Código não cadastrado","Código inválido","OK")))</f>
        <v>0</v>
      </c>
    </row>
    <row r="1545" spans="1:8">
      <c r="A1545" s="16"/>
      <c r="B1545" s="15"/>
      <c r="C1545" s="20"/>
      <c r="D1545" s="22"/>
      <c r="E1545" s="15"/>
      <c r="F1545" s="23">
        <f>IF($B1545="","",IFERROR(INDEX(ProdNome,MATCH($B1545,ProdCod,0)),"Código não cadastrado"))</f>
        <v>0</v>
      </c>
      <c r="G1545" s="24">
        <f>IF(OR($B1545="",$D1545=""),"",$D1545*IFERROR(INDEX(ProdCusto,MATCH($B1545,ProdCod,0)),0))</f>
        <v>0</v>
      </c>
      <c r="H1545" s="25">
        <f>IF($A1545="","",IF(OR($B1545="",$C1545="",$D1545=""),"Preencher tudo",IF($F1545="Código não cadastrado","Código inválido","OK")))</f>
        <v>0</v>
      </c>
    </row>
    <row r="1546" spans="1:8">
      <c r="A1546" s="16"/>
      <c r="B1546" s="15"/>
      <c r="C1546" s="20"/>
      <c r="D1546" s="22"/>
      <c r="E1546" s="15"/>
      <c r="F1546" s="23">
        <f>IF($B1546="","",IFERROR(INDEX(ProdNome,MATCH($B1546,ProdCod,0)),"Código não cadastrado"))</f>
        <v>0</v>
      </c>
      <c r="G1546" s="24">
        <f>IF(OR($B1546="",$D1546=""),"",$D1546*IFERROR(INDEX(ProdCusto,MATCH($B1546,ProdCod,0)),0))</f>
        <v>0</v>
      </c>
      <c r="H1546" s="25">
        <f>IF($A1546="","",IF(OR($B1546="",$C1546="",$D1546=""),"Preencher tudo",IF($F1546="Código não cadastrado","Código inválido","OK")))</f>
        <v>0</v>
      </c>
    </row>
    <row r="1547" spans="1:8">
      <c r="A1547" s="16"/>
      <c r="B1547" s="15"/>
      <c r="C1547" s="20"/>
      <c r="D1547" s="22"/>
      <c r="E1547" s="15"/>
      <c r="F1547" s="23">
        <f>IF($B1547="","",IFERROR(INDEX(ProdNome,MATCH($B1547,ProdCod,0)),"Código não cadastrado"))</f>
        <v>0</v>
      </c>
      <c r="G1547" s="24">
        <f>IF(OR($B1547="",$D1547=""),"",$D1547*IFERROR(INDEX(ProdCusto,MATCH($B1547,ProdCod,0)),0))</f>
        <v>0</v>
      </c>
      <c r="H1547" s="25">
        <f>IF($A1547="","",IF(OR($B1547="",$C1547="",$D1547=""),"Preencher tudo",IF($F1547="Código não cadastrado","Código inválido","OK")))</f>
        <v>0</v>
      </c>
    </row>
    <row r="1548" spans="1:8">
      <c r="A1548" s="16"/>
      <c r="B1548" s="15"/>
      <c r="C1548" s="20"/>
      <c r="D1548" s="22"/>
      <c r="E1548" s="15"/>
      <c r="F1548" s="23">
        <f>IF($B1548="","",IFERROR(INDEX(ProdNome,MATCH($B1548,ProdCod,0)),"Código não cadastrado"))</f>
        <v>0</v>
      </c>
      <c r="G1548" s="24">
        <f>IF(OR($B1548="",$D1548=""),"",$D1548*IFERROR(INDEX(ProdCusto,MATCH($B1548,ProdCod,0)),0))</f>
        <v>0</v>
      </c>
      <c r="H1548" s="25">
        <f>IF($A1548="","",IF(OR($B1548="",$C1548="",$D1548=""),"Preencher tudo",IF($F1548="Código não cadastrado","Código inválido","OK")))</f>
        <v>0</v>
      </c>
    </row>
    <row r="1549" spans="1:8">
      <c r="A1549" s="16"/>
      <c r="B1549" s="15"/>
      <c r="C1549" s="20"/>
      <c r="D1549" s="22"/>
      <c r="E1549" s="15"/>
      <c r="F1549" s="23">
        <f>IF($B1549="","",IFERROR(INDEX(ProdNome,MATCH($B1549,ProdCod,0)),"Código não cadastrado"))</f>
        <v>0</v>
      </c>
      <c r="G1549" s="24">
        <f>IF(OR($B1549="",$D1549=""),"",$D1549*IFERROR(INDEX(ProdCusto,MATCH($B1549,ProdCod,0)),0))</f>
        <v>0</v>
      </c>
      <c r="H1549" s="25">
        <f>IF($A1549="","",IF(OR($B1549="",$C1549="",$D1549=""),"Preencher tudo",IF($F1549="Código não cadastrado","Código inválido","OK")))</f>
        <v>0</v>
      </c>
    </row>
    <row r="1550" spans="1:8">
      <c r="A1550" s="16"/>
      <c r="B1550" s="15"/>
      <c r="C1550" s="20"/>
      <c r="D1550" s="22"/>
      <c r="E1550" s="15"/>
      <c r="F1550" s="23">
        <f>IF($B1550="","",IFERROR(INDEX(ProdNome,MATCH($B1550,ProdCod,0)),"Código não cadastrado"))</f>
        <v>0</v>
      </c>
      <c r="G1550" s="24">
        <f>IF(OR($B1550="",$D1550=""),"",$D1550*IFERROR(INDEX(ProdCusto,MATCH($B1550,ProdCod,0)),0))</f>
        <v>0</v>
      </c>
      <c r="H1550" s="25">
        <f>IF($A1550="","",IF(OR($B1550="",$C1550="",$D1550=""),"Preencher tudo",IF($F1550="Código não cadastrado","Código inválido","OK")))</f>
        <v>0</v>
      </c>
    </row>
    <row r="1551" spans="1:8">
      <c r="A1551" s="16"/>
      <c r="B1551" s="15"/>
      <c r="C1551" s="20"/>
      <c r="D1551" s="22"/>
      <c r="E1551" s="15"/>
      <c r="F1551" s="23">
        <f>IF($B1551="","",IFERROR(INDEX(ProdNome,MATCH($B1551,ProdCod,0)),"Código não cadastrado"))</f>
        <v>0</v>
      </c>
      <c r="G1551" s="24">
        <f>IF(OR($B1551="",$D1551=""),"",$D1551*IFERROR(INDEX(ProdCusto,MATCH($B1551,ProdCod,0)),0))</f>
        <v>0</v>
      </c>
      <c r="H1551" s="25">
        <f>IF($A1551="","",IF(OR($B1551="",$C1551="",$D1551=""),"Preencher tudo",IF($F1551="Código não cadastrado","Código inválido","OK")))</f>
        <v>0</v>
      </c>
    </row>
    <row r="1552" spans="1:8">
      <c r="A1552" s="16"/>
      <c r="B1552" s="15"/>
      <c r="C1552" s="20"/>
      <c r="D1552" s="22"/>
      <c r="E1552" s="15"/>
      <c r="F1552" s="23">
        <f>IF($B1552="","",IFERROR(INDEX(ProdNome,MATCH($B1552,ProdCod,0)),"Código não cadastrado"))</f>
        <v>0</v>
      </c>
      <c r="G1552" s="24">
        <f>IF(OR($B1552="",$D1552=""),"",$D1552*IFERROR(INDEX(ProdCusto,MATCH($B1552,ProdCod,0)),0))</f>
        <v>0</v>
      </c>
      <c r="H1552" s="25">
        <f>IF($A1552="","",IF(OR($B1552="",$C1552="",$D1552=""),"Preencher tudo",IF($F1552="Código não cadastrado","Código inválido","OK")))</f>
        <v>0</v>
      </c>
    </row>
    <row r="1553" spans="1:8">
      <c r="A1553" s="16"/>
      <c r="B1553" s="15"/>
      <c r="C1553" s="20"/>
      <c r="D1553" s="22"/>
      <c r="E1553" s="15"/>
      <c r="F1553" s="23">
        <f>IF($B1553="","",IFERROR(INDEX(ProdNome,MATCH($B1553,ProdCod,0)),"Código não cadastrado"))</f>
        <v>0</v>
      </c>
      <c r="G1553" s="24">
        <f>IF(OR($B1553="",$D1553=""),"",$D1553*IFERROR(INDEX(ProdCusto,MATCH($B1553,ProdCod,0)),0))</f>
        <v>0</v>
      </c>
      <c r="H1553" s="25">
        <f>IF($A1553="","",IF(OR($B1553="",$C1553="",$D1553=""),"Preencher tudo",IF($F1553="Código não cadastrado","Código inválido","OK")))</f>
        <v>0</v>
      </c>
    </row>
    <row r="1554" spans="1:8">
      <c r="A1554" s="16"/>
      <c r="B1554" s="15"/>
      <c r="C1554" s="20"/>
      <c r="D1554" s="22"/>
      <c r="E1554" s="15"/>
      <c r="F1554" s="23">
        <f>IF($B1554="","",IFERROR(INDEX(ProdNome,MATCH($B1554,ProdCod,0)),"Código não cadastrado"))</f>
        <v>0</v>
      </c>
      <c r="G1554" s="24">
        <f>IF(OR($B1554="",$D1554=""),"",$D1554*IFERROR(INDEX(ProdCusto,MATCH($B1554,ProdCod,0)),0))</f>
        <v>0</v>
      </c>
      <c r="H1554" s="25">
        <f>IF($A1554="","",IF(OR($B1554="",$C1554="",$D1554=""),"Preencher tudo",IF($F1554="Código não cadastrado","Código inválido","OK")))</f>
        <v>0</v>
      </c>
    </row>
    <row r="1555" spans="1:8">
      <c r="A1555" s="16"/>
      <c r="B1555" s="15"/>
      <c r="C1555" s="20"/>
      <c r="D1555" s="22"/>
      <c r="E1555" s="15"/>
      <c r="F1555" s="23">
        <f>IF($B1555="","",IFERROR(INDEX(ProdNome,MATCH($B1555,ProdCod,0)),"Código não cadastrado"))</f>
        <v>0</v>
      </c>
      <c r="G1555" s="24">
        <f>IF(OR($B1555="",$D1555=""),"",$D1555*IFERROR(INDEX(ProdCusto,MATCH($B1555,ProdCod,0)),0))</f>
        <v>0</v>
      </c>
      <c r="H1555" s="25">
        <f>IF($A1555="","",IF(OR($B1555="",$C1555="",$D1555=""),"Preencher tudo",IF($F1555="Código não cadastrado","Código inválido","OK")))</f>
        <v>0</v>
      </c>
    </row>
    <row r="1556" spans="1:8">
      <c r="A1556" s="16"/>
      <c r="B1556" s="15"/>
      <c r="C1556" s="20"/>
      <c r="D1556" s="22"/>
      <c r="E1556" s="15"/>
      <c r="F1556" s="23">
        <f>IF($B1556="","",IFERROR(INDEX(ProdNome,MATCH($B1556,ProdCod,0)),"Código não cadastrado"))</f>
        <v>0</v>
      </c>
      <c r="G1556" s="24">
        <f>IF(OR($B1556="",$D1556=""),"",$D1556*IFERROR(INDEX(ProdCusto,MATCH($B1556,ProdCod,0)),0))</f>
        <v>0</v>
      </c>
      <c r="H1556" s="25">
        <f>IF($A1556="","",IF(OR($B1556="",$C1556="",$D1556=""),"Preencher tudo",IF($F1556="Código não cadastrado","Código inválido","OK")))</f>
        <v>0</v>
      </c>
    </row>
    <row r="1557" spans="1:8">
      <c r="A1557" s="16"/>
      <c r="B1557" s="15"/>
      <c r="C1557" s="20"/>
      <c r="D1557" s="22"/>
      <c r="E1557" s="15"/>
      <c r="F1557" s="23">
        <f>IF($B1557="","",IFERROR(INDEX(ProdNome,MATCH($B1557,ProdCod,0)),"Código não cadastrado"))</f>
        <v>0</v>
      </c>
      <c r="G1557" s="24">
        <f>IF(OR($B1557="",$D1557=""),"",$D1557*IFERROR(INDEX(ProdCusto,MATCH($B1557,ProdCod,0)),0))</f>
        <v>0</v>
      </c>
      <c r="H1557" s="25">
        <f>IF($A1557="","",IF(OR($B1557="",$C1557="",$D1557=""),"Preencher tudo",IF($F1557="Código não cadastrado","Código inválido","OK")))</f>
        <v>0</v>
      </c>
    </row>
    <row r="1558" spans="1:8">
      <c r="A1558" s="16"/>
      <c r="B1558" s="15"/>
      <c r="C1558" s="20"/>
      <c r="D1558" s="22"/>
      <c r="E1558" s="15"/>
      <c r="F1558" s="23">
        <f>IF($B1558="","",IFERROR(INDEX(ProdNome,MATCH($B1558,ProdCod,0)),"Código não cadastrado"))</f>
        <v>0</v>
      </c>
      <c r="G1558" s="24">
        <f>IF(OR($B1558="",$D1558=""),"",$D1558*IFERROR(INDEX(ProdCusto,MATCH($B1558,ProdCod,0)),0))</f>
        <v>0</v>
      </c>
      <c r="H1558" s="25">
        <f>IF($A1558="","",IF(OR($B1558="",$C1558="",$D1558=""),"Preencher tudo",IF($F1558="Código não cadastrado","Código inválido","OK")))</f>
        <v>0</v>
      </c>
    </row>
    <row r="1559" spans="1:8">
      <c r="A1559" s="16"/>
      <c r="B1559" s="15"/>
      <c r="C1559" s="20"/>
      <c r="D1559" s="22"/>
      <c r="E1559" s="15"/>
      <c r="F1559" s="23">
        <f>IF($B1559="","",IFERROR(INDEX(ProdNome,MATCH($B1559,ProdCod,0)),"Código não cadastrado"))</f>
        <v>0</v>
      </c>
      <c r="G1559" s="24">
        <f>IF(OR($B1559="",$D1559=""),"",$D1559*IFERROR(INDEX(ProdCusto,MATCH($B1559,ProdCod,0)),0))</f>
        <v>0</v>
      </c>
      <c r="H1559" s="25">
        <f>IF($A1559="","",IF(OR($B1559="",$C1559="",$D1559=""),"Preencher tudo",IF($F1559="Código não cadastrado","Código inválido","OK")))</f>
        <v>0</v>
      </c>
    </row>
    <row r="1560" spans="1:8">
      <c r="A1560" s="16"/>
      <c r="B1560" s="15"/>
      <c r="C1560" s="20"/>
      <c r="D1560" s="22"/>
      <c r="E1560" s="15"/>
      <c r="F1560" s="23">
        <f>IF($B1560="","",IFERROR(INDEX(ProdNome,MATCH($B1560,ProdCod,0)),"Código não cadastrado"))</f>
        <v>0</v>
      </c>
      <c r="G1560" s="24">
        <f>IF(OR($B1560="",$D1560=""),"",$D1560*IFERROR(INDEX(ProdCusto,MATCH($B1560,ProdCod,0)),0))</f>
        <v>0</v>
      </c>
      <c r="H1560" s="25">
        <f>IF($A1560="","",IF(OR($B1560="",$C1560="",$D1560=""),"Preencher tudo",IF($F1560="Código não cadastrado","Código inválido","OK")))</f>
        <v>0</v>
      </c>
    </row>
    <row r="1561" spans="1:8">
      <c r="A1561" s="16"/>
      <c r="B1561" s="15"/>
      <c r="C1561" s="20"/>
      <c r="D1561" s="22"/>
      <c r="E1561" s="15"/>
      <c r="F1561" s="23">
        <f>IF($B1561="","",IFERROR(INDEX(ProdNome,MATCH($B1561,ProdCod,0)),"Código não cadastrado"))</f>
        <v>0</v>
      </c>
      <c r="G1561" s="24">
        <f>IF(OR($B1561="",$D1561=""),"",$D1561*IFERROR(INDEX(ProdCusto,MATCH($B1561,ProdCod,0)),0))</f>
        <v>0</v>
      </c>
      <c r="H1561" s="25">
        <f>IF($A1561="","",IF(OR($B1561="",$C1561="",$D1561=""),"Preencher tudo",IF($F1561="Código não cadastrado","Código inválido","OK")))</f>
        <v>0</v>
      </c>
    </row>
    <row r="1562" spans="1:8">
      <c r="A1562" s="16"/>
      <c r="B1562" s="15"/>
      <c r="C1562" s="20"/>
      <c r="D1562" s="22"/>
      <c r="E1562" s="15"/>
      <c r="F1562" s="23">
        <f>IF($B1562="","",IFERROR(INDEX(ProdNome,MATCH($B1562,ProdCod,0)),"Código não cadastrado"))</f>
        <v>0</v>
      </c>
      <c r="G1562" s="24">
        <f>IF(OR($B1562="",$D1562=""),"",$D1562*IFERROR(INDEX(ProdCusto,MATCH($B1562,ProdCod,0)),0))</f>
        <v>0</v>
      </c>
      <c r="H1562" s="25">
        <f>IF($A1562="","",IF(OR($B1562="",$C1562="",$D1562=""),"Preencher tudo",IF($F1562="Código não cadastrado","Código inválido","OK")))</f>
        <v>0</v>
      </c>
    </row>
    <row r="1563" spans="1:8">
      <c r="A1563" s="16"/>
      <c r="B1563" s="15"/>
      <c r="C1563" s="20"/>
      <c r="D1563" s="22"/>
      <c r="E1563" s="15"/>
      <c r="F1563" s="23">
        <f>IF($B1563="","",IFERROR(INDEX(ProdNome,MATCH($B1563,ProdCod,0)),"Código não cadastrado"))</f>
        <v>0</v>
      </c>
      <c r="G1563" s="24">
        <f>IF(OR($B1563="",$D1563=""),"",$D1563*IFERROR(INDEX(ProdCusto,MATCH($B1563,ProdCod,0)),0))</f>
        <v>0</v>
      </c>
      <c r="H1563" s="25">
        <f>IF($A1563="","",IF(OR($B1563="",$C1563="",$D1563=""),"Preencher tudo",IF($F1563="Código não cadastrado","Código inválido","OK")))</f>
        <v>0</v>
      </c>
    </row>
    <row r="1564" spans="1:8">
      <c r="A1564" s="16"/>
      <c r="B1564" s="15"/>
      <c r="C1564" s="20"/>
      <c r="D1564" s="22"/>
      <c r="E1564" s="15"/>
      <c r="F1564" s="23">
        <f>IF($B1564="","",IFERROR(INDEX(ProdNome,MATCH($B1564,ProdCod,0)),"Código não cadastrado"))</f>
        <v>0</v>
      </c>
      <c r="G1564" s="24">
        <f>IF(OR($B1564="",$D1564=""),"",$D1564*IFERROR(INDEX(ProdCusto,MATCH($B1564,ProdCod,0)),0))</f>
        <v>0</v>
      </c>
      <c r="H1564" s="25">
        <f>IF($A1564="","",IF(OR($B1564="",$C1564="",$D1564=""),"Preencher tudo",IF($F1564="Código não cadastrado","Código inválido","OK")))</f>
        <v>0</v>
      </c>
    </row>
    <row r="1565" spans="1:8">
      <c r="A1565" s="16"/>
      <c r="B1565" s="15"/>
      <c r="C1565" s="20"/>
      <c r="D1565" s="22"/>
      <c r="E1565" s="15"/>
      <c r="F1565" s="23">
        <f>IF($B1565="","",IFERROR(INDEX(ProdNome,MATCH($B1565,ProdCod,0)),"Código não cadastrado"))</f>
        <v>0</v>
      </c>
      <c r="G1565" s="24">
        <f>IF(OR($B1565="",$D1565=""),"",$D1565*IFERROR(INDEX(ProdCusto,MATCH($B1565,ProdCod,0)),0))</f>
        <v>0</v>
      </c>
      <c r="H1565" s="25">
        <f>IF($A1565="","",IF(OR($B1565="",$C1565="",$D1565=""),"Preencher tudo",IF($F1565="Código não cadastrado","Código inválido","OK")))</f>
        <v>0</v>
      </c>
    </row>
    <row r="1566" spans="1:8">
      <c r="A1566" s="16"/>
      <c r="B1566" s="15"/>
      <c r="C1566" s="20"/>
      <c r="D1566" s="22"/>
      <c r="E1566" s="15"/>
      <c r="F1566" s="23">
        <f>IF($B1566="","",IFERROR(INDEX(ProdNome,MATCH($B1566,ProdCod,0)),"Código não cadastrado"))</f>
        <v>0</v>
      </c>
      <c r="G1566" s="24">
        <f>IF(OR($B1566="",$D1566=""),"",$D1566*IFERROR(INDEX(ProdCusto,MATCH($B1566,ProdCod,0)),0))</f>
        <v>0</v>
      </c>
      <c r="H1566" s="25">
        <f>IF($A1566="","",IF(OR($B1566="",$C1566="",$D1566=""),"Preencher tudo",IF($F1566="Código não cadastrado","Código inválido","OK")))</f>
        <v>0</v>
      </c>
    </row>
    <row r="1567" spans="1:8">
      <c r="A1567" s="16"/>
      <c r="B1567" s="15"/>
      <c r="C1567" s="20"/>
      <c r="D1567" s="22"/>
      <c r="E1567" s="15"/>
      <c r="F1567" s="23">
        <f>IF($B1567="","",IFERROR(INDEX(ProdNome,MATCH($B1567,ProdCod,0)),"Código não cadastrado"))</f>
        <v>0</v>
      </c>
      <c r="G1567" s="24">
        <f>IF(OR($B1567="",$D1567=""),"",$D1567*IFERROR(INDEX(ProdCusto,MATCH($B1567,ProdCod,0)),0))</f>
        <v>0</v>
      </c>
      <c r="H1567" s="25">
        <f>IF($A1567="","",IF(OR($B1567="",$C1567="",$D1567=""),"Preencher tudo",IF($F1567="Código não cadastrado","Código inválido","OK")))</f>
        <v>0</v>
      </c>
    </row>
    <row r="1568" spans="1:8">
      <c r="A1568" s="16"/>
      <c r="B1568" s="15"/>
      <c r="C1568" s="20"/>
      <c r="D1568" s="22"/>
      <c r="E1568" s="15"/>
      <c r="F1568" s="23">
        <f>IF($B1568="","",IFERROR(INDEX(ProdNome,MATCH($B1568,ProdCod,0)),"Código não cadastrado"))</f>
        <v>0</v>
      </c>
      <c r="G1568" s="24">
        <f>IF(OR($B1568="",$D1568=""),"",$D1568*IFERROR(INDEX(ProdCusto,MATCH($B1568,ProdCod,0)),0))</f>
        <v>0</v>
      </c>
      <c r="H1568" s="25">
        <f>IF($A1568="","",IF(OR($B1568="",$C1568="",$D1568=""),"Preencher tudo",IF($F1568="Código não cadastrado","Código inválido","OK")))</f>
        <v>0</v>
      </c>
    </row>
    <row r="1569" spans="1:8">
      <c r="A1569" s="16"/>
      <c r="B1569" s="15"/>
      <c r="C1569" s="20"/>
      <c r="D1569" s="22"/>
      <c r="E1569" s="15"/>
      <c r="F1569" s="23">
        <f>IF($B1569="","",IFERROR(INDEX(ProdNome,MATCH($B1569,ProdCod,0)),"Código não cadastrado"))</f>
        <v>0</v>
      </c>
      <c r="G1569" s="24">
        <f>IF(OR($B1569="",$D1569=""),"",$D1569*IFERROR(INDEX(ProdCusto,MATCH($B1569,ProdCod,0)),0))</f>
        <v>0</v>
      </c>
      <c r="H1569" s="25">
        <f>IF($A1569="","",IF(OR($B1569="",$C1569="",$D1569=""),"Preencher tudo",IF($F1569="Código não cadastrado","Código inválido","OK")))</f>
        <v>0</v>
      </c>
    </row>
    <row r="1570" spans="1:8">
      <c r="A1570" s="16"/>
      <c r="B1570" s="15"/>
      <c r="C1570" s="20"/>
      <c r="D1570" s="22"/>
      <c r="E1570" s="15"/>
      <c r="F1570" s="23">
        <f>IF($B1570="","",IFERROR(INDEX(ProdNome,MATCH($B1570,ProdCod,0)),"Código não cadastrado"))</f>
        <v>0</v>
      </c>
      <c r="G1570" s="24">
        <f>IF(OR($B1570="",$D1570=""),"",$D1570*IFERROR(INDEX(ProdCusto,MATCH($B1570,ProdCod,0)),0))</f>
        <v>0</v>
      </c>
      <c r="H1570" s="25">
        <f>IF($A1570="","",IF(OR($B1570="",$C1570="",$D1570=""),"Preencher tudo",IF($F1570="Código não cadastrado","Código inválido","OK")))</f>
        <v>0</v>
      </c>
    </row>
    <row r="1571" spans="1:8">
      <c r="A1571" s="16"/>
      <c r="B1571" s="15"/>
      <c r="C1571" s="20"/>
      <c r="D1571" s="22"/>
      <c r="E1571" s="15"/>
      <c r="F1571" s="23">
        <f>IF($B1571="","",IFERROR(INDEX(ProdNome,MATCH($B1571,ProdCod,0)),"Código não cadastrado"))</f>
        <v>0</v>
      </c>
      <c r="G1571" s="24">
        <f>IF(OR($B1571="",$D1571=""),"",$D1571*IFERROR(INDEX(ProdCusto,MATCH($B1571,ProdCod,0)),0))</f>
        <v>0</v>
      </c>
      <c r="H1571" s="25">
        <f>IF($A1571="","",IF(OR($B1571="",$C1571="",$D1571=""),"Preencher tudo",IF($F1571="Código não cadastrado","Código inválido","OK")))</f>
        <v>0</v>
      </c>
    </row>
    <row r="1572" spans="1:8">
      <c r="A1572" s="16"/>
      <c r="B1572" s="15"/>
      <c r="C1572" s="20"/>
      <c r="D1572" s="22"/>
      <c r="E1572" s="15"/>
      <c r="F1572" s="23">
        <f>IF($B1572="","",IFERROR(INDEX(ProdNome,MATCH($B1572,ProdCod,0)),"Código não cadastrado"))</f>
        <v>0</v>
      </c>
      <c r="G1572" s="24">
        <f>IF(OR($B1572="",$D1572=""),"",$D1572*IFERROR(INDEX(ProdCusto,MATCH($B1572,ProdCod,0)),0))</f>
        <v>0</v>
      </c>
      <c r="H1572" s="25">
        <f>IF($A1572="","",IF(OR($B1572="",$C1572="",$D1572=""),"Preencher tudo",IF($F1572="Código não cadastrado","Código inválido","OK")))</f>
        <v>0</v>
      </c>
    </row>
    <row r="1573" spans="1:8">
      <c r="A1573" s="16"/>
      <c r="B1573" s="15"/>
      <c r="C1573" s="20"/>
      <c r="D1573" s="22"/>
      <c r="E1573" s="15"/>
      <c r="F1573" s="23">
        <f>IF($B1573="","",IFERROR(INDEX(ProdNome,MATCH($B1573,ProdCod,0)),"Código não cadastrado"))</f>
        <v>0</v>
      </c>
      <c r="G1573" s="24">
        <f>IF(OR($B1573="",$D1573=""),"",$D1573*IFERROR(INDEX(ProdCusto,MATCH($B1573,ProdCod,0)),0))</f>
        <v>0</v>
      </c>
      <c r="H1573" s="25">
        <f>IF($A1573="","",IF(OR($B1573="",$C1573="",$D1573=""),"Preencher tudo",IF($F1573="Código não cadastrado","Código inválido","OK")))</f>
        <v>0</v>
      </c>
    </row>
    <row r="1574" spans="1:8">
      <c r="A1574" s="16"/>
      <c r="B1574" s="15"/>
      <c r="C1574" s="20"/>
      <c r="D1574" s="22"/>
      <c r="E1574" s="15"/>
      <c r="F1574" s="23">
        <f>IF($B1574="","",IFERROR(INDEX(ProdNome,MATCH($B1574,ProdCod,0)),"Código não cadastrado"))</f>
        <v>0</v>
      </c>
      <c r="G1574" s="24">
        <f>IF(OR($B1574="",$D1574=""),"",$D1574*IFERROR(INDEX(ProdCusto,MATCH($B1574,ProdCod,0)),0))</f>
        <v>0</v>
      </c>
      <c r="H1574" s="25">
        <f>IF($A1574="","",IF(OR($B1574="",$C1574="",$D1574=""),"Preencher tudo",IF($F1574="Código não cadastrado","Código inválido","OK")))</f>
        <v>0</v>
      </c>
    </row>
    <row r="1575" spans="1:8">
      <c r="A1575" s="16"/>
      <c r="B1575" s="15"/>
      <c r="C1575" s="20"/>
      <c r="D1575" s="22"/>
      <c r="E1575" s="15"/>
      <c r="F1575" s="23">
        <f>IF($B1575="","",IFERROR(INDEX(ProdNome,MATCH($B1575,ProdCod,0)),"Código não cadastrado"))</f>
        <v>0</v>
      </c>
      <c r="G1575" s="24">
        <f>IF(OR($B1575="",$D1575=""),"",$D1575*IFERROR(INDEX(ProdCusto,MATCH($B1575,ProdCod,0)),0))</f>
        <v>0</v>
      </c>
      <c r="H1575" s="25">
        <f>IF($A1575="","",IF(OR($B1575="",$C1575="",$D1575=""),"Preencher tudo",IF($F1575="Código não cadastrado","Código inválido","OK")))</f>
        <v>0</v>
      </c>
    </row>
    <row r="1576" spans="1:8">
      <c r="A1576" s="16"/>
      <c r="B1576" s="15"/>
      <c r="C1576" s="20"/>
      <c r="D1576" s="22"/>
      <c r="E1576" s="15"/>
      <c r="F1576" s="23">
        <f>IF($B1576="","",IFERROR(INDEX(ProdNome,MATCH($B1576,ProdCod,0)),"Código não cadastrado"))</f>
        <v>0</v>
      </c>
      <c r="G1576" s="24">
        <f>IF(OR($B1576="",$D1576=""),"",$D1576*IFERROR(INDEX(ProdCusto,MATCH($B1576,ProdCod,0)),0))</f>
        <v>0</v>
      </c>
      <c r="H1576" s="25">
        <f>IF($A1576="","",IF(OR($B1576="",$C1576="",$D1576=""),"Preencher tudo",IF($F1576="Código não cadastrado","Código inválido","OK")))</f>
        <v>0</v>
      </c>
    </row>
    <row r="1577" spans="1:8">
      <c r="A1577" s="16"/>
      <c r="B1577" s="15"/>
      <c r="C1577" s="20"/>
      <c r="D1577" s="22"/>
      <c r="E1577" s="15"/>
      <c r="F1577" s="23">
        <f>IF($B1577="","",IFERROR(INDEX(ProdNome,MATCH($B1577,ProdCod,0)),"Código não cadastrado"))</f>
        <v>0</v>
      </c>
      <c r="G1577" s="24">
        <f>IF(OR($B1577="",$D1577=""),"",$D1577*IFERROR(INDEX(ProdCusto,MATCH($B1577,ProdCod,0)),0))</f>
        <v>0</v>
      </c>
      <c r="H1577" s="25">
        <f>IF($A1577="","",IF(OR($B1577="",$C1577="",$D1577=""),"Preencher tudo",IF($F1577="Código não cadastrado","Código inválido","OK")))</f>
        <v>0</v>
      </c>
    </row>
    <row r="1578" spans="1:8">
      <c r="A1578" s="16"/>
      <c r="B1578" s="15"/>
      <c r="C1578" s="20"/>
      <c r="D1578" s="22"/>
      <c r="E1578" s="15"/>
      <c r="F1578" s="23">
        <f>IF($B1578="","",IFERROR(INDEX(ProdNome,MATCH($B1578,ProdCod,0)),"Código não cadastrado"))</f>
        <v>0</v>
      </c>
      <c r="G1578" s="24">
        <f>IF(OR($B1578="",$D1578=""),"",$D1578*IFERROR(INDEX(ProdCusto,MATCH($B1578,ProdCod,0)),0))</f>
        <v>0</v>
      </c>
      <c r="H1578" s="25">
        <f>IF($A1578="","",IF(OR($B1578="",$C1578="",$D1578=""),"Preencher tudo",IF($F1578="Código não cadastrado","Código inválido","OK")))</f>
        <v>0</v>
      </c>
    </row>
    <row r="1579" spans="1:8">
      <c r="A1579" s="16"/>
      <c r="B1579" s="15"/>
      <c r="C1579" s="20"/>
      <c r="D1579" s="22"/>
      <c r="E1579" s="15"/>
      <c r="F1579" s="23">
        <f>IF($B1579="","",IFERROR(INDEX(ProdNome,MATCH($B1579,ProdCod,0)),"Código não cadastrado"))</f>
        <v>0</v>
      </c>
      <c r="G1579" s="24">
        <f>IF(OR($B1579="",$D1579=""),"",$D1579*IFERROR(INDEX(ProdCusto,MATCH($B1579,ProdCod,0)),0))</f>
        <v>0</v>
      </c>
      <c r="H1579" s="25">
        <f>IF($A1579="","",IF(OR($B1579="",$C1579="",$D1579=""),"Preencher tudo",IF($F1579="Código não cadastrado","Código inválido","OK")))</f>
        <v>0</v>
      </c>
    </row>
    <row r="1580" spans="1:8">
      <c r="A1580" s="16"/>
      <c r="B1580" s="15"/>
      <c r="C1580" s="20"/>
      <c r="D1580" s="22"/>
      <c r="E1580" s="15"/>
      <c r="F1580" s="23">
        <f>IF($B1580="","",IFERROR(INDEX(ProdNome,MATCH($B1580,ProdCod,0)),"Código não cadastrado"))</f>
        <v>0</v>
      </c>
      <c r="G1580" s="24">
        <f>IF(OR($B1580="",$D1580=""),"",$D1580*IFERROR(INDEX(ProdCusto,MATCH($B1580,ProdCod,0)),0))</f>
        <v>0</v>
      </c>
      <c r="H1580" s="25">
        <f>IF($A1580="","",IF(OR($B1580="",$C1580="",$D1580=""),"Preencher tudo",IF($F1580="Código não cadastrado","Código inválido","OK")))</f>
        <v>0</v>
      </c>
    </row>
    <row r="1581" spans="1:8">
      <c r="A1581" s="16"/>
      <c r="B1581" s="15"/>
      <c r="C1581" s="20"/>
      <c r="D1581" s="22"/>
      <c r="E1581" s="15"/>
      <c r="F1581" s="23">
        <f>IF($B1581="","",IFERROR(INDEX(ProdNome,MATCH($B1581,ProdCod,0)),"Código não cadastrado"))</f>
        <v>0</v>
      </c>
      <c r="G1581" s="24">
        <f>IF(OR($B1581="",$D1581=""),"",$D1581*IFERROR(INDEX(ProdCusto,MATCH($B1581,ProdCod,0)),0))</f>
        <v>0</v>
      </c>
      <c r="H1581" s="25">
        <f>IF($A1581="","",IF(OR($B1581="",$C1581="",$D1581=""),"Preencher tudo",IF($F1581="Código não cadastrado","Código inválido","OK")))</f>
        <v>0</v>
      </c>
    </row>
    <row r="1582" spans="1:8">
      <c r="A1582" s="16"/>
      <c r="B1582" s="15"/>
      <c r="C1582" s="20"/>
      <c r="D1582" s="22"/>
      <c r="E1582" s="15"/>
      <c r="F1582" s="23">
        <f>IF($B1582="","",IFERROR(INDEX(ProdNome,MATCH($B1582,ProdCod,0)),"Código não cadastrado"))</f>
        <v>0</v>
      </c>
      <c r="G1582" s="24">
        <f>IF(OR($B1582="",$D1582=""),"",$D1582*IFERROR(INDEX(ProdCusto,MATCH($B1582,ProdCod,0)),0))</f>
        <v>0</v>
      </c>
      <c r="H1582" s="25">
        <f>IF($A1582="","",IF(OR($B1582="",$C1582="",$D1582=""),"Preencher tudo",IF($F1582="Código não cadastrado","Código inválido","OK")))</f>
        <v>0</v>
      </c>
    </row>
    <row r="1583" spans="1:8">
      <c r="A1583" s="16"/>
      <c r="B1583" s="15"/>
      <c r="C1583" s="20"/>
      <c r="D1583" s="22"/>
      <c r="E1583" s="15"/>
      <c r="F1583" s="23">
        <f>IF($B1583="","",IFERROR(INDEX(ProdNome,MATCH($B1583,ProdCod,0)),"Código não cadastrado"))</f>
        <v>0</v>
      </c>
      <c r="G1583" s="24">
        <f>IF(OR($B1583="",$D1583=""),"",$D1583*IFERROR(INDEX(ProdCusto,MATCH($B1583,ProdCod,0)),0))</f>
        <v>0</v>
      </c>
      <c r="H1583" s="25">
        <f>IF($A1583="","",IF(OR($B1583="",$C1583="",$D1583=""),"Preencher tudo",IF($F1583="Código não cadastrado","Código inválido","OK")))</f>
        <v>0</v>
      </c>
    </row>
    <row r="1584" spans="1:8">
      <c r="A1584" s="16"/>
      <c r="B1584" s="15"/>
      <c r="C1584" s="20"/>
      <c r="D1584" s="22"/>
      <c r="E1584" s="15"/>
      <c r="F1584" s="23">
        <f>IF($B1584="","",IFERROR(INDEX(ProdNome,MATCH($B1584,ProdCod,0)),"Código não cadastrado"))</f>
        <v>0</v>
      </c>
      <c r="G1584" s="24">
        <f>IF(OR($B1584="",$D1584=""),"",$D1584*IFERROR(INDEX(ProdCusto,MATCH($B1584,ProdCod,0)),0))</f>
        <v>0</v>
      </c>
      <c r="H1584" s="25">
        <f>IF($A1584="","",IF(OR($B1584="",$C1584="",$D1584=""),"Preencher tudo",IF($F1584="Código não cadastrado","Código inválido","OK")))</f>
        <v>0</v>
      </c>
    </row>
    <row r="1585" spans="1:8">
      <c r="A1585" s="16"/>
      <c r="B1585" s="15"/>
      <c r="C1585" s="20"/>
      <c r="D1585" s="22"/>
      <c r="E1585" s="15"/>
      <c r="F1585" s="23">
        <f>IF($B1585="","",IFERROR(INDEX(ProdNome,MATCH($B1585,ProdCod,0)),"Código não cadastrado"))</f>
        <v>0</v>
      </c>
      <c r="G1585" s="24">
        <f>IF(OR($B1585="",$D1585=""),"",$D1585*IFERROR(INDEX(ProdCusto,MATCH($B1585,ProdCod,0)),0))</f>
        <v>0</v>
      </c>
      <c r="H1585" s="25">
        <f>IF($A1585="","",IF(OR($B1585="",$C1585="",$D1585=""),"Preencher tudo",IF($F1585="Código não cadastrado","Código inválido","OK")))</f>
        <v>0</v>
      </c>
    </row>
    <row r="1586" spans="1:8">
      <c r="A1586" s="16"/>
      <c r="B1586" s="15"/>
      <c r="C1586" s="20"/>
      <c r="D1586" s="22"/>
      <c r="E1586" s="15"/>
      <c r="F1586" s="23">
        <f>IF($B1586="","",IFERROR(INDEX(ProdNome,MATCH($B1586,ProdCod,0)),"Código não cadastrado"))</f>
        <v>0</v>
      </c>
      <c r="G1586" s="24">
        <f>IF(OR($B1586="",$D1586=""),"",$D1586*IFERROR(INDEX(ProdCusto,MATCH($B1586,ProdCod,0)),0))</f>
        <v>0</v>
      </c>
      <c r="H1586" s="25">
        <f>IF($A1586="","",IF(OR($B1586="",$C1586="",$D1586=""),"Preencher tudo",IF($F1586="Código não cadastrado","Código inválido","OK")))</f>
        <v>0</v>
      </c>
    </row>
    <row r="1587" spans="1:8">
      <c r="A1587" s="16"/>
      <c r="B1587" s="15"/>
      <c r="C1587" s="20"/>
      <c r="D1587" s="22"/>
      <c r="E1587" s="15"/>
      <c r="F1587" s="23">
        <f>IF($B1587="","",IFERROR(INDEX(ProdNome,MATCH($B1587,ProdCod,0)),"Código não cadastrado"))</f>
        <v>0</v>
      </c>
      <c r="G1587" s="24">
        <f>IF(OR($B1587="",$D1587=""),"",$D1587*IFERROR(INDEX(ProdCusto,MATCH($B1587,ProdCod,0)),0))</f>
        <v>0</v>
      </c>
      <c r="H1587" s="25">
        <f>IF($A1587="","",IF(OR($B1587="",$C1587="",$D1587=""),"Preencher tudo",IF($F1587="Código não cadastrado","Código inválido","OK")))</f>
        <v>0</v>
      </c>
    </row>
    <row r="1588" spans="1:8">
      <c r="A1588" s="16"/>
      <c r="B1588" s="15"/>
      <c r="C1588" s="20"/>
      <c r="D1588" s="22"/>
      <c r="E1588" s="15"/>
      <c r="F1588" s="23">
        <f>IF($B1588="","",IFERROR(INDEX(ProdNome,MATCH($B1588,ProdCod,0)),"Código não cadastrado"))</f>
        <v>0</v>
      </c>
      <c r="G1588" s="24">
        <f>IF(OR($B1588="",$D1588=""),"",$D1588*IFERROR(INDEX(ProdCusto,MATCH($B1588,ProdCod,0)),0))</f>
        <v>0</v>
      </c>
      <c r="H1588" s="25">
        <f>IF($A1588="","",IF(OR($B1588="",$C1588="",$D1588=""),"Preencher tudo",IF($F1588="Código não cadastrado","Código inválido","OK")))</f>
        <v>0</v>
      </c>
    </row>
    <row r="1589" spans="1:8">
      <c r="A1589" s="16"/>
      <c r="B1589" s="15"/>
      <c r="C1589" s="20"/>
      <c r="D1589" s="22"/>
      <c r="E1589" s="15"/>
      <c r="F1589" s="23">
        <f>IF($B1589="","",IFERROR(INDEX(ProdNome,MATCH($B1589,ProdCod,0)),"Código não cadastrado"))</f>
        <v>0</v>
      </c>
      <c r="G1589" s="24">
        <f>IF(OR($B1589="",$D1589=""),"",$D1589*IFERROR(INDEX(ProdCusto,MATCH($B1589,ProdCod,0)),0))</f>
        <v>0</v>
      </c>
      <c r="H1589" s="25">
        <f>IF($A1589="","",IF(OR($B1589="",$C1589="",$D1589=""),"Preencher tudo",IF($F1589="Código não cadastrado","Código inválido","OK")))</f>
        <v>0</v>
      </c>
    </row>
    <row r="1590" spans="1:8">
      <c r="A1590" s="16"/>
      <c r="B1590" s="15"/>
      <c r="C1590" s="20"/>
      <c r="D1590" s="22"/>
      <c r="E1590" s="15"/>
      <c r="F1590" s="23">
        <f>IF($B1590="","",IFERROR(INDEX(ProdNome,MATCH($B1590,ProdCod,0)),"Código não cadastrado"))</f>
        <v>0</v>
      </c>
      <c r="G1590" s="24">
        <f>IF(OR($B1590="",$D1590=""),"",$D1590*IFERROR(INDEX(ProdCusto,MATCH($B1590,ProdCod,0)),0))</f>
        <v>0</v>
      </c>
      <c r="H1590" s="25">
        <f>IF($A1590="","",IF(OR($B1590="",$C1590="",$D1590=""),"Preencher tudo",IF($F1590="Código não cadastrado","Código inválido","OK")))</f>
        <v>0</v>
      </c>
    </row>
    <row r="1591" spans="1:8">
      <c r="A1591" s="16"/>
      <c r="B1591" s="15"/>
      <c r="C1591" s="20"/>
      <c r="D1591" s="22"/>
      <c r="E1591" s="15"/>
      <c r="F1591" s="23">
        <f>IF($B1591="","",IFERROR(INDEX(ProdNome,MATCH($B1591,ProdCod,0)),"Código não cadastrado"))</f>
        <v>0</v>
      </c>
      <c r="G1591" s="24">
        <f>IF(OR($B1591="",$D1591=""),"",$D1591*IFERROR(INDEX(ProdCusto,MATCH($B1591,ProdCod,0)),0))</f>
        <v>0</v>
      </c>
      <c r="H1591" s="25">
        <f>IF($A1591="","",IF(OR($B1591="",$C1591="",$D1591=""),"Preencher tudo",IF($F1591="Código não cadastrado","Código inválido","OK")))</f>
        <v>0</v>
      </c>
    </row>
    <row r="1592" spans="1:8">
      <c r="A1592" s="16"/>
      <c r="B1592" s="15"/>
      <c r="C1592" s="20"/>
      <c r="D1592" s="22"/>
      <c r="E1592" s="15"/>
      <c r="F1592" s="23">
        <f>IF($B1592="","",IFERROR(INDEX(ProdNome,MATCH($B1592,ProdCod,0)),"Código não cadastrado"))</f>
        <v>0</v>
      </c>
      <c r="G1592" s="24">
        <f>IF(OR($B1592="",$D1592=""),"",$D1592*IFERROR(INDEX(ProdCusto,MATCH($B1592,ProdCod,0)),0))</f>
        <v>0</v>
      </c>
      <c r="H1592" s="25">
        <f>IF($A1592="","",IF(OR($B1592="",$C1592="",$D1592=""),"Preencher tudo",IF($F1592="Código não cadastrado","Código inválido","OK")))</f>
        <v>0</v>
      </c>
    </row>
    <row r="1593" spans="1:8">
      <c r="A1593" s="16"/>
      <c r="B1593" s="15"/>
      <c r="C1593" s="20"/>
      <c r="D1593" s="22"/>
      <c r="E1593" s="15"/>
      <c r="F1593" s="23">
        <f>IF($B1593="","",IFERROR(INDEX(ProdNome,MATCH($B1593,ProdCod,0)),"Código não cadastrado"))</f>
        <v>0</v>
      </c>
      <c r="G1593" s="24">
        <f>IF(OR($B1593="",$D1593=""),"",$D1593*IFERROR(INDEX(ProdCusto,MATCH($B1593,ProdCod,0)),0))</f>
        <v>0</v>
      </c>
      <c r="H1593" s="25">
        <f>IF($A1593="","",IF(OR($B1593="",$C1593="",$D1593=""),"Preencher tudo",IF($F1593="Código não cadastrado","Código inválido","OK")))</f>
        <v>0</v>
      </c>
    </row>
    <row r="1594" spans="1:8">
      <c r="A1594" s="16"/>
      <c r="B1594" s="15"/>
      <c r="C1594" s="20"/>
      <c r="D1594" s="22"/>
      <c r="E1594" s="15"/>
      <c r="F1594" s="23">
        <f>IF($B1594="","",IFERROR(INDEX(ProdNome,MATCH($B1594,ProdCod,0)),"Código não cadastrado"))</f>
        <v>0</v>
      </c>
      <c r="G1594" s="24">
        <f>IF(OR($B1594="",$D1594=""),"",$D1594*IFERROR(INDEX(ProdCusto,MATCH($B1594,ProdCod,0)),0))</f>
        <v>0</v>
      </c>
      <c r="H1594" s="25">
        <f>IF($A1594="","",IF(OR($B1594="",$C1594="",$D1594=""),"Preencher tudo",IF($F1594="Código não cadastrado","Código inválido","OK")))</f>
        <v>0</v>
      </c>
    </row>
    <row r="1595" spans="1:8">
      <c r="A1595" s="16"/>
      <c r="B1595" s="15"/>
      <c r="C1595" s="20"/>
      <c r="D1595" s="22"/>
      <c r="E1595" s="15"/>
      <c r="F1595" s="23">
        <f>IF($B1595="","",IFERROR(INDEX(ProdNome,MATCH($B1595,ProdCod,0)),"Código não cadastrado"))</f>
        <v>0</v>
      </c>
      <c r="G1595" s="24">
        <f>IF(OR($B1595="",$D1595=""),"",$D1595*IFERROR(INDEX(ProdCusto,MATCH($B1595,ProdCod,0)),0))</f>
        <v>0</v>
      </c>
      <c r="H1595" s="25">
        <f>IF($A1595="","",IF(OR($B1595="",$C1595="",$D1595=""),"Preencher tudo",IF($F1595="Código não cadastrado","Código inválido","OK")))</f>
        <v>0</v>
      </c>
    </row>
    <row r="1596" spans="1:8">
      <c r="A1596" s="16"/>
      <c r="B1596" s="15"/>
      <c r="C1596" s="20"/>
      <c r="D1596" s="22"/>
      <c r="E1596" s="15"/>
      <c r="F1596" s="23">
        <f>IF($B1596="","",IFERROR(INDEX(ProdNome,MATCH($B1596,ProdCod,0)),"Código não cadastrado"))</f>
        <v>0</v>
      </c>
      <c r="G1596" s="24">
        <f>IF(OR($B1596="",$D1596=""),"",$D1596*IFERROR(INDEX(ProdCusto,MATCH($B1596,ProdCod,0)),0))</f>
        <v>0</v>
      </c>
      <c r="H1596" s="25">
        <f>IF($A1596="","",IF(OR($B1596="",$C1596="",$D1596=""),"Preencher tudo",IF($F1596="Código não cadastrado","Código inválido","OK")))</f>
        <v>0</v>
      </c>
    </row>
    <row r="1597" spans="1:8">
      <c r="A1597" s="16"/>
      <c r="B1597" s="15"/>
      <c r="C1597" s="20"/>
      <c r="D1597" s="22"/>
      <c r="E1597" s="15"/>
      <c r="F1597" s="23">
        <f>IF($B1597="","",IFERROR(INDEX(ProdNome,MATCH($B1597,ProdCod,0)),"Código não cadastrado"))</f>
        <v>0</v>
      </c>
      <c r="G1597" s="24">
        <f>IF(OR($B1597="",$D1597=""),"",$D1597*IFERROR(INDEX(ProdCusto,MATCH($B1597,ProdCod,0)),0))</f>
        <v>0</v>
      </c>
      <c r="H1597" s="25">
        <f>IF($A1597="","",IF(OR($B1597="",$C1597="",$D1597=""),"Preencher tudo",IF($F1597="Código não cadastrado","Código inválido","OK")))</f>
        <v>0</v>
      </c>
    </row>
    <row r="1598" spans="1:8">
      <c r="A1598" s="16"/>
      <c r="B1598" s="15"/>
      <c r="C1598" s="20"/>
      <c r="D1598" s="22"/>
      <c r="E1598" s="15"/>
      <c r="F1598" s="23">
        <f>IF($B1598="","",IFERROR(INDEX(ProdNome,MATCH($B1598,ProdCod,0)),"Código não cadastrado"))</f>
        <v>0</v>
      </c>
      <c r="G1598" s="24">
        <f>IF(OR($B1598="",$D1598=""),"",$D1598*IFERROR(INDEX(ProdCusto,MATCH($B1598,ProdCod,0)),0))</f>
        <v>0</v>
      </c>
      <c r="H1598" s="25">
        <f>IF($A1598="","",IF(OR($B1598="",$C1598="",$D1598=""),"Preencher tudo",IF($F1598="Código não cadastrado","Código inválido","OK")))</f>
        <v>0</v>
      </c>
    </row>
    <row r="1599" spans="1:8">
      <c r="A1599" s="16"/>
      <c r="B1599" s="15"/>
      <c r="C1599" s="20"/>
      <c r="D1599" s="22"/>
      <c r="E1599" s="15"/>
      <c r="F1599" s="23">
        <f>IF($B1599="","",IFERROR(INDEX(ProdNome,MATCH($B1599,ProdCod,0)),"Código não cadastrado"))</f>
        <v>0</v>
      </c>
      <c r="G1599" s="24">
        <f>IF(OR($B1599="",$D1599=""),"",$D1599*IFERROR(INDEX(ProdCusto,MATCH($B1599,ProdCod,0)),0))</f>
        <v>0</v>
      </c>
      <c r="H1599" s="25">
        <f>IF($A1599="","",IF(OR($B1599="",$C1599="",$D1599=""),"Preencher tudo",IF($F1599="Código não cadastrado","Código inválido","OK")))</f>
        <v>0</v>
      </c>
    </row>
    <row r="1600" spans="1:8">
      <c r="A1600" s="16"/>
      <c r="B1600" s="15"/>
      <c r="C1600" s="20"/>
      <c r="D1600" s="22"/>
      <c r="E1600" s="15"/>
      <c r="F1600" s="23">
        <f>IF($B1600="","",IFERROR(INDEX(ProdNome,MATCH($B1600,ProdCod,0)),"Código não cadastrado"))</f>
        <v>0</v>
      </c>
      <c r="G1600" s="24">
        <f>IF(OR($B1600="",$D1600=""),"",$D1600*IFERROR(INDEX(ProdCusto,MATCH($B1600,ProdCod,0)),0))</f>
        <v>0</v>
      </c>
      <c r="H1600" s="25">
        <f>IF($A1600="","",IF(OR($B1600="",$C1600="",$D1600=""),"Preencher tudo",IF($F1600="Código não cadastrado","Código inválido","OK")))</f>
        <v>0</v>
      </c>
    </row>
    <row r="1601" spans="1:8">
      <c r="A1601" s="16"/>
      <c r="B1601" s="15"/>
      <c r="C1601" s="20"/>
      <c r="D1601" s="22"/>
      <c r="E1601" s="15"/>
      <c r="F1601" s="23">
        <f>IF($B1601="","",IFERROR(INDEX(ProdNome,MATCH($B1601,ProdCod,0)),"Código não cadastrado"))</f>
        <v>0</v>
      </c>
      <c r="G1601" s="24">
        <f>IF(OR($B1601="",$D1601=""),"",$D1601*IFERROR(INDEX(ProdCusto,MATCH($B1601,ProdCod,0)),0))</f>
        <v>0</v>
      </c>
      <c r="H1601" s="25">
        <f>IF($A1601="","",IF(OR($B1601="",$C1601="",$D1601=""),"Preencher tudo",IF($F1601="Código não cadastrado","Código inválido","OK")))</f>
        <v>0</v>
      </c>
    </row>
    <row r="1602" spans="1:8">
      <c r="A1602" s="16"/>
      <c r="B1602" s="15"/>
      <c r="C1602" s="20"/>
      <c r="D1602" s="22"/>
      <c r="E1602" s="15"/>
      <c r="F1602" s="23">
        <f>IF($B1602="","",IFERROR(INDEX(ProdNome,MATCH($B1602,ProdCod,0)),"Código não cadastrado"))</f>
        <v>0</v>
      </c>
      <c r="G1602" s="24">
        <f>IF(OR($B1602="",$D1602=""),"",$D1602*IFERROR(INDEX(ProdCusto,MATCH($B1602,ProdCod,0)),0))</f>
        <v>0</v>
      </c>
      <c r="H1602" s="25">
        <f>IF($A1602="","",IF(OR($B1602="",$C1602="",$D1602=""),"Preencher tudo",IF($F1602="Código não cadastrado","Código inválido","OK")))</f>
        <v>0</v>
      </c>
    </row>
    <row r="1603" spans="1:8">
      <c r="A1603" s="16"/>
      <c r="B1603" s="15"/>
      <c r="C1603" s="20"/>
      <c r="D1603" s="22"/>
      <c r="E1603" s="15"/>
      <c r="F1603" s="23">
        <f>IF($B1603="","",IFERROR(INDEX(ProdNome,MATCH($B1603,ProdCod,0)),"Código não cadastrado"))</f>
        <v>0</v>
      </c>
      <c r="G1603" s="24">
        <f>IF(OR($B1603="",$D1603=""),"",$D1603*IFERROR(INDEX(ProdCusto,MATCH($B1603,ProdCod,0)),0))</f>
        <v>0</v>
      </c>
      <c r="H1603" s="25">
        <f>IF($A1603="","",IF(OR($B1603="",$C1603="",$D1603=""),"Preencher tudo",IF($F1603="Código não cadastrado","Código inválido","OK")))</f>
        <v>0</v>
      </c>
    </row>
    <row r="1604" spans="1:8">
      <c r="A1604" s="16"/>
      <c r="B1604" s="15"/>
      <c r="C1604" s="20"/>
      <c r="D1604" s="22"/>
      <c r="E1604" s="15"/>
      <c r="F1604" s="23">
        <f>IF($B1604="","",IFERROR(INDEX(ProdNome,MATCH($B1604,ProdCod,0)),"Código não cadastrado"))</f>
        <v>0</v>
      </c>
      <c r="G1604" s="24">
        <f>IF(OR($B1604="",$D1604=""),"",$D1604*IFERROR(INDEX(ProdCusto,MATCH($B1604,ProdCod,0)),0))</f>
        <v>0</v>
      </c>
      <c r="H1604" s="25">
        <f>IF($A1604="","",IF(OR($B1604="",$C1604="",$D1604=""),"Preencher tudo",IF($F1604="Código não cadastrado","Código inválido","OK")))</f>
        <v>0</v>
      </c>
    </row>
    <row r="1605" spans="1:8">
      <c r="A1605" s="16"/>
      <c r="B1605" s="15"/>
      <c r="C1605" s="20"/>
      <c r="D1605" s="22"/>
      <c r="E1605" s="15"/>
      <c r="F1605" s="23">
        <f>IF($B1605="","",IFERROR(INDEX(ProdNome,MATCH($B1605,ProdCod,0)),"Código não cadastrado"))</f>
        <v>0</v>
      </c>
      <c r="G1605" s="24">
        <f>IF(OR($B1605="",$D1605=""),"",$D1605*IFERROR(INDEX(ProdCusto,MATCH($B1605,ProdCod,0)),0))</f>
        <v>0</v>
      </c>
      <c r="H1605" s="25">
        <f>IF($A1605="","",IF(OR($B1605="",$C1605="",$D1605=""),"Preencher tudo",IF($F1605="Código não cadastrado","Código inválido","OK")))</f>
        <v>0</v>
      </c>
    </row>
    <row r="1606" spans="1:8">
      <c r="A1606" s="16"/>
      <c r="B1606" s="15"/>
      <c r="C1606" s="20"/>
      <c r="D1606" s="22"/>
      <c r="E1606" s="15"/>
      <c r="F1606" s="23">
        <f>IF($B1606="","",IFERROR(INDEX(ProdNome,MATCH($B1606,ProdCod,0)),"Código não cadastrado"))</f>
        <v>0</v>
      </c>
      <c r="G1606" s="24">
        <f>IF(OR($B1606="",$D1606=""),"",$D1606*IFERROR(INDEX(ProdCusto,MATCH($B1606,ProdCod,0)),0))</f>
        <v>0</v>
      </c>
      <c r="H1606" s="25">
        <f>IF($A1606="","",IF(OR($B1606="",$C1606="",$D1606=""),"Preencher tudo",IF($F1606="Código não cadastrado","Código inválido","OK")))</f>
        <v>0</v>
      </c>
    </row>
    <row r="1607" spans="1:8">
      <c r="A1607" s="16"/>
      <c r="B1607" s="15"/>
      <c r="C1607" s="20"/>
      <c r="D1607" s="22"/>
      <c r="E1607" s="15"/>
      <c r="F1607" s="23">
        <f>IF($B1607="","",IFERROR(INDEX(ProdNome,MATCH($B1607,ProdCod,0)),"Código não cadastrado"))</f>
        <v>0</v>
      </c>
      <c r="G1607" s="24">
        <f>IF(OR($B1607="",$D1607=""),"",$D1607*IFERROR(INDEX(ProdCusto,MATCH($B1607,ProdCod,0)),0))</f>
        <v>0</v>
      </c>
      <c r="H1607" s="25">
        <f>IF($A1607="","",IF(OR($B1607="",$C1607="",$D1607=""),"Preencher tudo",IF($F1607="Código não cadastrado","Código inválido","OK")))</f>
        <v>0</v>
      </c>
    </row>
    <row r="1608" spans="1:8">
      <c r="A1608" s="16"/>
      <c r="B1608" s="15"/>
      <c r="C1608" s="20"/>
      <c r="D1608" s="22"/>
      <c r="E1608" s="15"/>
      <c r="F1608" s="23">
        <f>IF($B1608="","",IFERROR(INDEX(ProdNome,MATCH($B1608,ProdCod,0)),"Código não cadastrado"))</f>
        <v>0</v>
      </c>
      <c r="G1608" s="24">
        <f>IF(OR($B1608="",$D1608=""),"",$D1608*IFERROR(INDEX(ProdCusto,MATCH($B1608,ProdCod,0)),0))</f>
        <v>0</v>
      </c>
      <c r="H1608" s="25">
        <f>IF($A1608="","",IF(OR($B1608="",$C1608="",$D1608=""),"Preencher tudo",IF($F1608="Código não cadastrado","Código inválido","OK")))</f>
        <v>0</v>
      </c>
    </row>
    <row r="1609" spans="1:8">
      <c r="A1609" s="16"/>
      <c r="B1609" s="15"/>
      <c r="C1609" s="20"/>
      <c r="D1609" s="22"/>
      <c r="E1609" s="15"/>
      <c r="F1609" s="23">
        <f>IF($B1609="","",IFERROR(INDEX(ProdNome,MATCH($B1609,ProdCod,0)),"Código não cadastrado"))</f>
        <v>0</v>
      </c>
      <c r="G1609" s="24">
        <f>IF(OR($B1609="",$D1609=""),"",$D1609*IFERROR(INDEX(ProdCusto,MATCH($B1609,ProdCod,0)),0))</f>
        <v>0</v>
      </c>
      <c r="H1609" s="25">
        <f>IF($A1609="","",IF(OR($B1609="",$C1609="",$D1609=""),"Preencher tudo",IF($F1609="Código não cadastrado","Código inválido","OK")))</f>
        <v>0</v>
      </c>
    </row>
    <row r="1610" spans="1:8">
      <c r="A1610" s="16"/>
      <c r="B1610" s="15"/>
      <c r="C1610" s="20"/>
      <c r="D1610" s="22"/>
      <c r="E1610" s="15"/>
      <c r="F1610" s="23">
        <f>IF($B1610="","",IFERROR(INDEX(ProdNome,MATCH($B1610,ProdCod,0)),"Código não cadastrado"))</f>
        <v>0</v>
      </c>
      <c r="G1610" s="24">
        <f>IF(OR($B1610="",$D1610=""),"",$D1610*IFERROR(INDEX(ProdCusto,MATCH($B1610,ProdCod,0)),0))</f>
        <v>0</v>
      </c>
      <c r="H1610" s="25">
        <f>IF($A1610="","",IF(OR($B1610="",$C1610="",$D1610=""),"Preencher tudo",IF($F1610="Código não cadastrado","Código inválido","OK")))</f>
        <v>0</v>
      </c>
    </row>
    <row r="1611" spans="1:8">
      <c r="A1611" s="16"/>
      <c r="B1611" s="15"/>
      <c r="C1611" s="20"/>
      <c r="D1611" s="22"/>
      <c r="E1611" s="15"/>
      <c r="F1611" s="23">
        <f>IF($B1611="","",IFERROR(INDEX(ProdNome,MATCH($B1611,ProdCod,0)),"Código não cadastrado"))</f>
        <v>0</v>
      </c>
      <c r="G1611" s="24">
        <f>IF(OR($B1611="",$D1611=""),"",$D1611*IFERROR(INDEX(ProdCusto,MATCH($B1611,ProdCod,0)),0))</f>
        <v>0</v>
      </c>
      <c r="H1611" s="25">
        <f>IF($A1611="","",IF(OR($B1611="",$C1611="",$D1611=""),"Preencher tudo",IF($F1611="Código não cadastrado","Código inválido","OK")))</f>
        <v>0</v>
      </c>
    </row>
    <row r="1612" spans="1:8">
      <c r="A1612" s="16"/>
      <c r="B1612" s="15"/>
      <c r="C1612" s="20"/>
      <c r="D1612" s="22"/>
      <c r="E1612" s="15"/>
      <c r="F1612" s="23">
        <f>IF($B1612="","",IFERROR(INDEX(ProdNome,MATCH($B1612,ProdCod,0)),"Código não cadastrado"))</f>
        <v>0</v>
      </c>
      <c r="G1612" s="24">
        <f>IF(OR($B1612="",$D1612=""),"",$D1612*IFERROR(INDEX(ProdCusto,MATCH($B1612,ProdCod,0)),0))</f>
        <v>0</v>
      </c>
      <c r="H1612" s="25">
        <f>IF($A1612="","",IF(OR($B1612="",$C1612="",$D1612=""),"Preencher tudo",IF($F1612="Código não cadastrado","Código inválido","OK")))</f>
        <v>0</v>
      </c>
    </row>
    <row r="1613" spans="1:8">
      <c r="A1613" s="16"/>
      <c r="B1613" s="15"/>
      <c r="C1613" s="20"/>
      <c r="D1613" s="22"/>
      <c r="E1613" s="15"/>
      <c r="F1613" s="23">
        <f>IF($B1613="","",IFERROR(INDEX(ProdNome,MATCH($B1613,ProdCod,0)),"Código não cadastrado"))</f>
        <v>0</v>
      </c>
      <c r="G1613" s="24">
        <f>IF(OR($B1613="",$D1613=""),"",$D1613*IFERROR(INDEX(ProdCusto,MATCH($B1613,ProdCod,0)),0))</f>
        <v>0</v>
      </c>
      <c r="H1613" s="25">
        <f>IF($A1613="","",IF(OR($B1613="",$C1613="",$D1613=""),"Preencher tudo",IF($F1613="Código não cadastrado","Código inválido","OK")))</f>
        <v>0</v>
      </c>
    </row>
    <row r="1614" spans="1:8">
      <c r="A1614" s="16"/>
      <c r="B1614" s="15"/>
      <c r="C1614" s="20"/>
      <c r="D1614" s="22"/>
      <c r="E1614" s="15"/>
      <c r="F1614" s="23">
        <f>IF($B1614="","",IFERROR(INDEX(ProdNome,MATCH($B1614,ProdCod,0)),"Código não cadastrado"))</f>
        <v>0</v>
      </c>
      <c r="G1614" s="24">
        <f>IF(OR($B1614="",$D1614=""),"",$D1614*IFERROR(INDEX(ProdCusto,MATCH($B1614,ProdCod,0)),0))</f>
        <v>0</v>
      </c>
      <c r="H1614" s="25">
        <f>IF($A1614="","",IF(OR($B1614="",$C1614="",$D1614=""),"Preencher tudo",IF($F1614="Código não cadastrado","Código inválido","OK")))</f>
        <v>0</v>
      </c>
    </row>
    <row r="1615" spans="1:8">
      <c r="A1615" s="16"/>
      <c r="B1615" s="15"/>
      <c r="C1615" s="20"/>
      <c r="D1615" s="22"/>
      <c r="E1615" s="15"/>
      <c r="F1615" s="23">
        <f>IF($B1615="","",IFERROR(INDEX(ProdNome,MATCH($B1615,ProdCod,0)),"Código não cadastrado"))</f>
        <v>0</v>
      </c>
      <c r="G1615" s="24">
        <f>IF(OR($B1615="",$D1615=""),"",$D1615*IFERROR(INDEX(ProdCusto,MATCH($B1615,ProdCod,0)),0))</f>
        <v>0</v>
      </c>
      <c r="H1615" s="25">
        <f>IF($A1615="","",IF(OR($B1615="",$C1615="",$D1615=""),"Preencher tudo",IF($F1615="Código não cadastrado","Código inválido","OK")))</f>
        <v>0</v>
      </c>
    </row>
    <row r="1616" spans="1:8">
      <c r="A1616" s="16"/>
      <c r="B1616" s="15"/>
      <c r="C1616" s="20"/>
      <c r="D1616" s="22"/>
      <c r="E1616" s="15"/>
      <c r="F1616" s="23">
        <f>IF($B1616="","",IFERROR(INDEX(ProdNome,MATCH($B1616,ProdCod,0)),"Código não cadastrado"))</f>
        <v>0</v>
      </c>
      <c r="G1616" s="24">
        <f>IF(OR($B1616="",$D1616=""),"",$D1616*IFERROR(INDEX(ProdCusto,MATCH($B1616,ProdCod,0)),0))</f>
        <v>0</v>
      </c>
      <c r="H1616" s="25">
        <f>IF($A1616="","",IF(OR($B1616="",$C1616="",$D1616=""),"Preencher tudo",IF($F1616="Código não cadastrado","Código inválido","OK")))</f>
        <v>0</v>
      </c>
    </row>
    <row r="1617" spans="1:8">
      <c r="A1617" s="16"/>
      <c r="B1617" s="15"/>
      <c r="C1617" s="20"/>
      <c r="D1617" s="22"/>
      <c r="E1617" s="15"/>
      <c r="F1617" s="23">
        <f>IF($B1617="","",IFERROR(INDEX(ProdNome,MATCH($B1617,ProdCod,0)),"Código não cadastrado"))</f>
        <v>0</v>
      </c>
      <c r="G1617" s="24">
        <f>IF(OR($B1617="",$D1617=""),"",$D1617*IFERROR(INDEX(ProdCusto,MATCH($B1617,ProdCod,0)),0))</f>
        <v>0</v>
      </c>
      <c r="H1617" s="25">
        <f>IF($A1617="","",IF(OR($B1617="",$C1617="",$D1617=""),"Preencher tudo",IF($F1617="Código não cadastrado","Código inválido","OK")))</f>
        <v>0</v>
      </c>
    </row>
    <row r="1618" spans="1:8">
      <c r="A1618" s="16"/>
      <c r="B1618" s="15"/>
      <c r="C1618" s="20"/>
      <c r="D1618" s="22"/>
      <c r="E1618" s="15"/>
      <c r="F1618" s="23">
        <f>IF($B1618="","",IFERROR(INDEX(ProdNome,MATCH($B1618,ProdCod,0)),"Código não cadastrado"))</f>
        <v>0</v>
      </c>
      <c r="G1618" s="24">
        <f>IF(OR($B1618="",$D1618=""),"",$D1618*IFERROR(INDEX(ProdCusto,MATCH($B1618,ProdCod,0)),0))</f>
        <v>0</v>
      </c>
      <c r="H1618" s="25">
        <f>IF($A1618="","",IF(OR($B1618="",$C1618="",$D1618=""),"Preencher tudo",IF($F1618="Código não cadastrado","Código inválido","OK")))</f>
        <v>0</v>
      </c>
    </row>
    <row r="1619" spans="1:8">
      <c r="A1619" s="16"/>
      <c r="B1619" s="15"/>
      <c r="C1619" s="20"/>
      <c r="D1619" s="22"/>
      <c r="E1619" s="15"/>
      <c r="F1619" s="23">
        <f>IF($B1619="","",IFERROR(INDEX(ProdNome,MATCH($B1619,ProdCod,0)),"Código não cadastrado"))</f>
        <v>0</v>
      </c>
      <c r="G1619" s="24">
        <f>IF(OR($B1619="",$D1619=""),"",$D1619*IFERROR(INDEX(ProdCusto,MATCH($B1619,ProdCod,0)),0))</f>
        <v>0</v>
      </c>
      <c r="H1619" s="25">
        <f>IF($A1619="","",IF(OR($B1619="",$C1619="",$D1619=""),"Preencher tudo",IF($F1619="Código não cadastrado","Código inválido","OK")))</f>
        <v>0</v>
      </c>
    </row>
    <row r="1620" spans="1:8">
      <c r="A1620" s="16"/>
      <c r="B1620" s="15"/>
      <c r="C1620" s="20"/>
      <c r="D1620" s="22"/>
      <c r="E1620" s="15"/>
      <c r="F1620" s="23">
        <f>IF($B1620="","",IFERROR(INDEX(ProdNome,MATCH($B1620,ProdCod,0)),"Código não cadastrado"))</f>
        <v>0</v>
      </c>
      <c r="G1620" s="24">
        <f>IF(OR($B1620="",$D1620=""),"",$D1620*IFERROR(INDEX(ProdCusto,MATCH($B1620,ProdCod,0)),0))</f>
        <v>0</v>
      </c>
      <c r="H1620" s="25">
        <f>IF($A1620="","",IF(OR($B1620="",$C1620="",$D1620=""),"Preencher tudo",IF($F1620="Código não cadastrado","Código inválido","OK")))</f>
        <v>0</v>
      </c>
    </row>
    <row r="1621" spans="1:8">
      <c r="A1621" s="16"/>
      <c r="B1621" s="15"/>
      <c r="C1621" s="20"/>
      <c r="D1621" s="22"/>
      <c r="E1621" s="15"/>
      <c r="F1621" s="23">
        <f>IF($B1621="","",IFERROR(INDEX(ProdNome,MATCH($B1621,ProdCod,0)),"Código não cadastrado"))</f>
        <v>0</v>
      </c>
      <c r="G1621" s="24">
        <f>IF(OR($B1621="",$D1621=""),"",$D1621*IFERROR(INDEX(ProdCusto,MATCH($B1621,ProdCod,0)),0))</f>
        <v>0</v>
      </c>
      <c r="H1621" s="25">
        <f>IF($A1621="","",IF(OR($B1621="",$C1621="",$D1621=""),"Preencher tudo",IF($F1621="Código não cadastrado","Código inválido","OK")))</f>
        <v>0</v>
      </c>
    </row>
    <row r="1622" spans="1:8">
      <c r="A1622" s="16"/>
      <c r="B1622" s="15"/>
      <c r="C1622" s="20"/>
      <c r="D1622" s="22"/>
      <c r="E1622" s="15"/>
      <c r="F1622" s="23">
        <f>IF($B1622="","",IFERROR(INDEX(ProdNome,MATCH($B1622,ProdCod,0)),"Código não cadastrado"))</f>
        <v>0</v>
      </c>
      <c r="G1622" s="24">
        <f>IF(OR($B1622="",$D1622=""),"",$D1622*IFERROR(INDEX(ProdCusto,MATCH($B1622,ProdCod,0)),0))</f>
        <v>0</v>
      </c>
      <c r="H1622" s="25">
        <f>IF($A1622="","",IF(OR($B1622="",$C1622="",$D1622=""),"Preencher tudo",IF($F1622="Código não cadastrado","Código inválido","OK")))</f>
        <v>0</v>
      </c>
    </row>
    <row r="1623" spans="1:8">
      <c r="A1623" s="16"/>
      <c r="B1623" s="15"/>
      <c r="C1623" s="20"/>
      <c r="D1623" s="22"/>
      <c r="E1623" s="15"/>
      <c r="F1623" s="23">
        <f>IF($B1623="","",IFERROR(INDEX(ProdNome,MATCH($B1623,ProdCod,0)),"Código não cadastrado"))</f>
        <v>0</v>
      </c>
      <c r="G1623" s="24">
        <f>IF(OR($B1623="",$D1623=""),"",$D1623*IFERROR(INDEX(ProdCusto,MATCH($B1623,ProdCod,0)),0))</f>
        <v>0</v>
      </c>
      <c r="H1623" s="25">
        <f>IF($A1623="","",IF(OR($B1623="",$C1623="",$D1623=""),"Preencher tudo",IF($F1623="Código não cadastrado","Código inválido","OK")))</f>
        <v>0</v>
      </c>
    </row>
    <row r="1624" spans="1:8">
      <c r="A1624" s="16"/>
      <c r="B1624" s="15"/>
      <c r="C1624" s="20"/>
      <c r="D1624" s="22"/>
      <c r="E1624" s="15"/>
      <c r="F1624" s="23">
        <f>IF($B1624="","",IFERROR(INDEX(ProdNome,MATCH($B1624,ProdCod,0)),"Código não cadastrado"))</f>
        <v>0</v>
      </c>
      <c r="G1624" s="24">
        <f>IF(OR($B1624="",$D1624=""),"",$D1624*IFERROR(INDEX(ProdCusto,MATCH($B1624,ProdCod,0)),0))</f>
        <v>0</v>
      </c>
      <c r="H1624" s="25">
        <f>IF($A1624="","",IF(OR($B1624="",$C1624="",$D1624=""),"Preencher tudo",IF($F1624="Código não cadastrado","Código inválido","OK")))</f>
        <v>0</v>
      </c>
    </row>
    <row r="1625" spans="1:8">
      <c r="A1625" s="16"/>
      <c r="B1625" s="15"/>
      <c r="C1625" s="20"/>
      <c r="D1625" s="22"/>
      <c r="E1625" s="15"/>
      <c r="F1625" s="23">
        <f>IF($B1625="","",IFERROR(INDEX(ProdNome,MATCH($B1625,ProdCod,0)),"Código não cadastrado"))</f>
        <v>0</v>
      </c>
      <c r="G1625" s="24">
        <f>IF(OR($B1625="",$D1625=""),"",$D1625*IFERROR(INDEX(ProdCusto,MATCH($B1625,ProdCod,0)),0))</f>
        <v>0</v>
      </c>
      <c r="H1625" s="25">
        <f>IF($A1625="","",IF(OR($B1625="",$C1625="",$D1625=""),"Preencher tudo",IF($F1625="Código não cadastrado","Código inválido","OK")))</f>
        <v>0</v>
      </c>
    </row>
    <row r="1626" spans="1:8">
      <c r="A1626" s="16"/>
      <c r="B1626" s="15"/>
      <c r="C1626" s="20"/>
      <c r="D1626" s="22"/>
      <c r="E1626" s="15"/>
      <c r="F1626" s="23">
        <f>IF($B1626="","",IFERROR(INDEX(ProdNome,MATCH($B1626,ProdCod,0)),"Código não cadastrado"))</f>
        <v>0</v>
      </c>
      <c r="G1626" s="24">
        <f>IF(OR($B1626="",$D1626=""),"",$D1626*IFERROR(INDEX(ProdCusto,MATCH($B1626,ProdCod,0)),0))</f>
        <v>0</v>
      </c>
      <c r="H1626" s="25">
        <f>IF($A1626="","",IF(OR($B1626="",$C1626="",$D1626=""),"Preencher tudo",IF($F1626="Código não cadastrado","Código inválido","OK")))</f>
        <v>0</v>
      </c>
    </row>
    <row r="1627" spans="1:8">
      <c r="A1627" s="16"/>
      <c r="B1627" s="15"/>
      <c r="C1627" s="20"/>
      <c r="D1627" s="22"/>
      <c r="E1627" s="15"/>
      <c r="F1627" s="23">
        <f>IF($B1627="","",IFERROR(INDEX(ProdNome,MATCH($B1627,ProdCod,0)),"Código não cadastrado"))</f>
        <v>0</v>
      </c>
      <c r="G1627" s="24">
        <f>IF(OR($B1627="",$D1627=""),"",$D1627*IFERROR(INDEX(ProdCusto,MATCH($B1627,ProdCod,0)),0))</f>
        <v>0</v>
      </c>
      <c r="H1627" s="25">
        <f>IF($A1627="","",IF(OR($B1627="",$C1627="",$D1627=""),"Preencher tudo",IF($F1627="Código não cadastrado","Código inválido","OK")))</f>
        <v>0</v>
      </c>
    </row>
    <row r="1628" spans="1:8">
      <c r="A1628" s="16"/>
      <c r="B1628" s="15"/>
      <c r="C1628" s="20"/>
      <c r="D1628" s="22"/>
      <c r="E1628" s="15"/>
      <c r="F1628" s="23">
        <f>IF($B1628="","",IFERROR(INDEX(ProdNome,MATCH($B1628,ProdCod,0)),"Código não cadastrado"))</f>
        <v>0</v>
      </c>
      <c r="G1628" s="24">
        <f>IF(OR($B1628="",$D1628=""),"",$D1628*IFERROR(INDEX(ProdCusto,MATCH($B1628,ProdCod,0)),0))</f>
        <v>0</v>
      </c>
      <c r="H1628" s="25">
        <f>IF($A1628="","",IF(OR($B1628="",$C1628="",$D1628=""),"Preencher tudo",IF($F1628="Código não cadastrado","Código inválido","OK")))</f>
        <v>0</v>
      </c>
    </row>
    <row r="1629" spans="1:8">
      <c r="A1629" s="16"/>
      <c r="B1629" s="15"/>
      <c r="C1629" s="20"/>
      <c r="D1629" s="22"/>
      <c r="E1629" s="15"/>
      <c r="F1629" s="23">
        <f>IF($B1629="","",IFERROR(INDEX(ProdNome,MATCH($B1629,ProdCod,0)),"Código não cadastrado"))</f>
        <v>0</v>
      </c>
      <c r="G1629" s="24">
        <f>IF(OR($B1629="",$D1629=""),"",$D1629*IFERROR(INDEX(ProdCusto,MATCH($B1629,ProdCod,0)),0))</f>
        <v>0</v>
      </c>
      <c r="H1629" s="25">
        <f>IF($A1629="","",IF(OR($B1629="",$C1629="",$D1629=""),"Preencher tudo",IF($F1629="Código não cadastrado","Código inválido","OK")))</f>
        <v>0</v>
      </c>
    </row>
    <row r="1630" spans="1:8">
      <c r="A1630" s="16"/>
      <c r="B1630" s="15"/>
      <c r="C1630" s="20"/>
      <c r="D1630" s="22"/>
      <c r="E1630" s="15"/>
      <c r="F1630" s="23">
        <f>IF($B1630="","",IFERROR(INDEX(ProdNome,MATCH($B1630,ProdCod,0)),"Código não cadastrado"))</f>
        <v>0</v>
      </c>
      <c r="G1630" s="24">
        <f>IF(OR($B1630="",$D1630=""),"",$D1630*IFERROR(INDEX(ProdCusto,MATCH($B1630,ProdCod,0)),0))</f>
        <v>0</v>
      </c>
      <c r="H1630" s="25">
        <f>IF($A1630="","",IF(OR($B1630="",$C1630="",$D1630=""),"Preencher tudo",IF($F1630="Código não cadastrado","Código inválido","OK")))</f>
        <v>0</v>
      </c>
    </row>
    <row r="1631" spans="1:8">
      <c r="A1631" s="16"/>
      <c r="B1631" s="15"/>
      <c r="C1631" s="20"/>
      <c r="D1631" s="22"/>
      <c r="E1631" s="15"/>
      <c r="F1631" s="23">
        <f>IF($B1631="","",IFERROR(INDEX(ProdNome,MATCH($B1631,ProdCod,0)),"Código não cadastrado"))</f>
        <v>0</v>
      </c>
      <c r="G1631" s="24">
        <f>IF(OR($B1631="",$D1631=""),"",$D1631*IFERROR(INDEX(ProdCusto,MATCH($B1631,ProdCod,0)),0))</f>
        <v>0</v>
      </c>
      <c r="H1631" s="25">
        <f>IF($A1631="","",IF(OR($B1631="",$C1631="",$D1631=""),"Preencher tudo",IF($F1631="Código não cadastrado","Código inválido","OK")))</f>
        <v>0</v>
      </c>
    </row>
    <row r="1632" spans="1:8">
      <c r="A1632" s="16"/>
      <c r="B1632" s="15"/>
      <c r="C1632" s="20"/>
      <c r="D1632" s="22"/>
      <c r="E1632" s="15"/>
      <c r="F1632" s="23">
        <f>IF($B1632="","",IFERROR(INDEX(ProdNome,MATCH($B1632,ProdCod,0)),"Código não cadastrado"))</f>
        <v>0</v>
      </c>
      <c r="G1632" s="24">
        <f>IF(OR($B1632="",$D1632=""),"",$D1632*IFERROR(INDEX(ProdCusto,MATCH($B1632,ProdCod,0)),0))</f>
        <v>0</v>
      </c>
      <c r="H1632" s="25">
        <f>IF($A1632="","",IF(OR($B1632="",$C1632="",$D1632=""),"Preencher tudo",IF($F1632="Código não cadastrado","Código inválido","OK")))</f>
        <v>0</v>
      </c>
    </row>
    <row r="1633" spans="1:8">
      <c r="A1633" s="16"/>
      <c r="B1633" s="15"/>
      <c r="C1633" s="20"/>
      <c r="D1633" s="22"/>
      <c r="E1633" s="15"/>
      <c r="F1633" s="23">
        <f>IF($B1633="","",IFERROR(INDEX(ProdNome,MATCH($B1633,ProdCod,0)),"Código não cadastrado"))</f>
        <v>0</v>
      </c>
      <c r="G1633" s="24">
        <f>IF(OR($B1633="",$D1633=""),"",$D1633*IFERROR(INDEX(ProdCusto,MATCH($B1633,ProdCod,0)),0))</f>
        <v>0</v>
      </c>
      <c r="H1633" s="25">
        <f>IF($A1633="","",IF(OR($B1633="",$C1633="",$D1633=""),"Preencher tudo",IF($F1633="Código não cadastrado","Código inválido","OK")))</f>
        <v>0</v>
      </c>
    </row>
    <row r="1634" spans="1:8">
      <c r="A1634" s="16"/>
      <c r="B1634" s="15"/>
      <c r="C1634" s="20"/>
      <c r="D1634" s="22"/>
      <c r="E1634" s="15"/>
      <c r="F1634" s="23">
        <f>IF($B1634="","",IFERROR(INDEX(ProdNome,MATCH($B1634,ProdCod,0)),"Código não cadastrado"))</f>
        <v>0</v>
      </c>
      <c r="G1634" s="24">
        <f>IF(OR($B1634="",$D1634=""),"",$D1634*IFERROR(INDEX(ProdCusto,MATCH($B1634,ProdCod,0)),0))</f>
        <v>0</v>
      </c>
      <c r="H1634" s="25">
        <f>IF($A1634="","",IF(OR($B1634="",$C1634="",$D1634=""),"Preencher tudo",IF($F1634="Código não cadastrado","Código inválido","OK")))</f>
        <v>0</v>
      </c>
    </row>
    <row r="1635" spans="1:8">
      <c r="A1635" s="16"/>
      <c r="B1635" s="15"/>
      <c r="C1635" s="20"/>
      <c r="D1635" s="22"/>
      <c r="E1635" s="15"/>
      <c r="F1635" s="23">
        <f>IF($B1635="","",IFERROR(INDEX(ProdNome,MATCH($B1635,ProdCod,0)),"Código não cadastrado"))</f>
        <v>0</v>
      </c>
      <c r="G1635" s="24">
        <f>IF(OR($B1635="",$D1635=""),"",$D1635*IFERROR(INDEX(ProdCusto,MATCH($B1635,ProdCod,0)),0))</f>
        <v>0</v>
      </c>
      <c r="H1635" s="25">
        <f>IF($A1635="","",IF(OR($B1635="",$C1635="",$D1635=""),"Preencher tudo",IF($F1635="Código não cadastrado","Código inválido","OK")))</f>
        <v>0</v>
      </c>
    </row>
    <row r="1636" spans="1:8">
      <c r="A1636" s="16"/>
      <c r="B1636" s="15"/>
      <c r="C1636" s="20"/>
      <c r="D1636" s="22"/>
      <c r="E1636" s="15"/>
      <c r="F1636" s="23">
        <f>IF($B1636="","",IFERROR(INDEX(ProdNome,MATCH($B1636,ProdCod,0)),"Código não cadastrado"))</f>
        <v>0</v>
      </c>
      <c r="G1636" s="24">
        <f>IF(OR($B1636="",$D1636=""),"",$D1636*IFERROR(INDEX(ProdCusto,MATCH($B1636,ProdCod,0)),0))</f>
        <v>0</v>
      </c>
      <c r="H1636" s="25">
        <f>IF($A1636="","",IF(OR($B1636="",$C1636="",$D1636=""),"Preencher tudo",IF($F1636="Código não cadastrado","Código inválido","OK")))</f>
        <v>0</v>
      </c>
    </row>
    <row r="1637" spans="1:8">
      <c r="A1637" s="16"/>
      <c r="B1637" s="15"/>
      <c r="C1637" s="20"/>
      <c r="D1637" s="22"/>
      <c r="E1637" s="15"/>
      <c r="F1637" s="23">
        <f>IF($B1637="","",IFERROR(INDEX(ProdNome,MATCH($B1637,ProdCod,0)),"Código não cadastrado"))</f>
        <v>0</v>
      </c>
      <c r="G1637" s="24">
        <f>IF(OR($B1637="",$D1637=""),"",$D1637*IFERROR(INDEX(ProdCusto,MATCH($B1637,ProdCod,0)),0))</f>
        <v>0</v>
      </c>
      <c r="H1637" s="25">
        <f>IF($A1637="","",IF(OR($B1637="",$C1637="",$D1637=""),"Preencher tudo",IF($F1637="Código não cadastrado","Código inválido","OK")))</f>
        <v>0</v>
      </c>
    </row>
    <row r="1638" spans="1:8">
      <c r="A1638" s="16"/>
      <c r="B1638" s="15"/>
      <c r="C1638" s="20"/>
      <c r="D1638" s="22"/>
      <c r="E1638" s="15"/>
      <c r="F1638" s="23">
        <f>IF($B1638="","",IFERROR(INDEX(ProdNome,MATCH($B1638,ProdCod,0)),"Código não cadastrado"))</f>
        <v>0</v>
      </c>
      <c r="G1638" s="24">
        <f>IF(OR($B1638="",$D1638=""),"",$D1638*IFERROR(INDEX(ProdCusto,MATCH($B1638,ProdCod,0)),0))</f>
        <v>0</v>
      </c>
      <c r="H1638" s="25">
        <f>IF($A1638="","",IF(OR($B1638="",$C1638="",$D1638=""),"Preencher tudo",IF($F1638="Código não cadastrado","Código inválido","OK")))</f>
        <v>0</v>
      </c>
    </row>
    <row r="1639" spans="1:8">
      <c r="A1639" s="16"/>
      <c r="B1639" s="15"/>
      <c r="C1639" s="20"/>
      <c r="D1639" s="22"/>
      <c r="E1639" s="15"/>
      <c r="F1639" s="23">
        <f>IF($B1639="","",IFERROR(INDEX(ProdNome,MATCH($B1639,ProdCod,0)),"Código não cadastrado"))</f>
        <v>0</v>
      </c>
      <c r="G1639" s="24">
        <f>IF(OR($B1639="",$D1639=""),"",$D1639*IFERROR(INDEX(ProdCusto,MATCH($B1639,ProdCod,0)),0))</f>
        <v>0</v>
      </c>
      <c r="H1639" s="25">
        <f>IF($A1639="","",IF(OR($B1639="",$C1639="",$D1639=""),"Preencher tudo",IF($F1639="Código não cadastrado","Código inválido","OK")))</f>
        <v>0</v>
      </c>
    </row>
    <row r="1640" spans="1:8">
      <c r="A1640" s="16"/>
      <c r="B1640" s="15"/>
      <c r="C1640" s="20"/>
      <c r="D1640" s="22"/>
      <c r="E1640" s="15"/>
      <c r="F1640" s="23">
        <f>IF($B1640="","",IFERROR(INDEX(ProdNome,MATCH($B1640,ProdCod,0)),"Código não cadastrado"))</f>
        <v>0</v>
      </c>
      <c r="G1640" s="24">
        <f>IF(OR($B1640="",$D1640=""),"",$D1640*IFERROR(INDEX(ProdCusto,MATCH($B1640,ProdCod,0)),0))</f>
        <v>0</v>
      </c>
      <c r="H1640" s="25">
        <f>IF($A1640="","",IF(OR($B1640="",$C1640="",$D1640=""),"Preencher tudo",IF($F1640="Código não cadastrado","Código inválido","OK")))</f>
        <v>0</v>
      </c>
    </row>
    <row r="1641" spans="1:8">
      <c r="A1641" s="16"/>
      <c r="B1641" s="15"/>
      <c r="C1641" s="20"/>
      <c r="D1641" s="22"/>
      <c r="E1641" s="15"/>
      <c r="F1641" s="23">
        <f>IF($B1641="","",IFERROR(INDEX(ProdNome,MATCH($B1641,ProdCod,0)),"Código não cadastrado"))</f>
        <v>0</v>
      </c>
      <c r="G1641" s="24">
        <f>IF(OR($B1641="",$D1641=""),"",$D1641*IFERROR(INDEX(ProdCusto,MATCH($B1641,ProdCod,0)),0))</f>
        <v>0</v>
      </c>
      <c r="H1641" s="25">
        <f>IF($A1641="","",IF(OR($B1641="",$C1641="",$D1641=""),"Preencher tudo",IF($F1641="Código não cadastrado","Código inválido","OK")))</f>
        <v>0</v>
      </c>
    </row>
    <row r="1642" spans="1:8">
      <c r="A1642" s="16"/>
      <c r="B1642" s="15"/>
      <c r="C1642" s="20"/>
      <c r="D1642" s="22"/>
      <c r="E1642" s="15"/>
      <c r="F1642" s="23">
        <f>IF($B1642="","",IFERROR(INDEX(ProdNome,MATCH($B1642,ProdCod,0)),"Código não cadastrado"))</f>
        <v>0</v>
      </c>
      <c r="G1642" s="24">
        <f>IF(OR($B1642="",$D1642=""),"",$D1642*IFERROR(INDEX(ProdCusto,MATCH($B1642,ProdCod,0)),0))</f>
        <v>0</v>
      </c>
      <c r="H1642" s="25">
        <f>IF($A1642="","",IF(OR($B1642="",$C1642="",$D1642=""),"Preencher tudo",IF($F1642="Código não cadastrado","Código inválido","OK")))</f>
        <v>0</v>
      </c>
    </row>
    <row r="1643" spans="1:8">
      <c r="A1643" s="16"/>
      <c r="B1643" s="15"/>
      <c r="C1643" s="20"/>
      <c r="D1643" s="22"/>
      <c r="E1643" s="15"/>
      <c r="F1643" s="23">
        <f>IF($B1643="","",IFERROR(INDEX(ProdNome,MATCH($B1643,ProdCod,0)),"Código não cadastrado"))</f>
        <v>0</v>
      </c>
      <c r="G1643" s="24">
        <f>IF(OR($B1643="",$D1643=""),"",$D1643*IFERROR(INDEX(ProdCusto,MATCH($B1643,ProdCod,0)),0))</f>
        <v>0</v>
      </c>
      <c r="H1643" s="25">
        <f>IF($A1643="","",IF(OR($B1643="",$C1643="",$D1643=""),"Preencher tudo",IF($F1643="Código não cadastrado","Código inválido","OK")))</f>
        <v>0</v>
      </c>
    </row>
    <row r="1644" spans="1:8">
      <c r="A1644" s="16"/>
      <c r="B1644" s="15"/>
      <c r="C1644" s="20"/>
      <c r="D1644" s="22"/>
      <c r="E1644" s="15"/>
      <c r="F1644" s="23">
        <f>IF($B1644="","",IFERROR(INDEX(ProdNome,MATCH($B1644,ProdCod,0)),"Código não cadastrado"))</f>
        <v>0</v>
      </c>
      <c r="G1644" s="24">
        <f>IF(OR($B1644="",$D1644=""),"",$D1644*IFERROR(INDEX(ProdCusto,MATCH($B1644,ProdCod,0)),0))</f>
        <v>0</v>
      </c>
      <c r="H1644" s="25">
        <f>IF($A1644="","",IF(OR($B1644="",$C1644="",$D1644=""),"Preencher tudo",IF($F1644="Código não cadastrado","Código inválido","OK")))</f>
        <v>0</v>
      </c>
    </row>
    <row r="1645" spans="1:8">
      <c r="A1645" s="16"/>
      <c r="B1645" s="15"/>
      <c r="C1645" s="20"/>
      <c r="D1645" s="22"/>
      <c r="E1645" s="15"/>
      <c r="F1645" s="23">
        <f>IF($B1645="","",IFERROR(INDEX(ProdNome,MATCH($B1645,ProdCod,0)),"Código não cadastrado"))</f>
        <v>0</v>
      </c>
      <c r="G1645" s="24">
        <f>IF(OR($B1645="",$D1645=""),"",$D1645*IFERROR(INDEX(ProdCusto,MATCH($B1645,ProdCod,0)),0))</f>
        <v>0</v>
      </c>
      <c r="H1645" s="25">
        <f>IF($A1645="","",IF(OR($B1645="",$C1645="",$D1645=""),"Preencher tudo",IF($F1645="Código não cadastrado","Código inválido","OK")))</f>
        <v>0</v>
      </c>
    </row>
    <row r="1646" spans="1:8">
      <c r="A1646" s="16"/>
      <c r="B1646" s="15"/>
      <c r="C1646" s="20"/>
      <c r="D1646" s="22"/>
      <c r="E1646" s="15"/>
      <c r="F1646" s="23">
        <f>IF($B1646="","",IFERROR(INDEX(ProdNome,MATCH($B1646,ProdCod,0)),"Código não cadastrado"))</f>
        <v>0</v>
      </c>
      <c r="G1646" s="24">
        <f>IF(OR($B1646="",$D1646=""),"",$D1646*IFERROR(INDEX(ProdCusto,MATCH($B1646,ProdCod,0)),0))</f>
        <v>0</v>
      </c>
      <c r="H1646" s="25">
        <f>IF($A1646="","",IF(OR($B1646="",$C1646="",$D1646=""),"Preencher tudo",IF($F1646="Código não cadastrado","Código inválido","OK")))</f>
        <v>0</v>
      </c>
    </row>
    <row r="1647" spans="1:8">
      <c r="A1647" s="16"/>
      <c r="B1647" s="15"/>
      <c r="C1647" s="20"/>
      <c r="D1647" s="22"/>
      <c r="E1647" s="15"/>
      <c r="F1647" s="23">
        <f>IF($B1647="","",IFERROR(INDEX(ProdNome,MATCH($B1647,ProdCod,0)),"Código não cadastrado"))</f>
        <v>0</v>
      </c>
      <c r="G1647" s="24">
        <f>IF(OR($B1647="",$D1647=""),"",$D1647*IFERROR(INDEX(ProdCusto,MATCH($B1647,ProdCod,0)),0))</f>
        <v>0</v>
      </c>
      <c r="H1647" s="25">
        <f>IF($A1647="","",IF(OR($B1647="",$C1647="",$D1647=""),"Preencher tudo",IF($F1647="Código não cadastrado","Código inválido","OK")))</f>
        <v>0</v>
      </c>
    </row>
    <row r="1648" spans="1:8">
      <c r="A1648" s="16"/>
      <c r="B1648" s="15"/>
      <c r="C1648" s="20"/>
      <c r="D1648" s="22"/>
      <c r="E1648" s="15"/>
      <c r="F1648" s="23">
        <f>IF($B1648="","",IFERROR(INDEX(ProdNome,MATCH($B1648,ProdCod,0)),"Código não cadastrado"))</f>
        <v>0</v>
      </c>
      <c r="G1648" s="24">
        <f>IF(OR($B1648="",$D1648=""),"",$D1648*IFERROR(INDEX(ProdCusto,MATCH($B1648,ProdCod,0)),0))</f>
        <v>0</v>
      </c>
      <c r="H1648" s="25">
        <f>IF($A1648="","",IF(OR($B1648="",$C1648="",$D1648=""),"Preencher tudo",IF($F1648="Código não cadastrado","Código inválido","OK")))</f>
        <v>0</v>
      </c>
    </row>
    <row r="1649" spans="1:8">
      <c r="A1649" s="16"/>
      <c r="B1649" s="15"/>
      <c r="C1649" s="20"/>
      <c r="D1649" s="22"/>
      <c r="E1649" s="15"/>
      <c r="F1649" s="23">
        <f>IF($B1649="","",IFERROR(INDEX(ProdNome,MATCH($B1649,ProdCod,0)),"Código não cadastrado"))</f>
        <v>0</v>
      </c>
      <c r="G1649" s="24">
        <f>IF(OR($B1649="",$D1649=""),"",$D1649*IFERROR(INDEX(ProdCusto,MATCH($B1649,ProdCod,0)),0))</f>
        <v>0</v>
      </c>
      <c r="H1649" s="25">
        <f>IF($A1649="","",IF(OR($B1649="",$C1649="",$D1649=""),"Preencher tudo",IF($F1649="Código não cadastrado","Código inválido","OK")))</f>
        <v>0</v>
      </c>
    </row>
    <row r="1650" spans="1:8">
      <c r="A1650" s="16"/>
      <c r="B1650" s="15"/>
      <c r="C1650" s="20"/>
      <c r="D1650" s="22"/>
      <c r="E1650" s="15"/>
      <c r="F1650" s="23">
        <f>IF($B1650="","",IFERROR(INDEX(ProdNome,MATCH($B1650,ProdCod,0)),"Código não cadastrado"))</f>
        <v>0</v>
      </c>
      <c r="G1650" s="24">
        <f>IF(OR($B1650="",$D1650=""),"",$D1650*IFERROR(INDEX(ProdCusto,MATCH($B1650,ProdCod,0)),0))</f>
        <v>0</v>
      </c>
      <c r="H1650" s="25">
        <f>IF($A1650="","",IF(OR($B1650="",$C1650="",$D1650=""),"Preencher tudo",IF($F1650="Código não cadastrado","Código inválido","OK")))</f>
        <v>0</v>
      </c>
    </row>
    <row r="1651" spans="1:8">
      <c r="A1651" s="16"/>
      <c r="B1651" s="15"/>
      <c r="C1651" s="20"/>
      <c r="D1651" s="22"/>
      <c r="E1651" s="15"/>
      <c r="F1651" s="23">
        <f>IF($B1651="","",IFERROR(INDEX(ProdNome,MATCH($B1651,ProdCod,0)),"Código não cadastrado"))</f>
        <v>0</v>
      </c>
      <c r="G1651" s="24">
        <f>IF(OR($B1651="",$D1651=""),"",$D1651*IFERROR(INDEX(ProdCusto,MATCH($B1651,ProdCod,0)),0))</f>
        <v>0</v>
      </c>
      <c r="H1651" s="25">
        <f>IF($A1651="","",IF(OR($B1651="",$C1651="",$D1651=""),"Preencher tudo",IF($F1651="Código não cadastrado","Código inválido","OK")))</f>
        <v>0</v>
      </c>
    </row>
    <row r="1652" spans="1:8">
      <c r="A1652" s="16"/>
      <c r="B1652" s="15"/>
      <c r="C1652" s="20"/>
      <c r="D1652" s="22"/>
      <c r="E1652" s="15"/>
      <c r="F1652" s="23">
        <f>IF($B1652="","",IFERROR(INDEX(ProdNome,MATCH($B1652,ProdCod,0)),"Código não cadastrado"))</f>
        <v>0</v>
      </c>
      <c r="G1652" s="24">
        <f>IF(OR($B1652="",$D1652=""),"",$D1652*IFERROR(INDEX(ProdCusto,MATCH($B1652,ProdCod,0)),0))</f>
        <v>0</v>
      </c>
      <c r="H1652" s="25">
        <f>IF($A1652="","",IF(OR($B1652="",$C1652="",$D1652=""),"Preencher tudo",IF($F1652="Código não cadastrado","Código inválido","OK")))</f>
        <v>0</v>
      </c>
    </row>
    <row r="1653" spans="1:8">
      <c r="A1653" s="16"/>
      <c r="B1653" s="15"/>
      <c r="C1653" s="20"/>
      <c r="D1653" s="22"/>
      <c r="E1653" s="15"/>
      <c r="F1653" s="23">
        <f>IF($B1653="","",IFERROR(INDEX(ProdNome,MATCH($B1653,ProdCod,0)),"Código não cadastrado"))</f>
        <v>0</v>
      </c>
      <c r="G1653" s="24">
        <f>IF(OR($B1653="",$D1653=""),"",$D1653*IFERROR(INDEX(ProdCusto,MATCH($B1653,ProdCod,0)),0))</f>
        <v>0</v>
      </c>
      <c r="H1653" s="25">
        <f>IF($A1653="","",IF(OR($B1653="",$C1653="",$D1653=""),"Preencher tudo",IF($F1653="Código não cadastrado","Código inválido","OK")))</f>
        <v>0</v>
      </c>
    </row>
    <row r="1654" spans="1:8">
      <c r="A1654" s="16"/>
      <c r="B1654" s="15"/>
      <c r="C1654" s="20"/>
      <c r="D1654" s="22"/>
      <c r="E1654" s="15"/>
      <c r="F1654" s="23">
        <f>IF($B1654="","",IFERROR(INDEX(ProdNome,MATCH($B1654,ProdCod,0)),"Código não cadastrado"))</f>
        <v>0</v>
      </c>
      <c r="G1654" s="24">
        <f>IF(OR($B1654="",$D1654=""),"",$D1654*IFERROR(INDEX(ProdCusto,MATCH($B1654,ProdCod,0)),0))</f>
        <v>0</v>
      </c>
      <c r="H1654" s="25">
        <f>IF($A1654="","",IF(OR($B1654="",$C1654="",$D1654=""),"Preencher tudo",IF($F1654="Código não cadastrado","Código inválido","OK")))</f>
        <v>0</v>
      </c>
    </row>
    <row r="1655" spans="1:8">
      <c r="A1655" s="16"/>
      <c r="B1655" s="15"/>
      <c r="C1655" s="20"/>
      <c r="D1655" s="22"/>
      <c r="E1655" s="15"/>
      <c r="F1655" s="23">
        <f>IF($B1655="","",IFERROR(INDEX(ProdNome,MATCH($B1655,ProdCod,0)),"Código não cadastrado"))</f>
        <v>0</v>
      </c>
      <c r="G1655" s="24">
        <f>IF(OR($B1655="",$D1655=""),"",$D1655*IFERROR(INDEX(ProdCusto,MATCH($B1655,ProdCod,0)),0))</f>
        <v>0</v>
      </c>
      <c r="H1655" s="25">
        <f>IF($A1655="","",IF(OR($B1655="",$C1655="",$D1655=""),"Preencher tudo",IF($F1655="Código não cadastrado","Código inválido","OK")))</f>
        <v>0</v>
      </c>
    </row>
    <row r="1656" spans="1:8">
      <c r="A1656" s="16"/>
      <c r="B1656" s="15"/>
      <c r="C1656" s="20"/>
      <c r="D1656" s="22"/>
      <c r="E1656" s="15"/>
      <c r="F1656" s="23">
        <f>IF($B1656="","",IFERROR(INDEX(ProdNome,MATCH($B1656,ProdCod,0)),"Código não cadastrado"))</f>
        <v>0</v>
      </c>
      <c r="G1656" s="24">
        <f>IF(OR($B1656="",$D1656=""),"",$D1656*IFERROR(INDEX(ProdCusto,MATCH($B1656,ProdCod,0)),0))</f>
        <v>0</v>
      </c>
      <c r="H1656" s="25">
        <f>IF($A1656="","",IF(OR($B1656="",$C1656="",$D1656=""),"Preencher tudo",IF($F1656="Código não cadastrado","Código inválido","OK")))</f>
        <v>0</v>
      </c>
    </row>
    <row r="1657" spans="1:8">
      <c r="A1657" s="16"/>
      <c r="B1657" s="15"/>
      <c r="C1657" s="20"/>
      <c r="D1657" s="22"/>
      <c r="E1657" s="15"/>
      <c r="F1657" s="23">
        <f>IF($B1657="","",IFERROR(INDEX(ProdNome,MATCH($B1657,ProdCod,0)),"Código não cadastrado"))</f>
        <v>0</v>
      </c>
      <c r="G1657" s="24">
        <f>IF(OR($B1657="",$D1657=""),"",$D1657*IFERROR(INDEX(ProdCusto,MATCH($B1657,ProdCod,0)),0))</f>
        <v>0</v>
      </c>
      <c r="H1657" s="25">
        <f>IF($A1657="","",IF(OR($B1657="",$C1657="",$D1657=""),"Preencher tudo",IF($F1657="Código não cadastrado","Código inválido","OK")))</f>
        <v>0</v>
      </c>
    </row>
    <row r="1658" spans="1:8">
      <c r="A1658" s="16"/>
      <c r="B1658" s="15"/>
      <c r="C1658" s="20"/>
      <c r="D1658" s="22"/>
      <c r="E1658" s="15"/>
      <c r="F1658" s="23">
        <f>IF($B1658="","",IFERROR(INDEX(ProdNome,MATCH($B1658,ProdCod,0)),"Código não cadastrado"))</f>
        <v>0</v>
      </c>
      <c r="G1658" s="24">
        <f>IF(OR($B1658="",$D1658=""),"",$D1658*IFERROR(INDEX(ProdCusto,MATCH($B1658,ProdCod,0)),0))</f>
        <v>0</v>
      </c>
      <c r="H1658" s="25">
        <f>IF($A1658="","",IF(OR($B1658="",$C1658="",$D1658=""),"Preencher tudo",IF($F1658="Código não cadastrado","Código inválido","OK")))</f>
        <v>0</v>
      </c>
    </row>
    <row r="1659" spans="1:8">
      <c r="A1659" s="16"/>
      <c r="B1659" s="15"/>
      <c r="C1659" s="20"/>
      <c r="D1659" s="22"/>
      <c r="E1659" s="15"/>
      <c r="F1659" s="23">
        <f>IF($B1659="","",IFERROR(INDEX(ProdNome,MATCH($B1659,ProdCod,0)),"Código não cadastrado"))</f>
        <v>0</v>
      </c>
      <c r="G1659" s="24">
        <f>IF(OR($B1659="",$D1659=""),"",$D1659*IFERROR(INDEX(ProdCusto,MATCH($B1659,ProdCod,0)),0))</f>
        <v>0</v>
      </c>
      <c r="H1659" s="25">
        <f>IF($A1659="","",IF(OR($B1659="",$C1659="",$D1659=""),"Preencher tudo",IF($F1659="Código não cadastrado","Código inválido","OK")))</f>
        <v>0</v>
      </c>
    </row>
    <row r="1660" spans="1:8">
      <c r="A1660" s="16"/>
      <c r="B1660" s="15"/>
      <c r="C1660" s="20"/>
      <c r="D1660" s="22"/>
      <c r="E1660" s="15"/>
      <c r="F1660" s="23">
        <f>IF($B1660="","",IFERROR(INDEX(ProdNome,MATCH($B1660,ProdCod,0)),"Código não cadastrado"))</f>
        <v>0</v>
      </c>
      <c r="G1660" s="24">
        <f>IF(OR($B1660="",$D1660=""),"",$D1660*IFERROR(INDEX(ProdCusto,MATCH($B1660,ProdCod,0)),0))</f>
        <v>0</v>
      </c>
      <c r="H1660" s="25">
        <f>IF($A1660="","",IF(OR($B1660="",$C1660="",$D1660=""),"Preencher tudo",IF($F1660="Código não cadastrado","Código inválido","OK")))</f>
        <v>0</v>
      </c>
    </row>
    <row r="1661" spans="1:8">
      <c r="A1661" s="16"/>
      <c r="B1661" s="15"/>
      <c r="C1661" s="20"/>
      <c r="D1661" s="22"/>
      <c r="E1661" s="15"/>
      <c r="F1661" s="23">
        <f>IF($B1661="","",IFERROR(INDEX(ProdNome,MATCH($B1661,ProdCod,0)),"Código não cadastrado"))</f>
        <v>0</v>
      </c>
      <c r="G1661" s="24">
        <f>IF(OR($B1661="",$D1661=""),"",$D1661*IFERROR(INDEX(ProdCusto,MATCH($B1661,ProdCod,0)),0))</f>
        <v>0</v>
      </c>
      <c r="H1661" s="25">
        <f>IF($A1661="","",IF(OR($B1661="",$C1661="",$D1661=""),"Preencher tudo",IF($F1661="Código não cadastrado","Código inválido","OK")))</f>
        <v>0</v>
      </c>
    </row>
    <row r="1662" spans="1:8">
      <c r="A1662" s="16"/>
      <c r="B1662" s="15"/>
      <c r="C1662" s="20"/>
      <c r="D1662" s="22"/>
      <c r="E1662" s="15"/>
      <c r="F1662" s="23">
        <f>IF($B1662="","",IFERROR(INDEX(ProdNome,MATCH($B1662,ProdCod,0)),"Código não cadastrado"))</f>
        <v>0</v>
      </c>
      <c r="G1662" s="24">
        <f>IF(OR($B1662="",$D1662=""),"",$D1662*IFERROR(INDEX(ProdCusto,MATCH($B1662,ProdCod,0)),0))</f>
        <v>0</v>
      </c>
      <c r="H1662" s="25">
        <f>IF($A1662="","",IF(OR($B1662="",$C1662="",$D1662=""),"Preencher tudo",IF($F1662="Código não cadastrado","Código inválido","OK")))</f>
        <v>0</v>
      </c>
    </row>
    <row r="1663" spans="1:8">
      <c r="A1663" s="16"/>
      <c r="B1663" s="15"/>
      <c r="C1663" s="20"/>
      <c r="D1663" s="22"/>
      <c r="E1663" s="15"/>
      <c r="F1663" s="23">
        <f>IF($B1663="","",IFERROR(INDEX(ProdNome,MATCH($B1663,ProdCod,0)),"Código não cadastrado"))</f>
        <v>0</v>
      </c>
      <c r="G1663" s="24">
        <f>IF(OR($B1663="",$D1663=""),"",$D1663*IFERROR(INDEX(ProdCusto,MATCH($B1663,ProdCod,0)),0))</f>
        <v>0</v>
      </c>
      <c r="H1663" s="25">
        <f>IF($A1663="","",IF(OR($B1663="",$C1663="",$D1663=""),"Preencher tudo",IF($F1663="Código não cadastrado","Código inválido","OK")))</f>
        <v>0</v>
      </c>
    </row>
    <row r="1664" spans="1:8">
      <c r="A1664" s="16"/>
      <c r="B1664" s="15"/>
      <c r="C1664" s="20"/>
      <c r="D1664" s="22"/>
      <c r="E1664" s="15"/>
      <c r="F1664" s="23">
        <f>IF($B1664="","",IFERROR(INDEX(ProdNome,MATCH($B1664,ProdCod,0)),"Código não cadastrado"))</f>
        <v>0</v>
      </c>
      <c r="G1664" s="24">
        <f>IF(OR($B1664="",$D1664=""),"",$D1664*IFERROR(INDEX(ProdCusto,MATCH($B1664,ProdCod,0)),0))</f>
        <v>0</v>
      </c>
      <c r="H1664" s="25">
        <f>IF($A1664="","",IF(OR($B1664="",$C1664="",$D1664=""),"Preencher tudo",IF($F1664="Código não cadastrado","Código inválido","OK")))</f>
        <v>0</v>
      </c>
    </row>
    <row r="1665" spans="1:8">
      <c r="A1665" s="16"/>
      <c r="B1665" s="15"/>
      <c r="C1665" s="20"/>
      <c r="D1665" s="22"/>
      <c r="E1665" s="15"/>
      <c r="F1665" s="23">
        <f>IF($B1665="","",IFERROR(INDEX(ProdNome,MATCH($B1665,ProdCod,0)),"Código não cadastrado"))</f>
        <v>0</v>
      </c>
      <c r="G1665" s="24">
        <f>IF(OR($B1665="",$D1665=""),"",$D1665*IFERROR(INDEX(ProdCusto,MATCH($B1665,ProdCod,0)),0))</f>
        <v>0</v>
      </c>
      <c r="H1665" s="25">
        <f>IF($A1665="","",IF(OR($B1665="",$C1665="",$D1665=""),"Preencher tudo",IF($F1665="Código não cadastrado","Código inválido","OK")))</f>
        <v>0</v>
      </c>
    </row>
    <row r="1666" spans="1:8">
      <c r="A1666" s="16"/>
      <c r="B1666" s="15"/>
      <c r="C1666" s="20"/>
      <c r="D1666" s="22"/>
      <c r="E1666" s="15"/>
      <c r="F1666" s="23">
        <f>IF($B1666="","",IFERROR(INDEX(ProdNome,MATCH($B1666,ProdCod,0)),"Código não cadastrado"))</f>
        <v>0</v>
      </c>
      <c r="G1666" s="24">
        <f>IF(OR($B1666="",$D1666=""),"",$D1666*IFERROR(INDEX(ProdCusto,MATCH($B1666,ProdCod,0)),0))</f>
        <v>0</v>
      </c>
      <c r="H1666" s="25">
        <f>IF($A1666="","",IF(OR($B1666="",$C1666="",$D1666=""),"Preencher tudo",IF($F1666="Código não cadastrado","Código inválido","OK")))</f>
        <v>0</v>
      </c>
    </row>
    <row r="1667" spans="1:8">
      <c r="A1667" s="16"/>
      <c r="B1667" s="15"/>
      <c r="C1667" s="20"/>
      <c r="D1667" s="22"/>
      <c r="E1667" s="15"/>
      <c r="F1667" s="23">
        <f>IF($B1667="","",IFERROR(INDEX(ProdNome,MATCH($B1667,ProdCod,0)),"Código não cadastrado"))</f>
        <v>0</v>
      </c>
      <c r="G1667" s="24">
        <f>IF(OR($B1667="",$D1667=""),"",$D1667*IFERROR(INDEX(ProdCusto,MATCH($B1667,ProdCod,0)),0))</f>
        <v>0</v>
      </c>
      <c r="H1667" s="25">
        <f>IF($A1667="","",IF(OR($B1667="",$C1667="",$D1667=""),"Preencher tudo",IF($F1667="Código não cadastrado","Código inválido","OK")))</f>
        <v>0</v>
      </c>
    </row>
    <row r="1668" spans="1:8">
      <c r="A1668" s="16"/>
      <c r="B1668" s="15"/>
      <c r="C1668" s="20"/>
      <c r="D1668" s="22"/>
      <c r="E1668" s="15"/>
      <c r="F1668" s="23">
        <f>IF($B1668="","",IFERROR(INDEX(ProdNome,MATCH($B1668,ProdCod,0)),"Código não cadastrado"))</f>
        <v>0</v>
      </c>
      <c r="G1668" s="24">
        <f>IF(OR($B1668="",$D1668=""),"",$D1668*IFERROR(INDEX(ProdCusto,MATCH($B1668,ProdCod,0)),0))</f>
        <v>0</v>
      </c>
      <c r="H1668" s="25">
        <f>IF($A1668="","",IF(OR($B1668="",$C1668="",$D1668=""),"Preencher tudo",IF($F1668="Código não cadastrado","Código inválido","OK")))</f>
        <v>0</v>
      </c>
    </row>
    <row r="1669" spans="1:8">
      <c r="A1669" s="16"/>
      <c r="B1669" s="15"/>
      <c r="C1669" s="20"/>
      <c r="D1669" s="22"/>
      <c r="E1669" s="15"/>
      <c r="F1669" s="23">
        <f>IF($B1669="","",IFERROR(INDEX(ProdNome,MATCH($B1669,ProdCod,0)),"Código não cadastrado"))</f>
        <v>0</v>
      </c>
      <c r="G1669" s="24">
        <f>IF(OR($B1669="",$D1669=""),"",$D1669*IFERROR(INDEX(ProdCusto,MATCH($B1669,ProdCod,0)),0))</f>
        <v>0</v>
      </c>
      <c r="H1669" s="25">
        <f>IF($A1669="","",IF(OR($B1669="",$C1669="",$D1669=""),"Preencher tudo",IF($F1669="Código não cadastrado","Código inválido","OK")))</f>
        <v>0</v>
      </c>
    </row>
    <row r="1670" spans="1:8">
      <c r="A1670" s="16"/>
      <c r="B1670" s="15"/>
      <c r="C1670" s="20"/>
      <c r="D1670" s="22"/>
      <c r="E1670" s="15"/>
      <c r="F1670" s="23">
        <f>IF($B1670="","",IFERROR(INDEX(ProdNome,MATCH($B1670,ProdCod,0)),"Código não cadastrado"))</f>
        <v>0</v>
      </c>
      <c r="G1670" s="24">
        <f>IF(OR($B1670="",$D1670=""),"",$D1670*IFERROR(INDEX(ProdCusto,MATCH($B1670,ProdCod,0)),0))</f>
        <v>0</v>
      </c>
      <c r="H1670" s="25">
        <f>IF($A1670="","",IF(OR($B1670="",$C1670="",$D1670=""),"Preencher tudo",IF($F1670="Código não cadastrado","Código inválido","OK")))</f>
        <v>0</v>
      </c>
    </row>
    <row r="1671" spans="1:8">
      <c r="A1671" s="16"/>
      <c r="B1671" s="15"/>
      <c r="C1671" s="20"/>
      <c r="D1671" s="22"/>
      <c r="E1671" s="15"/>
      <c r="F1671" s="23">
        <f>IF($B1671="","",IFERROR(INDEX(ProdNome,MATCH($B1671,ProdCod,0)),"Código não cadastrado"))</f>
        <v>0</v>
      </c>
      <c r="G1671" s="24">
        <f>IF(OR($B1671="",$D1671=""),"",$D1671*IFERROR(INDEX(ProdCusto,MATCH($B1671,ProdCod,0)),0))</f>
        <v>0</v>
      </c>
      <c r="H1671" s="25">
        <f>IF($A1671="","",IF(OR($B1671="",$C1671="",$D1671=""),"Preencher tudo",IF($F1671="Código não cadastrado","Código inválido","OK")))</f>
        <v>0</v>
      </c>
    </row>
    <row r="1672" spans="1:8">
      <c r="A1672" s="16"/>
      <c r="B1672" s="15"/>
      <c r="C1672" s="20"/>
      <c r="D1672" s="22"/>
      <c r="E1672" s="15"/>
      <c r="F1672" s="23">
        <f>IF($B1672="","",IFERROR(INDEX(ProdNome,MATCH($B1672,ProdCod,0)),"Código não cadastrado"))</f>
        <v>0</v>
      </c>
      <c r="G1672" s="24">
        <f>IF(OR($B1672="",$D1672=""),"",$D1672*IFERROR(INDEX(ProdCusto,MATCH($B1672,ProdCod,0)),0))</f>
        <v>0</v>
      </c>
      <c r="H1672" s="25">
        <f>IF($A1672="","",IF(OR($B1672="",$C1672="",$D1672=""),"Preencher tudo",IF($F1672="Código não cadastrado","Código inválido","OK")))</f>
        <v>0</v>
      </c>
    </row>
    <row r="1673" spans="1:8">
      <c r="A1673" s="16"/>
      <c r="B1673" s="15"/>
      <c r="C1673" s="20"/>
      <c r="D1673" s="22"/>
      <c r="E1673" s="15"/>
      <c r="F1673" s="23">
        <f>IF($B1673="","",IFERROR(INDEX(ProdNome,MATCH($B1673,ProdCod,0)),"Código não cadastrado"))</f>
        <v>0</v>
      </c>
      <c r="G1673" s="24">
        <f>IF(OR($B1673="",$D1673=""),"",$D1673*IFERROR(INDEX(ProdCusto,MATCH($B1673,ProdCod,0)),0))</f>
        <v>0</v>
      </c>
      <c r="H1673" s="25">
        <f>IF($A1673="","",IF(OR($B1673="",$C1673="",$D1673=""),"Preencher tudo",IF($F1673="Código não cadastrado","Código inválido","OK")))</f>
        <v>0</v>
      </c>
    </row>
    <row r="1674" spans="1:8">
      <c r="A1674" s="16"/>
      <c r="B1674" s="15"/>
      <c r="C1674" s="20"/>
      <c r="D1674" s="22"/>
      <c r="E1674" s="15"/>
      <c r="F1674" s="23">
        <f>IF($B1674="","",IFERROR(INDEX(ProdNome,MATCH($B1674,ProdCod,0)),"Código não cadastrado"))</f>
        <v>0</v>
      </c>
      <c r="G1674" s="24">
        <f>IF(OR($B1674="",$D1674=""),"",$D1674*IFERROR(INDEX(ProdCusto,MATCH($B1674,ProdCod,0)),0))</f>
        <v>0</v>
      </c>
      <c r="H1674" s="25">
        <f>IF($A1674="","",IF(OR($B1674="",$C1674="",$D1674=""),"Preencher tudo",IF($F1674="Código não cadastrado","Código inválido","OK")))</f>
        <v>0</v>
      </c>
    </row>
    <row r="1675" spans="1:8">
      <c r="A1675" s="16"/>
      <c r="B1675" s="15"/>
      <c r="C1675" s="20"/>
      <c r="D1675" s="22"/>
      <c r="E1675" s="15"/>
      <c r="F1675" s="23">
        <f>IF($B1675="","",IFERROR(INDEX(ProdNome,MATCH($B1675,ProdCod,0)),"Código não cadastrado"))</f>
        <v>0</v>
      </c>
      <c r="G1675" s="24">
        <f>IF(OR($B1675="",$D1675=""),"",$D1675*IFERROR(INDEX(ProdCusto,MATCH($B1675,ProdCod,0)),0))</f>
        <v>0</v>
      </c>
      <c r="H1675" s="25">
        <f>IF($A1675="","",IF(OR($B1675="",$C1675="",$D1675=""),"Preencher tudo",IF($F1675="Código não cadastrado","Código inválido","OK")))</f>
        <v>0</v>
      </c>
    </row>
    <row r="1676" spans="1:8">
      <c r="A1676" s="16"/>
      <c r="B1676" s="15"/>
      <c r="C1676" s="20"/>
      <c r="D1676" s="22"/>
      <c r="E1676" s="15"/>
      <c r="F1676" s="23">
        <f>IF($B1676="","",IFERROR(INDEX(ProdNome,MATCH($B1676,ProdCod,0)),"Código não cadastrado"))</f>
        <v>0</v>
      </c>
      <c r="G1676" s="24">
        <f>IF(OR($B1676="",$D1676=""),"",$D1676*IFERROR(INDEX(ProdCusto,MATCH($B1676,ProdCod,0)),0))</f>
        <v>0</v>
      </c>
      <c r="H1676" s="25">
        <f>IF($A1676="","",IF(OR($B1676="",$C1676="",$D1676=""),"Preencher tudo",IF($F1676="Código não cadastrado","Código inválido","OK")))</f>
        <v>0</v>
      </c>
    </row>
    <row r="1677" spans="1:8">
      <c r="A1677" s="16"/>
      <c r="B1677" s="15"/>
      <c r="C1677" s="20"/>
      <c r="D1677" s="22"/>
      <c r="E1677" s="15"/>
      <c r="F1677" s="23">
        <f>IF($B1677="","",IFERROR(INDEX(ProdNome,MATCH($B1677,ProdCod,0)),"Código não cadastrado"))</f>
        <v>0</v>
      </c>
      <c r="G1677" s="24">
        <f>IF(OR($B1677="",$D1677=""),"",$D1677*IFERROR(INDEX(ProdCusto,MATCH($B1677,ProdCod,0)),0))</f>
        <v>0</v>
      </c>
      <c r="H1677" s="25">
        <f>IF($A1677="","",IF(OR($B1677="",$C1677="",$D1677=""),"Preencher tudo",IF($F1677="Código não cadastrado","Código inválido","OK")))</f>
        <v>0</v>
      </c>
    </row>
    <row r="1678" spans="1:8">
      <c r="A1678" s="16"/>
      <c r="B1678" s="15"/>
      <c r="C1678" s="20"/>
      <c r="D1678" s="22"/>
      <c r="E1678" s="15"/>
      <c r="F1678" s="23">
        <f>IF($B1678="","",IFERROR(INDEX(ProdNome,MATCH($B1678,ProdCod,0)),"Código não cadastrado"))</f>
        <v>0</v>
      </c>
      <c r="G1678" s="24">
        <f>IF(OR($B1678="",$D1678=""),"",$D1678*IFERROR(INDEX(ProdCusto,MATCH($B1678,ProdCod,0)),0))</f>
        <v>0</v>
      </c>
      <c r="H1678" s="25">
        <f>IF($A1678="","",IF(OR($B1678="",$C1678="",$D1678=""),"Preencher tudo",IF($F1678="Código não cadastrado","Código inválido","OK")))</f>
        <v>0</v>
      </c>
    </row>
    <row r="1679" spans="1:8">
      <c r="A1679" s="16"/>
      <c r="B1679" s="15"/>
      <c r="C1679" s="20"/>
      <c r="D1679" s="22"/>
      <c r="E1679" s="15"/>
      <c r="F1679" s="23">
        <f>IF($B1679="","",IFERROR(INDEX(ProdNome,MATCH($B1679,ProdCod,0)),"Código não cadastrado"))</f>
        <v>0</v>
      </c>
      <c r="G1679" s="24">
        <f>IF(OR($B1679="",$D1679=""),"",$D1679*IFERROR(INDEX(ProdCusto,MATCH($B1679,ProdCod,0)),0))</f>
        <v>0</v>
      </c>
      <c r="H1679" s="25">
        <f>IF($A1679="","",IF(OR($B1679="",$C1679="",$D1679=""),"Preencher tudo",IF($F1679="Código não cadastrado","Código inválido","OK")))</f>
        <v>0</v>
      </c>
    </row>
    <row r="1680" spans="1:8">
      <c r="A1680" s="16"/>
      <c r="B1680" s="15"/>
      <c r="C1680" s="20"/>
      <c r="D1680" s="22"/>
      <c r="E1680" s="15"/>
      <c r="F1680" s="23">
        <f>IF($B1680="","",IFERROR(INDEX(ProdNome,MATCH($B1680,ProdCod,0)),"Código não cadastrado"))</f>
        <v>0</v>
      </c>
      <c r="G1680" s="24">
        <f>IF(OR($B1680="",$D1680=""),"",$D1680*IFERROR(INDEX(ProdCusto,MATCH($B1680,ProdCod,0)),0))</f>
        <v>0</v>
      </c>
      <c r="H1680" s="25">
        <f>IF($A1680="","",IF(OR($B1680="",$C1680="",$D1680=""),"Preencher tudo",IF($F1680="Código não cadastrado","Código inválido","OK")))</f>
        <v>0</v>
      </c>
    </row>
    <row r="1681" spans="1:8">
      <c r="A1681" s="16"/>
      <c r="B1681" s="15"/>
      <c r="C1681" s="20"/>
      <c r="D1681" s="22"/>
      <c r="E1681" s="15"/>
      <c r="F1681" s="23">
        <f>IF($B1681="","",IFERROR(INDEX(ProdNome,MATCH($B1681,ProdCod,0)),"Código não cadastrado"))</f>
        <v>0</v>
      </c>
      <c r="G1681" s="24">
        <f>IF(OR($B1681="",$D1681=""),"",$D1681*IFERROR(INDEX(ProdCusto,MATCH($B1681,ProdCod,0)),0))</f>
        <v>0</v>
      </c>
      <c r="H1681" s="25">
        <f>IF($A1681="","",IF(OR($B1681="",$C1681="",$D1681=""),"Preencher tudo",IF($F1681="Código não cadastrado","Código inválido","OK")))</f>
        <v>0</v>
      </c>
    </row>
    <row r="1682" spans="1:8">
      <c r="A1682" s="16"/>
      <c r="B1682" s="15"/>
      <c r="C1682" s="20"/>
      <c r="D1682" s="22"/>
      <c r="E1682" s="15"/>
      <c r="F1682" s="23">
        <f>IF($B1682="","",IFERROR(INDEX(ProdNome,MATCH($B1682,ProdCod,0)),"Código não cadastrado"))</f>
        <v>0</v>
      </c>
      <c r="G1682" s="24">
        <f>IF(OR($B1682="",$D1682=""),"",$D1682*IFERROR(INDEX(ProdCusto,MATCH($B1682,ProdCod,0)),0))</f>
        <v>0</v>
      </c>
      <c r="H1682" s="25">
        <f>IF($A1682="","",IF(OR($B1682="",$C1682="",$D1682=""),"Preencher tudo",IF($F1682="Código não cadastrado","Código inválido","OK")))</f>
        <v>0</v>
      </c>
    </row>
    <row r="1683" spans="1:8">
      <c r="A1683" s="16"/>
      <c r="B1683" s="15"/>
      <c r="C1683" s="20"/>
      <c r="D1683" s="22"/>
      <c r="E1683" s="15"/>
      <c r="F1683" s="23">
        <f>IF($B1683="","",IFERROR(INDEX(ProdNome,MATCH($B1683,ProdCod,0)),"Código não cadastrado"))</f>
        <v>0</v>
      </c>
      <c r="G1683" s="24">
        <f>IF(OR($B1683="",$D1683=""),"",$D1683*IFERROR(INDEX(ProdCusto,MATCH($B1683,ProdCod,0)),0))</f>
        <v>0</v>
      </c>
      <c r="H1683" s="25">
        <f>IF($A1683="","",IF(OR($B1683="",$C1683="",$D1683=""),"Preencher tudo",IF($F1683="Código não cadastrado","Código inválido","OK")))</f>
        <v>0</v>
      </c>
    </row>
    <row r="1684" spans="1:8">
      <c r="A1684" s="16"/>
      <c r="B1684" s="15"/>
      <c r="C1684" s="20"/>
      <c r="D1684" s="22"/>
      <c r="E1684" s="15"/>
      <c r="F1684" s="23">
        <f>IF($B1684="","",IFERROR(INDEX(ProdNome,MATCH($B1684,ProdCod,0)),"Código não cadastrado"))</f>
        <v>0</v>
      </c>
      <c r="G1684" s="24">
        <f>IF(OR($B1684="",$D1684=""),"",$D1684*IFERROR(INDEX(ProdCusto,MATCH($B1684,ProdCod,0)),0))</f>
        <v>0</v>
      </c>
      <c r="H1684" s="25">
        <f>IF($A1684="","",IF(OR($B1684="",$C1684="",$D1684=""),"Preencher tudo",IF($F1684="Código não cadastrado","Código inválido","OK")))</f>
        <v>0</v>
      </c>
    </row>
    <row r="1685" spans="1:8">
      <c r="A1685" s="16"/>
      <c r="B1685" s="15"/>
      <c r="C1685" s="20"/>
      <c r="D1685" s="22"/>
      <c r="E1685" s="15"/>
      <c r="F1685" s="23">
        <f>IF($B1685="","",IFERROR(INDEX(ProdNome,MATCH($B1685,ProdCod,0)),"Código não cadastrado"))</f>
        <v>0</v>
      </c>
      <c r="G1685" s="24">
        <f>IF(OR($B1685="",$D1685=""),"",$D1685*IFERROR(INDEX(ProdCusto,MATCH($B1685,ProdCod,0)),0))</f>
        <v>0</v>
      </c>
      <c r="H1685" s="25">
        <f>IF($A1685="","",IF(OR($B1685="",$C1685="",$D1685=""),"Preencher tudo",IF($F1685="Código não cadastrado","Código inválido","OK")))</f>
        <v>0</v>
      </c>
    </row>
    <row r="1686" spans="1:8">
      <c r="A1686" s="16"/>
      <c r="B1686" s="15"/>
      <c r="C1686" s="20"/>
      <c r="D1686" s="22"/>
      <c r="E1686" s="15"/>
      <c r="F1686" s="23">
        <f>IF($B1686="","",IFERROR(INDEX(ProdNome,MATCH($B1686,ProdCod,0)),"Código não cadastrado"))</f>
        <v>0</v>
      </c>
      <c r="G1686" s="24">
        <f>IF(OR($B1686="",$D1686=""),"",$D1686*IFERROR(INDEX(ProdCusto,MATCH($B1686,ProdCod,0)),0))</f>
        <v>0</v>
      </c>
      <c r="H1686" s="25">
        <f>IF($A1686="","",IF(OR($B1686="",$C1686="",$D1686=""),"Preencher tudo",IF($F1686="Código não cadastrado","Código inválido","OK")))</f>
        <v>0</v>
      </c>
    </row>
    <row r="1687" spans="1:8">
      <c r="A1687" s="16"/>
      <c r="B1687" s="15"/>
      <c r="C1687" s="20"/>
      <c r="D1687" s="22"/>
      <c r="E1687" s="15"/>
      <c r="F1687" s="23">
        <f>IF($B1687="","",IFERROR(INDEX(ProdNome,MATCH($B1687,ProdCod,0)),"Código não cadastrado"))</f>
        <v>0</v>
      </c>
      <c r="G1687" s="24">
        <f>IF(OR($B1687="",$D1687=""),"",$D1687*IFERROR(INDEX(ProdCusto,MATCH($B1687,ProdCod,0)),0))</f>
        <v>0</v>
      </c>
      <c r="H1687" s="25">
        <f>IF($A1687="","",IF(OR($B1687="",$C1687="",$D1687=""),"Preencher tudo",IF($F1687="Código não cadastrado","Código inválido","OK")))</f>
        <v>0</v>
      </c>
    </row>
    <row r="1688" spans="1:8">
      <c r="A1688" s="16"/>
      <c r="B1688" s="15"/>
      <c r="C1688" s="20"/>
      <c r="D1688" s="22"/>
      <c r="E1688" s="15"/>
      <c r="F1688" s="23">
        <f>IF($B1688="","",IFERROR(INDEX(ProdNome,MATCH($B1688,ProdCod,0)),"Código não cadastrado"))</f>
        <v>0</v>
      </c>
      <c r="G1688" s="24">
        <f>IF(OR($B1688="",$D1688=""),"",$D1688*IFERROR(INDEX(ProdCusto,MATCH($B1688,ProdCod,0)),0))</f>
        <v>0</v>
      </c>
      <c r="H1688" s="25">
        <f>IF($A1688="","",IF(OR($B1688="",$C1688="",$D1688=""),"Preencher tudo",IF($F1688="Código não cadastrado","Código inválido","OK")))</f>
        <v>0</v>
      </c>
    </row>
    <row r="1689" spans="1:8">
      <c r="A1689" s="16"/>
      <c r="B1689" s="15"/>
      <c r="C1689" s="20"/>
      <c r="D1689" s="22"/>
      <c r="E1689" s="15"/>
      <c r="F1689" s="23">
        <f>IF($B1689="","",IFERROR(INDEX(ProdNome,MATCH($B1689,ProdCod,0)),"Código não cadastrado"))</f>
        <v>0</v>
      </c>
      <c r="G1689" s="24">
        <f>IF(OR($B1689="",$D1689=""),"",$D1689*IFERROR(INDEX(ProdCusto,MATCH($B1689,ProdCod,0)),0))</f>
        <v>0</v>
      </c>
      <c r="H1689" s="25">
        <f>IF($A1689="","",IF(OR($B1689="",$C1689="",$D1689=""),"Preencher tudo",IF($F1689="Código não cadastrado","Código inválido","OK")))</f>
        <v>0</v>
      </c>
    </row>
    <row r="1690" spans="1:8">
      <c r="A1690" s="16"/>
      <c r="B1690" s="15"/>
      <c r="C1690" s="20"/>
      <c r="D1690" s="22"/>
      <c r="E1690" s="15"/>
      <c r="F1690" s="23">
        <f>IF($B1690="","",IFERROR(INDEX(ProdNome,MATCH($B1690,ProdCod,0)),"Código não cadastrado"))</f>
        <v>0</v>
      </c>
      <c r="G1690" s="24">
        <f>IF(OR($B1690="",$D1690=""),"",$D1690*IFERROR(INDEX(ProdCusto,MATCH($B1690,ProdCod,0)),0))</f>
        <v>0</v>
      </c>
      <c r="H1690" s="25">
        <f>IF($A1690="","",IF(OR($B1690="",$C1690="",$D1690=""),"Preencher tudo",IF($F1690="Código não cadastrado","Código inválido","OK")))</f>
        <v>0</v>
      </c>
    </row>
    <row r="1691" spans="1:8">
      <c r="A1691" s="16"/>
      <c r="B1691" s="15"/>
      <c r="C1691" s="20"/>
      <c r="D1691" s="22"/>
      <c r="E1691" s="15"/>
      <c r="F1691" s="23">
        <f>IF($B1691="","",IFERROR(INDEX(ProdNome,MATCH($B1691,ProdCod,0)),"Código não cadastrado"))</f>
        <v>0</v>
      </c>
      <c r="G1691" s="24">
        <f>IF(OR($B1691="",$D1691=""),"",$D1691*IFERROR(INDEX(ProdCusto,MATCH($B1691,ProdCod,0)),0))</f>
        <v>0</v>
      </c>
      <c r="H1691" s="25">
        <f>IF($A1691="","",IF(OR($B1691="",$C1691="",$D1691=""),"Preencher tudo",IF($F1691="Código não cadastrado","Código inválido","OK")))</f>
        <v>0</v>
      </c>
    </row>
    <row r="1692" spans="1:8">
      <c r="A1692" s="16"/>
      <c r="B1692" s="15"/>
      <c r="C1692" s="20"/>
      <c r="D1692" s="22"/>
      <c r="E1692" s="15"/>
      <c r="F1692" s="23">
        <f>IF($B1692="","",IFERROR(INDEX(ProdNome,MATCH($B1692,ProdCod,0)),"Código não cadastrado"))</f>
        <v>0</v>
      </c>
      <c r="G1692" s="24">
        <f>IF(OR($B1692="",$D1692=""),"",$D1692*IFERROR(INDEX(ProdCusto,MATCH($B1692,ProdCod,0)),0))</f>
        <v>0</v>
      </c>
      <c r="H1692" s="25">
        <f>IF($A1692="","",IF(OR($B1692="",$C1692="",$D1692=""),"Preencher tudo",IF($F1692="Código não cadastrado","Código inválido","OK")))</f>
        <v>0</v>
      </c>
    </row>
    <row r="1693" spans="1:8">
      <c r="A1693" s="16"/>
      <c r="B1693" s="15"/>
      <c r="C1693" s="20"/>
      <c r="D1693" s="22"/>
      <c r="E1693" s="15"/>
      <c r="F1693" s="23">
        <f>IF($B1693="","",IFERROR(INDEX(ProdNome,MATCH($B1693,ProdCod,0)),"Código não cadastrado"))</f>
        <v>0</v>
      </c>
      <c r="G1693" s="24">
        <f>IF(OR($B1693="",$D1693=""),"",$D1693*IFERROR(INDEX(ProdCusto,MATCH($B1693,ProdCod,0)),0))</f>
        <v>0</v>
      </c>
      <c r="H1693" s="25">
        <f>IF($A1693="","",IF(OR($B1693="",$C1693="",$D1693=""),"Preencher tudo",IF($F1693="Código não cadastrado","Código inválido","OK")))</f>
        <v>0</v>
      </c>
    </row>
    <row r="1694" spans="1:8">
      <c r="A1694" s="16"/>
      <c r="B1694" s="15"/>
      <c r="C1694" s="20"/>
      <c r="D1694" s="22"/>
      <c r="E1694" s="15"/>
      <c r="F1694" s="23">
        <f>IF($B1694="","",IFERROR(INDEX(ProdNome,MATCH($B1694,ProdCod,0)),"Código não cadastrado"))</f>
        <v>0</v>
      </c>
      <c r="G1694" s="24">
        <f>IF(OR($B1694="",$D1694=""),"",$D1694*IFERROR(INDEX(ProdCusto,MATCH($B1694,ProdCod,0)),0))</f>
        <v>0</v>
      </c>
      <c r="H1694" s="25">
        <f>IF($A1694="","",IF(OR($B1694="",$C1694="",$D1694=""),"Preencher tudo",IF($F1694="Código não cadastrado","Código inválido","OK")))</f>
        <v>0</v>
      </c>
    </row>
    <row r="1695" spans="1:8">
      <c r="A1695" s="16"/>
      <c r="B1695" s="15"/>
      <c r="C1695" s="20"/>
      <c r="D1695" s="22"/>
      <c r="E1695" s="15"/>
      <c r="F1695" s="23">
        <f>IF($B1695="","",IFERROR(INDEX(ProdNome,MATCH($B1695,ProdCod,0)),"Código não cadastrado"))</f>
        <v>0</v>
      </c>
      <c r="G1695" s="24">
        <f>IF(OR($B1695="",$D1695=""),"",$D1695*IFERROR(INDEX(ProdCusto,MATCH($B1695,ProdCod,0)),0))</f>
        <v>0</v>
      </c>
      <c r="H1695" s="25">
        <f>IF($A1695="","",IF(OR($B1695="",$C1695="",$D1695=""),"Preencher tudo",IF($F1695="Código não cadastrado","Código inválido","OK")))</f>
        <v>0</v>
      </c>
    </row>
    <row r="1696" spans="1:8">
      <c r="A1696" s="16"/>
      <c r="B1696" s="15"/>
      <c r="C1696" s="20"/>
      <c r="D1696" s="22"/>
      <c r="E1696" s="15"/>
      <c r="F1696" s="23">
        <f>IF($B1696="","",IFERROR(INDEX(ProdNome,MATCH($B1696,ProdCod,0)),"Código não cadastrado"))</f>
        <v>0</v>
      </c>
      <c r="G1696" s="24">
        <f>IF(OR($B1696="",$D1696=""),"",$D1696*IFERROR(INDEX(ProdCusto,MATCH($B1696,ProdCod,0)),0))</f>
        <v>0</v>
      </c>
      <c r="H1696" s="25">
        <f>IF($A1696="","",IF(OR($B1696="",$C1696="",$D1696=""),"Preencher tudo",IF($F1696="Código não cadastrado","Código inválido","OK")))</f>
        <v>0</v>
      </c>
    </row>
    <row r="1697" spans="1:8">
      <c r="A1697" s="16"/>
      <c r="B1697" s="15"/>
      <c r="C1697" s="20"/>
      <c r="D1697" s="22"/>
      <c r="E1697" s="15"/>
      <c r="F1697" s="23">
        <f>IF($B1697="","",IFERROR(INDEX(ProdNome,MATCH($B1697,ProdCod,0)),"Código não cadastrado"))</f>
        <v>0</v>
      </c>
      <c r="G1697" s="24">
        <f>IF(OR($B1697="",$D1697=""),"",$D1697*IFERROR(INDEX(ProdCusto,MATCH($B1697,ProdCod,0)),0))</f>
        <v>0</v>
      </c>
      <c r="H1697" s="25">
        <f>IF($A1697="","",IF(OR($B1697="",$C1697="",$D1697=""),"Preencher tudo",IF($F1697="Código não cadastrado","Código inválido","OK")))</f>
        <v>0</v>
      </c>
    </row>
    <row r="1698" spans="1:8">
      <c r="A1698" s="16"/>
      <c r="B1698" s="15"/>
      <c r="C1698" s="20"/>
      <c r="D1698" s="22"/>
      <c r="E1698" s="15"/>
      <c r="F1698" s="23">
        <f>IF($B1698="","",IFERROR(INDEX(ProdNome,MATCH($B1698,ProdCod,0)),"Código não cadastrado"))</f>
        <v>0</v>
      </c>
      <c r="G1698" s="24">
        <f>IF(OR($B1698="",$D1698=""),"",$D1698*IFERROR(INDEX(ProdCusto,MATCH($B1698,ProdCod,0)),0))</f>
        <v>0</v>
      </c>
      <c r="H1698" s="25">
        <f>IF($A1698="","",IF(OR($B1698="",$C1698="",$D1698=""),"Preencher tudo",IF($F1698="Código não cadastrado","Código inválido","OK")))</f>
        <v>0</v>
      </c>
    </row>
    <row r="1699" spans="1:8">
      <c r="A1699" s="16"/>
      <c r="B1699" s="15"/>
      <c r="C1699" s="20"/>
      <c r="D1699" s="22"/>
      <c r="E1699" s="15"/>
      <c r="F1699" s="23">
        <f>IF($B1699="","",IFERROR(INDEX(ProdNome,MATCH($B1699,ProdCod,0)),"Código não cadastrado"))</f>
        <v>0</v>
      </c>
      <c r="G1699" s="24">
        <f>IF(OR($B1699="",$D1699=""),"",$D1699*IFERROR(INDEX(ProdCusto,MATCH($B1699,ProdCod,0)),0))</f>
        <v>0</v>
      </c>
      <c r="H1699" s="25">
        <f>IF($A1699="","",IF(OR($B1699="",$C1699="",$D1699=""),"Preencher tudo",IF($F1699="Código não cadastrado","Código inválido","OK")))</f>
        <v>0</v>
      </c>
    </row>
    <row r="1700" spans="1:8">
      <c r="A1700" s="16"/>
      <c r="B1700" s="15"/>
      <c r="C1700" s="20"/>
      <c r="D1700" s="22"/>
      <c r="E1700" s="15"/>
      <c r="F1700" s="23">
        <f>IF($B1700="","",IFERROR(INDEX(ProdNome,MATCH($B1700,ProdCod,0)),"Código não cadastrado"))</f>
        <v>0</v>
      </c>
      <c r="G1700" s="24">
        <f>IF(OR($B1700="",$D1700=""),"",$D1700*IFERROR(INDEX(ProdCusto,MATCH($B1700,ProdCod,0)),0))</f>
        <v>0</v>
      </c>
      <c r="H1700" s="25">
        <f>IF($A1700="","",IF(OR($B1700="",$C1700="",$D1700=""),"Preencher tudo",IF($F1700="Código não cadastrado","Código inválido","OK")))</f>
        <v>0</v>
      </c>
    </row>
    <row r="1701" spans="1:8">
      <c r="A1701" s="16"/>
      <c r="B1701" s="15"/>
      <c r="C1701" s="20"/>
      <c r="D1701" s="22"/>
      <c r="E1701" s="15"/>
      <c r="F1701" s="23">
        <f>IF($B1701="","",IFERROR(INDEX(ProdNome,MATCH($B1701,ProdCod,0)),"Código não cadastrado"))</f>
        <v>0</v>
      </c>
      <c r="G1701" s="24">
        <f>IF(OR($B1701="",$D1701=""),"",$D1701*IFERROR(INDEX(ProdCusto,MATCH($B1701,ProdCod,0)),0))</f>
        <v>0</v>
      </c>
      <c r="H1701" s="25">
        <f>IF($A1701="","",IF(OR($B1701="",$C1701="",$D1701=""),"Preencher tudo",IF($F1701="Código não cadastrado","Código inválido","OK")))</f>
        <v>0</v>
      </c>
    </row>
    <row r="1702" spans="1:8">
      <c r="A1702" s="16"/>
      <c r="B1702" s="15"/>
      <c r="C1702" s="20"/>
      <c r="D1702" s="22"/>
      <c r="E1702" s="15"/>
      <c r="F1702" s="23">
        <f>IF($B1702="","",IFERROR(INDEX(ProdNome,MATCH($B1702,ProdCod,0)),"Código não cadastrado"))</f>
        <v>0</v>
      </c>
      <c r="G1702" s="24">
        <f>IF(OR($B1702="",$D1702=""),"",$D1702*IFERROR(INDEX(ProdCusto,MATCH($B1702,ProdCod,0)),0))</f>
        <v>0</v>
      </c>
      <c r="H1702" s="25">
        <f>IF($A1702="","",IF(OR($B1702="",$C1702="",$D1702=""),"Preencher tudo",IF($F1702="Código não cadastrado","Código inválido","OK")))</f>
        <v>0</v>
      </c>
    </row>
    <row r="1703" spans="1:8">
      <c r="A1703" s="16"/>
      <c r="B1703" s="15"/>
      <c r="C1703" s="20"/>
      <c r="D1703" s="22"/>
      <c r="E1703" s="15"/>
      <c r="F1703" s="23">
        <f>IF($B1703="","",IFERROR(INDEX(ProdNome,MATCH($B1703,ProdCod,0)),"Código não cadastrado"))</f>
        <v>0</v>
      </c>
      <c r="G1703" s="24">
        <f>IF(OR($B1703="",$D1703=""),"",$D1703*IFERROR(INDEX(ProdCusto,MATCH($B1703,ProdCod,0)),0))</f>
        <v>0</v>
      </c>
      <c r="H1703" s="25">
        <f>IF($A1703="","",IF(OR($B1703="",$C1703="",$D1703=""),"Preencher tudo",IF($F1703="Código não cadastrado","Código inválido","OK")))</f>
        <v>0</v>
      </c>
    </row>
    <row r="1704" spans="1:8">
      <c r="A1704" s="16"/>
      <c r="B1704" s="15"/>
      <c r="C1704" s="20"/>
      <c r="D1704" s="22"/>
      <c r="E1704" s="15"/>
      <c r="F1704" s="23">
        <f>IF($B1704="","",IFERROR(INDEX(ProdNome,MATCH($B1704,ProdCod,0)),"Código não cadastrado"))</f>
        <v>0</v>
      </c>
      <c r="G1704" s="24">
        <f>IF(OR($B1704="",$D1704=""),"",$D1704*IFERROR(INDEX(ProdCusto,MATCH($B1704,ProdCod,0)),0))</f>
        <v>0</v>
      </c>
      <c r="H1704" s="25">
        <f>IF($A1704="","",IF(OR($B1704="",$C1704="",$D1704=""),"Preencher tudo",IF($F1704="Código não cadastrado","Código inválido","OK")))</f>
        <v>0</v>
      </c>
    </row>
    <row r="1705" spans="1:8">
      <c r="A1705" s="16"/>
      <c r="B1705" s="15"/>
      <c r="C1705" s="20"/>
      <c r="D1705" s="22"/>
      <c r="E1705" s="15"/>
      <c r="F1705" s="23">
        <f>IF($B1705="","",IFERROR(INDEX(ProdNome,MATCH($B1705,ProdCod,0)),"Código não cadastrado"))</f>
        <v>0</v>
      </c>
      <c r="G1705" s="24">
        <f>IF(OR($B1705="",$D1705=""),"",$D1705*IFERROR(INDEX(ProdCusto,MATCH($B1705,ProdCod,0)),0))</f>
        <v>0</v>
      </c>
      <c r="H1705" s="25">
        <f>IF($A1705="","",IF(OR($B1705="",$C1705="",$D1705=""),"Preencher tudo",IF($F1705="Código não cadastrado","Código inválido","OK")))</f>
        <v>0</v>
      </c>
    </row>
    <row r="1706" spans="1:8">
      <c r="A1706" s="16"/>
      <c r="B1706" s="15"/>
      <c r="C1706" s="20"/>
      <c r="D1706" s="22"/>
      <c r="E1706" s="15"/>
      <c r="F1706" s="23">
        <f>IF($B1706="","",IFERROR(INDEX(ProdNome,MATCH($B1706,ProdCod,0)),"Código não cadastrado"))</f>
        <v>0</v>
      </c>
      <c r="G1706" s="24">
        <f>IF(OR($B1706="",$D1706=""),"",$D1706*IFERROR(INDEX(ProdCusto,MATCH($B1706,ProdCod,0)),0))</f>
        <v>0</v>
      </c>
      <c r="H1706" s="25">
        <f>IF($A1706="","",IF(OR($B1706="",$C1706="",$D1706=""),"Preencher tudo",IF($F1706="Código não cadastrado","Código inválido","OK")))</f>
        <v>0</v>
      </c>
    </row>
    <row r="1707" spans="1:8">
      <c r="A1707" s="16"/>
      <c r="B1707" s="15"/>
      <c r="C1707" s="20"/>
      <c r="D1707" s="22"/>
      <c r="E1707" s="15"/>
      <c r="F1707" s="23">
        <f>IF($B1707="","",IFERROR(INDEX(ProdNome,MATCH($B1707,ProdCod,0)),"Código não cadastrado"))</f>
        <v>0</v>
      </c>
      <c r="G1707" s="24">
        <f>IF(OR($B1707="",$D1707=""),"",$D1707*IFERROR(INDEX(ProdCusto,MATCH($B1707,ProdCod,0)),0))</f>
        <v>0</v>
      </c>
      <c r="H1707" s="25">
        <f>IF($A1707="","",IF(OR($B1707="",$C1707="",$D1707=""),"Preencher tudo",IF($F1707="Código não cadastrado","Código inválido","OK")))</f>
        <v>0</v>
      </c>
    </row>
    <row r="1708" spans="1:8">
      <c r="A1708" s="16"/>
      <c r="B1708" s="15"/>
      <c r="C1708" s="20"/>
      <c r="D1708" s="22"/>
      <c r="E1708" s="15"/>
      <c r="F1708" s="23">
        <f>IF($B1708="","",IFERROR(INDEX(ProdNome,MATCH($B1708,ProdCod,0)),"Código não cadastrado"))</f>
        <v>0</v>
      </c>
      <c r="G1708" s="24">
        <f>IF(OR($B1708="",$D1708=""),"",$D1708*IFERROR(INDEX(ProdCusto,MATCH($B1708,ProdCod,0)),0))</f>
        <v>0</v>
      </c>
      <c r="H1708" s="25">
        <f>IF($A1708="","",IF(OR($B1708="",$C1708="",$D1708=""),"Preencher tudo",IF($F1708="Código não cadastrado","Código inválido","OK")))</f>
        <v>0</v>
      </c>
    </row>
    <row r="1709" spans="1:8">
      <c r="A1709" s="16"/>
      <c r="B1709" s="15"/>
      <c r="C1709" s="20"/>
      <c r="D1709" s="22"/>
      <c r="E1709" s="15"/>
      <c r="F1709" s="23">
        <f>IF($B1709="","",IFERROR(INDEX(ProdNome,MATCH($B1709,ProdCod,0)),"Código não cadastrado"))</f>
        <v>0</v>
      </c>
      <c r="G1709" s="24">
        <f>IF(OR($B1709="",$D1709=""),"",$D1709*IFERROR(INDEX(ProdCusto,MATCH($B1709,ProdCod,0)),0))</f>
        <v>0</v>
      </c>
      <c r="H1709" s="25">
        <f>IF($A1709="","",IF(OR($B1709="",$C1709="",$D1709=""),"Preencher tudo",IF($F1709="Código não cadastrado","Código inválido","OK")))</f>
        <v>0</v>
      </c>
    </row>
    <row r="1710" spans="1:8">
      <c r="A1710" s="16"/>
      <c r="B1710" s="15"/>
      <c r="C1710" s="20"/>
      <c r="D1710" s="22"/>
      <c r="E1710" s="15"/>
      <c r="F1710" s="23">
        <f>IF($B1710="","",IFERROR(INDEX(ProdNome,MATCH($B1710,ProdCod,0)),"Código não cadastrado"))</f>
        <v>0</v>
      </c>
      <c r="G1710" s="24">
        <f>IF(OR($B1710="",$D1710=""),"",$D1710*IFERROR(INDEX(ProdCusto,MATCH($B1710,ProdCod,0)),0))</f>
        <v>0</v>
      </c>
      <c r="H1710" s="25">
        <f>IF($A1710="","",IF(OR($B1710="",$C1710="",$D1710=""),"Preencher tudo",IF($F1710="Código não cadastrado","Código inválido","OK")))</f>
        <v>0</v>
      </c>
    </row>
    <row r="1711" spans="1:8">
      <c r="A1711" s="16"/>
      <c r="B1711" s="15"/>
      <c r="C1711" s="20"/>
      <c r="D1711" s="22"/>
      <c r="E1711" s="15"/>
      <c r="F1711" s="23">
        <f>IF($B1711="","",IFERROR(INDEX(ProdNome,MATCH($B1711,ProdCod,0)),"Código não cadastrado"))</f>
        <v>0</v>
      </c>
      <c r="G1711" s="24">
        <f>IF(OR($B1711="",$D1711=""),"",$D1711*IFERROR(INDEX(ProdCusto,MATCH($B1711,ProdCod,0)),0))</f>
        <v>0</v>
      </c>
      <c r="H1711" s="25">
        <f>IF($A1711="","",IF(OR($B1711="",$C1711="",$D1711=""),"Preencher tudo",IF($F1711="Código não cadastrado","Código inválido","OK")))</f>
        <v>0</v>
      </c>
    </row>
    <row r="1712" spans="1:8">
      <c r="A1712" s="16"/>
      <c r="B1712" s="15"/>
      <c r="C1712" s="20"/>
      <c r="D1712" s="22"/>
      <c r="E1712" s="15"/>
      <c r="F1712" s="23">
        <f>IF($B1712="","",IFERROR(INDEX(ProdNome,MATCH($B1712,ProdCod,0)),"Código não cadastrado"))</f>
        <v>0</v>
      </c>
      <c r="G1712" s="24">
        <f>IF(OR($B1712="",$D1712=""),"",$D1712*IFERROR(INDEX(ProdCusto,MATCH($B1712,ProdCod,0)),0))</f>
        <v>0</v>
      </c>
      <c r="H1712" s="25">
        <f>IF($A1712="","",IF(OR($B1712="",$C1712="",$D1712=""),"Preencher tudo",IF($F1712="Código não cadastrado","Código inválido","OK")))</f>
        <v>0</v>
      </c>
    </row>
    <row r="1713" spans="1:8">
      <c r="A1713" s="16"/>
      <c r="B1713" s="15"/>
      <c r="C1713" s="20"/>
      <c r="D1713" s="22"/>
      <c r="E1713" s="15"/>
      <c r="F1713" s="23">
        <f>IF($B1713="","",IFERROR(INDEX(ProdNome,MATCH($B1713,ProdCod,0)),"Código não cadastrado"))</f>
        <v>0</v>
      </c>
      <c r="G1713" s="24">
        <f>IF(OR($B1713="",$D1713=""),"",$D1713*IFERROR(INDEX(ProdCusto,MATCH($B1713,ProdCod,0)),0))</f>
        <v>0</v>
      </c>
      <c r="H1713" s="25">
        <f>IF($A1713="","",IF(OR($B1713="",$C1713="",$D1713=""),"Preencher tudo",IF($F1713="Código não cadastrado","Código inválido","OK")))</f>
        <v>0</v>
      </c>
    </row>
    <row r="1714" spans="1:8">
      <c r="A1714" s="16"/>
      <c r="B1714" s="15"/>
      <c r="C1714" s="20"/>
      <c r="D1714" s="22"/>
      <c r="E1714" s="15"/>
      <c r="F1714" s="23">
        <f>IF($B1714="","",IFERROR(INDEX(ProdNome,MATCH($B1714,ProdCod,0)),"Código não cadastrado"))</f>
        <v>0</v>
      </c>
      <c r="G1714" s="24">
        <f>IF(OR($B1714="",$D1714=""),"",$D1714*IFERROR(INDEX(ProdCusto,MATCH($B1714,ProdCod,0)),0))</f>
        <v>0</v>
      </c>
      <c r="H1714" s="25">
        <f>IF($A1714="","",IF(OR($B1714="",$C1714="",$D1714=""),"Preencher tudo",IF($F1714="Código não cadastrado","Código inválido","OK")))</f>
        <v>0</v>
      </c>
    </row>
    <row r="1715" spans="1:8">
      <c r="A1715" s="16"/>
      <c r="B1715" s="15"/>
      <c r="C1715" s="20"/>
      <c r="D1715" s="22"/>
      <c r="E1715" s="15"/>
      <c r="F1715" s="23">
        <f>IF($B1715="","",IFERROR(INDEX(ProdNome,MATCH($B1715,ProdCod,0)),"Código não cadastrado"))</f>
        <v>0</v>
      </c>
      <c r="G1715" s="24">
        <f>IF(OR($B1715="",$D1715=""),"",$D1715*IFERROR(INDEX(ProdCusto,MATCH($B1715,ProdCod,0)),0))</f>
        <v>0</v>
      </c>
      <c r="H1715" s="25">
        <f>IF($A1715="","",IF(OR($B1715="",$C1715="",$D1715=""),"Preencher tudo",IF($F1715="Código não cadastrado","Código inválido","OK")))</f>
        <v>0</v>
      </c>
    </row>
    <row r="1716" spans="1:8">
      <c r="A1716" s="16"/>
      <c r="B1716" s="15"/>
      <c r="C1716" s="20"/>
      <c r="D1716" s="22"/>
      <c r="E1716" s="15"/>
      <c r="F1716" s="23">
        <f>IF($B1716="","",IFERROR(INDEX(ProdNome,MATCH($B1716,ProdCod,0)),"Código não cadastrado"))</f>
        <v>0</v>
      </c>
      <c r="G1716" s="24">
        <f>IF(OR($B1716="",$D1716=""),"",$D1716*IFERROR(INDEX(ProdCusto,MATCH($B1716,ProdCod,0)),0))</f>
        <v>0</v>
      </c>
      <c r="H1716" s="25">
        <f>IF($A1716="","",IF(OR($B1716="",$C1716="",$D1716=""),"Preencher tudo",IF($F1716="Código não cadastrado","Código inválido","OK")))</f>
        <v>0</v>
      </c>
    </row>
    <row r="1717" spans="1:8">
      <c r="A1717" s="16"/>
      <c r="B1717" s="15"/>
      <c r="C1717" s="20"/>
      <c r="D1717" s="22"/>
      <c r="E1717" s="15"/>
      <c r="F1717" s="23">
        <f>IF($B1717="","",IFERROR(INDEX(ProdNome,MATCH($B1717,ProdCod,0)),"Código não cadastrado"))</f>
        <v>0</v>
      </c>
      <c r="G1717" s="24">
        <f>IF(OR($B1717="",$D1717=""),"",$D1717*IFERROR(INDEX(ProdCusto,MATCH($B1717,ProdCod,0)),0))</f>
        <v>0</v>
      </c>
      <c r="H1717" s="25">
        <f>IF($A1717="","",IF(OR($B1717="",$C1717="",$D1717=""),"Preencher tudo",IF($F1717="Código não cadastrado","Código inválido","OK")))</f>
        <v>0</v>
      </c>
    </row>
    <row r="1718" spans="1:8">
      <c r="A1718" s="16"/>
      <c r="B1718" s="15"/>
      <c r="C1718" s="20"/>
      <c r="D1718" s="22"/>
      <c r="E1718" s="15"/>
      <c r="F1718" s="23">
        <f>IF($B1718="","",IFERROR(INDEX(ProdNome,MATCH($B1718,ProdCod,0)),"Código não cadastrado"))</f>
        <v>0</v>
      </c>
      <c r="G1718" s="24">
        <f>IF(OR($B1718="",$D1718=""),"",$D1718*IFERROR(INDEX(ProdCusto,MATCH($B1718,ProdCod,0)),0))</f>
        <v>0</v>
      </c>
      <c r="H1718" s="25">
        <f>IF($A1718="","",IF(OR($B1718="",$C1718="",$D1718=""),"Preencher tudo",IF($F1718="Código não cadastrado","Código inválido","OK")))</f>
        <v>0</v>
      </c>
    </row>
    <row r="1719" spans="1:8">
      <c r="A1719" s="16"/>
      <c r="B1719" s="15"/>
      <c r="C1719" s="20"/>
      <c r="D1719" s="22"/>
      <c r="E1719" s="15"/>
      <c r="F1719" s="23">
        <f>IF($B1719="","",IFERROR(INDEX(ProdNome,MATCH($B1719,ProdCod,0)),"Código não cadastrado"))</f>
        <v>0</v>
      </c>
      <c r="G1719" s="24">
        <f>IF(OR($B1719="",$D1719=""),"",$D1719*IFERROR(INDEX(ProdCusto,MATCH($B1719,ProdCod,0)),0))</f>
        <v>0</v>
      </c>
      <c r="H1719" s="25">
        <f>IF($A1719="","",IF(OR($B1719="",$C1719="",$D1719=""),"Preencher tudo",IF($F1719="Código não cadastrado","Código inválido","OK")))</f>
        <v>0</v>
      </c>
    </row>
    <row r="1720" spans="1:8">
      <c r="A1720" s="16"/>
      <c r="B1720" s="15"/>
      <c r="C1720" s="20"/>
      <c r="D1720" s="22"/>
      <c r="E1720" s="15"/>
      <c r="F1720" s="23">
        <f>IF($B1720="","",IFERROR(INDEX(ProdNome,MATCH($B1720,ProdCod,0)),"Código não cadastrado"))</f>
        <v>0</v>
      </c>
      <c r="G1720" s="24">
        <f>IF(OR($B1720="",$D1720=""),"",$D1720*IFERROR(INDEX(ProdCusto,MATCH($B1720,ProdCod,0)),0))</f>
        <v>0</v>
      </c>
      <c r="H1720" s="25">
        <f>IF($A1720="","",IF(OR($B1720="",$C1720="",$D1720=""),"Preencher tudo",IF($F1720="Código não cadastrado","Código inválido","OK")))</f>
        <v>0</v>
      </c>
    </row>
    <row r="1721" spans="1:8">
      <c r="A1721" s="16"/>
      <c r="B1721" s="15"/>
      <c r="C1721" s="20"/>
      <c r="D1721" s="22"/>
      <c r="E1721" s="15"/>
      <c r="F1721" s="23">
        <f>IF($B1721="","",IFERROR(INDEX(ProdNome,MATCH($B1721,ProdCod,0)),"Código não cadastrado"))</f>
        <v>0</v>
      </c>
      <c r="G1721" s="24">
        <f>IF(OR($B1721="",$D1721=""),"",$D1721*IFERROR(INDEX(ProdCusto,MATCH($B1721,ProdCod,0)),0))</f>
        <v>0</v>
      </c>
      <c r="H1721" s="25">
        <f>IF($A1721="","",IF(OR($B1721="",$C1721="",$D1721=""),"Preencher tudo",IF($F1721="Código não cadastrado","Código inválido","OK")))</f>
        <v>0</v>
      </c>
    </row>
    <row r="1722" spans="1:8">
      <c r="A1722" s="16"/>
      <c r="B1722" s="15"/>
      <c r="C1722" s="20"/>
      <c r="D1722" s="22"/>
      <c r="E1722" s="15"/>
      <c r="F1722" s="23">
        <f>IF($B1722="","",IFERROR(INDEX(ProdNome,MATCH($B1722,ProdCod,0)),"Código não cadastrado"))</f>
        <v>0</v>
      </c>
      <c r="G1722" s="24">
        <f>IF(OR($B1722="",$D1722=""),"",$D1722*IFERROR(INDEX(ProdCusto,MATCH($B1722,ProdCod,0)),0))</f>
        <v>0</v>
      </c>
      <c r="H1722" s="25">
        <f>IF($A1722="","",IF(OR($B1722="",$C1722="",$D1722=""),"Preencher tudo",IF($F1722="Código não cadastrado","Código inválido","OK")))</f>
        <v>0</v>
      </c>
    </row>
    <row r="1723" spans="1:8">
      <c r="A1723" s="16"/>
      <c r="B1723" s="15"/>
      <c r="C1723" s="20"/>
      <c r="D1723" s="22"/>
      <c r="E1723" s="15"/>
      <c r="F1723" s="23">
        <f>IF($B1723="","",IFERROR(INDEX(ProdNome,MATCH($B1723,ProdCod,0)),"Código não cadastrado"))</f>
        <v>0</v>
      </c>
      <c r="G1723" s="24">
        <f>IF(OR($B1723="",$D1723=""),"",$D1723*IFERROR(INDEX(ProdCusto,MATCH($B1723,ProdCod,0)),0))</f>
        <v>0</v>
      </c>
      <c r="H1723" s="25">
        <f>IF($A1723="","",IF(OR($B1723="",$C1723="",$D1723=""),"Preencher tudo",IF($F1723="Código não cadastrado","Código inválido","OK")))</f>
        <v>0</v>
      </c>
    </row>
    <row r="1724" spans="1:8">
      <c r="A1724" s="16"/>
      <c r="B1724" s="15"/>
      <c r="C1724" s="20"/>
      <c r="D1724" s="22"/>
      <c r="E1724" s="15"/>
      <c r="F1724" s="23">
        <f>IF($B1724="","",IFERROR(INDEX(ProdNome,MATCH($B1724,ProdCod,0)),"Código não cadastrado"))</f>
        <v>0</v>
      </c>
      <c r="G1724" s="24">
        <f>IF(OR($B1724="",$D1724=""),"",$D1724*IFERROR(INDEX(ProdCusto,MATCH($B1724,ProdCod,0)),0))</f>
        <v>0</v>
      </c>
      <c r="H1724" s="25">
        <f>IF($A1724="","",IF(OR($B1724="",$C1724="",$D1724=""),"Preencher tudo",IF($F1724="Código não cadastrado","Código inválido","OK")))</f>
        <v>0</v>
      </c>
    </row>
    <row r="1725" spans="1:8">
      <c r="A1725" s="16"/>
      <c r="B1725" s="15"/>
      <c r="C1725" s="20"/>
      <c r="D1725" s="22"/>
      <c r="E1725" s="15"/>
      <c r="F1725" s="23">
        <f>IF($B1725="","",IFERROR(INDEX(ProdNome,MATCH($B1725,ProdCod,0)),"Código não cadastrado"))</f>
        <v>0</v>
      </c>
      <c r="G1725" s="24">
        <f>IF(OR($B1725="",$D1725=""),"",$D1725*IFERROR(INDEX(ProdCusto,MATCH($B1725,ProdCod,0)),0))</f>
        <v>0</v>
      </c>
      <c r="H1725" s="25">
        <f>IF($A1725="","",IF(OR($B1725="",$C1725="",$D1725=""),"Preencher tudo",IF($F1725="Código não cadastrado","Código inválido","OK")))</f>
        <v>0</v>
      </c>
    </row>
    <row r="1726" spans="1:8">
      <c r="A1726" s="16"/>
      <c r="B1726" s="15"/>
      <c r="C1726" s="20"/>
      <c r="D1726" s="22"/>
      <c r="E1726" s="15"/>
      <c r="F1726" s="23">
        <f>IF($B1726="","",IFERROR(INDEX(ProdNome,MATCH($B1726,ProdCod,0)),"Código não cadastrado"))</f>
        <v>0</v>
      </c>
      <c r="G1726" s="24">
        <f>IF(OR($B1726="",$D1726=""),"",$D1726*IFERROR(INDEX(ProdCusto,MATCH($B1726,ProdCod,0)),0))</f>
        <v>0</v>
      </c>
      <c r="H1726" s="25">
        <f>IF($A1726="","",IF(OR($B1726="",$C1726="",$D1726=""),"Preencher tudo",IF($F1726="Código não cadastrado","Código inválido","OK")))</f>
        <v>0</v>
      </c>
    </row>
    <row r="1727" spans="1:8">
      <c r="A1727" s="16"/>
      <c r="B1727" s="15"/>
      <c r="C1727" s="20"/>
      <c r="D1727" s="22"/>
      <c r="E1727" s="15"/>
      <c r="F1727" s="23">
        <f>IF($B1727="","",IFERROR(INDEX(ProdNome,MATCH($B1727,ProdCod,0)),"Código não cadastrado"))</f>
        <v>0</v>
      </c>
      <c r="G1727" s="24">
        <f>IF(OR($B1727="",$D1727=""),"",$D1727*IFERROR(INDEX(ProdCusto,MATCH($B1727,ProdCod,0)),0))</f>
        <v>0</v>
      </c>
      <c r="H1727" s="25">
        <f>IF($A1727="","",IF(OR($B1727="",$C1727="",$D1727=""),"Preencher tudo",IF($F1727="Código não cadastrado","Código inválido","OK")))</f>
        <v>0</v>
      </c>
    </row>
    <row r="1728" spans="1:8">
      <c r="A1728" s="16"/>
      <c r="B1728" s="15"/>
      <c r="C1728" s="20"/>
      <c r="D1728" s="22"/>
      <c r="E1728" s="15"/>
      <c r="F1728" s="23">
        <f>IF($B1728="","",IFERROR(INDEX(ProdNome,MATCH($B1728,ProdCod,0)),"Código não cadastrado"))</f>
        <v>0</v>
      </c>
      <c r="G1728" s="24">
        <f>IF(OR($B1728="",$D1728=""),"",$D1728*IFERROR(INDEX(ProdCusto,MATCH($B1728,ProdCod,0)),0))</f>
        <v>0</v>
      </c>
      <c r="H1728" s="25">
        <f>IF($A1728="","",IF(OR($B1728="",$C1728="",$D1728=""),"Preencher tudo",IF($F1728="Código não cadastrado","Código inválido","OK")))</f>
        <v>0</v>
      </c>
    </row>
    <row r="1729" spans="1:8">
      <c r="A1729" s="16"/>
      <c r="B1729" s="15"/>
      <c r="C1729" s="20"/>
      <c r="D1729" s="22"/>
      <c r="E1729" s="15"/>
      <c r="F1729" s="23">
        <f>IF($B1729="","",IFERROR(INDEX(ProdNome,MATCH($B1729,ProdCod,0)),"Código não cadastrado"))</f>
        <v>0</v>
      </c>
      <c r="G1729" s="24">
        <f>IF(OR($B1729="",$D1729=""),"",$D1729*IFERROR(INDEX(ProdCusto,MATCH($B1729,ProdCod,0)),0))</f>
        <v>0</v>
      </c>
      <c r="H1729" s="25">
        <f>IF($A1729="","",IF(OR($B1729="",$C1729="",$D1729=""),"Preencher tudo",IF($F1729="Código não cadastrado","Código inválido","OK")))</f>
        <v>0</v>
      </c>
    </row>
    <row r="1730" spans="1:8">
      <c r="A1730" s="16"/>
      <c r="B1730" s="15"/>
      <c r="C1730" s="20"/>
      <c r="D1730" s="22"/>
      <c r="E1730" s="15"/>
      <c r="F1730" s="23">
        <f>IF($B1730="","",IFERROR(INDEX(ProdNome,MATCH($B1730,ProdCod,0)),"Código não cadastrado"))</f>
        <v>0</v>
      </c>
      <c r="G1730" s="24">
        <f>IF(OR($B1730="",$D1730=""),"",$D1730*IFERROR(INDEX(ProdCusto,MATCH($B1730,ProdCod,0)),0))</f>
        <v>0</v>
      </c>
      <c r="H1730" s="25">
        <f>IF($A1730="","",IF(OR($B1730="",$C1730="",$D1730=""),"Preencher tudo",IF($F1730="Código não cadastrado","Código inválido","OK")))</f>
        <v>0</v>
      </c>
    </row>
    <row r="1731" spans="1:8">
      <c r="A1731" s="16"/>
      <c r="B1731" s="15"/>
      <c r="C1731" s="20"/>
      <c r="D1731" s="22"/>
      <c r="E1731" s="15"/>
      <c r="F1731" s="23">
        <f>IF($B1731="","",IFERROR(INDEX(ProdNome,MATCH($B1731,ProdCod,0)),"Código não cadastrado"))</f>
        <v>0</v>
      </c>
      <c r="G1731" s="24">
        <f>IF(OR($B1731="",$D1731=""),"",$D1731*IFERROR(INDEX(ProdCusto,MATCH($B1731,ProdCod,0)),0))</f>
        <v>0</v>
      </c>
      <c r="H1731" s="25">
        <f>IF($A1731="","",IF(OR($B1731="",$C1731="",$D1731=""),"Preencher tudo",IF($F1731="Código não cadastrado","Código inválido","OK")))</f>
        <v>0</v>
      </c>
    </row>
    <row r="1732" spans="1:8">
      <c r="A1732" s="16"/>
      <c r="B1732" s="15"/>
      <c r="C1732" s="20"/>
      <c r="D1732" s="22"/>
      <c r="E1732" s="15"/>
      <c r="F1732" s="23">
        <f>IF($B1732="","",IFERROR(INDEX(ProdNome,MATCH($B1732,ProdCod,0)),"Código não cadastrado"))</f>
        <v>0</v>
      </c>
      <c r="G1732" s="24">
        <f>IF(OR($B1732="",$D1732=""),"",$D1732*IFERROR(INDEX(ProdCusto,MATCH($B1732,ProdCod,0)),0))</f>
        <v>0</v>
      </c>
      <c r="H1732" s="25">
        <f>IF($A1732="","",IF(OR($B1732="",$C1732="",$D1732=""),"Preencher tudo",IF($F1732="Código não cadastrado","Código inválido","OK")))</f>
        <v>0</v>
      </c>
    </row>
    <row r="1733" spans="1:8">
      <c r="A1733" s="16"/>
      <c r="B1733" s="15"/>
      <c r="C1733" s="20"/>
      <c r="D1733" s="22"/>
      <c r="E1733" s="15"/>
      <c r="F1733" s="23">
        <f>IF($B1733="","",IFERROR(INDEX(ProdNome,MATCH($B1733,ProdCod,0)),"Código não cadastrado"))</f>
        <v>0</v>
      </c>
      <c r="G1733" s="24">
        <f>IF(OR($B1733="",$D1733=""),"",$D1733*IFERROR(INDEX(ProdCusto,MATCH($B1733,ProdCod,0)),0))</f>
        <v>0</v>
      </c>
      <c r="H1733" s="25">
        <f>IF($A1733="","",IF(OR($B1733="",$C1733="",$D1733=""),"Preencher tudo",IF($F1733="Código não cadastrado","Código inválido","OK")))</f>
        <v>0</v>
      </c>
    </row>
    <row r="1734" spans="1:8">
      <c r="A1734" s="16"/>
      <c r="B1734" s="15"/>
      <c r="C1734" s="20"/>
      <c r="D1734" s="22"/>
      <c r="E1734" s="15"/>
      <c r="F1734" s="23">
        <f>IF($B1734="","",IFERROR(INDEX(ProdNome,MATCH($B1734,ProdCod,0)),"Código não cadastrado"))</f>
        <v>0</v>
      </c>
      <c r="G1734" s="24">
        <f>IF(OR($B1734="",$D1734=""),"",$D1734*IFERROR(INDEX(ProdCusto,MATCH($B1734,ProdCod,0)),0))</f>
        <v>0</v>
      </c>
      <c r="H1734" s="25">
        <f>IF($A1734="","",IF(OR($B1734="",$C1734="",$D1734=""),"Preencher tudo",IF($F1734="Código não cadastrado","Código inválido","OK")))</f>
        <v>0</v>
      </c>
    </row>
    <row r="1735" spans="1:8">
      <c r="A1735" s="16"/>
      <c r="B1735" s="15"/>
      <c r="C1735" s="20"/>
      <c r="D1735" s="22"/>
      <c r="E1735" s="15"/>
      <c r="F1735" s="23">
        <f>IF($B1735="","",IFERROR(INDEX(ProdNome,MATCH($B1735,ProdCod,0)),"Código não cadastrado"))</f>
        <v>0</v>
      </c>
      <c r="G1735" s="24">
        <f>IF(OR($B1735="",$D1735=""),"",$D1735*IFERROR(INDEX(ProdCusto,MATCH($B1735,ProdCod,0)),0))</f>
        <v>0</v>
      </c>
      <c r="H1735" s="25">
        <f>IF($A1735="","",IF(OR($B1735="",$C1735="",$D1735=""),"Preencher tudo",IF($F1735="Código não cadastrado","Código inválido","OK")))</f>
        <v>0</v>
      </c>
    </row>
    <row r="1736" spans="1:8">
      <c r="A1736" s="16"/>
      <c r="B1736" s="15"/>
      <c r="C1736" s="20"/>
      <c r="D1736" s="22"/>
      <c r="E1736" s="15"/>
      <c r="F1736" s="23">
        <f>IF($B1736="","",IFERROR(INDEX(ProdNome,MATCH($B1736,ProdCod,0)),"Código não cadastrado"))</f>
        <v>0</v>
      </c>
      <c r="G1736" s="24">
        <f>IF(OR($B1736="",$D1736=""),"",$D1736*IFERROR(INDEX(ProdCusto,MATCH($B1736,ProdCod,0)),0))</f>
        <v>0</v>
      </c>
      <c r="H1736" s="25">
        <f>IF($A1736="","",IF(OR($B1736="",$C1736="",$D1736=""),"Preencher tudo",IF($F1736="Código não cadastrado","Código inválido","OK")))</f>
        <v>0</v>
      </c>
    </row>
    <row r="1737" spans="1:8">
      <c r="A1737" s="16"/>
      <c r="B1737" s="15"/>
      <c r="C1737" s="20"/>
      <c r="D1737" s="22"/>
      <c r="E1737" s="15"/>
      <c r="F1737" s="23">
        <f>IF($B1737="","",IFERROR(INDEX(ProdNome,MATCH($B1737,ProdCod,0)),"Código não cadastrado"))</f>
        <v>0</v>
      </c>
      <c r="G1737" s="24">
        <f>IF(OR($B1737="",$D1737=""),"",$D1737*IFERROR(INDEX(ProdCusto,MATCH($B1737,ProdCod,0)),0))</f>
        <v>0</v>
      </c>
      <c r="H1737" s="25">
        <f>IF($A1737="","",IF(OR($B1737="",$C1737="",$D1737=""),"Preencher tudo",IF($F1737="Código não cadastrado","Código inválido","OK")))</f>
        <v>0</v>
      </c>
    </row>
    <row r="1738" spans="1:8">
      <c r="A1738" s="16"/>
      <c r="B1738" s="15"/>
      <c r="C1738" s="20"/>
      <c r="D1738" s="22"/>
      <c r="E1738" s="15"/>
      <c r="F1738" s="23">
        <f>IF($B1738="","",IFERROR(INDEX(ProdNome,MATCH($B1738,ProdCod,0)),"Código não cadastrado"))</f>
        <v>0</v>
      </c>
      <c r="G1738" s="24">
        <f>IF(OR($B1738="",$D1738=""),"",$D1738*IFERROR(INDEX(ProdCusto,MATCH($B1738,ProdCod,0)),0))</f>
        <v>0</v>
      </c>
      <c r="H1738" s="25">
        <f>IF($A1738="","",IF(OR($B1738="",$C1738="",$D1738=""),"Preencher tudo",IF($F1738="Código não cadastrado","Código inválido","OK")))</f>
        <v>0</v>
      </c>
    </row>
    <row r="1739" spans="1:8">
      <c r="A1739" s="16"/>
      <c r="B1739" s="15"/>
      <c r="C1739" s="20"/>
      <c r="D1739" s="22"/>
      <c r="E1739" s="15"/>
      <c r="F1739" s="23">
        <f>IF($B1739="","",IFERROR(INDEX(ProdNome,MATCH($B1739,ProdCod,0)),"Código não cadastrado"))</f>
        <v>0</v>
      </c>
      <c r="G1739" s="24">
        <f>IF(OR($B1739="",$D1739=""),"",$D1739*IFERROR(INDEX(ProdCusto,MATCH($B1739,ProdCod,0)),0))</f>
        <v>0</v>
      </c>
      <c r="H1739" s="25">
        <f>IF($A1739="","",IF(OR($B1739="",$C1739="",$D1739=""),"Preencher tudo",IF($F1739="Código não cadastrado","Código inválido","OK")))</f>
        <v>0</v>
      </c>
    </row>
    <row r="1740" spans="1:8">
      <c r="A1740" s="16"/>
      <c r="B1740" s="15"/>
      <c r="C1740" s="20"/>
      <c r="D1740" s="22"/>
      <c r="E1740" s="15"/>
      <c r="F1740" s="23">
        <f>IF($B1740="","",IFERROR(INDEX(ProdNome,MATCH($B1740,ProdCod,0)),"Código não cadastrado"))</f>
        <v>0</v>
      </c>
      <c r="G1740" s="24">
        <f>IF(OR($B1740="",$D1740=""),"",$D1740*IFERROR(INDEX(ProdCusto,MATCH($B1740,ProdCod,0)),0))</f>
        <v>0</v>
      </c>
      <c r="H1740" s="25">
        <f>IF($A1740="","",IF(OR($B1740="",$C1740="",$D1740=""),"Preencher tudo",IF($F1740="Código não cadastrado","Código inválido","OK")))</f>
        <v>0</v>
      </c>
    </row>
    <row r="1741" spans="1:8">
      <c r="A1741" s="16"/>
      <c r="B1741" s="15"/>
      <c r="C1741" s="20"/>
      <c r="D1741" s="22"/>
      <c r="E1741" s="15"/>
      <c r="F1741" s="23">
        <f>IF($B1741="","",IFERROR(INDEX(ProdNome,MATCH($B1741,ProdCod,0)),"Código não cadastrado"))</f>
        <v>0</v>
      </c>
      <c r="G1741" s="24">
        <f>IF(OR($B1741="",$D1741=""),"",$D1741*IFERROR(INDEX(ProdCusto,MATCH($B1741,ProdCod,0)),0))</f>
        <v>0</v>
      </c>
      <c r="H1741" s="25">
        <f>IF($A1741="","",IF(OR($B1741="",$C1741="",$D1741=""),"Preencher tudo",IF($F1741="Código não cadastrado","Código inválido","OK")))</f>
        <v>0</v>
      </c>
    </row>
    <row r="1742" spans="1:8">
      <c r="A1742" s="16"/>
      <c r="B1742" s="15"/>
      <c r="C1742" s="20"/>
      <c r="D1742" s="22"/>
      <c r="E1742" s="15"/>
      <c r="F1742" s="23">
        <f>IF($B1742="","",IFERROR(INDEX(ProdNome,MATCH($B1742,ProdCod,0)),"Código não cadastrado"))</f>
        <v>0</v>
      </c>
      <c r="G1742" s="24">
        <f>IF(OR($B1742="",$D1742=""),"",$D1742*IFERROR(INDEX(ProdCusto,MATCH($B1742,ProdCod,0)),0))</f>
        <v>0</v>
      </c>
      <c r="H1742" s="25">
        <f>IF($A1742="","",IF(OR($B1742="",$C1742="",$D1742=""),"Preencher tudo",IF($F1742="Código não cadastrado","Código inválido","OK")))</f>
        <v>0</v>
      </c>
    </row>
    <row r="1743" spans="1:8">
      <c r="A1743" s="16"/>
      <c r="B1743" s="15"/>
      <c r="C1743" s="20"/>
      <c r="D1743" s="22"/>
      <c r="E1743" s="15"/>
      <c r="F1743" s="23">
        <f>IF($B1743="","",IFERROR(INDEX(ProdNome,MATCH($B1743,ProdCod,0)),"Código não cadastrado"))</f>
        <v>0</v>
      </c>
      <c r="G1743" s="24">
        <f>IF(OR($B1743="",$D1743=""),"",$D1743*IFERROR(INDEX(ProdCusto,MATCH($B1743,ProdCod,0)),0))</f>
        <v>0</v>
      </c>
      <c r="H1743" s="25">
        <f>IF($A1743="","",IF(OR($B1743="",$C1743="",$D1743=""),"Preencher tudo",IF($F1743="Código não cadastrado","Código inválido","OK")))</f>
        <v>0</v>
      </c>
    </row>
    <row r="1744" spans="1:8">
      <c r="A1744" s="16"/>
      <c r="B1744" s="15"/>
      <c r="C1744" s="20"/>
      <c r="D1744" s="22"/>
      <c r="E1744" s="15"/>
      <c r="F1744" s="23">
        <f>IF($B1744="","",IFERROR(INDEX(ProdNome,MATCH($B1744,ProdCod,0)),"Código não cadastrado"))</f>
        <v>0</v>
      </c>
      <c r="G1744" s="24">
        <f>IF(OR($B1744="",$D1744=""),"",$D1744*IFERROR(INDEX(ProdCusto,MATCH($B1744,ProdCod,0)),0))</f>
        <v>0</v>
      </c>
      <c r="H1744" s="25">
        <f>IF($A1744="","",IF(OR($B1744="",$C1744="",$D1744=""),"Preencher tudo",IF($F1744="Código não cadastrado","Código inválido","OK")))</f>
        <v>0</v>
      </c>
    </row>
    <row r="1745" spans="1:8">
      <c r="A1745" s="16"/>
      <c r="B1745" s="15"/>
      <c r="C1745" s="20"/>
      <c r="D1745" s="22"/>
      <c r="E1745" s="15"/>
      <c r="F1745" s="23">
        <f>IF($B1745="","",IFERROR(INDEX(ProdNome,MATCH($B1745,ProdCod,0)),"Código não cadastrado"))</f>
        <v>0</v>
      </c>
      <c r="G1745" s="24">
        <f>IF(OR($B1745="",$D1745=""),"",$D1745*IFERROR(INDEX(ProdCusto,MATCH($B1745,ProdCod,0)),0))</f>
        <v>0</v>
      </c>
      <c r="H1745" s="25">
        <f>IF($A1745="","",IF(OR($B1745="",$C1745="",$D1745=""),"Preencher tudo",IF($F1745="Código não cadastrado","Código inválido","OK")))</f>
        <v>0</v>
      </c>
    </row>
    <row r="1746" spans="1:8">
      <c r="A1746" s="16"/>
      <c r="B1746" s="15"/>
      <c r="C1746" s="20"/>
      <c r="D1746" s="22"/>
      <c r="E1746" s="15"/>
      <c r="F1746" s="23">
        <f>IF($B1746="","",IFERROR(INDEX(ProdNome,MATCH($B1746,ProdCod,0)),"Código não cadastrado"))</f>
        <v>0</v>
      </c>
      <c r="G1746" s="24">
        <f>IF(OR($B1746="",$D1746=""),"",$D1746*IFERROR(INDEX(ProdCusto,MATCH($B1746,ProdCod,0)),0))</f>
        <v>0</v>
      </c>
      <c r="H1746" s="25">
        <f>IF($A1746="","",IF(OR($B1746="",$C1746="",$D1746=""),"Preencher tudo",IF($F1746="Código não cadastrado","Código inválido","OK")))</f>
        <v>0</v>
      </c>
    </row>
    <row r="1747" spans="1:8">
      <c r="A1747" s="16"/>
      <c r="B1747" s="15"/>
      <c r="C1747" s="20"/>
      <c r="D1747" s="22"/>
      <c r="E1747" s="15"/>
      <c r="F1747" s="23">
        <f>IF($B1747="","",IFERROR(INDEX(ProdNome,MATCH($B1747,ProdCod,0)),"Código não cadastrado"))</f>
        <v>0</v>
      </c>
      <c r="G1747" s="24">
        <f>IF(OR($B1747="",$D1747=""),"",$D1747*IFERROR(INDEX(ProdCusto,MATCH($B1747,ProdCod,0)),0))</f>
        <v>0</v>
      </c>
      <c r="H1747" s="25">
        <f>IF($A1747="","",IF(OR($B1747="",$C1747="",$D1747=""),"Preencher tudo",IF($F1747="Código não cadastrado","Código inválido","OK")))</f>
        <v>0</v>
      </c>
    </row>
    <row r="1748" spans="1:8">
      <c r="A1748" s="16"/>
      <c r="B1748" s="15"/>
      <c r="C1748" s="20"/>
      <c r="D1748" s="22"/>
      <c r="E1748" s="15"/>
      <c r="F1748" s="23">
        <f>IF($B1748="","",IFERROR(INDEX(ProdNome,MATCH($B1748,ProdCod,0)),"Código não cadastrado"))</f>
        <v>0</v>
      </c>
      <c r="G1748" s="24">
        <f>IF(OR($B1748="",$D1748=""),"",$D1748*IFERROR(INDEX(ProdCusto,MATCH($B1748,ProdCod,0)),0))</f>
        <v>0</v>
      </c>
      <c r="H1748" s="25">
        <f>IF($A1748="","",IF(OR($B1748="",$C1748="",$D1748=""),"Preencher tudo",IF($F1748="Código não cadastrado","Código inválido","OK")))</f>
        <v>0</v>
      </c>
    </row>
    <row r="1749" spans="1:8">
      <c r="A1749" s="16"/>
      <c r="B1749" s="15"/>
      <c r="C1749" s="20"/>
      <c r="D1749" s="22"/>
      <c r="E1749" s="15"/>
      <c r="F1749" s="23">
        <f>IF($B1749="","",IFERROR(INDEX(ProdNome,MATCH($B1749,ProdCod,0)),"Código não cadastrado"))</f>
        <v>0</v>
      </c>
      <c r="G1749" s="24">
        <f>IF(OR($B1749="",$D1749=""),"",$D1749*IFERROR(INDEX(ProdCusto,MATCH($B1749,ProdCod,0)),0))</f>
        <v>0</v>
      </c>
      <c r="H1749" s="25">
        <f>IF($A1749="","",IF(OR($B1749="",$C1749="",$D1749=""),"Preencher tudo",IF($F1749="Código não cadastrado","Código inválido","OK")))</f>
        <v>0</v>
      </c>
    </row>
    <row r="1750" spans="1:8">
      <c r="A1750" s="16"/>
      <c r="B1750" s="15"/>
      <c r="C1750" s="20"/>
      <c r="D1750" s="22"/>
      <c r="E1750" s="15"/>
      <c r="F1750" s="23">
        <f>IF($B1750="","",IFERROR(INDEX(ProdNome,MATCH($B1750,ProdCod,0)),"Código não cadastrado"))</f>
        <v>0</v>
      </c>
      <c r="G1750" s="24">
        <f>IF(OR($B1750="",$D1750=""),"",$D1750*IFERROR(INDEX(ProdCusto,MATCH($B1750,ProdCod,0)),0))</f>
        <v>0</v>
      </c>
      <c r="H1750" s="25">
        <f>IF($A1750="","",IF(OR($B1750="",$C1750="",$D1750=""),"Preencher tudo",IF($F1750="Código não cadastrado","Código inválido","OK")))</f>
        <v>0</v>
      </c>
    </row>
    <row r="1751" spans="1:8">
      <c r="A1751" s="16"/>
      <c r="B1751" s="15"/>
      <c r="C1751" s="20"/>
      <c r="D1751" s="22"/>
      <c r="E1751" s="15"/>
      <c r="F1751" s="23">
        <f>IF($B1751="","",IFERROR(INDEX(ProdNome,MATCH($B1751,ProdCod,0)),"Código não cadastrado"))</f>
        <v>0</v>
      </c>
      <c r="G1751" s="24">
        <f>IF(OR($B1751="",$D1751=""),"",$D1751*IFERROR(INDEX(ProdCusto,MATCH($B1751,ProdCod,0)),0))</f>
        <v>0</v>
      </c>
      <c r="H1751" s="25">
        <f>IF($A1751="","",IF(OR($B1751="",$C1751="",$D1751=""),"Preencher tudo",IF($F1751="Código não cadastrado","Código inválido","OK")))</f>
        <v>0</v>
      </c>
    </row>
    <row r="1752" spans="1:8">
      <c r="A1752" s="16"/>
      <c r="B1752" s="15"/>
      <c r="C1752" s="20"/>
      <c r="D1752" s="22"/>
      <c r="E1752" s="15"/>
      <c r="F1752" s="23">
        <f>IF($B1752="","",IFERROR(INDEX(ProdNome,MATCH($B1752,ProdCod,0)),"Código não cadastrado"))</f>
        <v>0</v>
      </c>
      <c r="G1752" s="24">
        <f>IF(OR($B1752="",$D1752=""),"",$D1752*IFERROR(INDEX(ProdCusto,MATCH($B1752,ProdCod,0)),0))</f>
        <v>0</v>
      </c>
      <c r="H1752" s="25">
        <f>IF($A1752="","",IF(OR($B1752="",$C1752="",$D1752=""),"Preencher tudo",IF($F1752="Código não cadastrado","Código inválido","OK")))</f>
        <v>0</v>
      </c>
    </row>
    <row r="1753" spans="1:8">
      <c r="A1753" s="16"/>
      <c r="B1753" s="15"/>
      <c r="C1753" s="20"/>
      <c r="D1753" s="22"/>
      <c r="E1753" s="15"/>
      <c r="F1753" s="23">
        <f>IF($B1753="","",IFERROR(INDEX(ProdNome,MATCH($B1753,ProdCod,0)),"Código não cadastrado"))</f>
        <v>0</v>
      </c>
      <c r="G1753" s="24">
        <f>IF(OR($B1753="",$D1753=""),"",$D1753*IFERROR(INDEX(ProdCusto,MATCH($B1753,ProdCod,0)),0))</f>
        <v>0</v>
      </c>
      <c r="H1753" s="25">
        <f>IF($A1753="","",IF(OR($B1753="",$C1753="",$D1753=""),"Preencher tudo",IF($F1753="Código não cadastrado","Código inválido","OK")))</f>
        <v>0</v>
      </c>
    </row>
    <row r="1754" spans="1:8">
      <c r="A1754" s="16"/>
      <c r="B1754" s="15"/>
      <c r="C1754" s="20"/>
      <c r="D1754" s="22"/>
      <c r="E1754" s="15"/>
      <c r="F1754" s="23">
        <f>IF($B1754="","",IFERROR(INDEX(ProdNome,MATCH($B1754,ProdCod,0)),"Código não cadastrado"))</f>
        <v>0</v>
      </c>
      <c r="G1754" s="24">
        <f>IF(OR($B1754="",$D1754=""),"",$D1754*IFERROR(INDEX(ProdCusto,MATCH($B1754,ProdCod,0)),0))</f>
        <v>0</v>
      </c>
      <c r="H1754" s="25">
        <f>IF($A1754="","",IF(OR($B1754="",$C1754="",$D1754=""),"Preencher tudo",IF($F1754="Código não cadastrado","Código inválido","OK")))</f>
        <v>0</v>
      </c>
    </row>
    <row r="1755" spans="1:8">
      <c r="A1755" s="16"/>
      <c r="B1755" s="15"/>
      <c r="C1755" s="20"/>
      <c r="D1755" s="22"/>
      <c r="E1755" s="15"/>
      <c r="F1755" s="23">
        <f>IF($B1755="","",IFERROR(INDEX(ProdNome,MATCH($B1755,ProdCod,0)),"Código não cadastrado"))</f>
        <v>0</v>
      </c>
      <c r="G1755" s="24">
        <f>IF(OR($B1755="",$D1755=""),"",$D1755*IFERROR(INDEX(ProdCusto,MATCH($B1755,ProdCod,0)),0))</f>
        <v>0</v>
      </c>
      <c r="H1755" s="25">
        <f>IF($A1755="","",IF(OR($B1755="",$C1755="",$D1755=""),"Preencher tudo",IF($F1755="Código não cadastrado","Código inválido","OK")))</f>
        <v>0</v>
      </c>
    </row>
    <row r="1756" spans="1:8">
      <c r="A1756" s="16"/>
      <c r="B1756" s="15"/>
      <c r="C1756" s="20"/>
      <c r="D1756" s="22"/>
      <c r="E1756" s="15"/>
      <c r="F1756" s="23">
        <f>IF($B1756="","",IFERROR(INDEX(ProdNome,MATCH($B1756,ProdCod,0)),"Código não cadastrado"))</f>
        <v>0</v>
      </c>
      <c r="G1756" s="24">
        <f>IF(OR($B1756="",$D1756=""),"",$D1756*IFERROR(INDEX(ProdCusto,MATCH($B1756,ProdCod,0)),0))</f>
        <v>0</v>
      </c>
      <c r="H1756" s="25">
        <f>IF($A1756="","",IF(OR($B1756="",$C1756="",$D1756=""),"Preencher tudo",IF($F1756="Código não cadastrado","Código inválido","OK")))</f>
        <v>0</v>
      </c>
    </row>
    <row r="1757" spans="1:8">
      <c r="A1757" s="16"/>
      <c r="B1757" s="15"/>
      <c r="C1757" s="20"/>
      <c r="D1757" s="22"/>
      <c r="E1757" s="15"/>
      <c r="F1757" s="23">
        <f>IF($B1757="","",IFERROR(INDEX(ProdNome,MATCH($B1757,ProdCod,0)),"Código não cadastrado"))</f>
        <v>0</v>
      </c>
      <c r="G1757" s="24">
        <f>IF(OR($B1757="",$D1757=""),"",$D1757*IFERROR(INDEX(ProdCusto,MATCH($B1757,ProdCod,0)),0))</f>
        <v>0</v>
      </c>
      <c r="H1757" s="25">
        <f>IF($A1757="","",IF(OR($B1757="",$C1757="",$D1757=""),"Preencher tudo",IF($F1757="Código não cadastrado","Código inválido","OK")))</f>
        <v>0</v>
      </c>
    </row>
    <row r="1758" spans="1:8">
      <c r="A1758" s="16"/>
      <c r="B1758" s="15"/>
      <c r="C1758" s="20"/>
      <c r="D1758" s="22"/>
      <c r="E1758" s="15"/>
      <c r="F1758" s="23">
        <f>IF($B1758="","",IFERROR(INDEX(ProdNome,MATCH($B1758,ProdCod,0)),"Código não cadastrado"))</f>
        <v>0</v>
      </c>
      <c r="G1758" s="24">
        <f>IF(OR($B1758="",$D1758=""),"",$D1758*IFERROR(INDEX(ProdCusto,MATCH($B1758,ProdCod,0)),0))</f>
        <v>0</v>
      </c>
      <c r="H1758" s="25">
        <f>IF($A1758="","",IF(OR($B1758="",$C1758="",$D1758=""),"Preencher tudo",IF($F1758="Código não cadastrado","Código inválido","OK")))</f>
        <v>0</v>
      </c>
    </row>
    <row r="1759" spans="1:8">
      <c r="A1759" s="16"/>
      <c r="B1759" s="15"/>
      <c r="C1759" s="20"/>
      <c r="D1759" s="22"/>
      <c r="E1759" s="15"/>
      <c r="F1759" s="23">
        <f>IF($B1759="","",IFERROR(INDEX(ProdNome,MATCH($B1759,ProdCod,0)),"Código não cadastrado"))</f>
        <v>0</v>
      </c>
      <c r="G1759" s="24">
        <f>IF(OR($B1759="",$D1759=""),"",$D1759*IFERROR(INDEX(ProdCusto,MATCH($B1759,ProdCod,0)),0))</f>
        <v>0</v>
      </c>
      <c r="H1759" s="25">
        <f>IF($A1759="","",IF(OR($B1759="",$C1759="",$D1759=""),"Preencher tudo",IF($F1759="Código não cadastrado","Código inválido","OK")))</f>
        <v>0</v>
      </c>
    </row>
    <row r="1760" spans="1:8">
      <c r="A1760" s="16"/>
      <c r="B1760" s="15"/>
      <c r="C1760" s="20"/>
      <c r="D1760" s="22"/>
      <c r="E1760" s="15"/>
      <c r="F1760" s="23">
        <f>IF($B1760="","",IFERROR(INDEX(ProdNome,MATCH($B1760,ProdCod,0)),"Código não cadastrado"))</f>
        <v>0</v>
      </c>
      <c r="G1760" s="24">
        <f>IF(OR($B1760="",$D1760=""),"",$D1760*IFERROR(INDEX(ProdCusto,MATCH($B1760,ProdCod,0)),0))</f>
        <v>0</v>
      </c>
      <c r="H1760" s="25">
        <f>IF($A1760="","",IF(OR($B1760="",$C1760="",$D1760=""),"Preencher tudo",IF($F1760="Código não cadastrado","Código inválido","OK")))</f>
        <v>0</v>
      </c>
    </row>
    <row r="1761" spans="1:8">
      <c r="A1761" s="16"/>
      <c r="B1761" s="15"/>
      <c r="C1761" s="20"/>
      <c r="D1761" s="22"/>
      <c r="E1761" s="15"/>
      <c r="F1761" s="23">
        <f>IF($B1761="","",IFERROR(INDEX(ProdNome,MATCH($B1761,ProdCod,0)),"Código não cadastrado"))</f>
        <v>0</v>
      </c>
      <c r="G1761" s="24">
        <f>IF(OR($B1761="",$D1761=""),"",$D1761*IFERROR(INDEX(ProdCusto,MATCH($B1761,ProdCod,0)),0))</f>
        <v>0</v>
      </c>
      <c r="H1761" s="25">
        <f>IF($A1761="","",IF(OR($B1761="",$C1761="",$D1761=""),"Preencher tudo",IF($F1761="Código não cadastrado","Código inválido","OK")))</f>
        <v>0</v>
      </c>
    </row>
    <row r="1762" spans="1:8">
      <c r="A1762" s="16"/>
      <c r="B1762" s="15"/>
      <c r="C1762" s="20"/>
      <c r="D1762" s="22"/>
      <c r="E1762" s="15"/>
      <c r="F1762" s="23">
        <f>IF($B1762="","",IFERROR(INDEX(ProdNome,MATCH($B1762,ProdCod,0)),"Código não cadastrado"))</f>
        <v>0</v>
      </c>
      <c r="G1762" s="24">
        <f>IF(OR($B1762="",$D1762=""),"",$D1762*IFERROR(INDEX(ProdCusto,MATCH($B1762,ProdCod,0)),0))</f>
        <v>0</v>
      </c>
      <c r="H1762" s="25">
        <f>IF($A1762="","",IF(OR($B1762="",$C1762="",$D1762=""),"Preencher tudo",IF($F1762="Código não cadastrado","Código inválido","OK")))</f>
        <v>0</v>
      </c>
    </row>
    <row r="1763" spans="1:8">
      <c r="A1763" s="16"/>
      <c r="B1763" s="15"/>
      <c r="C1763" s="20"/>
      <c r="D1763" s="22"/>
      <c r="E1763" s="15"/>
      <c r="F1763" s="23">
        <f>IF($B1763="","",IFERROR(INDEX(ProdNome,MATCH($B1763,ProdCod,0)),"Código não cadastrado"))</f>
        <v>0</v>
      </c>
      <c r="G1763" s="24">
        <f>IF(OR($B1763="",$D1763=""),"",$D1763*IFERROR(INDEX(ProdCusto,MATCH($B1763,ProdCod,0)),0))</f>
        <v>0</v>
      </c>
      <c r="H1763" s="25">
        <f>IF($A1763="","",IF(OR($B1763="",$C1763="",$D1763=""),"Preencher tudo",IF($F1763="Código não cadastrado","Código inválido","OK")))</f>
        <v>0</v>
      </c>
    </row>
    <row r="1764" spans="1:8">
      <c r="A1764" s="16"/>
      <c r="B1764" s="15"/>
      <c r="C1764" s="20"/>
      <c r="D1764" s="22"/>
      <c r="E1764" s="15"/>
      <c r="F1764" s="23">
        <f>IF($B1764="","",IFERROR(INDEX(ProdNome,MATCH($B1764,ProdCod,0)),"Código não cadastrado"))</f>
        <v>0</v>
      </c>
      <c r="G1764" s="24">
        <f>IF(OR($B1764="",$D1764=""),"",$D1764*IFERROR(INDEX(ProdCusto,MATCH($B1764,ProdCod,0)),0))</f>
        <v>0</v>
      </c>
      <c r="H1764" s="25">
        <f>IF($A1764="","",IF(OR($B1764="",$C1764="",$D1764=""),"Preencher tudo",IF($F1764="Código não cadastrado","Código inválido","OK")))</f>
        <v>0</v>
      </c>
    </row>
    <row r="1765" spans="1:8">
      <c r="A1765" s="16"/>
      <c r="B1765" s="15"/>
      <c r="C1765" s="20"/>
      <c r="D1765" s="22"/>
      <c r="E1765" s="15"/>
      <c r="F1765" s="23">
        <f>IF($B1765="","",IFERROR(INDEX(ProdNome,MATCH($B1765,ProdCod,0)),"Código não cadastrado"))</f>
        <v>0</v>
      </c>
      <c r="G1765" s="24">
        <f>IF(OR($B1765="",$D1765=""),"",$D1765*IFERROR(INDEX(ProdCusto,MATCH($B1765,ProdCod,0)),0))</f>
        <v>0</v>
      </c>
      <c r="H1765" s="25">
        <f>IF($A1765="","",IF(OR($B1765="",$C1765="",$D1765=""),"Preencher tudo",IF($F1765="Código não cadastrado","Código inválido","OK")))</f>
        <v>0</v>
      </c>
    </row>
    <row r="1766" spans="1:8">
      <c r="A1766" s="16"/>
      <c r="B1766" s="15"/>
      <c r="C1766" s="20"/>
      <c r="D1766" s="22"/>
      <c r="E1766" s="15"/>
      <c r="F1766" s="23">
        <f>IF($B1766="","",IFERROR(INDEX(ProdNome,MATCH($B1766,ProdCod,0)),"Código não cadastrado"))</f>
        <v>0</v>
      </c>
      <c r="G1766" s="24">
        <f>IF(OR($B1766="",$D1766=""),"",$D1766*IFERROR(INDEX(ProdCusto,MATCH($B1766,ProdCod,0)),0))</f>
        <v>0</v>
      </c>
      <c r="H1766" s="25">
        <f>IF($A1766="","",IF(OR($B1766="",$C1766="",$D1766=""),"Preencher tudo",IF($F1766="Código não cadastrado","Código inválido","OK")))</f>
        <v>0</v>
      </c>
    </row>
    <row r="1767" spans="1:8">
      <c r="A1767" s="16"/>
      <c r="B1767" s="15"/>
      <c r="C1767" s="20"/>
      <c r="D1767" s="22"/>
      <c r="E1767" s="15"/>
      <c r="F1767" s="23">
        <f>IF($B1767="","",IFERROR(INDEX(ProdNome,MATCH($B1767,ProdCod,0)),"Código não cadastrado"))</f>
        <v>0</v>
      </c>
      <c r="G1767" s="24">
        <f>IF(OR($B1767="",$D1767=""),"",$D1767*IFERROR(INDEX(ProdCusto,MATCH($B1767,ProdCod,0)),0))</f>
        <v>0</v>
      </c>
      <c r="H1767" s="25">
        <f>IF($A1767="","",IF(OR($B1767="",$C1767="",$D1767=""),"Preencher tudo",IF($F1767="Código não cadastrado","Código inválido","OK")))</f>
        <v>0</v>
      </c>
    </row>
    <row r="1768" spans="1:8">
      <c r="A1768" s="16"/>
      <c r="B1768" s="15"/>
      <c r="C1768" s="20"/>
      <c r="D1768" s="22"/>
      <c r="E1768" s="15"/>
      <c r="F1768" s="23">
        <f>IF($B1768="","",IFERROR(INDEX(ProdNome,MATCH($B1768,ProdCod,0)),"Código não cadastrado"))</f>
        <v>0</v>
      </c>
      <c r="G1768" s="24">
        <f>IF(OR($B1768="",$D1768=""),"",$D1768*IFERROR(INDEX(ProdCusto,MATCH($B1768,ProdCod,0)),0))</f>
        <v>0</v>
      </c>
      <c r="H1768" s="25">
        <f>IF($A1768="","",IF(OR($B1768="",$C1768="",$D1768=""),"Preencher tudo",IF($F1768="Código não cadastrado","Código inválido","OK")))</f>
        <v>0</v>
      </c>
    </row>
    <row r="1769" spans="1:8">
      <c r="A1769" s="16"/>
      <c r="B1769" s="15"/>
      <c r="C1769" s="20"/>
      <c r="D1769" s="22"/>
      <c r="E1769" s="15"/>
      <c r="F1769" s="23">
        <f>IF($B1769="","",IFERROR(INDEX(ProdNome,MATCH($B1769,ProdCod,0)),"Código não cadastrado"))</f>
        <v>0</v>
      </c>
      <c r="G1769" s="24">
        <f>IF(OR($B1769="",$D1769=""),"",$D1769*IFERROR(INDEX(ProdCusto,MATCH($B1769,ProdCod,0)),0))</f>
        <v>0</v>
      </c>
      <c r="H1769" s="25">
        <f>IF($A1769="","",IF(OR($B1769="",$C1769="",$D1769=""),"Preencher tudo",IF($F1769="Código não cadastrado","Código inválido","OK")))</f>
        <v>0</v>
      </c>
    </row>
    <row r="1770" spans="1:8">
      <c r="A1770" s="16"/>
      <c r="B1770" s="15"/>
      <c r="C1770" s="20"/>
      <c r="D1770" s="22"/>
      <c r="E1770" s="15"/>
      <c r="F1770" s="23">
        <f>IF($B1770="","",IFERROR(INDEX(ProdNome,MATCH($B1770,ProdCod,0)),"Código não cadastrado"))</f>
        <v>0</v>
      </c>
      <c r="G1770" s="24">
        <f>IF(OR($B1770="",$D1770=""),"",$D1770*IFERROR(INDEX(ProdCusto,MATCH($B1770,ProdCod,0)),0))</f>
        <v>0</v>
      </c>
      <c r="H1770" s="25">
        <f>IF($A1770="","",IF(OR($B1770="",$C1770="",$D1770=""),"Preencher tudo",IF($F1770="Código não cadastrado","Código inválido","OK")))</f>
        <v>0</v>
      </c>
    </row>
    <row r="1771" spans="1:8">
      <c r="A1771" s="16"/>
      <c r="B1771" s="15"/>
      <c r="C1771" s="20"/>
      <c r="D1771" s="22"/>
      <c r="E1771" s="15"/>
      <c r="F1771" s="23">
        <f>IF($B1771="","",IFERROR(INDEX(ProdNome,MATCH($B1771,ProdCod,0)),"Código não cadastrado"))</f>
        <v>0</v>
      </c>
      <c r="G1771" s="24">
        <f>IF(OR($B1771="",$D1771=""),"",$D1771*IFERROR(INDEX(ProdCusto,MATCH($B1771,ProdCod,0)),0))</f>
        <v>0</v>
      </c>
      <c r="H1771" s="25">
        <f>IF($A1771="","",IF(OR($B1771="",$C1771="",$D1771=""),"Preencher tudo",IF($F1771="Código não cadastrado","Código inválido","OK")))</f>
        <v>0</v>
      </c>
    </row>
    <row r="1772" spans="1:8">
      <c r="A1772" s="16"/>
      <c r="B1772" s="15"/>
      <c r="C1772" s="20"/>
      <c r="D1772" s="22"/>
      <c r="E1772" s="15"/>
      <c r="F1772" s="23">
        <f>IF($B1772="","",IFERROR(INDEX(ProdNome,MATCH($B1772,ProdCod,0)),"Código não cadastrado"))</f>
        <v>0</v>
      </c>
      <c r="G1772" s="24">
        <f>IF(OR($B1772="",$D1772=""),"",$D1772*IFERROR(INDEX(ProdCusto,MATCH($B1772,ProdCod,0)),0))</f>
        <v>0</v>
      </c>
      <c r="H1772" s="25">
        <f>IF($A1772="","",IF(OR($B1772="",$C1772="",$D1772=""),"Preencher tudo",IF($F1772="Código não cadastrado","Código inválido","OK")))</f>
        <v>0</v>
      </c>
    </row>
    <row r="1773" spans="1:8">
      <c r="A1773" s="16"/>
      <c r="B1773" s="15"/>
      <c r="C1773" s="20"/>
      <c r="D1773" s="22"/>
      <c r="E1773" s="15"/>
      <c r="F1773" s="23">
        <f>IF($B1773="","",IFERROR(INDEX(ProdNome,MATCH($B1773,ProdCod,0)),"Código não cadastrado"))</f>
        <v>0</v>
      </c>
      <c r="G1773" s="24">
        <f>IF(OR($B1773="",$D1773=""),"",$D1773*IFERROR(INDEX(ProdCusto,MATCH($B1773,ProdCod,0)),0))</f>
        <v>0</v>
      </c>
      <c r="H1773" s="25">
        <f>IF($A1773="","",IF(OR($B1773="",$C1773="",$D1773=""),"Preencher tudo",IF($F1773="Código não cadastrado","Código inválido","OK")))</f>
        <v>0</v>
      </c>
    </row>
    <row r="1774" spans="1:8">
      <c r="A1774" s="16"/>
      <c r="B1774" s="15"/>
      <c r="C1774" s="20"/>
      <c r="D1774" s="22"/>
      <c r="E1774" s="15"/>
      <c r="F1774" s="23">
        <f>IF($B1774="","",IFERROR(INDEX(ProdNome,MATCH($B1774,ProdCod,0)),"Código não cadastrado"))</f>
        <v>0</v>
      </c>
      <c r="G1774" s="24">
        <f>IF(OR($B1774="",$D1774=""),"",$D1774*IFERROR(INDEX(ProdCusto,MATCH($B1774,ProdCod,0)),0))</f>
        <v>0</v>
      </c>
      <c r="H1774" s="25">
        <f>IF($A1774="","",IF(OR($B1774="",$C1774="",$D1774=""),"Preencher tudo",IF($F1774="Código não cadastrado","Código inválido","OK")))</f>
        <v>0</v>
      </c>
    </row>
    <row r="1775" spans="1:8">
      <c r="A1775" s="16"/>
      <c r="B1775" s="15"/>
      <c r="C1775" s="20"/>
      <c r="D1775" s="22"/>
      <c r="E1775" s="15"/>
      <c r="F1775" s="23">
        <f>IF($B1775="","",IFERROR(INDEX(ProdNome,MATCH($B1775,ProdCod,0)),"Código não cadastrado"))</f>
        <v>0</v>
      </c>
      <c r="G1775" s="24">
        <f>IF(OR($B1775="",$D1775=""),"",$D1775*IFERROR(INDEX(ProdCusto,MATCH($B1775,ProdCod,0)),0))</f>
        <v>0</v>
      </c>
      <c r="H1775" s="25">
        <f>IF($A1775="","",IF(OR($B1775="",$C1775="",$D1775=""),"Preencher tudo",IF($F1775="Código não cadastrado","Código inválido","OK")))</f>
        <v>0</v>
      </c>
    </row>
    <row r="1776" spans="1:8">
      <c r="A1776" s="16"/>
      <c r="B1776" s="15"/>
      <c r="C1776" s="20"/>
      <c r="D1776" s="22"/>
      <c r="E1776" s="15"/>
      <c r="F1776" s="23">
        <f>IF($B1776="","",IFERROR(INDEX(ProdNome,MATCH($B1776,ProdCod,0)),"Código não cadastrado"))</f>
        <v>0</v>
      </c>
      <c r="G1776" s="24">
        <f>IF(OR($B1776="",$D1776=""),"",$D1776*IFERROR(INDEX(ProdCusto,MATCH($B1776,ProdCod,0)),0))</f>
        <v>0</v>
      </c>
      <c r="H1776" s="25">
        <f>IF($A1776="","",IF(OR($B1776="",$C1776="",$D1776=""),"Preencher tudo",IF($F1776="Código não cadastrado","Código inválido","OK")))</f>
        <v>0</v>
      </c>
    </row>
    <row r="1777" spans="1:8">
      <c r="A1777" s="16"/>
      <c r="B1777" s="15"/>
      <c r="C1777" s="20"/>
      <c r="D1777" s="22"/>
      <c r="E1777" s="15"/>
      <c r="F1777" s="23">
        <f>IF($B1777="","",IFERROR(INDEX(ProdNome,MATCH($B1777,ProdCod,0)),"Código não cadastrado"))</f>
        <v>0</v>
      </c>
      <c r="G1777" s="24">
        <f>IF(OR($B1777="",$D1777=""),"",$D1777*IFERROR(INDEX(ProdCusto,MATCH($B1777,ProdCod,0)),0))</f>
        <v>0</v>
      </c>
      <c r="H1777" s="25">
        <f>IF($A1777="","",IF(OR($B1777="",$C1777="",$D1777=""),"Preencher tudo",IF($F1777="Código não cadastrado","Código inválido","OK")))</f>
        <v>0</v>
      </c>
    </row>
    <row r="1778" spans="1:8">
      <c r="A1778" s="16"/>
      <c r="B1778" s="15"/>
      <c r="C1778" s="20"/>
      <c r="D1778" s="22"/>
      <c r="E1778" s="15"/>
      <c r="F1778" s="23">
        <f>IF($B1778="","",IFERROR(INDEX(ProdNome,MATCH($B1778,ProdCod,0)),"Código não cadastrado"))</f>
        <v>0</v>
      </c>
      <c r="G1778" s="24">
        <f>IF(OR($B1778="",$D1778=""),"",$D1778*IFERROR(INDEX(ProdCusto,MATCH($B1778,ProdCod,0)),0))</f>
        <v>0</v>
      </c>
      <c r="H1778" s="25">
        <f>IF($A1778="","",IF(OR($B1778="",$C1778="",$D1778=""),"Preencher tudo",IF($F1778="Código não cadastrado","Código inválido","OK")))</f>
        <v>0</v>
      </c>
    </row>
    <row r="1779" spans="1:8">
      <c r="A1779" s="16"/>
      <c r="B1779" s="15"/>
      <c r="C1779" s="20"/>
      <c r="D1779" s="22"/>
      <c r="E1779" s="15"/>
      <c r="F1779" s="23">
        <f>IF($B1779="","",IFERROR(INDEX(ProdNome,MATCH($B1779,ProdCod,0)),"Código não cadastrado"))</f>
        <v>0</v>
      </c>
      <c r="G1779" s="24">
        <f>IF(OR($B1779="",$D1779=""),"",$D1779*IFERROR(INDEX(ProdCusto,MATCH($B1779,ProdCod,0)),0))</f>
        <v>0</v>
      </c>
      <c r="H1779" s="25">
        <f>IF($A1779="","",IF(OR($B1779="",$C1779="",$D1779=""),"Preencher tudo",IF($F1779="Código não cadastrado","Código inválido","OK")))</f>
        <v>0</v>
      </c>
    </row>
    <row r="1780" spans="1:8">
      <c r="A1780" s="16"/>
      <c r="B1780" s="15"/>
      <c r="C1780" s="20"/>
      <c r="D1780" s="22"/>
      <c r="E1780" s="15"/>
      <c r="F1780" s="23">
        <f>IF($B1780="","",IFERROR(INDEX(ProdNome,MATCH($B1780,ProdCod,0)),"Código não cadastrado"))</f>
        <v>0</v>
      </c>
      <c r="G1780" s="24">
        <f>IF(OR($B1780="",$D1780=""),"",$D1780*IFERROR(INDEX(ProdCusto,MATCH($B1780,ProdCod,0)),0))</f>
        <v>0</v>
      </c>
      <c r="H1780" s="25">
        <f>IF($A1780="","",IF(OR($B1780="",$C1780="",$D1780=""),"Preencher tudo",IF($F1780="Código não cadastrado","Código inválido","OK")))</f>
        <v>0</v>
      </c>
    </row>
    <row r="1781" spans="1:8">
      <c r="A1781" s="16"/>
      <c r="B1781" s="15"/>
      <c r="C1781" s="20"/>
      <c r="D1781" s="22"/>
      <c r="E1781" s="15"/>
      <c r="F1781" s="23">
        <f>IF($B1781="","",IFERROR(INDEX(ProdNome,MATCH($B1781,ProdCod,0)),"Código não cadastrado"))</f>
        <v>0</v>
      </c>
      <c r="G1781" s="24">
        <f>IF(OR($B1781="",$D1781=""),"",$D1781*IFERROR(INDEX(ProdCusto,MATCH($B1781,ProdCod,0)),0))</f>
        <v>0</v>
      </c>
      <c r="H1781" s="25">
        <f>IF($A1781="","",IF(OR($B1781="",$C1781="",$D1781=""),"Preencher tudo",IF($F1781="Código não cadastrado","Código inválido","OK")))</f>
        <v>0</v>
      </c>
    </row>
    <row r="1782" spans="1:8">
      <c r="A1782" s="16"/>
      <c r="B1782" s="15"/>
      <c r="C1782" s="20"/>
      <c r="D1782" s="22"/>
      <c r="E1782" s="15"/>
      <c r="F1782" s="23">
        <f>IF($B1782="","",IFERROR(INDEX(ProdNome,MATCH($B1782,ProdCod,0)),"Código não cadastrado"))</f>
        <v>0</v>
      </c>
      <c r="G1782" s="24">
        <f>IF(OR($B1782="",$D1782=""),"",$D1782*IFERROR(INDEX(ProdCusto,MATCH($B1782,ProdCod,0)),0))</f>
        <v>0</v>
      </c>
      <c r="H1782" s="25">
        <f>IF($A1782="","",IF(OR($B1782="",$C1782="",$D1782=""),"Preencher tudo",IF($F1782="Código não cadastrado","Código inválido","OK")))</f>
        <v>0</v>
      </c>
    </row>
    <row r="1783" spans="1:8">
      <c r="A1783" s="16"/>
      <c r="B1783" s="15"/>
      <c r="C1783" s="20"/>
      <c r="D1783" s="22"/>
      <c r="E1783" s="15"/>
      <c r="F1783" s="23">
        <f>IF($B1783="","",IFERROR(INDEX(ProdNome,MATCH($B1783,ProdCod,0)),"Código não cadastrado"))</f>
        <v>0</v>
      </c>
      <c r="G1783" s="24">
        <f>IF(OR($B1783="",$D1783=""),"",$D1783*IFERROR(INDEX(ProdCusto,MATCH($B1783,ProdCod,0)),0))</f>
        <v>0</v>
      </c>
      <c r="H1783" s="25">
        <f>IF($A1783="","",IF(OR($B1783="",$C1783="",$D1783=""),"Preencher tudo",IF($F1783="Código não cadastrado","Código inválido","OK")))</f>
        <v>0</v>
      </c>
    </row>
    <row r="1784" spans="1:8">
      <c r="A1784" s="16"/>
      <c r="B1784" s="15"/>
      <c r="C1784" s="20"/>
      <c r="D1784" s="22"/>
      <c r="E1784" s="15"/>
      <c r="F1784" s="23">
        <f>IF($B1784="","",IFERROR(INDEX(ProdNome,MATCH($B1784,ProdCod,0)),"Código não cadastrado"))</f>
        <v>0</v>
      </c>
      <c r="G1784" s="24">
        <f>IF(OR($B1784="",$D1784=""),"",$D1784*IFERROR(INDEX(ProdCusto,MATCH($B1784,ProdCod,0)),0))</f>
        <v>0</v>
      </c>
      <c r="H1784" s="25">
        <f>IF($A1784="","",IF(OR($B1784="",$C1784="",$D1784=""),"Preencher tudo",IF($F1784="Código não cadastrado","Código inválido","OK")))</f>
        <v>0</v>
      </c>
    </row>
    <row r="1785" spans="1:8">
      <c r="A1785" s="16"/>
      <c r="B1785" s="15"/>
      <c r="C1785" s="20"/>
      <c r="D1785" s="22"/>
      <c r="E1785" s="15"/>
      <c r="F1785" s="23">
        <f>IF($B1785="","",IFERROR(INDEX(ProdNome,MATCH($B1785,ProdCod,0)),"Código não cadastrado"))</f>
        <v>0</v>
      </c>
      <c r="G1785" s="24">
        <f>IF(OR($B1785="",$D1785=""),"",$D1785*IFERROR(INDEX(ProdCusto,MATCH($B1785,ProdCod,0)),0))</f>
        <v>0</v>
      </c>
      <c r="H1785" s="25">
        <f>IF($A1785="","",IF(OR($B1785="",$C1785="",$D1785=""),"Preencher tudo",IF($F1785="Código não cadastrado","Código inválido","OK")))</f>
        <v>0</v>
      </c>
    </row>
    <row r="1786" spans="1:8">
      <c r="A1786" s="16"/>
      <c r="B1786" s="15"/>
      <c r="C1786" s="20"/>
      <c r="D1786" s="22"/>
      <c r="E1786" s="15"/>
      <c r="F1786" s="23">
        <f>IF($B1786="","",IFERROR(INDEX(ProdNome,MATCH($B1786,ProdCod,0)),"Código não cadastrado"))</f>
        <v>0</v>
      </c>
      <c r="G1786" s="24">
        <f>IF(OR($B1786="",$D1786=""),"",$D1786*IFERROR(INDEX(ProdCusto,MATCH($B1786,ProdCod,0)),0))</f>
        <v>0</v>
      </c>
      <c r="H1786" s="25">
        <f>IF($A1786="","",IF(OR($B1786="",$C1786="",$D1786=""),"Preencher tudo",IF($F1786="Código não cadastrado","Código inválido","OK")))</f>
        <v>0</v>
      </c>
    </row>
    <row r="1787" spans="1:8">
      <c r="A1787" s="16"/>
      <c r="B1787" s="15"/>
      <c r="C1787" s="20"/>
      <c r="D1787" s="22"/>
      <c r="E1787" s="15"/>
      <c r="F1787" s="23">
        <f>IF($B1787="","",IFERROR(INDEX(ProdNome,MATCH($B1787,ProdCod,0)),"Código não cadastrado"))</f>
        <v>0</v>
      </c>
      <c r="G1787" s="24">
        <f>IF(OR($B1787="",$D1787=""),"",$D1787*IFERROR(INDEX(ProdCusto,MATCH($B1787,ProdCod,0)),0))</f>
        <v>0</v>
      </c>
      <c r="H1787" s="25">
        <f>IF($A1787="","",IF(OR($B1787="",$C1787="",$D1787=""),"Preencher tudo",IF($F1787="Código não cadastrado","Código inválido","OK")))</f>
        <v>0</v>
      </c>
    </row>
    <row r="1788" spans="1:8">
      <c r="A1788" s="16"/>
      <c r="B1788" s="15"/>
      <c r="C1788" s="20"/>
      <c r="D1788" s="22"/>
      <c r="E1788" s="15"/>
      <c r="F1788" s="23">
        <f>IF($B1788="","",IFERROR(INDEX(ProdNome,MATCH($B1788,ProdCod,0)),"Código não cadastrado"))</f>
        <v>0</v>
      </c>
      <c r="G1788" s="24">
        <f>IF(OR($B1788="",$D1788=""),"",$D1788*IFERROR(INDEX(ProdCusto,MATCH($B1788,ProdCod,0)),0))</f>
        <v>0</v>
      </c>
      <c r="H1788" s="25">
        <f>IF($A1788="","",IF(OR($B1788="",$C1788="",$D1788=""),"Preencher tudo",IF($F1788="Código não cadastrado","Código inválido","OK")))</f>
        <v>0</v>
      </c>
    </row>
    <row r="1789" spans="1:8">
      <c r="A1789" s="16"/>
      <c r="B1789" s="15"/>
      <c r="C1789" s="20"/>
      <c r="D1789" s="22"/>
      <c r="E1789" s="15"/>
      <c r="F1789" s="23">
        <f>IF($B1789="","",IFERROR(INDEX(ProdNome,MATCH($B1789,ProdCod,0)),"Código não cadastrado"))</f>
        <v>0</v>
      </c>
      <c r="G1789" s="24">
        <f>IF(OR($B1789="",$D1789=""),"",$D1789*IFERROR(INDEX(ProdCusto,MATCH($B1789,ProdCod,0)),0))</f>
        <v>0</v>
      </c>
      <c r="H1789" s="25">
        <f>IF($A1789="","",IF(OR($B1789="",$C1789="",$D1789=""),"Preencher tudo",IF($F1789="Código não cadastrado","Código inválido","OK")))</f>
        <v>0</v>
      </c>
    </row>
    <row r="1790" spans="1:8">
      <c r="A1790" s="16"/>
      <c r="B1790" s="15"/>
      <c r="C1790" s="20"/>
      <c r="D1790" s="22"/>
      <c r="E1790" s="15"/>
      <c r="F1790" s="23">
        <f>IF($B1790="","",IFERROR(INDEX(ProdNome,MATCH($B1790,ProdCod,0)),"Código não cadastrado"))</f>
        <v>0</v>
      </c>
      <c r="G1790" s="24">
        <f>IF(OR($B1790="",$D1790=""),"",$D1790*IFERROR(INDEX(ProdCusto,MATCH($B1790,ProdCod,0)),0))</f>
        <v>0</v>
      </c>
      <c r="H1790" s="25">
        <f>IF($A1790="","",IF(OR($B1790="",$C1790="",$D1790=""),"Preencher tudo",IF($F1790="Código não cadastrado","Código inválido","OK")))</f>
        <v>0</v>
      </c>
    </row>
    <row r="1791" spans="1:8">
      <c r="A1791" s="16"/>
      <c r="B1791" s="15"/>
      <c r="C1791" s="20"/>
      <c r="D1791" s="22"/>
      <c r="E1791" s="15"/>
      <c r="F1791" s="23">
        <f>IF($B1791="","",IFERROR(INDEX(ProdNome,MATCH($B1791,ProdCod,0)),"Código não cadastrado"))</f>
        <v>0</v>
      </c>
      <c r="G1791" s="24">
        <f>IF(OR($B1791="",$D1791=""),"",$D1791*IFERROR(INDEX(ProdCusto,MATCH($B1791,ProdCod,0)),0))</f>
        <v>0</v>
      </c>
      <c r="H1791" s="25">
        <f>IF($A1791="","",IF(OR($B1791="",$C1791="",$D1791=""),"Preencher tudo",IF($F1791="Código não cadastrado","Código inválido","OK")))</f>
        <v>0</v>
      </c>
    </row>
    <row r="1792" spans="1:8">
      <c r="A1792" s="16"/>
      <c r="B1792" s="15"/>
      <c r="C1792" s="20"/>
      <c r="D1792" s="22"/>
      <c r="E1792" s="15"/>
      <c r="F1792" s="23">
        <f>IF($B1792="","",IFERROR(INDEX(ProdNome,MATCH($B1792,ProdCod,0)),"Código não cadastrado"))</f>
        <v>0</v>
      </c>
      <c r="G1792" s="24">
        <f>IF(OR($B1792="",$D1792=""),"",$D1792*IFERROR(INDEX(ProdCusto,MATCH($B1792,ProdCod,0)),0))</f>
        <v>0</v>
      </c>
      <c r="H1792" s="25">
        <f>IF($A1792="","",IF(OR($B1792="",$C1792="",$D1792=""),"Preencher tudo",IF($F1792="Código não cadastrado","Código inválido","OK")))</f>
        <v>0</v>
      </c>
    </row>
    <row r="1793" spans="1:8">
      <c r="A1793" s="16"/>
      <c r="B1793" s="15"/>
      <c r="C1793" s="20"/>
      <c r="D1793" s="22"/>
      <c r="E1793" s="15"/>
      <c r="F1793" s="23">
        <f>IF($B1793="","",IFERROR(INDEX(ProdNome,MATCH($B1793,ProdCod,0)),"Código não cadastrado"))</f>
        <v>0</v>
      </c>
      <c r="G1793" s="24">
        <f>IF(OR($B1793="",$D1793=""),"",$D1793*IFERROR(INDEX(ProdCusto,MATCH($B1793,ProdCod,0)),0))</f>
        <v>0</v>
      </c>
      <c r="H1793" s="25">
        <f>IF($A1793="","",IF(OR($B1793="",$C1793="",$D1793=""),"Preencher tudo",IF($F1793="Código não cadastrado","Código inválido","OK")))</f>
        <v>0</v>
      </c>
    </row>
    <row r="1794" spans="1:8">
      <c r="A1794" s="16"/>
      <c r="B1794" s="15"/>
      <c r="C1794" s="20"/>
      <c r="D1794" s="22"/>
      <c r="E1794" s="15"/>
      <c r="F1794" s="23">
        <f>IF($B1794="","",IFERROR(INDEX(ProdNome,MATCH($B1794,ProdCod,0)),"Código não cadastrado"))</f>
        <v>0</v>
      </c>
      <c r="G1794" s="24">
        <f>IF(OR($B1794="",$D1794=""),"",$D1794*IFERROR(INDEX(ProdCusto,MATCH($B1794,ProdCod,0)),0))</f>
        <v>0</v>
      </c>
      <c r="H1794" s="25">
        <f>IF($A1794="","",IF(OR($B1794="",$C1794="",$D1794=""),"Preencher tudo",IF($F1794="Código não cadastrado","Código inválido","OK")))</f>
        <v>0</v>
      </c>
    </row>
    <row r="1795" spans="1:8">
      <c r="A1795" s="16"/>
      <c r="B1795" s="15"/>
      <c r="C1795" s="20"/>
      <c r="D1795" s="22"/>
      <c r="E1795" s="15"/>
      <c r="F1795" s="23">
        <f>IF($B1795="","",IFERROR(INDEX(ProdNome,MATCH($B1795,ProdCod,0)),"Código não cadastrado"))</f>
        <v>0</v>
      </c>
      <c r="G1795" s="24">
        <f>IF(OR($B1795="",$D1795=""),"",$D1795*IFERROR(INDEX(ProdCusto,MATCH($B1795,ProdCod,0)),0))</f>
        <v>0</v>
      </c>
      <c r="H1795" s="25">
        <f>IF($A1795="","",IF(OR($B1795="",$C1795="",$D1795=""),"Preencher tudo",IF($F1795="Código não cadastrado","Código inválido","OK")))</f>
        <v>0</v>
      </c>
    </row>
    <row r="1796" spans="1:8">
      <c r="A1796" s="16"/>
      <c r="B1796" s="15"/>
      <c r="C1796" s="20"/>
      <c r="D1796" s="22"/>
      <c r="E1796" s="15"/>
      <c r="F1796" s="23">
        <f>IF($B1796="","",IFERROR(INDEX(ProdNome,MATCH($B1796,ProdCod,0)),"Código não cadastrado"))</f>
        <v>0</v>
      </c>
      <c r="G1796" s="24">
        <f>IF(OR($B1796="",$D1796=""),"",$D1796*IFERROR(INDEX(ProdCusto,MATCH($B1796,ProdCod,0)),0))</f>
        <v>0</v>
      </c>
      <c r="H1796" s="25">
        <f>IF($A1796="","",IF(OR($B1796="",$C1796="",$D1796=""),"Preencher tudo",IF($F1796="Código não cadastrado","Código inválido","OK")))</f>
        <v>0</v>
      </c>
    </row>
    <row r="1797" spans="1:8">
      <c r="A1797" s="16"/>
      <c r="B1797" s="15"/>
      <c r="C1797" s="20"/>
      <c r="D1797" s="22"/>
      <c r="E1797" s="15"/>
      <c r="F1797" s="23">
        <f>IF($B1797="","",IFERROR(INDEX(ProdNome,MATCH($B1797,ProdCod,0)),"Código não cadastrado"))</f>
        <v>0</v>
      </c>
      <c r="G1797" s="24">
        <f>IF(OR($B1797="",$D1797=""),"",$D1797*IFERROR(INDEX(ProdCusto,MATCH($B1797,ProdCod,0)),0))</f>
        <v>0</v>
      </c>
      <c r="H1797" s="25">
        <f>IF($A1797="","",IF(OR($B1797="",$C1797="",$D1797=""),"Preencher tudo",IF($F1797="Código não cadastrado","Código inválido","OK")))</f>
        <v>0</v>
      </c>
    </row>
    <row r="1798" spans="1:8">
      <c r="A1798" s="16"/>
      <c r="B1798" s="15"/>
      <c r="C1798" s="20"/>
      <c r="D1798" s="22"/>
      <c r="E1798" s="15"/>
      <c r="F1798" s="23">
        <f>IF($B1798="","",IFERROR(INDEX(ProdNome,MATCH($B1798,ProdCod,0)),"Código não cadastrado"))</f>
        <v>0</v>
      </c>
      <c r="G1798" s="24">
        <f>IF(OR($B1798="",$D1798=""),"",$D1798*IFERROR(INDEX(ProdCusto,MATCH($B1798,ProdCod,0)),0))</f>
        <v>0</v>
      </c>
      <c r="H1798" s="25">
        <f>IF($A1798="","",IF(OR($B1798="",$C1798="",$D1798=""),"Preencher tudo",IF($F1798="Código não cadastrado","Código inválido","OK")))</f>
        <v>0</v>
      </c>
    </row>
    <row r="1799" spans="1:8">
      <c r="A1799" s="16"/>
      <c r="B1799" s="15"/>
      <c r="C1799" s="20"/>
      <c r="D1799" s="22"/>
      <c r="E1799" s="15"/>
      <c r="F1799" s="23">
        <f>IF($B1799="","",IFERROR(INDEX(ProdNome,MATCH($B1799,ProdCod,0)),"Código não cadastrado"))</f>
        <v>0</v>
      </c>
      <c r="G1799" s="24">
        <f>IF(OR($B1799="",$D1799=""),"",$D1799*IFERROR(INDEX(ProdCusto,MATCH($B1799,ProdCod,0)),0))</f>
        <v>0</v>
      </c>
      <c r="H1799" s="25">
        <f>IF($A1799="","",IF(OR($B1799="",$C1799="",$D1799=""),"Preencher tudo",IF($F1799="Código não cadastrado","Código inválido","OK")))</f>
        <v>0</v>
      </c>
    </row>
    <row r="1800" spans="1:8">
      <c r="A1800" s="16"/>
      <c r="B1800" s="15"/>
      <c r="C1800" s="20"/>
      <c r="D1800" s="22"/>
      <c r="E1800" s="15"/>
      <c r="F1800" s="23">
        <f>IF($B1800="","",IFERROR(INDEX(ProdNome,MATCH($B1800,ProdCod,0)),"Código não cadastrado"))</f>
        <v>0</v>
      </c>
      <c r="G1800" s="24">
        <f>IF(OR($B1800="",$D1800=""),"",$D1800*IFERROR(INDEX(ProdCusto,MATCH($B1800,ProdCod,0)),0))</f>
        <v>0</v>
      </c>
      <c r="H1800" s="25">
        <f>IF($A1800="","",IF(OR($B1800="",$C1800="",$D1800=""),"Preencher tudo",IF($F1800="Código não cadastrado","Código inválido","OK")))</f>
        <v>0</v>
      </c>
    </row>
    <row r="1801" spans="1:8">
      <c r="A1801" s="16"/>
      <c r="B1801" s="15"/>
      <c r="C1801" s="20"/>
      <c r="D1801" s="22"/>
      <c r="E1801" s="15"/>
      <c r="F1801" s="23">
        <f>IF($B1801="","",IFERROR(INDEX(ProdNome,MATCH($B1801,ProdCod,0)),"Código não cadastrado"))</f>
        <v>0</v>
      </c>
      <c r="G1801" s="24">
        <f>IF(OR($B1801="",$D1801=""),"",$D1801*IFERROR(INDEX(ProdCusto,MATCH($B1801,ProdCod,0)),0))</f>
        <v>0</v>
      </c>
      <c r="H1801" s="25">
        <f>IF($A1801="","",IF(OR($B1801="",$C1801="",$D1801=""),"Preencher tudo",IF($F1801="Código não cadastrado","Código inválido","OK")))</f>
        <v>0</v>
      </c>
    </row>
    <row r="1802" spans="1:8">
      <c r="A1802" s="16"/>
      <c r="B1802" s="15"/>
      <c r="C1802" s="20"/>
      <c r="D1802" s="22"/>
      <c r="E1802" s="15"/>
      <c r="F1802" s="23">
        <f>IF($B1802="","",IFERROR(INDEX(ProdNome,MATCH($B1802,ProdCod,0)),"Código não cadastrado"))</f>
        <v>0</v>
      </c>
      <c r="G1802" s="24">
        <f>IF(OR($B1802="",$D1802=""),"",$D1802*IFERROR(INDEX(ProdCusto,MATCH($B1802,ProdCod,0)),0))</f>
        <v>0</v>
      </c>
      <c r="H1802" s="25">
        <f>IF($A1802="","",IF(OR($B1802="",$C1802="",$D1802=""),"Preencher tudo",IF($F1802="Código não cadastrado","Código inválido","OK")))</f>
        <v>0</v>
      </c>
    </row>
    <row r="1803" spans="1:8">
      <c r="A1803" s="16"/>
      <c r="B1803" s="15"/>
      <c r="C1803" s="20"/>
      <c r="D1803" s="22"/>
      <c r="E1803" s="15"/>
      <c r="F1803" s="23">
        <f>IF($B1803="","",IFERROR(INDEX(ProdNome,MATCH($B1803,ProdCod,0)),"Código não cadastrado"))</f>
        <v>0</v>
      </c>
      <c r="G1803" s="24">
        <f>IF(OR($B1803="",$D1803=""),"",$D1803*IFERROR(INDEX(ProdCusto,MATCH($B1803,ProdCod,0)),0))</f>
        <v>0</v>
      </c>
      <c r="H1803" s="25">
        <f>IF($A1803="","",IF(OR($B1803="",$C1803="",$D1803=""),"Preencher tudo",IF($F1803="Código não cadastrado","Código inválido","OK")))</f>
        <v>0</v>
      </c>
    </row>
    <row r="1804" spans="1:8">
      <c r="A1804" s="16"/>
      <c r="B1804" s="15"/>
      <c r="C1804" s="20"/>
      <c r="D1804" s="22"/>
      <c r="E1804" s="15"/>
      <c r="F1804" s="23">
        <f>IF($B1804="","",IFERROR(INDEX(ProdNome,MATCH($B1804,ProdCod,0)),"Código não cadastrado"))</f>
        <v>0</v>
      </c>
      <c r="G1804" s="24">
        <f>IF(OR($B1804="",$D1804=""),"",$D1804*IFERROR(INDEX(ProdCusto,MATCH($B1804,ProdCod,0)),0))</f>
        <v>0</v>
      </c>
      <c r="H1804" s="25">
        <f>IF($A1804="","",IF(OR($B1804="",$C1804="",$D1804=""),"Preencher tudo",IF($F1804="Código não cadastrado","Código inválido","OK")))</f>
        <v>0</v>
      </c>
    </row>
    <row r="1805" spans="1:8">
      <c r="A1805" s="16"/>
      <c r="B1805" s="15"/>
      <c r="C1805" s="20"/>
      <c r="D1805" s="22"/>
      <c r="E1805" s="15"/>
      <c r="F1805" s="23">
        <f>IF($B1805="","",IFERROR(INDEX(ProdNome,MATCH($B1805,ProdCod,0)),"Código não cadastrado"))</f>
        <v>0</v>
      </c>
      <c r="G1805" s="24">
        <f>IF(OR($B1805="",$D1805=""),"",$D1805*IFERROR(INDEX(ProdCusto,MATCH($B1805,ProdCod,0)),0))</f>
        <v>0</v>
      </c>
      <c r="H1805" s="25">
        <f>IF($A1805="","",IF(OR($B1805="",$C1805="",$D1805=""),"Preencher tudo",IF($F1805="Código não cadastrado","Código inválido","OK")))</f>
        <v>0</v>
      </c>
    </row>
    <row r="1806" spans="1:8">
      <c r="A1806" s="16"/>
      <c r="B1806" s="15"/>
      <c r="C1806" s="20"/>
      <c r="D1806" s="22"/>
      <c r="E1806" s="15"/>
      <c r="F1806" s="23">
        <f>IF($B1806="","",IFERROR(INDEX(ProdNome,MATCH($B1806,ProdCod,0)),"Código não cadastrado"))</f>
        <v>0</v>
      </c>
      <c r="G1806" s="24">
        <f>IF(OR($B1806="",$D1806=""),"",$D1806*IFERROR(INDEX(ProdCusto,MATCH($B1806,ProdCod,0)),0))</f>
        <v>0</v>
      </c>
      <c r="H1806" s="25">
        <f>IF($A1806="","",IF(OR($B1806="",$C1806="",$D1806=""),"Preencher tudo",IF($F1806="Código não cadastrado","Código inválido","OK")))</f>
        <v>0</v>
      </c>
    </row>
    <row r="1807" spans="1:8">
      <c r="A1807" s="16"/>
      <c r="B1807" s="15"/>
      <c r="C1807" s="20"/>
      <c r="D1807" s="22"/>
      <c r="E1807" s="15"/>
      <c r="F1807" s="23">
        <f>IF($B1807="","",IFERROR(INDEX(ProdNome,MATCH($B1807,ProdCod,0)),"Código não cadastrado"))</f>
        <v>0</v>
      </c>
      <c r="G1807" s="24">
        <f>IF(OR($B1807="",$D1807=""),"",$D1807*IFERROR(INDEX(ProdCusto,MATCH($B1807,ProdCod,0)),0))</f>
        <v>0</v>
      </c>
      <c r="H1807" s="25">
        <f>IF($A1807="","",IF(OR($B1807="",$C1807="",$D1807=""),"Preencher tudo",IF($F1807="Código não cadastrado","Código inválido","OK")))</f>
        <v>0</v>
      </c>
    </row>
    <row r="1808" spans="1:8">
      <c r="A1808" s="16"/>
      <c r="B1808" s="15"/>
      <c r="C1808" s="20"/>
      <c r="D1808" s="22"/>
      <c r="E1808" s="15"/>
      <c r="F1808" s="23">
        <f>IF($B1808="","",IFERROR(INDEX(ProdNome,MATCH($B1808,ProdCod,0)),"Código não cadastrado"))</f>
        <v>0</v>
      </c>
      <c r="G1808" s="24">
        <f>IF(OR($B1808="",$D1808=""),"",$D1808*IFERROR(INDEX(ProdCusto,MATCH($B1808,ProdCod,0)),0))</f>
        <v>0</v>
      </c>
      <c r="H1808" s="25">
        <f>IF($A1808="","",IF(OR($B1808="",$C1808="",$D1808=""),"Preencher tudo",IF($F1808="Código não cadastrado","Código inválido","OK")))</f>
        <v>0</v>
      </c>
    </row>
    <row r="1809" spans="1:8">
      <c r="A1809" s="16"/>
      <c r="B1809" s="15"/>
      <c r="C1809" s="20"/>
      <c r="D1809" s="22"/>
      <c r="E1809" s="15"/>
      <c r="F1809" s="23">
        <f>IF($B1809="","",IFERROR(INDEX(ProdNome,MATCH($B1809,ProdCod,0)),"Código não cadastrado"))</f>
        <v>0</v>
      </c>
      <c r="G1809" s="24">
        <f>IF(OR($B1809="",$D1809=""),"",$D1809*IFERROR(INDEX(ProdCusto,MATCH($B1809,ProdCod,0)),0))</f>
        <v>0</v>
      </c>
      <c r="H1809" s="25">
        <f>IF($A1809="","",IF(OR($B1809="",$C1809="",$D1809=""),"Preencher tudo",IF($F1809="Código não cadastrado","Código inválido","OK")))</f>
        <v>0</v>
      </c>
    </row>
    <row r="1810" spans="1:8">
      <c r="A1810" s="16"/>
      <c r="B1810" s="15"/>
      <c r="C1810" s="20"/>
      <c r="D1810" s="22"/>
      <c r="E1810" s="15"/>
      <c r="F1810" s="23">
        <f>IF($B1810="","",IFERROR(INDEX(ProdNome,MATCH($B1810,ProdCod,0)),"Código não cadastrado"))</f>
        <v>0</v>
      </c>
      <c r="G1810" s="24">
        <f>IF(OR($B1810="",$D1810=""),"",$D1810*IFERROR(INDEX(ProdCusto,MATCH($B1810,ProdCod,0)),0))</f>
        <v>0</v>
      </c>
      <c r="H1810" s="25">
        <f>IF($A1810="","",IF(OR($B1810="",$C1810="",$D1810=""),"Preencher tudo",IF($F1810="Código não cadastrado","Código inválido","OK")))</f>
        <v>0</v>
      </c>
    </row>
    <row r="1811" spans="1:8">
      <c r="A1811" s="16"/>
      <c r="B1811" s="15"/>
      <c r="C1811" s="20"/>
      <c r="D1811" s="22"/>
      <c r="E1811" s="15"/>
      <c r="F1811" s="23">
        <f>IF($B1811="","",IFERROR(INDEX(ProdNome,MATCH($B1811,ProdCod,0)),"Código não cadastrado"))</f>
        <v>0</v>
      </c>
      <c r="G1811" s="24">
        <f>IF(OR($B1811="",$D1811=""),"",$D1811*IFERROR(INDEX(ProdCusto,MATCH($B1811,ProdCod,0)),0))</f>
        <v>0</v>
      </c>
      <c r="H1811" s="25">
        <f>IF($A1811="","",IF(OR($B1811="",$C1811="",$D1811=""),"Preencher tudo",IF($F1811="Código não cadastrado","Código inválido","OK")))</f>
        <v>0</v>
      </c>
    </row>
    <row r="1812" spans="1:8">
      <c r="A1812" s="16"/>
      <c r="B1812" s="15"/>
      <c r="C1812" s="20"/>
      <c r="D1812" s="22"/>
      <c r="E1812" s="15"/>
      <c r="F1812" s="23">
        <f>IF($B1812="","",IFERROR(INDEX(ProdNome,MATCH($B1812,ProdCod,0)),"Código não cadastrado"))</f>
        <v>0</v>
      </c>
      <c r="G1812" s="24">
        <f>IF(OR($B1812="",$D1812=""),"",$D1812*IFERROR(INDEX(ProdCusto,MATCH($B1812,ProdCod,0)),0))</f>
        <v>0</v>
      </c>
      <c r="H1812" s="25">
        <f>IF($A1812="","",IF(OR($B1812="",$C1812="",$D1812=""),"Preencher tudo",IF($F1812="Código não cadastrado","Código inválido","OK")))</f>
        <v>0</v>
      </c>
    </row>
    <row r="1813" spans="1:8">
      <c r="A1813" s="16"/>
      <c r="B1813" s="15"/>
      <c r="C1813" s="20"/>
      <c r="D1813" s="22"/>
      <c r="E1813" s="15"/>
      <c r="F1813" s="23">
        <f>IF($B1813="","",IFERROR(INDEX(ProdNome,MATCH($B1813,ProdCod,0)),"Código não cadastrado"))</f>
        <v>0</v>
      </c>
      <c r="G1813" s="24">
        <f>IF(OR($B1813="",$D1813=""),"",$D1813*IFERROR(INDEX(ProdCusto,MATCH($B1813,ProdCod,0)),0))</f>
        <v>0</v>
      </c>
      <c r="H1813" s="25">
        <f>IF($A1813="","",IF(OR($B1813="",$C1813="",$D1813=""),"Preencher tudo",IF($F1813="Código não cadastrado","Código inválido","OK")))</f>
        <v>0</v>
      </c>
    </row>
    <row r="1814" spans="1:8">
      <c r="A1814" s="16"/>
      <c r="B1814" s="15"/>
      <c r="C1814" s="20"/>
      <c r="D1814" s="22"/>
      <c r="E1814" s="15"/>
      <c r="F1814" s="23">
        <f>IF($B1814="","",IFERROR(INDEX(ProdNome,MATCH($B1814,ProdCod,0)),"Código não cadastrado"))</f>
        <v>0</v>
      </c>
      <c r="G1814" s="24">
        <f>IF(OR($B1814="",$D1814=""),"",$D1814*IFERROR(INDEX(ProdCusto,MATCH($B1814,ProdCod,0)),0))</f>
        <v>0</v>
      </c>
      <c r="H1814" s="25">
        <f>IF($A1814="","",IF(OR($B1814="",$C1814="",$D1814=""),"Preencher tudo",IF($F1814="Código não cadastrado","Código inválido","OK")))</f>
        <v>0</v>
      </c>
    </row>
    <row r="1815" spans="1:8">
      <c r="A1815" s="16"/>
      <c r="B1815" s="15"/>
      <c r="C1815" s="20"/>
      <c r="D1815" s="22"/>
      <c r="E1815" s="15"/>
      <c r="F1815" s="23">
        <f>IF($B1815="","",IFERROR(INDEX(ProdNome,MATCH($B1815,ProdCod,0)),"Código não cadastrado"))</f>
        <v>0</v>
      </c>
      <c r="G1815" s="24">
        <f>IF(OR($B1815="",$D1815=""),"",$D1815*IFERROR(INDEX(ProdCusto,MATCH($B1815,ProdCod,0)),0))</f>
        <v>0</v>
      </c>
      <c r="H1815" s="25">
        <f>IF($A1815="","",IF(OR($B1815="",$C1815="",$D1815=""),"Preencher tudo",IF($F1815="Código não cadastrado","Código inválido","OK")))</f>
        <v>0</v>
      </c>
    </row>
    <row r="1816" spans="1:8">
      <c r="A1816" s="16"/>
      <c r="B1816" s="15"/>
      <c r="C1816" s="20"/>
      <c r="D1816" s="22"/>
      <c r="E1816" s="15"/>
      <c r="F1816" s="23">
        <f>IF($B1816="","",IFERROR(INDEX(ProdNome,MATCH($B1816,ProdCod,0)),"Código não cadastrado"))</f>
        <v>0</v>
      </c>
      <c r="G1816" s="24">
        <f>IF(OR($B1816="",$D1816=""),"",$D1816*IFERROR(INDEX(ProdCusto,MATCH($B1816,ProdCod,0)),0))</f>
        <v>0</v>
      </c>
      <c r="H1816" s="25">
        <f>IF($A1816="","",IF(OR($B1816="",$C1816="",$D1816=""),"Preencher tudo",IF($F1816="Código não cadastrado","Código inválido","OK")))</f>
        <v>0</v>
      </c>
    </row>
    <row r="1817" spans="1:8">
      <c r="A1817" s="16"/>
      <c r="B1817" s="15"/>
      <c r="C1817" s="20"/>
      <c r="D1817" s="22"/>
      <c r="E1817" s="15"/>
      <c r="F1817" s="23">
        <f>IF($B1817="","",IFERROR(INDEX(ProdNome,MATCH($B1817,ProdCod,0)),"Código não cadastrado"))</f>
        <v>0</v>
      </c>
      <c r="G1817" s="24">
        <f>IF(OR($B1817="",$D1817=""),"",$D1817*IFERROR(INDEX(ProdCusto,MATCH($B1817,ProdCod,0)),0))</f>
        <v>0</v>
      </c>
      <c r="H1817" s="25">
        <f>IF($A1817="","",IF(OR($B1817="",$C1817="",$D1817=""),"Preencher tudo",IF($F1817="Código não cadastrado","Código inválido","OK")))</f>
        <v>0</v>
      </c>
    </row>
    <row r="1818" spans="1:8">
      <c r="A1818" s="16"/>
      <c r="B1818" s="15"/>
      <c r="C1818" s="20"/>
      <c r="D1818" s="22"/>
      <c r="E1818" s="15"/>
      <c r="F1818" s="23">
        <f>IF($B1818="","",IFERROR(INDEX(ProdNome,MATCH($B1818,ProdCod,0)),"Código não cadastrado"))</f>
        <v>0</v>
      </c>
      <c r="G1818" s="24">
        <f>IF(OR($B1818="",$D1818=""),"",$D1818*IFERROR(INDEX(ProdCusto,MATCH($B1818,ProdCod,0)),0))</f>
        <v>0</v>
      </c>
      <c r="H1818" s="25">
        <f>IF($A1818="","",IF(OR($B1818="",$C1818="",$D1818=""),"Preencher tudo",IF($F1818="Código não cadastrado","Código inválido","OK")))</f>
        <v>0</v>
      </c>
    </row>
    <row r="1819" spans="1:8">
      <c r="A1819" s="16"/>
      <c r="B1819" s="15"/>
      <c r="C1819" s="20"/>
      <c r="D1819" s="22"/>
      <c r="E1819" s="15"/>
      <c r="F1819" s="23">
        <f>IF($B1819="","",IFERROR(INDEX(ProdNome,MATCH($B1819,ProdCod,0)),"Código não cadastrado"))</f>
        <v>0</v>
      </c>
      <c r="G1819" s="24">
        <f>IF(OR($B1819="",$D1819=""),"",$D1819*IFERROR(INDEX(ProdCusto,MATCH($B1819,ProdCod,0)),0))</f>
        <v>0</v>
      </c>
      <c r="H1819" s="25">
        <f>IF($A1819="","",IF(OR($B1819="",$C1819="",$D1819=""),"Preencher tudo",IF($F1819="Código não cadastrado","Código inválido","OK")))</f>
        <v>0</v>
      </c>
    </row>
    <row r="1820" spans="1:8">
      <c r="A1820" s="16"/>
      <c r="B1820" s="15"/>
      <c r="C1820" s="20"/>
      <c r="D1820" s="22"/>
      <c r="E1820" s="15"/>
      <c r="F1820" s="23">
        <f>IF($B1820="","",IFERROR(INDEX(ProdNome,MATCH($B1820,ProdCod,0)),"Código não cadastrado"))</f>
        <v>0</v>
      </c>
      <c r="G1820" s="24">
        <f>IF(OR($B1820="",$D1820=""),"",$D1820*IFERROR(INDEX(ProdCusto,MATCH($B1820,ProdCod,0)),0))</f>
        <v>0</v>
      </c>
      <c r="H1820" s="25">
        <f>IF($A1820="","",IF(OR($B1820="",$C1820="",$D1820=""),"Preencher tudo",IF($F1820="Código não cadastrado","Código inválido","OK")))</f>
        <v>0</v>
      </c>
    </row>
    <row r="1821" spans="1:8">
      <c r="A1821" s="16"/>
      <c r="B1821" s="15"/>
      <c r="C1821" s="20"/>
      <c r="D1821" s="22"/>
      <c r="E1821" s="15"/>
      <c r="F1821" s="23">
        <f>IF($B1821="","",IFERROR(INDEX(ProdNome,MATCH($B1821,ProdCod,0)),"Código não cadastrado"))</f>
        <v>0</v>
      </c>
      <c r="G1821" s="24">
        <f>IF(OR($B1821="",$D1821=""),"",$D1821*IFERROR(INDEX(ProdCusto,MATCH($B1821,ProdCod,0)),0))</f>
        <v>0</v>
      </c>
      <c r="H1821" s="25">
        <f>IF($A1821="","",IF(OR($B1821="",$C1821="",$D1821=""),"Preencher tudo",IF($F1821="Código não cadastrado","Código inválido","OK")))</f>
        <v>0</v>
      </c>
    </row>
    <row r="1822" spans="1:8">
      <c r="A1822" s="16"/>
      <c r="B1822" s="15"/>
      <c r="C1822" s="20"/>
      <c r="D1822" s="22"/>
      <c r="E1822" s="15"/>
      <c r="F1822" s="23">
        <f>IF($B1822="","",IFERROR(INDEX(ProdNome,MATCH($B1822,ProdCod,0)),"Código não cadastrado"))</f>
        <v>0</v>
      </c>
      <c r="G1822" s="24">
        <f>IF(OR($B1822="",$D1822=""),"",$D1822*IFERROR(INDEX(ProdCusto,MATCH($B1822,ProdCod,0)),0))</f>
        <v>0</v>
      </c>
      <c r="H1822" s="25">
        <f>IF($A1822="","",IF(OR($B1822="",$C1822="",$D1822=""),"Preencher tudo",IF($F1822="Código não cadastrado","Código inválido","OK")))</f>
        <v>0</v>
      </c>
    </row>
    <row r="1823" spans="1:8">
      <c r="A1823" s="16"/>
      <c r="B1823" s="15"/>
      <c r="C1823" s="20"/>
      <c r="D1823" s="22"/>
      <c r="E1823" s="15"/>
      <c r="F1823" s="23">
        <f>IF($B1823="","",IFERROR(INDEX(ProdNome,MATCH($B1823,ProdCod,0)),"Código não cadastrado"))</f>
        <v>0</v>
      </c>
      <c r="G1823" s="24">
        <f>IF(OR($B1823="",$D1823=""),"",$D1823*IFERROR(INDEX(ProdCusto,MATCH($B1823,ProdCod,0)),0))</f>
        <v>0</v>
      </c>
      <c r="H1823" s="25">
        <f>IF($A1823="","",IF(OR($B1823="",$C1823="",$D1823=""),"Preencher tudo",IF($F1823="Código não cadastrado","Código inválido","OK")))</f>
        <v>0</v>
      </c>
    </row>
    <row r="1824" spans="1:8">
      <c r="A1824" s="16"/>
      <c r="B1824" s="15"/>
      <c r="C1824" s="20"/>
      <c r="D1824" s="22"/>
      <c r="E1824" s="15"/>
      <c r="F1824" s="23">
        <f>IF($B1824="","",IFERROR(INDEX(ProdNome,MATCH($B1824,ProdCod,0)),"Código não cadastrado"))</f>
        <v>0</v>
      </c>
      <c r="G1824" s="24">
        <f>IF(OR($B1824="",$D1824=""),"",$D1824*IFERROR(INDEX(ProdCusto,MATCH($B1824,ProdCod,0)),0))</f>
        <v>0</v>
      </c>
      <c r="H1824" s="25">
        <f>IF($A1824="","",IF(OR($B1824="",$C1824="",$D1824=""),"Preencher tudo",IF($F1824="Código não cadastrado","Código inválido","OK")))</f>
        <v>0</v>
      </c>
    </row>
    <row r="1825" spans="1:8">
      <c r="A1825" s="16"/>
      <c r="B1825" s="15"/>
      <c r="C1825" s="20"/>
      <c r="D1825" s="22"/>
      <c r="E1825" s="15"/>
      <c r="F1825" s="23">
        <f>IF($B1825="","",IFERROR(INDEX(ProdNome,MATCH($B1825,ProdCod,0)),"Código não cadastrado"))</f>
        <v>0</v>
      </c>
      <c r="G1825" s="24">
        <f>IF(OR($B1825="",$D1825=""),"",$D1825*IFERROR(INDEX(ProdCusto,MATCH($B1825,ProdCod,0)),0))</f>
        <v>0</v>
      </c>
      <c r="H1825" s="25">
        <f>IF($A1825="","",IF(OR($B1825="",$C1825="",$D1825=""),"Preencher tudo",IF($F1825="Código não cadastrado","Código inválido","OK")))</f>
        <v>0</v>
      </c>
    </row>
    <row r="1826" spans="1:8">
      <c r="A1826" s="16"/>
      <c r="B1826" s="15"/>
      <c r="C1826" s="20"/>
      <c r="D1826" s="22"/>
      <c r="E1826" s="15"/>
      <c r="F1826" s="23">
        <f>IF($B1826="","",IFERROR(INDEX(ProdNome,MATCH($B1826,ProdCod,0)),"Código não cadastrado"))</f>
        <v>0</v>
      </c>
      <c r="G1826" s="24">
        <f>IF(OR($B1826="",$D1826=""),"",$D1826*IFERROR(INDEX(ProdCusto,MATCH($B1826,ProdCod,0)),0))</f>
        <v>0</v>
      </c>
      <c r="H1826" s="25">
        <f>IF($A1826="","",IF(OR($B1826="",$C1826="",$D1826=""),"Preencher tudo",IF($F1826="Código não cadastrado","Código inválido","OK")))</f>
        <v>0</v>
      </c>
    </row>
    <row r="1827" spans="1:8">
      <c r="A1827" s="16"/>
      <c r="B1827" s="15"/>
      <c r="C1827" s="20"/>
      <c r="D1827" s="22"/>
      <c r="E1827" s="15"/>
      <c r="F1827" s="23">
        <f>IF($B1827="","",IFERROR(INDEX(ProdNome,MATCH($B1827,ProdCod,0)),"Código não cadastrado"))</f>
        <v>0</v>
      </c>
      <c r="G1827" s="24">
        <f>IF(OR($B1827="",$D1827=""),"",$D1827*IFERROR(INDEX(ProdCusto,MATCH($B1827,ProdCod,0)),0))</f>
        <v>0</v>
      </c>
      <c r="H1827" s="25">
        <f>IF($A1827="","",IF(OR($B1827="",$C1827="",$D1827=""),"Preencher tudo",IF($F1827="Código não cadastrado","Código inválido","OK")))</f>
        <v>0</v>
      </c>
    </row>
    <row r="1828" spans="1:8">
      <c r="A1828" s="16"/>
      <c r="B1828" s="15"/>
      <c r="C1828" s="20"/>
      <c r="D1828" s="22"/>
      <c r="E1828" s="15"/>
      <c r="F1828" s="23">
        <f>IF($B1828="","",IFERROR(INDEX(ProdNome,MATCH($B1828,ProdCod,0)),"Código não cadastrado"))</f>
        <v>0</v>
      </c>
      <c r="G1828" s="24">
        <f>IF(OR($B1828="",$D1828=""),"",$D1828*IFERROR(INDEX(ProdCusto,MATCH($B1828,ProdCod,0)),0))</f>
        <v>0</v>
      </c>
      <c r="H1828" s="25">
        <f>IF($A1828="","",IF(OR($B1828="",$C1828="",$D1828=""),"Preencher tudo",IF($F1828="Código não cadastrado","Código inválido","OK")))</f>
        <v>0</v>
      </c>
    </row>
    <row r="1829" spans="1:8">
      <c r="A1829" s="16"/>
      <c r="B1829" s="15"/>
      <c r="C1829" s="20"/>
      <c r="D1829" s="22"/>
      <c r="E1829" s="15"/>
      <c r="F1829" s="23">
        <f>IF($B1829="","",IFERROR(INDEX(ProdNome,MATCH($B1829,ProdCod,0)),"Código não cadastrado"))</f>
        <v>0</v>
      </c>
      <c r="G1829" s="24">
        <f>IF(OR($B1829="",$D1829=""),"",$D1829*IFERROR(INDEX(ProdCusto,MATCH($B1829,ProdCod,0)),0))</f>
        <v>0</v>
      </c>
      <c r="H1829" s="25">
        <f>IF($A1829="","",IF(OR($B1829="",$C1829="",$D1829=""),"Preencher tudo",IF($F1829="Código não cadastrado","Código inválido","OK")))</f>
        <v>0</v>
      </c>
    </row>
    <row r="1830" spans="1:8">
      <c r="A1830" s="16"/>
      <c r="B1830" s="15"/>
      <c r="C1830" s="20"/>
      <c r="D1830" s="22"/>
      <c r="E1830" s="15"/>
      <c r="F1830" s="23">
        <f>IF($B1830="","",IFERROR(INDEX(ProdNome,MATCH($B1830,ProdCod,0)),"Código não cadastrado"))</f>
        <v>0</v>
      </c>
      <c r="G1830" s="24">
        <f>IF(OR($B1830="",$D1830=""),"",$D1830*IFERROR(INDEX(ProdCusto,MATCH($B1830,ProdCod,0)),0))</f>
        <v>0</v>
      </c>
      <c r="H1830" s="25">
        <f>IF($A1830="","",IF(OR($B1830="",$C1830="",$D1830=""),"Preencher tudo",IF($F1830="Código não cadastrado","Código inválido","OK")))</f>
        <v>0</v>
      </c>
    </row>
    <row r="1831" spans="1:8">
      <c r="A1831" s="16"/>
      <c r="B1831" s="15"/>
      <c r="C1831" s="20"/>
      <c r="D1831" s="22"/>
      <c r="E1831" s="15"/>
      <c r="F1831" s="23">
        <f>IF($B1831="","",IFERROR(INDEX(ProdNome,MATCH($B1831,ProdCod,0)),"Código não cadastrado"))</f>
        <v>0</v>
      </c>
      <c r="G1831" s="24">
        <f>IF(OR($B1831="",$D1831=""),"",$D1831*IFERROR(INDEX(ProdCusto,MATCH($B1831,ProdCod,0)),0))</f>
        <v>0</v>
      </c>
      <c r="H1831" s="25">
        <f>IF($A1831="","",IF(OR($B1831="",$C1831="",$D1831=""),"Preencher tudo",IF($F1831="Código não cadastrado","Código inválido","OK")))</f>
        <v>0</v>
      </c>
    </row>
    <row r="1832" spans="1:8">
      <c r="A1832" s="16"/>
      <c r="B1832" s="15"/>
      <c r="C1832" s="20"/>
      <c r="D1832" s="22"/>
      <c r="E1832" s="15"/>
      <c r="F1832" s="23">
        <f>IF($B1832="","",IFERROR(INDEX(ProdNome,MATCH($B1832,ProdCod,0)),"Código não cadastrado"))</f>
        <v>0</v>
      </c>
      <c r="G1832" s="24">
        <f>IF(OR($B1832="",$D1832=""),"",$D1832*IFERROR(INDEX(ProdCusto,MATCH($B1832,ProdCod,0)),0))</f>
        <v>0</v>
      </c>
      <c r="H1832" s="25">
        <f>IF($A1832="","",IF(OR($B1832="",$C1832="",$D1832=""),"Preencher tudo",IF($F1832="Código não cadastrado","Código inválido","OK")))</f>
        <v>0</v>
      </c>
    </row>
    <row r="1833" spans="1:8">
      <c r="A1833" s="16"/>
      <c r="B1833" s="15"/>
      <c r="C1833" s="20"/>
      <c r="D1833" s="22"/>
      <c r="E1833" s="15"/>
      <c r="F1833" s="23">
        <f>IF($B1833="","",IFERROR(INDEX(ProdNome,MATCH($B1833,ProdCod,0)),"Código não cadastrado"))</f>
        <v>0</v>
      </c>
      <c r="G1833" s="24">
        <f>IF(OR($B1833="",$D1833=""),"",$D1833*IFERROR(INDEX(ProdCusto,MATCH($B1833,ProdCod,0)),0))</f>
        <v>0</v>
      </c>
      <c r="H1833" s="25">
        <f>IF($A1833="","",IF(OR($B1833="",$C1833="",$D1833=""),"Preencher tudo",IF($F1833="Código não cadastrado","Código inválido","OK")))</f>
        <v>0</v>
      </c>
    </row>
    <row r="1834" spans="1:8">
      <c r="A1834" s="16"/>
      <c r="B1834" s="15"/>
      <c r="C1834" s="20"/>
      <c r="D1834" s="22"/>
      <c r="E1834" s="15"/>
      <c r="F1834" s="23">
        <f>IF($B1834="","",IFERROR(INDEX(ProdNome,MATCH($B1834,ProdCod,0)),"Código não cadastrado"))</f>
        <v>0</v>
      </c>
      <c r="G1834" s="24">
        <f>IF(OR($B1834="",$D1834=""),"",$D1834*IFERROR(INDEX(ProdCusto,MATCH($B1834,ProdCod,0)),0))</f>
        <v>0</v>
      </c>
      <c r="H1834" s="25">
        <f>IF($A1834="","",IF(OR($B1834="",$C1834="",$D1834=""),"Preencher tudo",IF($F1834="Código não cadastrado","Código inválido","OK")))</f>
        <v>0</v>
      </c>
    </row>
    <row r="1835" spans="1:8">
      <c r="A1835" s="16"/>
      <c r="B1835" s="15"/>
      <c r="C1835" s="20"/>
      <c r="D1835" s="22"/>
      <c r="E1835" s="15"/>
      <c r="F1835" s="23">
        <f>IF($B1835="","",IFERROR(INDEX(ProdNome,MATCH($B1835,ProdCod,0)),"Código não cadastrado"))</f>
        <v>0</v>
      </c>
      <c r="G1835" s="24">
        <f>IF(OR($B1835="",$D1835=""),"",$D1835*IFERROR(INDEX(ProdCusto,MATCH($B1835,ProdCod,0)),0))</f>
        <v>0</v>
      </c>
      <c r="H1835" s="25">
        <f>IF($A1835="","",IF(OR($B1835="",$C1835="",$D1835=""),"Preencher tudo",IF($F1835="Código não cadastrado","Código inválido","OK")))</f>
        <v>0</v>
      </c>
    </row>
    <row r="1836" spans="1:8">
      <c r="A1836" s="16"/>
      <c r="B1836" s="15"/>
      <c r="C1836" s="20"/>
      <c r="D1836" s="22"/>
      <c r="E1836" s="15"/>
      <c r="F1836" s="23">
        <f>IF($B1836="","",IFERROR(INDEX(ProdNome,MATCH($B1836,ProdCod,0)),"Código não cadastrado"))</f>
        <v>0</v>
      </c>
      <c r="G1836" s="24">
        <f>IF(OR($B1836="",$D1836=""),"",$D1836*IFERROR(INDEX(ProdCusto,MATCH($B1836,ProdCod,0)),0))</f>
        <v>0</v>
      </c>
      <c r="H1836" s="25">
        <f>IF($A1836="","",IF(OR($B1836="",$C1836="",$D1836=""),"Preencher tudo",IF($F1836="Código não cadastrado","Código inválido","OK")))</f>
        <v>0</v>
      </c>
    </row>
    <row r="1837" spans="1:8">
      <c r="A1837" s="16"/>
      <c r="B1837" s="15"/>
      <c r="C1837" s="20"/>
      <c r="D1837" s="22"/>
      <c r="E1837" s="15"/>
      <c r="F1837" s="23">
        <f>IF($B1837="","",IFERROR(INDEX(ProdNome,MATCH($B1837,ProdCod,0)),"Código não cadastrado"))</f>
        <v>0</v>
      </c>
      <c r="G1837" s="24">
        <f>IF(OR($B1837="",$D1837=""),"",$D1837*IFERROR(INDEX(ProdCusto,MATCH($B1837,ProdCod,0)),0))</f>
        <v>0</v>
      </c>
      <c r="H1837" s="25">
        <f>IF($A1837="","",IF(OR($B1837="",$C1837="",$D1837=""),"Preencher tudo",IF($F1837="Código não cadastrado","Código inválido","OK")))</f>
        <v>0</v>
      </c>
    </row>
    <row r="1838" spans="1:8">
      <c r="A1838" s="16"/>
      <c r="B1838" s="15"/>
      <c r="C1838" s="20"/>
      <c r="D1838" s="22"/>
      <c r="E1838" s="15"/>
      <c r="F1838" s="23">
        <f>IF($B1838="","",IFERROR(INDEX(ProdNome,MATCH($B1838,ProdCod,0)),"Código não cadastrado"))</f>
        <v>0</v>
      </c>
      <c r="G1838" s="24">
        <f>IF(OR($B1838="",$D1838=""),"",$D1838*IFERROR(INDEX(ProdCusto,MATCH($B1838,ProdCod,0)),0))</f>
        <v>0</v>
      </c>
      <c r="H1838" s="25">
        <f>IF($A1838="","",IF(OR($B1838="",$C1838="",$D1838=""),"Preencher tudo",IF($F1838="Código não cadastrado","Código inválido","OK")))</f>
        <v>0</v>
      </c>
    </row>
    <row r="1839" spans="1:8">
      <c r="A1839" s="16"/>
      <c r="B1839" s="15"/>
      <c r="C1839" s="20"/>
      <c r="D1839" s="22"/>
      <c r="E1839" s="15"/>
      <c r="F1839" s="23">
        <f>IF($B1839="","",IFERROR(INDEX(ProdNome,MATCH($B1839,ProdCod,0)),"Código não cadastrado"))</f>
        <v>0</v>
      </c>
      <c r="G1839" s="24">
        <f>IF(OR($B1839="",$D1839=""),"",$D1839*IFERROR(INDEX(ProdCusto,MATCH($B1839,ProdCod,0)),0))</f>
        <v>0</v>
      </c>
      <c r="H1839" s="25">
        <f>IF($A1839="","",IF(OR($B1839="",$C1839="",$D1839=""),"Preencher tudo",IF($F1839="Código não cadastrado","Código inválido","OK")))</f>
        <v>0</v>
      </c>
    </row>
    <row r="1840" spans="1:8">
      <c r="A1840" s="16"/>
      <c r="B1840" s="15"/>
      <c r="C1840" s="20"/>
      <c r="D1840" s="22"/>
      <c r="E1840" s="15"/>
      <c r="F1840" s="23">
        <f>IF($B1840="","",IFERROR(INDEX(ProdNome,MATCH($B1840,ProdCod,0)),"Código não cadastrado"))</f>
        <v>0</v>
      </c>
      <c r="G1840" s="24">
        <f>IF(OR($B1840="",$D1840=""),"",$D1840*IFERROR(INDEX(ProdCusto,MATCH($B1840,ProdCod,0)),0))</f>
        <v>0</v>
      </c>
      <c r="H1840" s="25">
        <f>IF($A1840="","",IF(OR($B1840="",$C1840="",$D1840=""),"Preencher tudo",IF($F1840="Código não cadastrado","Código inválido","OK")))</f>
        <v>0</v>
      </c>
    </row>
    <row r="1841" spans="1:8">
      <c r="A1841" s="16"/>
      <c r="B1841" s="15"/>
      <c r="C1841" s="20"/>
      <c r="D1841" s="22"/>
      <c r="E1841" s="15"/>
      <c r="F1841" s="23">
        <f>IF($B1841="","",IFERROR(INDEX(ProdNome,MATCH($B1841,ProdCod,0)),"Código não cadastrado"))</f>
        <v>0</v>
      </c>
      <c r="G1841" s="24">
        <f>IF(OR($B1841="",$D1841=""),"",$D1841*IFERROR(INDEX(ProdCusto,MATCH($B1841,ProdCod,0)),0))</f>
        <v>0</v>
      </c>
      <c r="H1841" s="25">
        <f>IF($A1841="","",IF(OR($B1841="",$C1841="",$D1841=""),"Preencher tudo",IF($F1841="Código não cadastrado","Código inválido","OK")))</f>
        <v>0</v>
      </c>
    </row>
    <row r="1842" spans="1:8">
      <c r="A1842" s="16"/>
      <c r="B1842" s="15"/>
      <c r="C1842" s="20"/>
      <c r="D1842" s="22"/>
      <c r="E1842" s="15"/>
      <c r="F1842" s="23">
        <f>IF($B1842="","",IFERROR(INDEX(ProdNome,MATCH($B1842,ProdCod,0)),"Código não cadastrado"))</f>
        <v>0</v>
      </c>
      <c r="G1842" s="24">
        <f>IF(OR($B1842="",$D1842=""),"",$D1842*IFERROR(INDEX(ProdCusto,MATCH($B1842,ProdCod,0)),0))</f>
        <v>0</v>
      </c>
      <c r="H1842" s="25">
        <f>IF($A1842="","",IF(OR($B1842="",$C1842="",$D1842=""),"Preencher tudo",IF($F1842="Código não cadastrado","Código inválido","OK")))</f>
        <v>0</v>
      </c>
    </row>
    <row r="1843" spans="1:8">
      <c r="A1843" s="16"/>
      <c r="B1843" s="15"/>
      <c r="C1843" s="20"/>
      <c r="D1843" s="22"/>
      <c r="E1843" s="15"/>
      <c r="F1843" s="23">
        <f>IF($B1843="","",IFERROR(INDEX(ProdNome,MATCH($B1843,ProdCod,0)),"Código não cadastrado"))</f>
        <v>0</v>
      </c>
      <c r="G1843" s="24">
        <f>IF(OR($B1843="",$D1843=""),"",$D1843*IFERROR(INDEX(ProdCusto,MATCH($B1843,ProdCod,0)),0))</f>
        <v>0</v>
      </c>
      <c r="H1843" s="25">
        <f>IF($A1843="","",IF(OR($B1843="",$C1843="",$D1843=""),"Preencher tudo",IF($F1843="Código não cadastrado","Código inválido","OK")))</f>
        <v>0</v>
      </c>
    </row>
    <row r="1844" spans="1:8">
      <c r="A1844" s="16"/>
      <c r="B1844" s="15"/>
      <c r="C1844" s="20"/>
      <c r="D1844" s="22"/>
      <c r="E1844" s="15"/>
      <c r="F1844" s="23">
        <f>IF($B1844="","",IFERROR(INDEX(ProdNome,MATCH($B1844,ProdCod,0)),"Código não cadastrado"))</f>
        <v>0</v>
      </c>
      <c r="G1844" s="24">
        <f>IF(OR($B1844="",$D1844=""),"",$D1844*IFERROR(INDEX(ProdCusto,MATCH($B1844,ProdCod,0)),0))</f>
        <v>0</v>
      </c>
      <c r="H1844" s="25">
        <f>IF($A1844="","",IF(OR($B1844="",$C1844="",$D1844=""),"Preencher tudo",IF($F1844="Código não cadastrado","Código inválido","OK")))</f>
        <v>0</v>
      </c>
    </row>
    <row r="1845" spans="1:8">
      <c r="A1845" s="16"/>
      <c r="B1845" s="15"/>
      <c r="C1845" s="20"/>
      <c r="D1845" s="22"/>
      <c r="E1845" s="15"/>
      <c r="F1845" s="23">
        <f>IF($B1845="","",IFERROR(INDEX(ProdNome,MATCH($B1845,ProdCod,0)),"Código não cadastrado"))</f>
        <v>0</v>
      </c>
      <c r="G1845" s="24">
        <f>IF(OR($B1845="",$D1845=""),"",$D1845*IFERROR(INDEX(ProdCusto,MATCH($B1845,ProdCod,0)),0))</f>
        <v>0</v>
      </c>
      <c r="H1845" s="25">
        <f>IF($A1845="","",IF(OR($B1845="",$C1845="",$D1845=""),"Preencher tudo",IF($F1845="Código não cadastrado","Código inválido","OK")))</f>
        <v>0</v>
      </c>
    </row>
    <row r="1846" spans="1:8">
      <c r="A1846" s="16"/>
      <c r="B1846" s="15"/>
      <c r="C1846" s="20"/>
      <c r="D1846" s="22"/>
      <c r="E1846" s="15"/>
      <c r="F1846" s="23">
        <f>IF($B1846="","",IFERROR(INDEX(ProdNome,MATCH($B1846,ProdCod,0)),"Código não cadastrado"))</f>
        <v>0</v>
      </c>
      <c r="G1846" s="24">
        <f>IF(OR($B1846="",$D1846=""),"",$D1846*IFERROR(INDEX(ProdCusto,MATCH($B1846,ProdCod,0)),0))</f>
        <v>0</v>
      </c>
      <c r="H1846" s="25">
        <f>IF($A1846="","",IF(OR($B1846="",$C1846="",$D1846=""),"Preencher tudo",IF($F1846="Código não cadastrado","Código inválido","OK")))</f>
        <v>0</v>
      </c>
    </row>
    <row r="1847" spans="1:8">
      <c r="A1847" s="16"/>
      <c r="B1847" s="15"/>
      <c r="C1847" s="20"/>
      <c r="D1847" s="22"/>
      <c r="E1847" s="15"/>
      <c r="F1847" s="23">
        <f>IF($B1847="","",IFERROR(INDEX(ProdNome,MATCH($B1847,ProdCod,0)),"Código não cadastrado"))</f>
        <v>0</v>
      </c>
      <c r="G1847" s="24">
        <f>IF(OR($B1847="",$D1847=""),"",$D1847*IFERROR(INDEX(ProdCusto,MATCH($B1847,ProdCod,0)),0))</f>
        <v>0</v>
      </c>
      <c r="H1847" s="25">
        <f>IF($A1847="","",IF(OR($B1847="",$C1847="",$D1847=""),"Preencher tudo",IF($F1847="Código não cadastrado","Código inválido","OK")))</f>
        <v>0</v>
      </c>
    </row>
    <row r="1848" spans="1:8">
      <c r="A1848" s="16"/>
      <c r="B1848" s="15"/>
      <c r="C1848" s="20"/>
      <c r="D1848" s="22"/>
      <c r="E1848" s="15"/>
      <c r="F1848" s="23">
        <f>IF($B1848="","",IFERROR(INDEX(ProdNome,MATCH($B1848,ProdCod,0)),"Código não cadastrado"))</f>
        <v>0</v>
      </c>
      <c r="G1848" s="24">
        <f>IF(OR($B1848="",$D1848=""),"",$D1848*IFERROR(INDEX(ProdCusto,MATCH($B1848,ProdCod,0)),0))</f>
        <v>0</v>
      </c>
      <c r="H1848" s="25">
        <f>IF($A1848="","",IF(OR($B1848="",$C1848="",$D1848=""),"Preencher tudo",IF($F1848="Código não cadastrado","Código inválido","OK")))</f>
        <v>0</v>
      </c>
    </row>
    <row r="1849" spans="1:8">
      <c r="A1849" s="16"/>
      <c r="B1849" s="15"/>
      <c r="C1849" s="20"/>
      <c r="D1849" s="22"/>
      <c r="E1849" s="15"/>
      <c r="F1849" s="23">
        <f>IF($B1849="","",IFERROR(INDEX(ProdNome,MATCH($B1849,ProdCod,0)),"Código não cadastrado"))</f>
        <v>0</v>
      </c>
      <c r="G1849" s="24">
        <f>IF(OR($B1849="",$D1849=""),"",$D1849*IFERROR(INDEX(ProdCusto,MATCH($B1849,ProdCod,0)),0))</f>
        <v>0</v>
      </c>
      <c r="H1849" s="25">
        <f>IF($A1849="","",IF(OR($B1849="",$C1849="",$D1849=""),"Preencher tudo",IF($F1849="Código não cadastrado","Código inválido","OK")))</f>
        <v>0</v>
      </c>
    </row>
    <row r="1850" spans="1:8">
      <c r="A1850" s="16"/>
      <c r="B1850" s="15"/>
      <c r="C1850" s="20"/>
      <c r="D1850" s="22"/>
      <c r="E1850" s="15"/>
      <c r="F1850" s="23">
        <f>IF($B1850="","",IFERROR(INDEX(ProdNome,MATCH($B1850,ProdCod,0)),"Código não cadastrado"))</f>
        <v>0</v>
      </c>
      <c r="G1850" s="24">
        <f>IF(OR($B1850="",$D1850=""),"",$D1850*IFERROR(INDEX(ProdCusto,MATCH($B1850,ProdCod,0)),0))</f>
        <v>0</v>
      </c>
      <c r="H1850" s="25">
        <f>IF($A1850="","",IF(OR($B1850="",$C1850="",$D1850=""),"Preencher tudo",IF($F1850="Código não cadastrado","Código inválido","OK")))</f>
        <v>0</v>
      </c>
    </row>
    <row r="1851" spans="1:8">
      <c r="A1851" s="16"/>
      <c r="B1851" s="15"/>
      <c r="C1851" s="20"/>
      <c r="D1851" s="22"/>
      <c r="E1851" s="15"/>
      <c r="F1851" s="23">
        <f>IF($B1851="","",IFERROR(INDEX(ProdNome,MATCH($B1851,ProdCod,0)),"Código não cadastrado"))</f>
        <v>0</v>
      </c>
      <c r="G1851" s="24">
        <f>IF(OR($B1851="",$D1851=""),"",$D1851*IFERROR(INDEX(ProdCusto,MATCH($B1851,ProdCod,0)),0))</f>
        <v>0</v>
      </c>
      <c r="H1851" s="25">
        <f>IF($A1851="","",IF(OR($B1851="",$C1851="",$D1851=""),"Preencher tudo",IF($F1851="Código não cadastrado","Código inválido","OK")))</f>
        <v>0</v>
      </c>
    </row>
    <row r="1852" spans="1:8">
      <c r="A1852" s="16"/>
      <c r="B1852" s="15"/>
      <c r="C1852" s="20"/>
      <c r="D1852" s="22"/>
      <c r="E1852" s="15"/>
      <c r="F1852" s="23">
        <f>IF($B1852="","",IFERROR(INDEX(ProdNome,MATCH($B1852,ProdCod,0)),"Código não cadastrado"))</f>
        <v>0</v>
      </c>
      <c r="G1852" s="24">
        <f>IF(OR($B1852="",$D1852=""),"",$D1852*IFERROR(INDEX(ProdCusto,MATCH($B1852,ProdCod,0)),0))</f>
        <v>0</v>
      </c>
      <c r="H1852" s="25">
        <f>IF($A1852="","",IF(OR($B1852="",$C1852="",$D1852=""),"Preencher tudo",IF($F1852="Código não cadastrado","Código inválido","OK")))</f>
        <v>0</v>
      </c>
    </row>
    <row r="1853" spans="1:8">
      <c r="A1853" s="16"/>
      <c r="B1853" s="15"/>
      <c r="C1853" s="20"/>
      <c r="D1853" s="22"/>
      <c r="E1853" s="15"/>
      <c r="F1853" s="23">
        <f>IF($B1853="","",IFERROR(INDEX(ProdNome,MATCH($B1853,ProdCod,0)),"Código não cadastrado"))</f>
        <v>0</v>
      </c>
      <c r="G1853" s="24">
        <f>IF(OR($B1853="",$D1853=""),"",$D1853*IFERROR(INDEX(ProdCusto,MATCH($B1853,ProdCod,0)),0))</f>
        <v>0</v>
      </c>
      <c r="H1853" s="25">
        <f>IF($A1853="","",IF(OR($B1853="",$C1853="",$D1853=""),"Preencher tudo",IF($F1853="Código não cadastrado","Código inválido","OK")))</f>
        <v>0</v>
      </c>
    </row>
    <row r="1854" spans="1:8">
      <c r="A1854" s="16"/>
      <c r="B1854" s="15"/>
      <c r="C1854" s="20"/>
      <c r="D1854" s="22"/>
      <c r="E1854" s="15"/>
      <c r="F1854" s="23">
        <f>IF($B1854="","",IFERROR(INDEX(ProdNome,MATCH($B1854,ProdCod,0)),"Código não cadastrado"))</f>
        <v>0</v>
      </c>
      <c r="G1854" s="24">
        <f>IF(OR($B1854="",$D1854=""),"",$D1854*IFERROR(INDEX(ProdCusto,MATCH($B1854,ProdCod,0)),0))</f>
        <v>0</v>
      </c>
      <c r="H1854" s="25">
        <f>IF($A1854="","",IF(OR($B1854="",$C1854="",$D1854=""),"Preencher tudo",IF($F1854="Código não cadastrado","Código inválido","OK")))</f>
        <v>0</v>
      </c>
    </row>
    <row r="1855" spans="1:8">
      <c r="A1855" s="16"/>
      <c r="B1855" s="15"/>
      <c r="C1855" s="20"/>
      <c r="D1855" s="22"/>
      <c r="E1855" s="15"/>
      <c r="F1855" s="23">
        <f>IF($B1855="","",IFERROR(INDEX(ProdNome,MATCH($B1855,ProdCod,0)),"Código não cadastrado"))</f>
        <v>0</v>
      </c>
      <c r="G1855" s="24">
        <f>IF(OR($B1855="",$D1855=""),"",$D1855*IFERROR(INDEX(ProdCusto,MATCH($B1855,ProdCod,0)),0))</f>
        <v>0</v>
      </c>
      <c r="H1855" s="25">
        <f>IF($A1855="","",IF(OR($B1855="",$C1855="",$D1855=""),"Preencher tudo",IF($F1855="Código não cadastrado","Código inválido","OK")))</f>
        <v>0</v>
      </c>
    </row>
    <row r="1856" spans="1:8">
      <c r="A1856" s="16"/>
      <c r="B1856" s="15"/>
      <c r="C1856" s="20"/>
      <c r="D1856" s="22"/>
      <c r="E1856" s="15"/>
      <c r="F1856" s="23">
        <f>IF($B1856="","",IFERROR(INDEX(ProdNome,MATCH($B1856,ProdCod,0)),"Código não cadastrado"))</f>
        <v>0</v>
      </c>
      <c r="G1856" s="24">
        <f>IF(OR($B1856="",$D1856=""),"",$D1856*IFERROR(INDEX(ProdCusto,MATCH($B1856,ProdCod,0)),0))</f>
        <v>0</v>
      </c>
      <c r="H1856" s="25">
        <f>IF($A1856="","",IF(OR($B1856="",$C1856="",$D1856=""),"Preencher tudo",IF($F1856="Código não cadastrado","Código inválido","OK")))</f>
        <v>0</v>
      </c>
    </row>
    <row r="1857" spans="1:8">
      <c r="A1857" s="16"/>
      <c r="B1857" s="15"/>
      <c r="C1857" s="20"/>
      <c r="D1857" s="22"/>
      <c r="E1857" s="15"/>
      <c r="F1857" s="23">
        <f>IF($B1857="","",IFERROR(INDEX(ProdNome,MATCH($B1857,ProdCod,0)),"Código não cadastrado"))</f>
        <v>0</v>
      </c>
      <c r="G1857" s="24">
        <f>IF(OR($B1857="",$D1857=""),"",$D1857*IFERROR(INDEX(ProdCusto,MATCH($B1857,ProdCod,0)),0))</f>
        <v>0</v>
      </c>
      <c r="H1857" s="25">
        <f>IF($A1857="","",IF(OR($B1857="",$C1857="",$D1857=""),"Preencher tudo",IF($F1857="Código não cadastrado","Código inválido","OK")))</f>
        <v>0</v>
      </c>
    </row>
    <row r="1858" spans="1:8">
      <c r="A1858" s="16"/>
      <c r="B1858" s="15"/>
      <c r="C1858" s="20"/>
      <c r="D1858" s="22"/>
      <c r="E1858" s="15"/>
      <c r="F1858" s="23">
        <f>IF($B1858="","",IFERROR(INDEX(ProdNome,MATCH($B1858,ProdCod,0)),"Código não cadastrado"))</f>
        <v>0</v>
      </c>
      <c r="G1858" s="24">
        <f>IF(OR($B1858="",$D1858=""),"",$D1858*IFERROR(INDEX(ProdCusto,MATCH($B1858,ProdCod,0)),0))</f>
        <v>0</v>
      </c>
      <c r="H1858" s="25">
        <f>IF($A1858="","",IF(OR($B1858="",$C1858="",$D1858=""),"Preencher tudo",IF($F1858="Código não cadastrado","Código inválido","OK")))</f>
        <v>0</v>
      </c>
    </row>
    <row r="1859" spans="1:8">
      <c r="A1859" s="16"/>
      <c r="B1859" s="15"/>
      <c r="C1859" s="20"/>
      <c r="D1859" s="22"/>
      <c r="E1859" s="15"/>
      <c r="F1859" s="23">
        <f>IF($B1859="","",IFERROR(INDEX(ProdNome,MATCH($B1859,ProdCod,0)),"Código não cadastrado"))</f>
        <v>0</v>
      </c>
      <c r="G1859" s="24">
        <f>IF(OR($B1859="",$D1859=""),"",$D1859*IFERROR(INDEX(ProdCusto,MATCH($B1859,ProdCod,0)),0))</f>
        <v>0</v>
      </c>
      <c r="H1859" s="25">
        <f>IF($A1859="","",IF(OR($B1859="",$C1859="",$D1859=""),"Preencher tudo",IF($F1859="Código não cadastrado","Código inválido","OK")))</f>
        <v>0</v>
      </c>
    </row>
    <row r="1860" spans="1:8">
      <c r="A1860" s="16"/>
      <c r="B1860" s="15"/>
      <c r="C1860" s="20"/>
      <c r="D1860" s="22"/>
      <c r="E1860" s="15"/>
      <c r="F1860" s="23">
        <f>IF($B1860="","",IFERROR(INDEX(ProdNome,MATCH($B1860,ProdCod,0)),"Código não cadastrado"))</f>
        <v>0</v>
      </c>
      <c r="G1860" s="24">
        <f>IF(OR($B1860="",$D1860=""),"",$D1860*IFERROR(INDEX(ProdCusto,MATCH($B1860,ProdCod,0)),0))</f>
        <v>0</v>
      </c>
      <c r="H1860" s="25">
        <f>IF($A1860="","",IF(OR($B1860="",$C1860="",$D1860=""),"Preencher tudo",IF($F1860="Código não cadastrado","Código inválido","OK")))</f>
        <v>0</v>
      </c>
    </row>
    <row r="1861" spans="1:8">
      <c r="A1861" s="16"/>
      <c r="B1861" s="15"/>
      <c r="C1861" s="20"/>
      <c r="D1861" s="22"/>
      <c r="E1861" s="15"/>
      <c r="F1861" s="23">
        <f>IF($B1861="","",IFERROR(INDEX(ProdNome,MATCH($B1861,ProdCod,0)),"Código não cadastrado"))</f>
        <v>0</v>
      </c>
      <c r="G1861" s="24">
        <f>IF(OR($B1861="",$D1861=""),"",$D1861*IFERROR(INDEX(ProdCusto,MATCH($B1861,ProdCod,0)),0))</f>
        <v>0</v>
      </c>
      <c r="H1861" s="25">
        <f>IF($A1861="","",IF(OR($B1861="",$C1861="",$D1861=""),"Preencher tudo",IF($F1861="Código não cadastrado","Código inválido","OK")))</f>
        <v>0</v>
      </c>
    </row>
    <row r="1862" spans="1:8">
      <c r="A1862" s="16"/>
      <c r="B1862" s="15"/>
      <c r="C1862" s="20"/>
      <c r="D1862" s="22"/>
      <c r="E1862" s="15"/>
      <c r="F1862" s="23">
        <f>IF($B1862="","",IFERROR(INDEX(ProdNome,MATCH($B1862,ProdCod,0)),"Código não cadastrado"))</f>
        <v>0</v>
      </c>
      <c r="G1862" s="24">
        <f>IF(OR($B1862="",$D1862=""),"",$D1862*IFERROR(INDEX(ProdCusto,MATCH($B1862,ProdCod,0)),0))</f>
        <v>0</v>
      </c>
      <c r="H1862" s="25">
        <f>IF($A1862="","",IF(OR($B1862="",$C1862="",$D1862=""),"Preencher tudo",IF($F1862="Código não cadastrado","Código inválido","OK")))</f>
        <v>0</v>
      </c>
    </row>
    <row r="1863" spans="1:8">
      <c r="A1863" s="16"/>
      <c r="B1863" s="15"/>
      <c r="C1863" s="20"/>
      <c r="D1863" s="22"/>
      <c r="E1863" s="15"/>
      <c r="F1863" s="23">
        <f>IF($B1863="","",IFERROR(INDEX(ProdNome,MATCH($B1863,ProdCod,0)),"Código não cadastrado"))</f>
        <v>0</v>
      </c>
      <c r="G1863" s="24">
        <f>IF(OR($B1863="",$D1863=""),"",$D1863*IFERROR(INDEX(ProdCusto,MATCH($B1863,ProdCod,0)),0))</f>
        <v>0</v>
      </c>
      <c r="H1863" s="25">
        <f>IF($A1863="","",IF(OR($B1863="",$C1863="",$D1863=""),"Preencher tudo",IF($F1863="Código não cadastrado","Código inválido","OK")))</f>
        <v>0</v>
      </c>
    </row>
    <row r="1864" spans="1:8">
      <c r="A1864" s="16"/>
      <c r="B1864" s="15"/>
      <c r="C1864" s="20"/>
      <c r="D1864" s="22"/>
      <c r="E1864" s="15"/>
      <c r="F1864" s="23">
        <f>IF($B1864="","",IFERROR(INDEX(ProdNome,MATCH($B1864,ProdCod,0)),"Código não cadastrado"))</f>
        <v>0</v>
      </c>
      <c r="G1864" s="24">
        <f>IF(OR($B1864="",$D1864=""),"",$D1864*IFERROR(INDEX(ProdCusto,MATCH($B1864,ProdCod,0)),0))</f>
        <v>0</v>
      </c>
      <c r="H1864" s="25">
        <f>IF($A1864="","",IF(OR($B1864="",$C1864="",$D1864=""),"Preencher tudo",IF($F1864="Código não cadastrado","Código inválido","OK")))</f>
        <v>0</v>
      </c>
    </row>
    <row r="1865" spans="1:8">
      <c r="A1865" s="16"/>
      <c r="B1865" s="15"/>
      <c r="C1865" s="20"/>
      <c r="D1865" s="22"/>
      <c r="E1865" s="15"/>
      <c r="F1865" s="23">
        <f>IF($B1865="","",IFERROR(INDEX(ProdNome,MATCH($B1865,ProdCod,0)),"Código não cadastrado"))</f>
        <v>0</v>
      </c>
      <c r="G1865" s="24">
        <f>IF(OR($B1865="",$D1865=""),"",$D1865*IFERROR(INDEX(ProdCusto,MATCH($B1865,ProdCod,0)),0))</f>
        <v>0</v>
      </c>
      <c r="H1865" s="25">
        <f>IF($A1865="","",IF(OR($B1865="",$C1865="",$D1865=""),"Preencher tudo",IF($F1865="Código não cadastrado","Código inválido","OK")))</f>
        <v>0</v>
      </c>
    </row>
    <row r="1866" spans="1:8">
      <c r="A1866" s="16"/>
      <c r="B1866" s="15"/>
      <c r="C1866" s="20"/>
      <c r="D1866" s="22"/>
      <c r="E1866" s="15"/>
      <c r="F1866" s="23">
        <f>IF($B1866="","",IFERROR(INDEX(ProdNome,MATCH($B1866,ProdCod,0)),"Código não cadastrado"))</f>
        <v>0</v>
      </c>
      <c r="G1866" s="24">
        <f>IF(OR($B1866="",$D1866=""),"",$D1866*IFERROR(INDEX(ProdCusto,MATCH($B1866,ProdCod,0)),0))</f>
        <v>0</v>
      </c>
      <c r="H1866" s="25">
        <f>IF($A1866="","",IF(OR($B1866="",$C1866="",$D1866=""),"Preencher tudo",IF($F1866="Código não cadastrado","Código inválido","OK")))</f>
        <v>0</v>
      </c>
    </row>
    <row r="1867" spans="1:8">
      <c r="A1867" s="16"/>
      <c r="B1867" s="15"/>
      <c r="C1867" s="20"/>
      <c r="D1867" s="22"/>
      <c r="E1867" s="15"/>
      <c r="F1867" s="23">
        <f>IF($B1867="","",IFERROR(INDEX(ProdNome,MATCH($B1867,ProdCod,0)),"Código não cadastrado"))</f>
        <v>0</v>
      </c>
      <c r="G1867" s="24">
        <f>IF(OR($B1867="",$D1867=""),"",$D1867*IFERROR(INDEX(ProdCusto,MATCH($B1867,ProdCod,0)),0))</f>
        <v>0</v>
      </c>
      <c r="H1867" s="25">
        <f>IF($A1867="","",IF(OR($B1867="",$C1867="",$D1867=""),"Preencher tudo",IF($F1867="Código não cadastrado","Código inválido","OK")))</f>
        <v>0</v>
      </c>
    </row>
    <row r="1868" spans="1:8">
      <c r="A1868" s="16"/>
      <c r="B1868" s="15"/>
      <c r="C1868" s="20"/>
      <c r="D1868" s="22"/>
      <c r="E1868" s="15"/>
      <c r="F1868" s="23">
        <f>IF($B1868="","",IFERROR(INDEX(ProdNome,MATCH($B1868,ProdCod,0)),"Código não cadastrado"))</f>
        <v>0</v>
      </c>
      <c r="G1868" s="24">
        <f>IF(OR($B1868="",$D1868=""),"",$D1868*IFERROR(INDEX(ProdCusto,MATCH($B1868,ProdCod,0)),0))</f>
        <v>0</v>
      </c>
      <c r="H1868" s="25">
        <f>IF($A1868="","",IF(OR($B1868="",$C1868="",$D1868=""),"Preencher tudo",IF($F1868="Código não cadastrado","Código inválido","OK")))</f>
        <v>0</v>
      </c>
    </row>
    <row r="1869" spans="1:8">
      <c r="A1869" s="16"/>
      <c r="B1869" s="15"/>
      <c r="C1869" s="20"/>
      <c r="D1869" s="22"/>
      <c r="E1869" s="15"/>
      <c r="F1869" s="23">
        <f>IF($B1869="","",IFERROR(INDEX(ProdNome,MATCH($B1869,ProdCod,0)),"Código não cadastrado"))</f>
        <v>0</v>
      </c>
      <c r="G1869" s="24">
        <f>IF(OR($B1869="",$D1869=""),"",$D1869*IFERROR(INDEX(ProdCusto,MATCH($B1869,ProdCod,0)),0))</f>
        <v>0</v>
      </c>
      <c r="H1869" s="25">
        <f>IF($A1869="","",IF(OR($B1869="",$C1869="",$D1869=""),"Preencher tudo",IF($F1869="Código não cadastrado","Código inválido","OK")))</f>
        <v>0</v>
      </c>
    </row>
    <row r="1870" spans="1:8">
      <c r="A1870" s="16"/>
      <c r="B1870" s="15"/>
      <c r="C1870" s="20"/>
      <c r="D1870" s="22"/>
      <c r="E1870" s="15"/>
      <c r="F1870" s="23">
        <f>IF($B1870="","",IFERROR(INDEX(ProdNome,MATCH($B1870,ProdCod,0)),"Código não cadastrado"))</f>
        <v>0</v>
      </c>
      <c r="G1870" s="24">
        <f>IF(OR($B1870="",$D1870=""),"",$D1870*IFERROR(INDEX(ProdCusto,MATCH($B1870,ProdCod,0)),0))</f>
        <v>0</v>
      </c>
      <c r="H1870" s="25">
        <f>IF($A1870="","",IF(OR($B1870="",$C1870="",$D1870=""),"Preencher tudo",IF($F1870="Código não cadastrado","Código inválido","OK")))</f>
        <v>0</v>
      </c>
    </row>
    <row r="1871" spans="1:8">
      <c r="A1871" s="16"/>
      <c r="B1871" s="15"/>
      <c r="C1871" s="20"/>
      <c r="D1871" s="22"/>
      <c r="E1871" s="15"/>
      <c r="F1871" s="23">
        <f>IF($B1871="","",IFERROR(INDEX(ProdNome,MATCH($B1871,ProdCod,0)),"Código não cadastrado"))</f>
        <v>0</v>
      </c>
      <c r="G1871" s="24">
        <f>IF(OR($B1871="",$D1871=""),"",$D1871*IFERROR(INDEX(ProdCusto,MATCH($B1871,ProdCod,0)),0))</f>
        <v>0</v>
      </c>
      <c r="H1871" s="25">
        <f>IF($A1871="","",IF(OR($B1871="",$C1871="",$D1871=""),"Preencher tudo",IF($F1871="Código não cadastrado","Código inválido","OK")))</f>
        <v>0</v>
      </c>
    </row>
    <row r="1872" spans="1:8">
      <c r="A1872" s="16"/>
      <c r="B1872" s="15"/>
      <c r="C1872" s="20"/>
      <c r="D1872" s="22"/>
      <c r="E1872" s="15"/>
      <c r="F1872" s="23">
        <f>IF($B1872="","",IFERROR(INDEX(ProdNome,MATCH($B1872,ProdCod,0)),"Código não cadastrado"))</f>
        <v>0</v>
      </c>
      <c r="G1872" s="24">
        <f>IF(OR($B1872="",$D1872=""),"",$D1872*IFERROR(INDEX(ProdCusto,MATCH($B1872,ProdCod,0)),0))</f>
        <v>0</v>
      </c>
      <c r="H1872" s="25">
        <f>IF($A1872="","",IF(OR($B1872="",$C1872="",$D1872=""),"Preencher tudo",IF($F1872="Código não cadastrado","Código inválido","OK")))</f>
        <v>0</v>
      </c>
    </row>
    <row r="1873" spans="1:8">
      <c r="A1873" s="16"/>
      <c r="B1873" s="15"/>
      <c r="C1873" s="20"/>
      <c r="D1873" s="22"/>
      <c r="E1873" s="15"/>
      <c r="F1873" s="23">
        <f>IF($B1873="","",IFERROR(INDEX(ProdNome,MATCH($B1873,ProdCod,0)),"Código não cadastrado"))</f>
        <v>0</v>
      </c>
      <c r="G1873" s="24">
        <f>IF(OR($B1873="",$D1873=""),"",$D1873*IFERROR(INDEX(ProdCusto,MATCH($B1873,ProdCod,0)),0))</f>
        <v>0</v>
      </c>
      <c r="H1873" s="25">
        <f>IF($A1873="","",IF(OR($B1873="",$C1873="",$D1873=""),"Preencher tudo",IF($F1873="Código não cadastrado","Código inválido","OK")))</f>
        <v>0</v>
      </c>
    </row>
    <row r="1874" spans="1:8">
      <c r="A1874" s="16"/>
      <c r="B1874" s="15"/>
      <c r="C1874" s="20"/>
      <c r="D1874" s="22"/>
      <c r="E1874" s="15"/>
      <c r="F1874" s="23">
        <f>IF($B1874="","",IFERROR(INDEX(ProdNome,MATCH($B1874,ProdCod,0)),"Código não cadastrado"))</f>
        <v>0</v>
      </c>
      <c r="G1874" s="24">
        <f>IF(OR($B1874="",$D1874=""),"",$D1874*IFERROR(INDEX(ProdCusto,MATCH($B1874,ProdCod,0)),0))</f>
        <v>0</v>
      </c>
      <c r="H1874" s="25">
        <f>IF($A1874="","",IF(OR($B1874="",$C1874="",$D1874=""),"Preencher tudo",IF($F1874="Código não cadastrado","Código inválido","OK")))</f>
        <v>0</v>
      </c>
    </row>
    <row r="1875" spans="1:8">
      <c r="A1875" s="16"/>
      <c r="B1875" s="15"/>
      <c r="C1875" s="20"/>
      <c r="D1875" s="22"/>
      <c r="E1875" s="15"/>
      <c r="F1875" s="23">
        <f>IF($B1875="","",IFERROR(INDEX(ProdNome,MATCH($B1875,ProdCod,0)),"Código não cadastrado"))</f>
        <v>0</v>
      </c>
      <c r="G1875" s="24">
        <f>IF(OR($B1875="",$D1875=""),"",$D1875*IFERROR(INDEX(ProdCusto,MATCH($B1875,ProdCod,0)),0))</f>
        <v>0</v>
      </c>
      <c r="H1875" s="25">
        <f>IF($A1875="","",IF(OR($B1875="",$C1875="",$D1875=""),"Preencher tudo",IF($F1875="Código não cadastrado","Código inválido","OK")))</f>
        <v>0</v>
      </c>
    </row>
    <row r="1876" spans="1:8">
      <c r="A1876" s="16"/>
      <c r="B1876" s="15"/>
      <c r="C1876" s="20"/>
      <c r="D1876" s="22"/>
      <c r="E1876" s="15"/>
      <c r="F1876" s="23">
        <f>IF($B1876="","",IFERROR(INDEX(ProdNome,MATCH($B1876,ProdCod,0)),"Código não cadastrado"))</f>
        <v>0</v>
      </c>
      <c r="G1876" s="24">
        <f>IF(OR($B1876="",$D1876=""),"",$D1876*IFERROR(INDEX(ProdCusto,MATCH($B1876,ProdCod,0)),0))</f>
        <v>0</v>
      </c>
      <c r="H1876" s="25">
        <f>IF($A1876="","",IF(OR($B1876="",$C1876="",$D1876=""),"Preencher tudo",IF($F1876="Código não cadastrado","Código inválido","OK")))</f>
        <v>0</v>
      </c>
    </row>
    <row r="1877" spans="1:8">
      <c r="A1877" s="16"/>
      <c r="B1877" s="15"/>
      <c r="C1877" s="20"/>
      <c r="D1877" s="22"/>
      <c r="E1877" s="15"/>
      <c r="F1877" s="23">
        <f>IF($B1877="","",IFERROR(INDEX(ProdNome,MATCH($B1877,ProdCod,0)),"Código não cadastrado"))</f>
        <v>0</v>
      </c>
      <c r="G1877" s="24">
        <f>IF(OR($B1877="",$D1877=""),"",$D1877*IFERROR(INDEX(ProdCusto,MATCH($B1877,ProdCod,0)),0))</f>
        <v>0</v>
      </c>
      <c r="H1877" s="25">
        <f>IF($A1877="","",IF(OR($B1877="",$C1877="",$D1877=""),"Preencher tudo",IF($F1877="Código não cadastrado","Código inválido","OK")))</f>
        <v>0</v>
      </c>
    </row>
    <row r="1878" spans="1:8">
      <c r="A1878" s="16"/>
      <c r="B1878" s="15"/>
      <c r="C1878" s="20"/>
      <c r="D1878" s="22"/>
      <c r="E1878" s="15"/>
      <c r="F1878" s="23">
        <f>IF($B1878="","",IFERROR(INDEX(ProdNome,MATCH($B1878,ProdCod,0)),"Código não cadastrado"))</f>
        <v>0</v>
      </c>
      <c r="G1878" s="24">
        <f>IF(OR($B1878="",$D1878=""),"",$D1878*IFERROR(INDEX(ProdCusto,MATCH($B1878,ProdCod,0)),0))</f>
        <v>0</v>
      </c>
      <c r="H1878" s="25">
        <f>IF($A1878="","",IF(OR($B1878="",$C1878="",$D1878=""),"Preencher tudo",IF($F1878="Código não cadastrado","Código inválido","OK")))</f>
        <v>0</v>
      </c>
    </row>
    <row r="1879" spans="1:8">
      <c r="A1879" s="16"/>
      <c r="B1879" s="15"/>
      <c r="C1879" s="20"/>
      <c r="D1879" s="22"/>
      <c r="E1879" s="15"/>
      <c r="F1879" s="23">
        <f>IF($B1879="","",IFERROR(INDEX(ProdNome,MATCH($B1879,ProdCod,0)),"Código não cadastrado"))</f>
        <v>0</v>
      </c>
      <c r="G1879" s="24">
        <f>IF(OR($B1879="",$D1879=""),"",$D1879*IFERROR(INDEX(ProdCusto,MATCH($B1879,ProdCod,0)),0))</f>
        <v>0</v>
      </c>
      <c r="H1879" s="25">
        <f>IF($A1879="","",IF(OR($B1879="",$C1879="",$D1879=""),"Preencher tudo",IF($F1879="Código não cadastrado","Código inválido","OK")))</f>
        <v>0</v>
      </c>
    </row>
    <row r="1880" spans="1:8">
      <c r="A1880" s="16"/>
      <c r="B1880" s="15"/>
      <c r="C1880" s="20"/>
      <c r="D1880" s="22"/>
      <c r="E1880" s="15"/>
      <c r="F1880" s="23">
        <f>IF($B1880="","",IFERROR(INDEX(ProdNome,MATCH($B1880,ProdCod,0)),"Código não cadastrado"))</f>
        <v>0</v>
      </c>
      <c r="G1880" s="24">
        <f>IF(OR($B1880="",$D1880=""),"",$D1880*IFERROR(INDEX(ProdCusto,MATCH($B1880,ProdCod,0)),0))</f>
        <v>0</v>
      </c>
      <c r="H1880" s="25">
        <f>IF($A1880="","",IF(OR($B1880="",$C1880="",$D1880=""),"Preencher tudo",IF($F1880="Código não cadastrado","Código inválido","OK")))</f>
        <v>0</v>
      </c>
    </row>
    <row r="1881" spans="1:8">
      <c r="A1881" s="16"/>
      <c r="B1881" s="15"/>
      <c r="C1881" s="20"/>
      <c r="D1881" s="22"/>
      <c r="E1881" s="15"/>
      <c r="F1881" s="23">
        <f>IF($B1881="","",IFERROR(INDEX(ProdNome,MATCH($B1881,ProdCod,0)),"Código não cadastrado"))</f>
        <v>0</v>
      </c>
      <c r="G1881" s="24">
        <f>IF(OR($B1881="",$D1881=""),"",$D1881*IFERROR(INDEX(ProdCusto,MATCH($B1881,ProdCod,0)),0))</f>
        <v>0</v>
      </c>
      <c r="H1881" s="25">
        <f>IF($A1881="","",IF(OR($B1881="",$C1881="",$D1881=""),"Preencher tudo",IF($F1881="Código não cadastrado","Código inválido","OK")))</f>
        <v>0</v>
      </c>
    </row>
    <row r="1882" spans="1:8">
      <c r="A1882" s="16"/>
      <c r="B1882" s="15"/>
      <c r="C1882" s="20"/>
      <c r="D1882" s="22"/>
      <c r="E1882" s="15"/>
      <c r="F1882" s="23">
        <f>IF($B1882="","",IFERROR(INDEX(ProdNome,MATCH($B1882,ProdCod,0)),"Código não cadastrado"))</f>
        <v>0</v>
      </c>
      <c r="G1882" s="24">
        <f>IF(OR($B1882="",$D1882=""),"",$D1882*IFERROR(INDEX(ProdCusto,MATCH($B1882,ProdCod,0)),0))</f>
        <v>0</v>
      </c>
      <c r="H1882" s="25">
        <f>IF($A1882="","",IF(OR($B1882="",$C1882="",$D1882=""),"Preencher tudo",IF($F1882="Código não cadastrado","Código inválido","OK")))</f>
        <v>0</v>
      </c>
    </row>
    <row r="1883" spans="1:8">
      <c r="A1883" s="16"/>
      <c r="B1883" s="15"/>
      <c r="C1883" s="20"/>
      <c r="D1883" s="22"/>
      <c r="E1883" s="15"/>
      <c r="F1883" s="23">
        <f>IF($B1883="","",IFERROR(INDEX(ProdNome,MATCH($B1883,ProdCod,0)),"Código não cadastrado"))</f>
        <v>0</v>
      </c>
      <c r="G1883" s="24">
        <f>IF(OR($B1883="",$D1883=""),"",$D1883*IFERROR(INDEX(ProdCusto,MATCH($B1883,ProdCod,0)),0))</f>
        <v>0</v>
      </c>
      <c r="H1883" s="25">
        <f>IF($A1883="","",IF(OR($B1883="",$C1883="",$D1883=""),"Preencher tudo",IF($F1883="Código não cadastrado","Código inválido","OK")))</f>
        <v>0</v>
      </c>
    </row>
    <row r="1884" spans="1:8">
      <c r="A1884" s="16"/>
      <c r="B1884" s="15"/>
      <c r="C1884" s="20"/>
      <c r="D1884" s="22"/>
      <c r="E1884" s="15"/>
      <c r="F1884" s="23">
        <f>IF($B1884="","",IFERROR(INDEX(ProdNome,MATCH($B1884,ProdCod,0)),"Código não cadastrado"))</f>
        <v>0</v>
      </c>
      <c r="G1884" s="24">
        <f>IF(OR($B1884="",$D1884=""),"",$D1884*IFERROR(INDEX(ProdCusto,MATCH($B1884,ProdCod,0)),0))</f>
        <v>0</v>
      </c>
      <c r="H1884" s="25">
        <f>IF($A1884="","",IF(OR($B1884="",$C1884="",$D1884=""),"Preencher tudo",IF($F1884="Código não cadastrado","Código inválido","OK")))</f>
        <v>0</v>
      </c>
    </row>
    <row r="1885" spans="1:8">
      <c r="A1885" s="16"/>
      <c r="B1885" s="15"/>
      <c r="C1885" s="20"/>
      <c r="D1885" s="22"/>
      <c r="E1885" s="15"/>
      <c r="F1885" s="23">
        <f>IF($B1885="","",IFERROR(INDEX(ProdNome,MATCH($B1885,ProdCod,0)),"Código não cadastrado"))</f>
        <v>0</v>
      </c>
      <c r="G1885" s="24">
        <f>IF(OR($B1885="",$D1885=""),"",$D1885*IFERROR(INDEX(ProdCusto,MATCH($B1885,ProdCod,0)),0))</f>
        <v>0</v>
      </c>
      <c r="H1885" s="25">
        <f>IF($A1885="","",IF(OR($B1885="",$C1885="",$D1885=""),"Preencher tudo",IF($F1885="Código não cadastrado","Código inválido","OK")))</f>
        <v>0</v>
      </c>
    </row>
    <row r="1886" spans="1:8">
      <c r="A1886" s="16"/>
      <c r="B1886" s="15"/>
      <c r="C1886" s="20"/>
      <c r="D1886" s="22"/>
      <c r="E1886" s="15"/>
      <c r="F1886" s="23">
        <f>IF($B1886="","",IFERROR(INDEX(ProdNome,MATCH($B1886,ProdCod,0)),"Código não cadastrado"))</f>
        <v>0</v>
      </c>
      <c r="G1886" s="24">
        <f>IF(OR($B1886="",$D1886=""),"",$D1886*IFERROR(INDEX(ProdCusto,MATCH($B1886,ProdCod,0)),0))</f>
        <v>0</v>
      </c>
      <c r="H1886" s="25">
        <f>IF($A1886="","",IF(OR($B1886="",$C1886="",$D1886=""),"Preencher tudo",IF($F1886="Código não cadastrado","Código inválido","OK")))</f>
        <v>0</v>
      </c>
    </row>
    <row r="1887" spans="1:8">
      <c r="A1887" s="16"/>
      <c r="B1887" s="15"/>
      <c r="C1887" s="20"/>
      <c r="D1887" s="22"/>
      <c r="E1887" s="15"/>
      <c r="F1887" s="23">
        <f>IF($B1887="","",IFERROR(INDEX(ProdNome,MATCH($B1887,ProdCod,0)),"Código não cadastrado"))</f>
        <v>0</v>
      </c>
      <c r="G1887" s="24">
        <f>IF(OR($B1887="",$D1887=""),"",$D1887*IFERROR(INDEX(ProdCusto,MATCH($B1887,ProdCod,0)),0))</f>
        <v>0</v>
      </c>
      <c r="H1887" s="25">
        <f>IF($A1887="","",IF(OR($B1887="",$C1887="",$D1887=""),"Preencher tudo",IF($F1887="Código não cadastrado","Código inválido","OK")))</f>
        <v>0</v>
      </c>
    </row>
    <row r="1888" spans="1:8">
      <c r="A1888" s="16"/>
      <c r="B1888" s="15"/>
      <c r="C1888" s="20"/>
      <c r="D1888" s="22"/>
      <c r="E1888" s="15"/>
      <c r="F1888" s="23">
        <f>IF($B1888="","",IFERROR(INDEX(ProdNome,MATCH($B1888,ProdCod,0)),"Código não cadastrado"))</f>
        <v>0</v>
      </c>
      <c r="G1888" s="24">
        <f>IF(OR($B1888="",$D1888=""),"",$D1888*IFERROR(INDEX(ProdCusto,MATCH($B1888,ProdCod,0)),0))</f>
        <v>0</v>
      </c>
      <c r="H1888" s="25">
        <f>IF($A1888="","",IF(OR($B1888="",$C1888="",$D1888=""),"Preencher tudo",IF($F1888="Código não cadastrado","Código inválido","OK")))</f>
        <v>0</v>
      </c>
    </row>
    <row r="1889" spans="1:8">
      <c r="A1889" s="16"/>
      <c r="B1889" s="15"/>
      <c r="C1889" s="20"/>
      <c r="D1889" s="22"/>
      <c r="E1889" s="15"/>
      <c r="F1889" s="23">
        <f>IF($B1889="","",IFERROR(INDEX(ProdNome,MATCH($B1889,ProdCod,0)),"Código não cadastrado"))</f>
        <v>0</v>
      </c>
      <c r="G1889" s="24">
        <f>IF(OR($B1889="",$D1889=""),"",$D1889*IFERROR(INDEX(ProdCusto,MATCH($B1889,ProdCod,0)),0))</f>
        <v>0</v>
      </c>
      <c r="H1889" s="25">
        <f>IF($A1889="","",IF(OR($B1889="",$C1889="",$D1889=""),"Preencher tudo",IF($F1889="Código não cadastrado","Código inválido","OK")))</f>
        <v>0</v>
      </c>
    </row>
    <row r="1890" spans="1:8">
      <c r="A1890" s="16"/>
      <c r="B1890" s="15"/>
      <c r="C1890" s="20"/>
      <c r="D1890" s="22"/>
      <c r="E1890" s="15"/>
      <c r="F1890" s="23">
        <f>IF($B1890="","",IFERROR(INDEX(ProdNome,MATCH($B1890,ProdCod,0)),"Código não cadastrado"))</f>
        <v>0</v>
      </c>
      <c r="G1890" s="24">
        <f>IF(OR($B1890="",$D1890=""),"",$D1890*IFERROR(INDEX(ProdCusto,MATCH($B1890,ProdCod,0)),0))</f>
        <v>0</v>
      </c>
      <c r="H1890" s="25">
        <f>IF($A1890="","",IF(OR($B1890="",$C1890="",$D1890=""),"Preencher tudo",IF($F1890="Código não cadastrado","Código inválido","OK")))</f>
        <v>0</v>
      </c>
    </row>
    <row r="1891" spans="1:8">
      <c r="A1891" s="16"/>
      <c r="B1891" s="15"/>
      <c r="C1891" s="20"/>
      <c r="D1891" s="22"/>
      <c r="E1891" s="15"/>
      <c r="F1891" s="23">
        <f>IF($B1891="","",IFERROR(INDEX(ProdNome,MATCH($B1891,ProdCod,0)),"Código não cadastrado"))</f>
        <v>0</v>
      </c>
      <c r="G1891" s="24">
        <f>IF(OR($B1891="",$D1891=""),"",$D1891*IFERROR(INDEX(ProdCusto,MATCH($B1891,ProdCod,0)),0))</f>
        <v>0</v>
      </c>
      <c r="H1891" s="25">
        <f>IF($A1891="","",IF(OR($B1891="",$C1891="",$D1891=""),"Preencher tudo",IF($F1891="Código não cadastrado","Código inválido","OK")))</f>
        <v>0</v>
      </c>
    </row>
    <row r="1892" spans="1:8">
      <c r="A1892" s="16"/>
      <c r="B1892" s="15"/>
      <c r="C1892" s="20"/>
      <c r="D1892" s="22"/>
      <c r="E1892" s="15"/>
      <c r="F1892" s="23">
        <f>IF($B1892="","",IFERROR(INDEX(ProdNome,MATCH($B1892,ProdCod,0)),"Código não cadastrado"))</f>
        <v>0</v>
      </c>
      <c r="G1892" s="24">
        <f>IF(OR($B1892="",$D1892=""),"",$D1892*IFERROR(INDEX(ProdCusto,MATCH($B1892,ProdCod,0)),0))</f>
        <v>0</v>
      </c>
      <c r="H1892" s="25">
        <f>IF($A1892="","",IF(OR($B1892="",$C1892="",$D1892=""),"Preencher tudo",IF($F1892="Código não cadastrado","Código inválido","OK")))</f>
        <v>0</v>
      </c>
    </row>
    <row r="1893" spans="1:8">
      <c r="A1893" s="16"/>
      <c r="B1893" s="15"/>
      <c r="C1893" s="20"/>
      <c r="D1893" s="22"/>
      <c r="E1893" s="15"/>
      <c r="F1893" s="23">
        <f>IF($B1893="","",IFERROR(INDEX(ProdNome,MATCH($B1893,ProdCod,0)),"Código não cadastrado"))</f>
        <v>0</v>
      </c>
      <c r="G1893" s="24">
        <f>IF(OR($B1893="",$D1893=""),"",$D1893*IFERROR(INDEX(ProdCusto,MATCH($B1893,ProdCod,0)),0))</f>
        <v>0</v>
      </c>
      <c r="H1893" s="25">
        <f>IF($A1893="","",IF(OR($B1893="",$C1893="",$D1893=""),"Preencher tudo",IF($F1893="Código não cadastrado","Código inválido","OK")))</f>
        <v>0</v>
      </c>
    </row>
    <row r="1894" spans="1:8">
      <c r="A1894" s="16"/>
      <c r="B1894" s="15"/>
      <c r="C1894" s="20"/>
      <c r="D1894" s="22"/>
      <c r="E1894" s="15"/>
      <c r="F1894" s="23">
        <f>IF($B1894="","",IFERROR(INDEX(ProdNome,MATCH($B1894,ProdCod,0)),"Código não cadastrado"))</f>
        <v>0</v>
      </c>
      <c r="G1894" s="24">
        <f>IF(OR($B1894="",$D1894=""),"",$D1894*IFERROR(INDEX(ProdCusto,MATCH($B1894,ProdCod,0)),0))</f>
        <v>0</v>
      </c>
      <c r="H1894" s="25">
        <f>IF($A1894="","",IF(OR($B1894="",$C1894="",$D1894=""),"Preencher tudo",IF($F1894="Código não cadastrado","Código inválido","OK")))</f>
        <v>0</v>
      </c>
    </row>
    <row r="1895" spans="1:8">
      <c r="A1895" s="16"/>
      <c r="B1895" s="15"/>
      <c r="C1895" s="20"/>
      <c r="D1895" s="22"/>
      <c r="E1895" s="15"/>
      <c r="F1895" s="23">
        <f>IF($B1895="","",IFERROR(INDEX(ProdNome,MATCH($B1895,ProdCod,0)),"Código não cadastrado"))</f>
        <v>0</v>
      </c>
      <c r="G1895" s="24">
        <f>IF(OR($B1895="",$D1895=""),"",$D1895*IFERROR(INDEX(ProdCusto,MATCH($B1895,ProdCod,0)),0))</f>
        <v>0</v>
      </c>
      <c r="H1895" s="25">
        <f>IF($A1895="","",IF(OR($B1895="",$C1895="",$D1895=""),"Preencher tudo",IF($F1895="Código não cadastrado","Código inválido","OK")))</f>
        <v>0</v>
      </c>
    </row>
    <row r="1896" spans="1:8">
      <c r="A1896" s="16"/>
      <c r="B1896" s="15"/>
      <c r="C1896" s="20"/>
      <c r="D1896" s="22"/>
      <c r="E1896" s="15"/>
      <c r="F1896" s="23">
        <f>IF($B1896="","",IFERROR(INDEX(ProdNome,MATCH($B1896,ProdCod,0)),"Código não cadastrado"))</f>
        <v>0</v>
      </c>
      <c r="G1896" s="24">
        <f>IF(OR($B1896="",$D1896=""),"",$D1896*IFERROR(INDEX(ProdCusto,MATCH($B1896,ProdCod,0)),0))</f>
        <v>0</v>
      </c>
      <c r="H1896" s="25">
        <f>IF($A1896="","",IF(OR($B1896="",$C1896="",$D1896=""),"Preencher tudo",IF($F1896="Código não cadastrado","Código inválido","OK")))</f>
        <v>0</v>
      </c>
    </row>
    <row r="1897" spans="1:8">
      <c r="A1897" s="16"/>
      <c r="B1897" s="15"/>
      <c r="C1897" s="20"/>
      <c r="D1897" s="22"/>
      <c r="E1897" s="15"/>
      <c r="F1897" s="23">
        <f>IF($B1897="","",IFERROR(INDEX(ProdNome,MATCH($B1897,ProdCod,0)),"Código não cadastrado"))</f>
        <v>0</v>
      </c>
      <c r="G1897" s="24">
        <f>IF(OR($B1897="",$D1897=""),"",$D1897*IFERROR(INDEX(ProdCusto,MATCH($B1897,ProdCod,0)),0))</f>
        <v>0</v>
      </c>
      <c r="H1897" s="25">
        <f>IF($A1897="","",IF(OR($B1897="",$C1897="",$D1897=""),"Preencher tudo",IF($F1897="Código não cadastrado","Código inválido","OK")))</f>
        <v>0</v>
      </c>
    </row>
    <row r="1898" spans="1:8">
      <c r="A1898" s="16"/>
      <c r="B1898" s="15"/>
      <c r="C1898" s="20"/>
      <c r="D1898" s="22"/>
      <c r="E1898" s="15"/>
      <c r="F1898" s="23">
        <f>IF($B1898="","",IFERROR(INDEX(ProdNome,MATCH($B1898,ProdCod,0)),"Código não cadastrado"))</f>
        <v>0</v>
      </c>
      <c r="G1898" s="24">
        <f>IF(OR($B1898="",$D1898=""),"",$D1898*IFERROR(INDEX(ProdCusto,MATCH($B1898,ProdCod,0)),0))</f>
        <v>0</v>
      </c>
      <c r="H1898" s="25">
        <f>IF($A1898="","",IF(OR($B1898="",$C1898="",$D1898=""),"Preencher tudo",IF($F1898="Código não cadastrado","Código inválido","OK")))</f>
        <v>0</v>
      </c>
    </row>
    <row r="1899" spans="1:8">
      <c r="A1899" s="16"/>
      <c r="B1899" s="15"/>
      <c r="C1899" s="20"/>
      <c r="D1899" s="22"/>
      <c r="E1899" s="15"/>
      <c r="F1899" s="23">
        <f>IF($B1899="","",IFERROR(INDEX(ProdNome,MATCH($B1899,ProdCod,0)),"Código não cadastrado"))</f>
        <v>0</v>
      </c>
      <c r="G1899" s="24">
        <f>IF(OR($B1899="",$D1899=""),"",$D1899*IFERROR(INDEX(ProdCusto,MATCH($B1899,ProdCod,0)),0))</f>
        <v>0</v>
      </c>
      <c r="H1899" s="25">
        <f>IF($A1899="","",IF(OR($B1899="",$C1899="",$D1899=""),"Preencher tudo",IF($F1899="Código não cadastrado","Código inválido","OK")))</f>
        <v>0</v>
      </c>
    </row>
    <row r="1900" spans="1:8">
      <c r="A1900" s="16"/>
      <c r="B1900" s="15"/>
      <c r="C1900" s="20"/>
      <c r="D1900" s="22"/>
      <c r="E1900" s="15"/>
      <c r="F1900" s="23">
        <f>IF($B1900="","",IFERROR(INDEX(ProdNome,MATCH($B1900,ProdCod,0)),"Código não cadastrado"))</f>
        <v>0</v>
      </c>
      <c r="G1900" s="24">
        <f>IF(OR($B1900="",$D1900=""),"",$D1900*IFERROR(INDEX(ProdCusto,MATCH($B1900,ProdCod,0)),0))</f>
        <v>0</v>
      </c>
      <c r="H1900" s="25">
        <f>IF($A1900="","",IF(OR($B1900="",$C1900="",$D1900=""),"Preencher tudo",IF($F1900="Código não cadastrado","Código inválido","OK")))</f>
        <v>0</v>
      </c>
    </row>
    <row r="1901" spans="1:8">
      <c r="A1901" s="16"/>
      <c r="B1901" s="15"/>
      <c r="C1901" s="20"/>
      <c r="D1901" s="22"/>
      <c r="E1901" s="15"/>
      <c r="F1901" s="23">
        <f>IF($B1901="","",IFERROR(INDEX(ProdNome,MATCH($B1901,ProdCod,0)),"Código não cadastrado"))</f>
        <v>0</v>
      </c>
      <c r="G1901" s="24">
        <f>IF(OR($B1901="",$D1901=""),"",$D1901*IFERROR(INDEX(ProdCusto,MATCH($B1901,ProdCod,0)),0))</f>
        <v>0</v>
      </c>
      <c r="H1901" s="25">
        <f>IF($A1901="","",IF(OR($B1901="",$C1901="",$D1901=""),"Preencher tudo",IF($F1901="Código não cadastrado","Código inválido","OK")))</f>
        <v>0</v>
      </c>
    </row>
    <row r="1902" spans="1:8">
      <c r="A1902" s="16"/>
      <c r="B1902" s="15"/>
      <c r="C1902" s="20"/>
      <c r="D1902" s="22"/>
      <c r="E1902" s="15"/>
      <c r="F1902" s="23">
        <f>IF($B1902="","",IFERROR(INDEX(ProdNome,MATCH($B1902,ProdCod,0)),"Código não cadastrado"))</f>
        <v>0</v>
      </c>
      <c r="G1902" s="24">
        <f>IF(OR($B1902="",$D1902=""),"",$D1902*IFERROR(INDEX(ProdCusto,MATCH($B1902,ProdCod,0)),0))</f>
        <v>0</v>
      </c>
      <c r="H1902" s="25">
        <f>IF($A1902="","",IF(OR($B1902="",$C1902="",$D1902=""),"Preencher tudo",IF($F1902="Código não cadastrado","Código inválido","OK")))</f>
        <v>0</v>
      </c>
    </row>
    <row r="1903" spans="1:8">
      <c r="A1903" s="16"/>
      <c r="B1903" s="15"/>
      <c r="C1903" s="20"/>
      <c r="D1903" s="22"/>
      <c r="E1903" s="15"/>
      <c r="F1903" s="23">
        <f>IF($B1903="","",IFERROR(INDEX(ProdNome,MATCH($B1903,ProdCod,0)),"Código não cadastrado"))</f>
        <v>0</v>
      </c>
      <c r="G1903" s="24">
        <f>IF(OR($B1903="",$D1903=""),"",$D1903*IFERROR(INDEX(ProdCusto,MATCH($B1903,ProdCod,0)),0))</f>
        <v>0</v>
      </c>
      <c r="H1903" s="25">
        <f>IF($A1903="","",IF(OR($B1903="",$C1903="",$D1903=""),"Preencher tudo",IF($F1903="Código não cadastrado","Código inválido","OK")))</f>
        <v>0</v>
      </c>
    </row>
    <row r="1904" spans="1:8">
      <c r="A1904" s="16"/>
      <c r="B1904" s="15"/>
      <c r="C1904" s="20"/>
      <c r="D1904" s="22"/>
      <c r="E1904" s="15"/>
      <c r="F1904" s="23">
        <f>IF($B1904="","",IFERROR(INDEX(ProdNome,MATCH($B1904,ProdCod,0)),"Código não cadastrado"))</f>
        <v>0</v>
      </c>
      <c r="G1904" s="24">
        <f>IF(OR($B1904="",$D1904=""),"",$D1904*IFERROR(INDEX(ProdCusto,MATCH($B1904,ProdCod,0)),0))</f>
        <v>0</v>
      </c>
      <c r="H1904" s="25">
        <f>IF($A1904="","",IF(OR($B1904="",$C1904="",$D1904=""),"Preencher tudo",IF($F1904="Código não cadastrado","Código inválido","OK")))</f>
        <v>0</v>
      </c>
    </row>
    <row r="1905" spans="1:8">
      <c r="A1905" s="16"/>
      <c r="B1905" s="15"/>
      <c r="C1905" s="20"/>
      <c r="D1905" s="22"/>
      <c r="E1905" s="15"/>
      <c r="F1905" s="23">
        <f>IF($B1905="","",IFERROR(INDEX(ProdNome,MATCH($B1905,ProdCod,0)),"Código não cadastrado"))</f>
        <v>0</v>
      </c>
      <c r="G1905" s="24">
        <f>IF(OR($B1905="",$D1905=""),"",$D1905*IFERROR(INDEX(ProdCusto,MATCH($B1905,ProdCod,0)),0))</f>
        <v>0</v>
      </c>
      <c r="H1905" s="25">
        <f>IF($A1905="","",IF(OR($B1905="",$C1905="",$D1905=""),"Preencher tudo",IF($F1905="Código não cadastrado","Código inválido","OK")))</f>
        <v>0</v>
      </c>
    </row>
    <row r="1906" spans="1:8">
      <c r="A1906" s="16"/>
      <c r="B1906" s="15"/>
      <c r="C1906" s="20"/>
      <c r="D1906" s="22"/>
      <c r="E1906" s="15"/>
      <c r="F1906" s="23">
        <f>IF($B1906="","",IFERROR(INDEX(ProdNome,MATCH($B1906,ProdCod,0)),"Código não cadastrado"))</f>
        <v>0</v>
      </c>
      <c r="G1906" s="24">
        <f>IF(OR($B1906="",$D1906=""),"",$D1906*IFERROR(INDEX(ProdCusto,MATCH($B1906,ProdCod,0)),0))</f>
        <v>0</v>
      </c>
      <c r="H1906" s="25">
        <f>IF($A1906="","",IF(OR($B1906="",$C1906="",$D1906=""),"Preencher tudo",IF($F1906="Código não cadastrado","Código inválido","OK")))</f>
        <v>0</v>
      </c>
    </row>
    <row r="1907" spans="1:8">
      <c r="A1907" s="16"/>
      <c r="B1907" s="15"/>
      <c r="C1907" s="20"/>
      <c r="D1907" s="22"/>
      <c r="E1907" s="15"/>
      <c r="F1907" s="23">
        <f>IF($B1907="","",IFERROR(INDEX(ProdNome,MATCH($B1907,ProdCod,0)),"Código não cadastrado"))</f>
        <v>0</v>
      </c>
      <c r="G1907" s="24">
        <f>IF(OR($B1907="",$D1907=""),"",$D1907*IFERROR(INDEX(ProdCusto,MATCH($B1907,ProdCod,0)),0))</f>
        <v>0</v>
      </c>
      <c r="H1907" s="25">
        <f>IF($A1907="","",IF(OR($B1907="",$C1907="",$D1907=""),"Preencher tudo",IF($F1907="Código não cadastrado","Código inválido","OK")))</f>
        <v>0</v>
      </c>
    </row>
    <row r="1908" spans="1:8">
      <c r="A1908" s="16"/>
      <c r="B1908" s="15"/>
      <c r="C1908" s="20"/>
      <c r="D1908" s="22"/>
      <c r="E1908" s="15"/>
      <c r="F1908" s="23">
        <f>IF($B1908="","",IFERROR(INDEX(ProdNome,MATCH($B1908,ProdCod,0)),"Código não cadastrado"))</f>
        <v>0</v>
      </c>
      <c r="G1908" s="24">
        <f>IF(OR($B1908="",$D1908=""),"",$D1908*IFERROR(INDEX(ProdCusto,MATCH($B1908,ProdCod,0)),0))</f>
        <v>0</v>
      </c>
      <c r="H1908" s="25">
        <f>IF($A1908="","",IF(OR($B1908="",$C1908="",$D1908=""),"Preencher tudo",IF($F1908="Código não cadastrado","Código inválido","OK")))</f>
        <v>0</v>
      </c>
    </row>
    <row r="1909" spans="1:8">
      <c r="A1909" s="16"/>
      <c r="B1909" s="15"/>
      <c r="C1909" s="20"/>
      <c r="D1909" s="22"/>
      <c r="E1909" s="15"/>
      <c r="F1909" s="23">
        <f>IF($B1909="","",IFERROR(INDEX(ProdNome,MATCH($B1909,ProdCod,0)),"Código não cadastrado"))</f>
        <v>0</v>
      </c>
      <c r="G1909" s="24">
        <f>IF(OR($B1909="",$D1909=""),"",$D1909*IFERROR(INDEX(ProdCusto,MATCH($B1909,ProdCod,0)),0))</f>
        <v>0</v>
      </c>
      <c r="H1909" s="25">
        <f>IF($A1909="","",IF(OR($B1909="",$C1909="",$D1909=""),"Preencher tudo",IF($F1909="Código não cadastrado","Código inválido","OK")))</f>
        <v>0</v>
      </c>
    </row>
    <row r="1910" spans="1:8">
      <c r="A1910" s="16"/>
      <c r="B1910" s="15"/>
      <c r="C1910" s="20"/>
      <c r="D1910" s="22"/>
      <c r="E1910" s="15"/>
      <c r="F1910" s="23">
        <f>IF($B1910="","",IFERROR(INDEX(ProdNome,MATCH($B1910,ProdCod,0)),"Código não cadastrado"))</f>
        <v>0</v>
      </c>
      <c r="G1910" s="24">
        <f>IF(OR($B1910="",$D1910=""),"",$D1910*IFERROR(INDEX(ProdCusto,MATCH($B1910,ProdCod,0)),0))</f>
        <v>0</v>
      </c>
      <c r="H1910" s="25">
        <f>IF($A1910="","",IF(OR($B1910="",$C1910="",$D1910=""),"Preencher tudo",IF($F1910="Código não cadastrado","Código inválido","OK")))</f>
        <v>0</v>
      </c>
    </row>
    <row r="1911" spans="1:8">
      <c r="A1911" s="16"/>
      <c r="B1911" s="15"/>
      <c r="C1911" s="20"/>
      <c r="D1911" s="22"/>
      <c r="E1911" s="15"/>
      <c r="F1911" s="23">
        <f>IF($B1911="","",IFERROR(INDEX(ProdNome,MATCH($B1911,ProdCod,0)),"Código não cadastrado"))</f>
        <v>0</v>
      </c>
      <c r="G1911" s="24">
        <f>IF(OR($B1911="",$D1911=""),"",$D1911*IFERROR(INDEX(ProdCusto,MATCH($B1911,ProdCod,0)),0))</f>
        <v>0</v>
      </c>
      <c r="H1911" s="25">
        <f>IF($A1911="","",IF(OR($B1911="",$C1911="",$D1911=""),"Preencher tudo",IF($F1911="Código não cadastrado","Código inválido","OK")))</f>
        <v>0</v>
      </c>
    </row>
    <row r="1912" spans="1:8">
      <c r="A1912" s="16"/>
      <c r="B1912" s="15"/>
      <c r="C1912" s="20"/>
      <c r="D1912" s="22"/>
      <c r="E1912" s="15"/>
      <c r="F1912" s="23">
        <f>IF($B1912="","",IFERROR(INDEX(ProdNome,MATCH($B1912,ProdCod,0)),"Código não cadastrado"))</f>
        <v>0</v>
      </c>
      <c r="G1912" s="24">
        <f>IF(OR($B1912="",$D1912=""),"",$D1912*IFERROR(INDEX(ProdCusto,MATCH($B1912,ProdCod,0)),0))</f>
        <v>0</v>
      </c>
      <c r="H1912" s="25">
        <f>IF($A1912="","",IF(OR($B1912="",$C1912="",$D1912=""),"Preencher tudo",IF($F1912="Código não cadastrado","Código inválido","OK")))</f>
        <v>0</v>
      </c>
    </row>
    <row r="1913" spans="1:8">
      <c r="A1913" s="16"/>
      <c r="B1913" s="15"/>
      <c r="C1913" s="20"/>
      <c r="D1913" s="22"/>
      <c r="E1913" s="15"/>
      <c r="F1913" s="23">
        <f>IF($B1913="","",IFERROR(INDEX(ProdNome,MATCH($B1913,ProdCod,0)),"Código não cadastrado"))</f>
        <v>0</v>
      </c>
      <c r="G1913" s="24">
        <f>IF(OR($B1913="",$D1913=""),"",$D1913*IFERROR(INDEX(ProdCusto,MATCH($B1913,ProdCod,0)),0))</f>
        <v>0</v>
      </c>
      <c r="H1913" s="25">
        <f>IF($A1913="","",IF(OR($B1913="",$C1913="",$D1913=""),"Preencher tudo",IF($F1913="Código não cadastrado","Código inválido","OK")))</f>
        <v>0</v>
      </c>
    </row>
    <row r="1914" spans="1:8">
      <c r="A1914" s="16"/>
      <c r="B1914" s="15"/>
      <c r="C1914" s="20"/>
      <c r="D1914" s="22"/>
      <c r="E1914" s="15"/>
      <c r="F1914" s="23">
        <f>IF($B1914="","",IFERROR(INDEX(ProdNome,MATCH($B1914,ProdCod,0)),"Código não cadastrado"))</f>
        <v>0</v>
      </c>
      <c r="G1914" s="24">
        <f>IF(OR($B1914="",$D1914=""),"",$D1914*IFERROR(INDEX(ProdCusto,MATCH($B1914,ProdCod,0)),0))</f>
        <v>0</v>
      </c>
      <c r="H1914" s="25">
        <f>IF($A1914="","",IF(OR($B1914="",$C1914="",$D1914=""),"Preencher tudo",IF($F1914="Código não cadastrado","Código inválido","OK")))</f>
        <v>0</v>
      </c>
    </row>
    <row r="1915" spans="1:8">
      <c r="A1915" s="16"/>
      <c r="B1915" s="15"/>
      <c r="C1915" s="20"/>
      <c r="D1915" s="22"/>
      <c r="E1915" s="15"/>
      <c r="F1915" s="23">
        <f>IF($B1915="","",IFERROR(INDEX(ProdNome,MATCH($B1915,ProdCod,0)),"Código não cadastrado"))</f>
        <v>0</v>
      </c>
      <c r="G1915" s="24">
        <f>IF(OR($B1915="",$D1915=""),"",$D1915*IFERROR(INDEX(ProdCusto,MATCH($B1915,ProdCod,0)),0))</f>
        <v>0</v>
      </c>
      <c r="H1915" s="25">
        <f>IF($A1915="","",IF(OR($B1915="",$C1915="",$D1915=""),"Preencher tudo",IF($F1915="Código não cadastrado","Código inválido","OK")))</f>
        <v>0</v>
      </c>
    </row>
    <row r="1916" spans="1:8">
      <c r="A1916" s="16"/>
      <c r="B1916" s="15"/>
      <c r="C1916" s="20"/>
      <c r="D1916" s="22"/>
      <c r="E1916" s="15"/>
      <c r="F1916" s="23">
        <f>IF($B1916="","",IFERROR(INDEX(ProdNome,MATCH($B1916,ProdCod,0)),"Código não cadastrado"))</f>
        <v>0</v>
      </c>
      <c r="G1916" s="24">
        <f>IF(OR($B1916="",$D1916=""),"",$D1916*IFERROR(INDEX(ProdCusto,MATCH($B1916,ProdCod,0)),0))</f>
        <v>0</v>
      </c>
      <c r="H1916" s="25">
        <f>IF($A1916="","",IF(OR($B1916="",$C1916="",$D1916=""),"Preencher tudo",IF($F1916="Código não cadastrado","Código inválido","OK")))</f>
        <v>0</v>
      </c>
    </row>
    <row r="1917" spans="1:8">
      <c r="A1917" s="16"/>
      <c r="B1917" s="15"/>
      <c r="C1917" s="20"/>
      <c r="D1917" s="22"/>
      <c r="E1917" s="15"/>
      <c r="F1917" s="23">
        <f>IF($B1917="","",IFERROR(INDEX(ProdNome,MATCH($B1917,ProdCod,0)),"Código não cadastrado"))</f>
        <v>0</v>
      </c>
      <c r="G1917" s="24">
        <f>IF(OR($B1917="",$D1917=""),"",$D1917*IFERROR(INDEX(ProdCusto,MATCH($B1917,ProdCod,0)),0))</f>
        <v>0</v>
      </c>
      <c r="H1917" s="25">
        <f>IF($A1917="","",IF(OR($B1917="",$C1917="",$D1917=""),"Preencher tudo",IF($F1917="Código não cadastrado","Código inválido","OK")))</f>
        <v>0</v>
      </c>
    </row>
    <row r="1918" spans="1:8">
      <c r="A1918" s="16"/>
      <c r="B1918" s="15"/>
      <c r="C1918" s="20"/>
      <c r="D1918" s="22"/>
      <c r="E1918" s="15"/>
      <c r="F1918" s="23">
        <f>IF($B1918="","",IFERROR(INDEX(ProdNome,MATCH($B1918,ProdCod,0)),"Código não cadastrado"))</f>
        <v>0</v>
      </c>
      <c r="G1918" s="24">
        <f>IF(OR($B1918="",$D1918=""),"",$D1918*IFERROR(INDEX(ProdCusto,MATCH($B1918,ProdCod,0)),0))</f>
        <v>0</v>
      </c>
      <c r="H1918" s="25">
        <f>IF($A1918="","",IF(OR($B1918="",$C1918="",$D1918=""),"Preencher tudo",IF($F1918="Código não cadastrado","Código inválido","OK")))</f>
        <v>0</v>
      </c>
    </row>
    <row r="1919" spans="1:8">
      <c r="A1919" s="16"/>
      <c r="B1919" s="15"/>
      <c r="C1919" s="20"/>
      <c r="D1919" s="22"/>
      <c r="E1919" s="15"/>
      <c r="F1919" s="23">
        <f>IF($B1919="","",IFERROR(INDEX(ProdNome,MATCH($B1919,ProdCod,0)),"Código não cadastrado"))</f>
        <v>0</v>
      </c>
      <c r="G1919" s="24">
        <f>IF(OR($B1919="",$D1919=""),"",$D1919*IFERROR(INDEX(ProdCusto,MATCH($B1919,ProdCod,0)),0))</f>
        <v>0</v>
      </c>
      <c r="H1919" s="25">
        <f>IF($A1919="","",IF(OR($B1919="",$C1919="",$D1919=""),"Preencher tudo",IF($F1919="Código não cadastrado","Código inválido","OK")))</f>
        <v>0</v>
      </c>
    </row>
    <row r="1920" spans="1:8">
      <c r="A1920" s="16"/>
      <c r="B1920" s="15"/>
      <c r="C1920" s="20"/>
      <c r="D1920" s="22"/>
      <c r="E1920" s="15"/>
      <c r="F1920" s="23">
        <f>IF($B1920="","",IFERROR(INDEX(ProdNome,MATCH($B1920,ProdCod,0)),"Código não cadastrado"))</f>
        <v>0</v>
      </c>
      <c r="G1920" s="24">
        <f>IF(OR($B1920="",$D1920=""),"",$D1920*IFERROR(INDEX(ProdCusto,MATCH($B1920,ProdCod,0)),0))</f>
        <v>0</v>
      </c>
      <c r="H1920" s="25">
        <f>IF($A1920="","",IF(OR($B1920="",$C1920="",$D1920=""),"Preencher tudo",IF($F1920="Código não cadastrado","Código inválido","OK")))</f>
        <v>0</v>
      </c>
    </row>
    <row r="1921" spans="1:8">
      <c r="A1921" s="16"/>
      <c r="B1921" s="15"/>
      <c r="C1921" s="20"/>
      <c r="D1921" s="22"/>
      <c r="E1921" s="15"/>
      <c r="F1921" s="23">
        <f>IF($B1921="","",IFERROR(INDEX(ProdNome,MATCH($B1921,ProdCod,0)),"Código não cadastrado"))</f>
        <v>0</v>
      </c>
      <c r="G1921" s="24">
        <f>IF(OR($B1921="",$D1921=""),"",$D1921*IFERROR(INDEX(ProdCusto,MATCH($B1921,ProdCod,0)),0))</f>
        <v>0</v>
      </c>
      <c r="H1921" s="25">
        <f>IF($A1921="","",IF(OR($B1921="",$C1921="",$D1921=""),"Preencher tudo",IF($F1921="Código não cadastrado","Código inválido","OK")))</f>
        <v>0</v>
      </c>
    </row>
    <row r="1922" spans="1:8">
      <c r="A1922" s="16"/>
      <c r="B1922" s="15"/>
      <c r="C1922" s="20"/>
      <c r="D1922" s="22"/>
      <c r="E1922" s="15"/>
      <c r="F1922" s="23">
        <f>IF($B1922="","",IFERROR(INDEX(ProdNome,MATCH($B1922,ProdCod,0)),"Código não cadastrado"))</f>
        <v>0</v>
      </c>
      <c r="G1922" s="24">
        <f>IF(OR($B1922="",$D1922=""),"",$D1922*IFERROR(INDEX(ProdCusto,MATCH($B1922,ProdCod,0)),0))</f>
        <v>0</v>
      </c>
      <c r="H1922" s="25">
        <f>IF($A1922="","",IF(OR($B1922="",$C1922="",$D1922=""),"Preencher tudo",IF($F1922="Código não cadastrado","Código inválido","OK")))</f>
        <v>0</v>
      </c>
    </row>
    <row r="1923" spans="1:8">
      <c r="A1923" s="16"/>
      <c r="B1923" s="15"/>
      <c r="C1923" s="20"/>
      <c r="D1923" s="22"/>
      <c r="E1923" s="15"/>
      <c r="F1923" s="23">
        <f>IF($B1923="","",IFERROR(INDEX(ProdNome,MATCH($B1923,ProdCod,0)),"Código não cadastrado"))</f>
        <v>0</v>
      </c>
      <c r="G1923" s="24">
        <f>IF(OR($B1923="",$D1923=""),"",$D1923*IFERROR(INDEX(ProdCusto,MATCH($B1923,ProdCod,0)),0))</f>
        <v>0</v>
      </c>
      <c r="H1923" s="25">
        <f>IF($A1923="","",IF(OR($B1923="",$C1923="",$D1923=""),"Preencher tudo",IF($F1923="Código não cadastrado","Código inválido","OK")))</f>
        <v>0</v>
      </c>
    </row>
    <row r="1924" spans="1:8">
      <c r="A1924" s="16"/>
      <c r="B1924" s="15"/>
      <c r="C1924" s="20"/>
      <c r="D1924" s="22"/>
      <c r="E1924" s="15"/>
      <c r="F1924" s="23">
        <f>IF($B1924="","",IFERROR(INDEX(ProdNome,MATCH($B1924,ProdCod,0)),"Código não cadastrado"))</f>
        <v>0</v>
      </c>
      <c r="G1924" s="24">
        <f>IF(OR($B1924="",$D1924=""),"",$D1924*IFERROR(INDEX(ProdCusto,MATCH($B1924,ProdCod,0)),0))</f>
        <v>0</v>
      </c>
      <c r="H1924" s="25">
        <f>IF($A1924="","",IF(OR($B1924="",$C1924="",$D1924=""),"Preencher tudo",IF($F1924="Código não cadastrado","Código inválido","OK")))</f>
        <v>0</v>
      </c>
    </row>
    <row r="1925" spans="1:8">
      <c r="A1925" s="16"/>
      <c r="B1925" s="15"/>
      <c r="C1925" s="20"/>
      <c r="D1925" s="22"/>
      <c r="E1925" s="15"/>
      <c r="F1925" s="23">
        <f>IF($B1925="","",IFERROR(INDEX(ProdNome,MATCH($B1925,ProdCod,0)),"Código não cadastrado"))</f>
        <v>0</v>
      </c>
      <c r="G1925" s="24">
        <f>IF(OR($B1925="",$D1925=""),"",$D1925*IFERROR(INDEX(ProdCusto,MATCH($B1925,ProdCod,0)),0))</f>
        <v>0</v>
      </c>
      <c r="H1925" s="25">
        <f>IF($A1925="","",IF(OR($B1925="",$C1925="",$D1925=""),"Preencher tudo",IF($F1925="Código não cadastrado","Código inválido","OK")))</f>
        <v>0</v>
      </c>
    </row>
    <row r="1926" spans="1:8">
      <c r="A1926" s="16"/>
      <c r="B1926" s="15"/>
      <c r="C1926" s="20"/>
      <c r="D1926" s="22"/>
      <c r="E1926" s="15"/>
      <c r="F1926" s="23">
        <f>IF($B1926="","",IFERROR(INDEX(ProdNome,MATCH($B1926,ProdCod,0)),"Código não cadastrado"))</f>
        <v>0</v>
      </c>
      <c r="G1926" s="24">
        <f>IF(OR($B1926="",$D1926=""),"",$D1926*IFERROR(INDEX(ProdCusto,MATCH($B1926,ProdCod,0)),0))</f>
        <v>0</v>
      </c>
      <c r="H1926" s="25">
        <f>IF($A1926="","",IF(OR($B1926="",$C1926="",$D1926=""),"Preencher tudo",IF($F1926="Código não cadastrado","Código inválido","OK")))</f>
        <v>0</v>
      </c>
    </row>
    <row r="1927" spans="1:8">
      <c r="A1927" s="16"/>
      <c r="B1927" s="15"/>
      <c r="C1927" s="20"/>
      <c r="D1927" s="22"/>
      <c r="E1927" s="15"/>
      <c r="F1927" s="23">
        <f>IF($B1927="","",IFERROR(INDEX(ProdNome,MATCH($B1927,ProdCod,0)),"Código não cadastrado"))</f>
        <v>0</v>
      </c>
      <c r="G1927" s="24">
        <f>IF(OR($B1927="",$D1927=""),"",$D1927*IFERROR(INDEX(ProdCusto,MATCH($B1927,ProdCod,0)),0))</f>
        <v>0</v>
      </c>
      <c r="H1927" s="25">
        <f>IF($A1927="","",IF(OR($B1927="",$C1927="",$D1927=""),"Preencher tudo",IF($F1927="Código não cadastrado","Código inválido","OK")))</f>
        <v>0</v>
      </c>
    </row>
    <row r="1928" spans="1:8">
      <c r="A1928" s="16"/>
      <c r="B1928" s="15"/>
      <c r="C1928" s="20"/>
      <c r="D1928" s="22"/>
      <c r="E1928" s="15"/>
      <c r="F1928" s="23">
        <f>IF($B1928="","",IFERROR(INDEX(ProdNome,MATCH($B1928,ProdCod,0)),"Código não cadastrado"))</f>
        <v>0</v>
      </c>
      <c r="G1928" s="24">
        <f>IF(OR($B1928="",$D1928=""),"",$D1928*IFERROR(INDEX(ProdCusto,MATCH($B1928,ProdCod,0)),0))</f>
        <v>0</v>
      </c>
      <c r="H1928" s="25">
        <f>IF($A1928="","",IF(OR($B1928="",$C1928="",$D1928=""),"Preencher tudo",IF($F1928="Código não cadastrado","Código inválido","OK")))</f>
        <v>0</v>
      </c>
    </row>
    <row r="1929" spans="1:8">
      <c r="A1929" s="16"/>
      <c r="B1929" s="15"/>
      <c r="C1929" s="20"/>
      <c r="D1929" s="22"/>
      <c r="E1929" s="15"/>
      <c r="F1929" s="23">
        <f>IF($B1929="","",IFERROR(INDEX(ProdNome,MATCH($B1929,ProdCod,0)),"Código não cadastrado"))</f>
        <v>0</v>
      </c>
      <c r="G1929" s="24">
        <f>IF(OR($B1929="",$D1929=""),"",$D1929*IFERROR(INDEX(ProdCusto,MATCH($B1929,ProdCod,0)),0))</f>
        <v>0</v>
      </c>
      <c r="H1929" s="25">
        <f>IF($A1929="","",IF(OR($B1929="",$C1929="",$D1929=""),"Preencher tudo",IF($F1929="Código não cadastrado","Código inválido","OK")))</f>
        <v>0</v>
      </c>
    </row>
    <row r="1930" spans="1:8">
      <c r="A1930" s="16"/>
      <c r="B1930" s="15"/>
      <c r="C1930" s="20"/>
      <c r="D1930" s="22"/>
      <c r="E1930" s="15"/>
      <c r="F1930" s="23">
        <f>IF($B1930="","",IFERROR(INDEX(ProdNome,MATCH($B1930,ProdCod,0)),"Código não cadastrado"))</f>
        <v>0</v>
      </c>
      <c r="G1930" s="24">
        <f>IF(OR($B1930="",$D1930=""),"",$D1930*IFERROR(INDEX(ProdCusto,MATCH($B1930,ProdCod,0)),0))</f>
        <v>0</v>
      </c>
      <c r="H1930" s="25">
        <f>IF($A1930="","",IF(OR($B1930="",$C1930="",$D1930=""),"Preencher tudo",IF($F1930="Código não cadastrado","Código inválido","OK")))</f>
        <v>0</v>
      </c>
    </row>
    <row r="1931" spans="1:8">
      <c r="A1931" s="16"/>
      <c r="B1931" s="15"/>
      <c r="C1931" s="20"/>
      <c r="D1931" s="22"/>
      <c r="E1931" s="15"/>
      <c r="F1931" s="23">
        <f>IF($B1931="","",IFERROR(INDEX(ProdNome,MATCH($B1931,ProdCod,0)),"Código não cadastrado"))</f>
        <v>0</v>
      </c>
      <c r="G1931" s="24">
        <f>IF(OR($B1931="",$D1931=""),"",$D1931*IFERROR(INDEX(ProdCusto,MATCH($B1931,ProdCod,0)),0))</f>
        <v>0</v>
      </c>
      <c r="H1931" s="25">
        <f>IF($A1931="","",IF(OR($B1931="",$C1931="",$D1931=""),"Preencher tudo",IF($F1931="Código não cadastrado","Código inválido","OK")))</f>
        <v>0</v>
      </c>
    </row>
    <row r="1932" spans="1:8">
      <c r="A1932" s="16"/>
      <c r="B1932" s="15"/>
      <c r="C1932" s="20"/>
      <c r="D1932" s="22"/>
      <c r="E1932" s="15"/>
      <c r="F1932" s="23">
        <f>IF($B1932="","",IFERROR(INDEX(ProdNome,MATCH($B1932,ProdCod,0)),"Código não cadastrado"))</f>
        <v>0</v>
      </c>
      <c r="G1932" s="24">
        <f>IF(OR($B1932="",$D1932=""),"",$D1932*IFERROR(INDEX(ProdCusto,MATCH($B1932,ProdCod,0)),0))</f>
        <v>0</v>
      </c>
      <c r="H1932" s="25">
        <f>IF($A1932="","",IF(OR($B1932="",$C1932="",$D1932=""),"Preencher tudo",IF($F1932="Código não cadastrado","Código inválido","OK")))</f>
        <v>0</v>
      </c>
    </row>
    <row r="1933" spans="1:8">
      <c r="A1933" s="16"/>
      <c r="B1933" s="15"/>
      <c r="C1933" s="20"/>
      <c r="D1933" s="22"/>
      <c r="E1933" s="15"/>
      <c r="F1933" s="23">
        <f>IF($B1933="","",IFERROR(INDEX(ProdNome,MATCH($B1933,ProdCod,0)),"Código não cadastrado"))</f>
        <v>0</v>
      </c>
      <c r="G1933" s="24">
        <f>IF(OR($B1933="",$D1933=""),"",$D1933*IFERROR(INDEX(ProdCusto,MATCH($B1933,ProdCod,0)),0))</f>
        <v>0</v>
      </c>
      <c r="H1933" s="25">
        <f>IF($A1933="","",IF(OR($B1933="",$C1933="",$D1933=""),"Preencher tudo",IF($F1933="Código não cadastrado","Código inválido","OK")))</f>
        <v>0</v>
      </c>
    </row>
    <row r="1934" spans="1:8">
      <c r="A1934" s="16"/>
      <c r="B1934" s="15"/>
      <c r="C1934" s="20"/>
      <c r="D1934" s="22"/>
      <c r="E1934" s="15"/>
      <c r="F1934" s="23">
        <f>IF($B1934="","",IFERROR(INDEX(ProdNome,MATCH($B1934,ProdCod,0)),"Código não cadastrado"))</f>
        <v>0</v>
      </c>
      <c r="G1934" s="24">
        <f>IF(OR($B1934="",$D1934=""),"",$D1934*IFERROR(INDEX(ProdCusto,MATCH($B1934,ProdCod,0)),0))</f>
        <v>0</v>
      </c>
      <c r="H1934" s="25">
        <f>IF($A1934="","",IF(OR($B1934="",$C1934="",$D1934=""),"Preencher tudo",IF($F1934="Código não cadastrado","Código inválido","OK")))</f>
        <v>0</v>
      </c>
    </row>
    <row r="1935" spans="1:8">
      <c r="A1935" s="16"/>
      <c r="B1935" s="15"/>
      <c r="C1935" s="20"/>
      <c r="D1935" s="22"/>
      <c r="E1935" s="15"/>
      <c r="F1935" s="23">
        <f>IF($B1935="","",IFERROR(INDEX(ProdNome,MATCH($B1935,ProdCod,0)),"Código não cadastrado"))</f>
        <v>0</v>
      </c>
      <c r="G1935" s="24">
        <f>IF(OR($B1935="",$D1935=""),"",$D1935*IFERROR(INDEX(ProdCusto,MATCH($B1935,ProdCod,0)),0))</f>
        <v>0</v>
      </c>
      <c r="H1935" s="25">
        <f>IF($A1935="","",IF(OR($B1935="",$C1935="",$D1935=""),"Preencher tudo",IF($F1935="Código não cadastrado","Código inválido","OK")))</f>
        <v>0</v>
      </c>
    </row>
    <row r="1936" spans="1:8">
      <c r="A1936" s="16"/>
      <c r="B1936" s="15"/>
      <c r="C1936" s="20"/>
      <c r="D1936" s="22"/>
      <c r="E1936" s="15"/>
      <c r="F1936" s="23">
        <f>IF($B1936="","",IFERROR(INDEX(ProdNome,MATCH($B1936,ProdCod,0)),"Código não cadastrado"))</f>
        <v>0</v>
      </c>
      <c r="G1936" s="24">
        <f>IF(OR($B1936="",$D1936=""),"",$D1936*IFERROR(INDEX(ProdCusto,MATCH($B1936,ProdCod,0)),0))</f>
        <v>0</v>
      </c>
      <c r="H1936" s="25">
        <f>IF($A1936="","",IF(OR($B1936="",$C1936="",$D1936=""),"Preencher tudo",IF($F1936="Código não cadastrado","Código inválido","OK")))</f>
        <v>0</v>
      </c>
    </row>
    <row r="1937" spans="1:8">
      <c r="A1937" s="16"/>
      <c r="B1937" s="15"/>
      <c r="C1937" s="20"/>
      <c r="D1937" s="22"/>
      <c r="E1937" s="15"/>
      <c r="F1937" s="23">
        <f>IF($B1937="","",IFERROR(INDEX(ProdNome,MATCH($B1937,ProdCod,0)),"Código não cadastrado"))</f>
        <v>0</v>
      </c>
      <c r="G1937" s="24">
        <f>IF(OR($B1937="",$D1937=""),"",$D1937*IFERROR(INDEX(ProdCusto,MATCH($B1937,ProdCod,0)),0))</f>
        <v>0</v>
      </c>
      <c r="H1937" s="25">
        <f>IF($A1937="","",IF(OR($B1937="",$C1937="",$D1937=""),"Preencher tudo",IF($F1937="Código não cadastrado","Código inválido","OK")))</f>
        <v>0</v>
      </c>
    </row>
    <row r="1938" spans="1:8">
      <c r="A1938" s="16"/>
      <c r="B1938" s="15"/>
      <c r="C1938" s="20"/>
      <c r="D1938" s="22"/>
      <c r="E1938" s="15"/>
      <c r="F1938" s="23">
        <f>IF($B1938="","",IFERROR(INDEX(ProdNome,MATCH($B1938,ProdCod,0)),"Código não cadastrado"))</f>
        <v>0</v>
      </c>
      <c r="G1938" s="24">
        <f>IF(OR($B1938="",$D1938=""),"",$D1938*IFERROR(INDEX(ProdCusto,MATCH($B1938,ProdCod,0)),0))</f>
        <v>0</v>
      </c>
      <c r="H1938" s="25">
        <f>IF($A1938="","",IF(OR($B1938="",$C1938="",$D1938=""),"Preencher tudo",IF($F1938="Código não cadastrado","Código inválido","OK")))</f>
        <v>0</v>
      </c>
    </row>
    <row r="1939" spans="1:8">
      <c r="A1939" s="16"/>
      <c r="B1939" s="15"/>
      <c r="C1939" s="20"/>
      <c r="D1939" s="22"/>
      <c r="E1939" s="15"/>
      <c r="F1939" s="23">
        <f>IF($B1939="","",IFERROR(INDEX(ProdNome,MATCH($B1939,ProdCod,0)),"Código não cadastrado"))</f>
        <v>0</v>
      </c>
      <c r="G1939" s="24">
        <f>IF(OR($B1939="",$D1939=""),"",$D1939*IFERROR(INDEX(ProdCusto,MATCH($B1939,ProdCod,0)),0))</f>
        <v>0</v>
      </c>
      <c r="H1939" s="25">
        <f>IF($A1939="","",IF(OR($B1939="",$C1939="",$D1939=""),"Preencher tudo",IF($F1939="Código não cadastrado","Código inválido","OK")))</f>
        <v>0</v>
      </c>
    </row>
    <row r="1940" spans="1:8">
      <c r="A1940" s="16"/>
      <c r="B1940" s="15"/>
      <c r="C1940" s="20"/>
      <c r="D1940" s="22"/>
      <c r="E1940" s="15"/>
      <c r="F1940" s="23">
        <f>IF($B1940="","",IFERROR(INDEX(ProdNome,MATCH($B1940,ProdCod,0)),"Código não cadastrado"))</f>
        <v>0</v>
      </c>
      <c r="G1940" s="24">
        <f>IF(OR($B1940="",$D1940=""),"",$D1940*IFERROR(INDEX(ProdCusto,MATCH($B1940,ProdCod,0)),0))</f>
        <v>0</v>
      </c>
      <c r="H1940" s="25">
        <f>IF($A1940="","",IF(OR($B1940="",$C1940="",$D1940=""),"Preencher tudo",IF($F1940="Código não cadastrado","Código inválido","OK")))</f>
        <v>0</v>
      </c>
    </row>
    <row r="1941" spans="1:8">
      <c r="A1941" s="16"/>
      <c r="B1941" s="15"/>
      <c r="C1941" s="20"/>
      <c r="D1941" s="22"/>
      <c r="E1941" s="15"/>
      <c r="F1941" s="23">
        <f>IF($B1941="","",IFERROR(INDEX(ProdNome,MATCH($B1941,ProdCod,0)),"Código não cadastrado"))</f>
        <v>0</v>
      </c>
      <c r="G1941" s="24">
        <f>IF(OR($B1941="",$D1941=""),"",$D1941*IFERROR(INDEX(ProdCusto,MATCH($B1941,ProdCod,0)),0))</f>
        <v>0</v>
      </c>
      <c r="H1941" s="25">
        <f>IF($A1941="","",IF(OR($B1941="",$C1941="",$D1941=""),"Preencher tudo",IF($F1941="Código não cadastrado","Código inválido","OK")))</f>
        <v>0</v>
      </c>
    </row>
    <row r="1942" spans="1:8">
      <c r="A1942" s="16"/>
      <c r="B1942" s="15"/>
      <c r="C1942" s="20"/>
      <c r="D1942" s="22"/>
      <c r="E1942" s="15"/>
      <c r="F1942" s="23">
        <f>IF($B1942="","",IFERROR(INDEX(ProdNome,MATCH($B1942,ProdCod,0)),"Código não cadastrado"))</f>
        <v>0</v>
      </c>
      <c r="G1942" s="24">
        <f>IF(OR($B1942="",$D1942=""),"",$D1942*IFERROR(INDEX(ProdCusto,MATCH($B1942,ProdCod,0)),0))</f>
        <v>0</v>
      </c>
      <c r="H1942" s="25">
        <f>IF($A1942="","",IF(OR($B1942="",$C1942="",$D1942=""),"Preencher tudo",IF($F1942="Código não cadastrado","Código inválido","OK")))</f>
        <v>0</v>
      </c>
    </row>
    <row r="1943" spans="1:8">
      <c r="A1943" s="16"/>
      <c r="B1943" s="15"/>
      <c r="C1943" s="20"/>
      <c r="D1943" s="22"/>
      <c r="E1943" s="15"/>
      <c r="F1943" s="23">
        <f>IF($B1943="","",IFERROR(INDEX(ProdNome,MATCH($B1943,ProdCod,0)),"Código não cadastrado"))</f>
        <v>0</v>
      </c>
      <c r="G1943" s="24">
        <f>IF(OR($B1943="",$D1943=""),"",$D1943*IFERROR(INDEX(ProdCusto,MATCH($B1943,ProdCod,0)),0))</f>
        <v>0</v>
      </c>
      <c r="H1943" s="25">
        <f>IF($A1943="","",IF(OR($B1943="",$C1943="",$D1943=""),"Preencher tudo",IF($F1943="Código não cadastrado","Código inválido","OK")))</f>
        <v>0</v>
      </c>
    </row>
    <row r="1944" spans="1:8">
      <c r="A1944" s="16"/>
      <c r="B1944" s="15"/>
      <c r="C1944" s="20"/>
      <c r="D1944" s="22"/>
      <c r="E1944" s="15"/>
      <c r="F1944" s="23">
        <f>IF($B1944="","",IFERROR(INDEX(ProdNome,MATCH($B1944,ProdCod,0)),"Código não cadastrado"))</f>
        <v>0</v>
      </c>
      <c r="G1944" s="24">
        <f>IF(OR($B1944="",$D1944=""),"",$D1944*IFERROR(INDEX(ProdCusto,MATCH($B1944,ProdCod,0)),0))</f>
        <v>0</v>
      </c>
      <c r="H1944" s="25">
        <f>IF($A1944="","",IF(OR($B1944="",$C1944="",$D1944=""),"Preencher tudo",IF($F1944="Código não cadastrado","Código inválido","OK")))</f>
        <v>0</v>
      </c>
    </row>
    <row r="1945" spans="1:8">
      <c r="A1945" s="16"/>
      <c r="B1945" s="15"/>
      <c r="C1945" s="20"/>
      <c r="D1945" s="22"/>
      <c r="E1945" s="15"/>
      <c r="F1945" s="23">
        <f>IF($B1945="","",IFERROR(INDEX(ProdNome,MATCH($B1945,ProdCod,0)),"Código não cadastrado"))</f>
        <v>0</v>
      </c>
      <c r="G1945" s="24">
        <f>IF(OR($B1945="",$D1945=""),"",$D1945*IFERROR(INDEX(ProdCusto,MATCH($B1945,ProdCod,0)),0))</f>
        <v>0</v>
      </c>
      <c r="H1945" s="25">
        <f>IF($A1945="","",IF(OR($B1945="",$C1945="",$D1945=""),"Preencher tudo",IF($F1945="Código não cadastrado","Código inválido","OK")))</f>
        <v>0</v>
      </c>
    </row>
    <row r="1946" spans="1:8">
      <c r="A1946" s="16"/>
      <c r="B1946" s="15"/>
      <c r="C1946" s="20"/>
      <c r="D1946" s="22"/>
      <c r="E1946" s="15"/>
      <c r="F1946" s="23">
        <f>IF($B1946="","",IFERROR(INDEX(ProdNome,MATCH($B1946,ProdCod,0)),"Código não cadastrado"))</f>
        <v>0</v>
      </c>
      <c r="G1946" s="24">
        <f>IF(OR($B1946="",$D1946=""),"",$D1946*IFERROR(INDEX(ProdCusto,MATCH($B1946,ProdCod,0)),0))</f>
        <v>0</v>
      </c>
      <c r="H1946" s="25">
        <f>IF($A1946="","",IF(OR($B1946="",$C1946="",$D1946=""),"Preencher tudo",IF($F1946="Código não cadastrado","Código inválido","OK")))</f>
        <v>0</v>
      </c>
    </row>
    <row r="1947" spans="1:8">
      <c r="A1947" s="16"/>
      <c r="B1947" s="15"/>
      <c r="C1947" s="20"/>
      <c r="D1947" s="22"/>
      <c r="E1947" s="15"/>
      <c r="F1947" s="23">
        <f>IF($B1947="","",IFERROR(INDEX(ProdNome,MATCH($B1947,ProdCod,0)),"Código não cadastrado"))</f>
        <v>0</v>
      </c>
      <c r="G1947" s="24">
        <f>IF(OR($B1947="",$D1947=""),"",$D1947*IFERROR(INDEX(ProdCusto,MATCH($B1947,ProdCod,0)),0))</f>
        <v>0</v>
      </c>
      <c r="H1947" s="25">
        <f>IF($A1947="","",IF(OR($B1947="",$C1947="",$D1947=""),"Preencher tudo",IF($F1947="Código não cadastrado","Código inválido","OK")))</f>
        <v>0</v>
      </c>
    </row>
    <row r="1948" spans="1:8">
      <c r="A1948" s="16"/>
      <c r="B1948" s="15"/>
      <c r="C1948" s="20"/>
      <c r="D1948" s="22"/>
      <c r="E1948" s="15"/>
      <c r="F1948" s="23">
        <f>IF($B1948="","",IFERROR(INDEX(ProdNome,MATCH($B1948,ProdCod,0)),"Código não cadastrado"))</f>
        <v>0</v>
      </c>
      <c r="G1948" s="24">
        <f>IF(OR($B1948="",$D1948=""),"",$D1948*IFERROR(INDEX(ProdCusto,MATCH($B1948,ProdCod,0)),0))</f>
        <v>0</v>
      </c>
      <c r="H1948" s="25">
        <f>IF($A1948="","",IF(OR($B1948="",$C1948="",$D1948=""),"Preencher tudo",IF($F1948="Código não cadastrado","Código inválido","OK")))</f>
        <v>0</v>
      </c>
    </row>
    <row r="1949" spans="1:8">
      <c r="A1949" s="16"/>
      <c r="B1949" s="15"/>
      <c r="C1949" s="20"/>
      <c r="D1949" s="22"/>
      <c r="E1949" s="15"/>
      <c r="F1949" s="23">
        <f>IF($B1949="","",IFERROR(INDEX(ProdNome,MATCH($B1949,ProdCod,0)),"Código não cadastrado"))</f>
        <v>0</v>
      </c>
      <c r="G1949" s="24">
        <f>IF(OR($B1949="",$D1949=""),"",$D1949*IFERROR(INDEX(ProdCusto,MATCH($B1949,ProdCod,0)),0))</f>
        <v>0</v>
      </c>
      <c r="H1949" s="25">
        <f>IF($A1949="","",IF(OR($B1949="",$C1949="",$D1949=""),"Preencher tudo",IF($F1949="Código não cadastrado","Código inválido","OK")))</f>
        <v>0</v>
      </c>
    </row>
    <row r="1950" spans="1:8">
      <c r="A1950" s="16"/>
      <c r="B1950" s="15"/>
      <c r="C1950" s="20"/>
      <c r="D1950" s="22"/>
      <c r="E1950" s="15"/>
      <c r="F1950" s="23">
        <f>IF($B1950="","",IFERROR(INDEX(ProdNome,MATCH($B1950,ProdCod,0)),"Código não cadastrado"))</f>
        <v>0</v>
      </c>
      <c r="G1950" s="24">
        <f>IF(OR($B1950="",$D1950=""),"",$D1950*IFERROR(INDEX(ProdCusto,MATCH($B1950,ProdCod,0)),0))</f>
        <v>0</v>
      </c>
      <c r="H1950" s="25">
        <f>IF($A1950="","",IF(OR($B1950="",$C1950="",$D1950=""),"Preencher tudo",IF($F1950="Código não cadastrado","Código inválido","OK")))</f>
        <v>0</v>
      </c>
    </row>
    <row r="1951" spans="1:8">
      <c r="A1951" s="16"/>
      <c r="B1951" s="15"/>
      <c r="C1951" s="20"/>
      <c r="D1951" s="22"/>
      <c r="E1951" s="15"/>
      <c r="F1951" s="23">
        <f>IF($B1951="","",IFERROR(INDEX(ProdNome,MATCH($B1951,ProdCod,0)),"Código não cadastrado"))</f>
        <v>0</v>
      </c>
      <c r="G1951" s="24">
        <f>IF(OR($B1951="",$D1951=""),"",$D1951*IFERROR(INDEX(ProdCusto,MATCH($B1951,ProdCod,0)),0))</f>
        <v>0</v>
      </c>
      <c r="H1951" s="25">
        <f>IF($A1951="","",IF(OR($B1951="",$C1951="",$D1951=""),"Preencher tudo",IF($F1951="Código não cadastrado","Código inválido","OK")))</f>
        <v>0</v>
      </c>
    </row>
    <row r="1952" spans="1:8">
      <c r="A1952" s="16"/>
      <c r="B1952" s="15"/>
      <c r="C1952" s="20"/>
      <c r="D1952" s="22"/>
      <c r="E1952" s="15"/>
      <c r="F1952" s="23">
        <f>IF($B1952="","",IFERROR(INDEX(ProdNome,MATCH($B1952,ProdCod,0)),"Código não cadastrado"))</f>
        <v>0</v>
      </c>
      <c r="G1952" s="24">
        <f>IF(OR($B1952="",$D1952=""),"",$D1952*IFERROR(INDEX(ProdCusto,MATCH($B1952,ProdCod,0)),0))</f>
        <v>0</v>
      </c>
      <c r="H1952" s="25">
        <f>IF($A1952="","",IF(OR($B1952="",$C1952="",$D1952=""),"Preencher tudo",IF($F1952="Código não cadastrado","Código inválido","OK")))</f>
        <v>0</v>
      </c>
    </row>
    <row r="1953" spans="1:8">
      <c r="A1953" s="16"/>
      <c r="B1953" s="15"/>
      <c r="C1953" s="20"/>
      <c r="D1953" s="22"/>
      <c r="E1953" s="15"/>
      <c r="F1953" s="23">
        <f>IF($B1953="","",IFERROR(INDEX(ProdNome,MATCH($B1953,ProdCod,0)),"Código não cadastrado"))</f>
        <v>0</v>
      </c>
      <c r="G1953" s="24">
        <f>IF(OR($B1953="",$D1953=""),"",$D1953*IFERROR(INDEX(ProdCusto,MATCH($B1953,ProdCod,0)),0))</f>
        <v>0</v>
      </c>
      <c r="H1953" s="25">
        <f>IF($A1953="","",IF(OR($B1953="",$C1953="",$D1953=""),"Preencher tudo",IF($F1953="Código não cadastrado","Código inválido","OK")))</f>
        <v>0</v>
      </c>
    </row>
    <row r="1954" spans="1:8">
      <c r="A1954" s="16"/>
      <c r="B1954" s="15"/>
      <c r="C1954" s="20"/>
      <c r="D1954" s="22"/>
      <c r="E1954" s="15"/>
      <c r="F1954" s="23">
        <f>IF($B1954="","",IFERROR(INDEX(ProdNome,MATCH($B1954,ProdCod,0)),"Código não cadastrado"))</f>
        <v>0</v>
      </c>
      <c r="G1954" s="24">
        <f>IF(OR($B1954="",$D1954=""),"",$D1954*IFERROR(INDEX(ProdCusto,MATCH($B1954,ProdCod,0)),0))</f>
        <v>0</v>
      </c>
      <c r="H1954" s="25">
        <f>IF($A1954="","",IF(OR($B1954="",$C1954="",$D1954=""),"Preencher tudo",IF($F1954="Código não cadastrado","Código inválido","OK")))</f>
        <v>0</v>
      </c>
    </row>
    <row r="1955" spans="1:8">
      <c r="A1955" s="16"/>
      <c r="B1955" s="15"/>
      <c r="C1955" s="20"/>
      <c r="D1955" s="22"/>
      <c r="E1955" s="15"/>
      <c r="F1955" s="23">
        <f>IF($B1955="","",IFERROR(INDEX(ProdNome,MATCH($B1955,ProdCod,0)),"Código não cadastrado"))</f>
        <v>0</v>
      </c>
      <c r="G1955" s="24">
        <f>IF(OR($B1955="",$D1955=""),"",$D1955*IFERROR(INDEX(ProdCusto,MATCH($B1955,ProdCod,0)),0))</f>
        <v>0</v>
      </c>
      <c r="H1955" s="25">
        <f>IF($A1955="","",IF(OR($B1955="",$C1955="",$D1955=""),"Preencher tudo",IF($F1955="Código não cadastrado","Código inválido","OK")))</f>
        <v>0</v>
      </c>
    </row>
    <row r="1956" spans="1:8">
      <c r="A1956" s="16"/>
      <c r="B1956" s="15"/>
      <c r="C1956" s="20"/>
      <c r="D1956" s="22"/>
      <c r="E1956" s="15"/>
      <c r="F1956" s="23">
        <f>IF($B1956="","",IFERROR(INDEX(ProdNome,MATCH($B1956,ProdCod,0)),"Código não cadastrado"))</f>
        <v>0</v>
      </c>
      <c r="G1956" s="24">
        <f>IF(OR($B1956="",$D1956=""),"",$D1956*IFERROR(INDEX(ProdCusto,MATCH($B1956,ProdCod,0)),0))</f>
        <v>0</v>
      </c>
      <c r="H1956" s="25">
        <f>IF($A1956="","",IF(OR($B1956="",$C1956="",$D1956=""),"Preencher tudo",IF($F1956="Código não cadastrado","Código inválido","OK")))</f>
        <v>0</v>
      </c>
    </row>
    <row r="1957" spans="1:8">
      <c r="A1957" s="16"/>
      <c r="B1957" s="15"/>
      <c r="C1957" s="20"/>
      <c r="D1957" s="22"/>
      <c r="E1957" s="15"/>
      <c r="F1957" s="23">
        <f>IF($B1957="","",IFERROR(INDEX(ProdNome,MATCH($B1957,ProdCod,0)),"Código não cadastrado"))</f>
        <v>0</v>
      </c>
      <c r="G1957" s="24">
        <f>IF(OR($B1957="",$D1957=""),"",$D1957*IFERROR(INDEX(ProdCusto,MATCH($B1957,ProdCod,0)),0))</f>
        <v>0</v>
      </c>
      <c r="H1957" s="25">
        <f>IF($A1957="","",IF(OR($B1957="",$C1957="",$D1957=""),"Preencher tudo",IF($F1957="Código não cadastrado","Código inválido","OK")))</f>
        <v>0</v>
      </c>
    </row>
    <row r="1958" spans="1:8">
      <c r="A1958" s="16"/>
      <c r="B1958" s="15"/>
      <c r="C1958" s="20"/>
      <c r="D1958" s="22"/>
      <c r="E1958" s="15"/>
      <c r="F1958" s="23">
        <f>IF($B1958="","",IFERROR(INDEX(ProdNome,MATCH($B1958,ProdCod,0)),"Código não cadastrado"))</f>
        <v>0</v>
      </c>
      <c r="G1958" s="24">
        <f>IF(OR($B1958="",$D1958=""),"",$D1958*IFERROR(INDEX(ProdCusto,MATCH($B1958,ProdCod,0)),0))</f>
        <v>0</v>
      </c>
      <c r="H1958" s="25">
        <f>IF($A1958="","",IF(OR($B1958="",$C1958="",$D1958=""),"Preencher tudo",IF($F1958="Código não cadastrado","Código inválido","OK")))</f>
        <v>0</v>
      </c>
    </row>
    <row r="1959" spans="1:8">
      <c r="A1959" s="16"/>
      <c r="B1959" s="15"/>
      <c r="C1959" s="20"/>
      <c r="D1959" s="22"/>
      <c r="E1959" s="15"/>
      <c r="F1959" s="23">
        <f>IF($B1959="","",IFERROR(INDEX(ProdNome,MATCH($B1959,ProdCod,0)),"Código não cadastrado"))</f>
        <v>0</v>
      </c>
      <c r="G1959" s="24">
        <f>IF(OR($B1959="",$D1959=""),"",$D1959*IFERROR(INDEX(ProdCusto,MATCH($B1959,ProdCod,0)),0))</f>
        <v>0</v>
      </c>
      <c r="H1959" s="25">
        <f>IF($A1959="","",IF(OR($B1959="",$C1959="",$D1959=""),"Preencher tudo",IF($F1959="Código não cadastrado","Código inválido","OK")))</f>
        <v>0</v>
      </c>
    </row>
    <row r="1960" spans="1:8">
      <c r="A1960" s="16"/>
      <c r="B1960" s="15"/>
      <c r="C1960" s="20"/>
      <c r="D1960" s="22"/>
      <c r="E1960" s="15"/>
      <c r="F1960" s="23">
        <f>IF($B1960="","",IFERROR(INDEX(ProdNome,MATCH($B1960,ProdCod,0)),"Código não cadastrado"))</f>
        <v>0</v>
      </c>
      <c r="G1960" s="24">
        <f>IF(OR($B1960="",$D1960=""),"",$D1960*IFERROR(INDEX(ProdCusto,MATCH($B1960,ProdCod,0)),0))</f>
        <v>0</v>
      </c>
      <c r="H1960" s="25">
        <f>IF($A1960="","",IF(OR($B1960="",$C1960="",$D1960=""),"Preencher tudo",IF($F1960="Código não cadastrado","Código inválido","OK")))</f>
        <v>0</v>
      </c>
    </row>
    <row r="1961" spans="1:8">
      <c r="A1961" s="16"/>
      <c r="B1961" s="15"/>
      <c r="C1961" s="20"/>
      <c r="D1961" s="22"/>
      <c r="E1961" s="15"/>
      <c r="F1961" s="23">
        <f>IF($B1961="","",IFERROR(INDEX(ProdNome,MATCH($B1961,ProdCod,0)),"Código não cadastrado"))</f>
        <v>0</v>
      </c>
      <c r="G1961" s="24">
        <f>IF(OR($B1961="",$D1961=""),"",$D1961*IFERROR(INDEX(ProdCusto,MATCH($B1961,ProdCod,0)),0))</f>
        <v>0</v>
      </c>
      <c r="H1961" s="25">
        <f>IF($A1961="","",IF(OR($B1961="",$C1961="",$D1961=""),"Preencher tudo",IF($F1961="Código não cadastrado","Código inválido","OK")))</f>
        <v>0</v>
      </c>
    </row>
    <row r="1962" spans="1:8">
      <c r="A1962" s="16"/>
      <c r="B1962" s="15"/>
      <c r="C1962" s="20"/>
      <c r="D1962" s="22"/>
      <c r="E1962" s="15"/>
      <c r="F1962" s="23">
        <f>IF($B1962="","",IFERROR(INDEX(ProdNome,MATCH($B1962,ProdCod,0)),"Código não cadastrado"))</f>
        <v>0</v>
      </c>
      <c r="G1962" s="24">
        <f>IF(OR($B1962="",$D1962=""),"",$D1962*IFERROR(INDEX(ProdCusto,MATCH($B1962,ProdCod,0)),0))</f>
        <v>0</v>
      </c>
      <c r="H1962" s="25">
        <f>IF($A1962="","",IF(OR($B1962="",$C1962="",$D1962=""),"Preencher tudo",IF($F1962="Código não cadastrado","Código inválido","OK")))</f>
        <v>0</v>
      </c>
    </row>
    <row r="1963" spans="1:8">
      <c r="A1963" s="16"/>
      <c r="B1963" s="15"/>
      <c r="C1963" s="20"/>
      <c r="D1963" s="22"/>
      <c r="E1963" s="15"/>
      <c r="F1963" s="23">
        <f>IF($B1963="","",IFERROR(INDEX(ProdNome,MATCH($B1963,ProdCod,0)),"Código não cadastrado"))</f>
        <v>0</v>
      </c>
      <c r="G1963" s="24">
        <f>IF(OR($B1963="",$D1963=""),"",$D1963*IFERROR(INDEX(ProdCusto,MATCH($B1963,ProdCod,0)),0))</f>
        <v>0</v>
      </c>
      <c r="H1963" s="25">
        <f>IF($A1963="","",IF(OR($B1963="",$C1963="",$D1963=""),"Preencher tudo",IF($F1963="Código não cadastrado","Código inválido","OK")))</f>
        <v>0</v>
      </c>
    </row>
    <row r="1964" spans="1:8">
      <c r="A1964" s="16"/>
      <c r="B1964" s="15"/>
      <c r="C1964" s="20"/>
      <c r="D1964" s="22"/>
      <c r="E1964" s="15"/>
      <c r="F1964" s="23">
        <f>IF($B1964="","",IFERROR(INDEX(ProdNome,MATCH($B1964,ProdCod,0)),"Código não cadastrado"))</f>
        <v>0</v>
      </c>
      <c r="G1964" s="24">
        <f>IF(OR($B1964="",$D1964=""),"",$D1964*IFERROR(INDEX(ProdCusto,MATCH($B1964,ProdCod,0)),0))</f>
        <v>0</v>
      </c>
      <c r="H1964" s="25">
        <f>IF($A1964="","",IF(OR($B1964="",$C1964="",$D1964=""),"Preencher tudo",IF($F1964="Código não cadastrado","Código inválido","OK")))</f>
        <v>0</v>
      </c>
    </row>
    <row r="1965" spans="1:8">
      <c r="A1965" s="16"/>
      <c r="B1965" s="15"/>
      <c r="C1965" s="20"/>
      <c r="D1965" s="22"/>
      <c r="E1965" s="15"/>
      <c r="F1965" s="23">
        <f>IF($B1965="","",IFERROR(INDEX(ProdNome,MATCH($B1965,ProdCod,0)),"Código não cadastrado"))</f>
        <v>0</v>
      </c>
      <c r="G1965" s="24">
        <f>IF(OR($B1965="",$D1965=""),"",$D1965*IFERROR(INDEX(ProdCusto,MATCH($B1965,ProdCod,0)),0))</f>
        <v>0</v>
      </c>
      <c r="H1965" s="25">
        <f>IF($A1965="","",IF(OR($B1965="",$C1965="",$D1965=""),"Preencher tudo",IF($F1965="Código não cadastrado","Código inválido","OK")))</f>
        <v>0</v>
      </c>
    </row>
    <row r="1966" spans="1:8">
      <c r="A1966" s="16"/>
      <c r="B1966" s="15"/>
      <c r="C1966" s="20"/>
      <c r="D1966" s="22"/>
      <c r="E1966" s="15"/>
      <c r="F1966" s="23">
        <f>IF($B1966="","",IFERROR(INDEX(ProdNome,MATCH($B1966,ProdCod,0)),"Código não cadastrado"))</f>
        <v>0</v>
      </c>
      <c r="G1966" s="24">
        <f>IF(OR($B1966="",$D1966=""),"",$D1966*IFERROR(INDEX(ProdCusto,MATCH($B1966,ProdCod,0)),0))</f>
        <v>0</v>
      </c>
      <c r="H1966" s="25">
        <f>IF($A1966="","",IF(OR($B1966="",$C1966="",$D1966=""),"Preencher tudo",IF($F1966="Código não cadastrado","Código inválido","OK")))</f>
        <v>0</v>
      </c>
    </row>
    <row r="1967" spans="1:8">
      <c r="A1967" s="16"/>
      <c r="B1967" s="15"/>
      <c r="C1967" s="20"/>
      <c r="D1967" s="22"/>
      <c r="E1967" s="15"/>
      <c r="F1967" s="23">
        <f>IF($B1967="","",IFERROR(INDEX(ProdNome,MATCH($B1967,ProdCod,0)),"Código não cadastrado"))</f>
        <v>0</v>
      </c>
      <c r="G1967" s="24">
        <f>IF(OR($B1967="",$D1967=""),"",$D1967*IFERROR(INDEX(ProdCusto,MATCH($B1967,ProdCod,0)),0))</f>
        <v>0</v>
      </c>
      <c r="H1967" s="25">
        <f>IF($A1967="","",IF(OR($B1967="",$C1967="",$D1967=""),"Preencher tudo",IF($F1967="Código não cadastrado","Código inválido","OK")))</f>
        <v>0</v>
      </c>
    </row>
    <row r="1968" spans="1:8">
      <c r="A1968" s="16"/>
      <c r="B1968" s="15"/>
      <c r="C1968" s="20"/>
      <c r="D1968" s="22"/>
      <c r="E1968" s="15"/>
      <c r="F1968" s="23">
        <f>IF($B1968="","",IFERROR(INDEX(ProdNome,MATCH($B1968,ProdCod,0)),"Código não cadastrado"))</f>
        <v>0</v>
      </c>
      <c r="G1968" s="24">
        <f>IF(OR($B1968="",$D1968=""),"",$D1968*IFERROR(INDEX(ProdCusto,MATCH($B1968,ProdCod,0)),0))</f>
        <v>0</v>
      </c>
      <c r="H1968" s="25">
        <f>IF($A1968="","",IF(OR($B1968="",$C1968="",$D1968=""),"Preencher tudo",IF($F1968="Código não cadastrado","Código inválido","OK")))</f>
        <v>0</v>
      </c>
    </row>
    <row r="1969" spans="1:8">
      <c r="A1969" s="16"/>
      <c r="B1969" s="15"/>
      <c r="C1969" s="20"/>
      <c r="D1969" s="22"/>
      <c r="E1969" s="15"/>
      <c r="F1969" s="23">
        <f>IF($B1969="","",IFERROR(INDEX(ProdNome,MATCH($B1969,ProdCod,0)),"Código não cadastrado"))</f>
        <v>0</v>
      </c>
      <c r="G1969" s="24">
        <f>IF(OR($B1969="",$D1969=""),"",$D1969*IFERROR(INDEX(ProdCusto,MATCH($B1969,ProdCod,0)),0))</f>
        <v>0</v>
      </c>
      <c r="H1969" s="25">
        <f>IF($A1969="","",IF(OR($B1969="",$C1969="",$D1969=""),"Preencher tudo",IF($F1969="Código não cadastrado","Código inválido","OK")))</f>
        <v>0</v>
      </c>
    </row>
    <row r="1970" spans="1:8">
      <c r="A1970" s="16"/>
      <c r="B1970" s="15"/>
      <c r="C1970" s="20"/>
      <c r="D1970" s="22"/>
      <c r="E1970" s="15"/>
      <c r="F1970" s="23">
        <f>IF($B1970="","",IFERROR(INDEX(ProdNome,MATCH($B1970,ProdCod,0)),"Código não cadastrado"))</f>
        <v>0</v>
      </c>
      <c r="G1970" s="24">
        <f>IF(OR($B1970="",$D1970=""),"",$D1970*IFERROR(INDEX(ProdCusto,MATCH($B1970,ProdCod,0)),0))</f>
        <v>0</v>
      </c>
      <c r="H1970" s="25">
        <f>IF($A1970="","",IF(OR($B1970="",$C1970="",$D1970=""),"Preencher tudo",IF($F1970="Código não cadastrado","Código inválido","OK")))</f>
        <v>0</v>
      </c>
    </row>
    <row r="1971" spans="1:8">
      <c r="A1971" s="16"/>
      <c r="B1971" s="15"/>
      <c r="C1971" s="20"/>
      <c r="D1971" s="22"/>
      <c r="E1971" s="15"/>
      <c r="F1971" s="23">
        <f>IF($B1971="","",IFERROR(INDEX(ProdNome,MATCH($B1971,ProdCod,0)),"Código não cadastrado"))</f>
        <v>0</v>
      </c>
      <c r="G1971" s="24">
        <f>IF(OR($B1971="",$D1971=""),"",$D1971*IFERROR(INDEX(ProdCusto,MATCH($B1971,ProdCod,0)),0))</f>
        <v>0</v>
      </c>
      <c r="H1971" s="25">
        <f>IF($A1971="","",IF(OR($B1971="",$C1971="",$D1971=""),"Preencher tudo",IF($F1971="Código não cadastrado","Código inválido","OK")))</f>
        <v>0</v>
      </c>
    </row>
    <row r="1972" spans="1:8">
      <c r="A1972" s="16"/>
      <c r="B1972" s="15"/>
      <c r="C1972" s="20"/>
      <c r="D1972" s="22"/>
      <c r="E1972" s="15"/>
      <c r="F1972" s="23">
        <f>IF($B1972="","",IFERROR(INDEX(ProdNome,MATCH($B1972,ProdCod,0)),"Código não cadastrado"))</f>
        <v>0</v>
      </c>
      <c r="G1972" s="24">
        <f>IF(OR($B1972="",$D1972=""),"",$D1972*IFERROR(INDEX(ProdCusto,MATCH($B1972,ProdCod,0)),0))</f>
        <v>0</v>
      </c>
      <c r="H1972" s="25">
        <f>IF($A1972="","",IF(OR($B1972="",$C1972="",$D1972=""),"Preencher tudo",IF($F1972="Código não cadastrado","Código inválido","OK")))</f>
        <v>0</v>
      </c>
    </row>
    <row r="1973" spans="1:8">
      <c r="A1973" s="16"/>
      <c r="B1973" s="15"/>
      <c r="C1973" s="20"/>
      <c r="D1973" s="22"/>
      <c r="E1973" s="15"/>
      <c r="F1973" s="23">
        <f>IF($B1973="","",IFERROR(INDEX(ProdNome,MATCH($B1973,ProdCod,0)),"Código não cadastrado"))</f>
        <v>0</v>
      </c>
      <c r="G1973" s="24">
        <f>IF(OR($B1973="",$D1973=""),"",$D1973*IFERROR(INDEX(ProdCusto,MATCH($B1973,ProdCod,0)),0))</f>
        <v>0</v>
      </c>
      <c r="H1973" s="25">
        <f>IF($A1973="","",IF(OR($B1973="",$C1973="",$D1973=""),"Preencher tudo",IF($F1973="Código não cadastrado","Código inválido","OK")))</f>
        <v>0</v>
      </c>
    </row>
    <row r="1974" spans="1:8">
      <c r="A1974" s="16"/>
      <c r="B1974" s="15"/>
      <c r="C1974" s="20"/>
      <c r="D1974" s="22"/>
      <c r="E1974" s="15"/>
      <c r="F1974" s="23">
        <f>IF($B1974="","",IFERROR(INDEX(ProdNome,MATCH($B1974,ProdCod,0)),"Código não cadastrado"))</f>
        <v>0</v>
      </c>
      <c r="G1974" s="24">
        <f>IF(OR($B1974="",$D1974=""),"",$D1974*IFERROR(INDEX(ProdCusto,MATCH($B1974,ProdCod,0)),0))</f>
        <v>0</v>
      </c>
      <c r="H1974" s="25">
        <f>IF($A1974="","",IF(OR($B1974="",$C1974="",$D1974=""),"Preencher tudo",IF($F1974="Código não cadastrado","Código inválido","OK")))</f>
        <v>0</v>
      </c>
    </row>
    <row r="1975" spans="1:8">
      <c r="A1975" s="16"/>
      <c r="B1975" s="15"/>
      <c r="C1975" s="20"/>
      <c r="D1975" s="22"/>
      <c r="E1975" s="15"/>
      <c r="F1975" s="23">
        <f>IF($B1975="","",IFERROR(INDEX(ProdNome,MATCH($B1975,ProdCod,0)),"Código não cadastrado"))</f>
        <v>0</v>
      </c>
      <c r="G1975" s="24">
        <f>IF(OR($B1975="",$D1975=""),"",$D1975*IFERROR(INDEX(ProdCusto,MATCH($B1975,ProdCod,0)),0))</f>
        <v>0</v>
      </c>
      <c r="H1975" s="25">
        <f>IF($A1975="","",IF(OR($B1975="",$C1975="",$D1975=""),"Preencher tudo",IF($F1975="Código não cadastrado","Código inválido","OK")))</f>
        <v>0</v>
      </c>
    </row>
    <row r="1976" spans="1:8">
      <c r="A1976" s="16"/>
      <c r="B1976" s="15"/>
      <c r="C1976" s="20"/>
      <c r="D1976" s="22"/>
      <c r="E1976" s="15"/>
      <c r="F1976" s="23">
        <f>IF($B1976="","",IFERROR(INDEX(ProdNome,MATCH($B1976,ProdCod,0)),"Código não cadastrado"))</f>
        <v>0</v>
      </c>
      <c r="G1976" s="24">
        <f>IF(OR($B1976="",$D1976=""),"",$D1976*IFERROR(INDEX(ProdCusto,MATCH($B1976,ProdCod,0)),0))</f>
        <v>0</v>
      </c>
      <c r="H1976" s="25">
        <f>IF($A1976="","",IF(OR($B1976="",$C1976="",$D1976=""),"Preencher tudo",IF($F1976="Código não cadastrado","Código inválido","OK")))</f>
        <v>0</v>
      </c>
    </row>
    <row r="1977" spans="1:8">
      <c r="A1977" s="16"/>
      <c r="B1977" s="15"/>
      <c r="C1977" s="20"/>
      <c r="D1977" s="22"/>
      <c r="E1977" s="15"/>
      <c r="F1977" s="23">
        <f>IF($B1977="","",IFERROR(INDEX(ProdNome,MATCH($B1977,ProdCod,0)),"Código não cadastrado"))</f>
        <v>0</v>
      </c>
      <c r="G1977" s="24">
        <f>IF(OR($B1977="",$D1977=""),"",$D1977*IFERROR(INDEX(ProdCusto,MATCH($B1977,ProdCod,0)),0))</f>
        <v>0</v>
      </c>
      <c r="H1977" s="25">
        <f>IF($A1977="","",IF(OR($B1977="",$C1977="",$D1977=""),"Preencher tudo",IF($F1977="Código não cadastrado","Código inválido","OK")))</f>
        <v>0</v>
      </c>
    </row>
    <row r="1978" spans="1:8">
      <c r="A1978" s="16"/>
      <c r="B1978" s="15"/>
      <c r="C1978" s="20"/>
      <c r="D1978" s="22"/>
      <c r="E1978" s="15"/>
      <c r="F1978" s="23">
        <f>IF($B1978="","",IFERROR(INDEX(ProdNome,MATCH($B1978,ProdCod,0)),"Código não cadastrado"))</f>
        <v>0</v>
      </c>
      <c r="G1978" s="24">
        <f>IF(OR($B1978="",$D1978=""),"",$D1978*IFERROR(INDEX(ProdCusto,MATCH($B1978,ProdCod,0)),0))</f>
        <v>0</v>
      </c>
      <c r="H1978" s="25">
        <f>IF($A1978="","",IF(OR($B1978="",$C1978="",$D1978=""),"Preencher tudo",IF($F1978="Código não cadastrado","Código inválido","OK")))</f>
        <v>0</v>
      </c>
    </row>
    <row r="1979" spans="1:8">
      <c r="A1979" s="16"/>
      <c r="B1979" s="15"/>
      <c r="C1979" s="20"/>
      <c r="D1979" s="22"/>
      <c r="E1979" s="15"/>
      <c r="F1979" s="23">
        <f>IF($B1979="","",IFERROR(INDEX(ProdNome,MATCH($B1979,ProdCod,0)),"Código não cadastrado"))</f>
        <v>0</v>
      </c>
      <c r="G1979" s="24">
        <f>IF(OR($B1979="",$D1979=""),"",$D1979*IFERROR(INDEX(ProdCusto,MATCH($B1979,ProdCod,0)),0))</f>
        <v>0</v>
      </c>
      <c r="H1979" s="25">
        <f>IF($A1979="","",IF(OR($B1979="",$C1979="",$D1979=""),"Preencher tudo",IF($F1979="Código não cadastrado","Código inválido","OK")))</f>
        <v>0</v>
      </c>
    </row>
    <row r="1980" spans="1:8">
      <c r="A1980" s="16"/>
      <c r="B1980" s="15"/>
      <c r="C1980" s="20"/>
      <c r="D1980" s="22"/>
      <c r="E1980" s="15"/>
      <c r="F1980" s="23">
        <f>IF($B1980="","",IFERROR(INDEX(ProdNome,MATCH($B1980,ProdCod,0)),"Código não cadastrado"))</f>
        <v>0</v>
      </c>
      <c r="G1980" s="24">
        <f>IF(OR($B1980="",$D1980=""),"",$D1980*IFERROR(INDEX(ProdCusto,MATCH($B1980,ProdCod,0)),0))</f>
        <v>0</v>
      </c>
      <c r="H1980" s="25">
        <f>IF($A1980="","",IF(OR($B1980="",$C1980="",$D1980=""),"Preencher tudo",IF($F1980="Código não cadastrado","Código inválido","OK")))</f>
        <v>0</v>
      </c>
    </row>
    <row r="1981" spans="1:8">
      <c r="A1981" s="16"/>
      <c r="B1981" s="15"/>
      <c r="C1981" s="20"/>
      <c r="D1981" s="22"/>
      <c r="E1981" s="15"/>
      <c r="F1981" s="23">
        <f>IF($B1981="","",IFERROR(INDEX(ProdNome,MATCH($B1981,ProdCod,0)),"Código não cadastrado"))</f>
        <v>0</v>
      </c>
      <c r="G1981" s="24">
        <f>IF(OR($B1981="",$D1981=""),"",$D1981*IFERROR(INDEX(ProdCusto,MATCH($B1981,ProdCod,0)),0))</f>
        <v>0</v>
      </c>
      <c r="H1981" s="25">
        <f>IF($A1981="","",IF(OR($B1981="",$C1981="",$D1981=""),"Preencher tudo",IF($F1981="Código não cadastrado","Código inválido","OK")))</f>
        <v>0</v>
      </c>
    </row>
    <row r="1982" spans="1:8">
      <c r="A1982" s="16"/>
      <c r="B1982" s="15"/>
      <c r="C1982" s="20"/>
      <c r="D1982" s="22"/>
      <c r="E1982" s="15"/>
      <c r="F1982" s="23">
        <f>IF($B1982="","",IFERROR(INDEX(ProdNome,MATCH($B1982,ProdCod,0)),"Código não cadastrado"))</f>
        <v>0</v>
      </c>
      <c r="G1982" s="24">
        <f>IF(OR($B1982="",$D1982=""),"",$D1982*IFERROR(INDEX(ProdCusto,MATCH($B1982,ProdCod,0)),0))</f>
        <v>0</v>
      </c>
      <c r="H1982" s="25">
        <f>IF($A1982="","",IF(OR($B1982="",$C1982="",$D1982=""),"Preencher tudo",IF($F1982="Código não cadastrado","Código inválido","OK")))</f>
        <v>0</v>
      </c>
    </row>
    <row r="1983" spans="1:8">
      <c r="A1983" s="16"/>
      <c r="B1983" s="15"/>
      <c r="C1983" s="20"/>
      <c r="D1983" s="22"/>
      <c r="E1983" s="15"/>
      <c r="F1983" s="23">
        <f>IF($B1983="","",IFERROR(INDEX(ProdNome,MATCH($B1983,ProdCod,0)),"Código não cadastrado"))</f>
        <v>0</v>
      </c>
      <c r="G1983" s="24">
        <f>IF(OR($B1983="",$D1983=""),"",$D1983*IFERROR(INDEX(ProdCusto,MATCH($B1983,ProdCod,0)),0))</f>
        <v>0</v>
      </c>
      <c r="H1983" s="25">
        <f>IF($A1983="","",IF(OR($B1983="",$C1983="",$D1983=""),"Preencher tudo",IF($F1983="Código não cadastrado","Código inválido","OK")))</f>
        <v>0</v>
      </c>
    </row>
    <row r="1984" spans="1:8">
      <c r="A1984" s="16"/>
      <c r="B1984" s="15"/>
      <c r="C1984" s="20"/>
      <c r="D1984" s="22"/>
      <c r="E1984" s="15"/>
      <c r="F1984" s="23">
        <f>IF($B1984="","",IFERROR(INDEX(ProdNome,MATCH($B1984,ProdCod,0)),"Código não cadastrado"))</f>
        <v>0</v>
      </c>
      <c r="G1984" s="24">
        <f>IF(OR($B1984="",$D1984=""),"",$D1984*IFERROR(INDEX(ProdCusto,MATCH($B1984,ProdCod,0)),0))</f>
        <v>0</v>
      </c>
      <c r="H1984" s="25">
        <f>IF($A1984="","",IF(OR($B1984="",$C1984="",$D1984=""),"Preencher tudo",IF($F1984="Código não cadastrado","Código inválido","OK")))</f>
        <v>0</v>
      </c>
    </row>
    <row r="1985" spans="1:8">
      <c r="A1985" s="16"/>
      <c r="B1985" s="15"/>
      <c r="C1985" s="20"/>
      <c r="D1985" s="22"/>
      <c r="E1985" s="15"/>
      <c r="F1985" s="23">
        <f>IF($B1985="","",IFERROR(INDEX(ProdNome,MATCH($B1985,ProdCod,0)),"Código não cadastrado"))</f>
        <v>0</v>
      </c>
      <c r="G1985" s="24">
        <f>IF(OR($B1985="",$D1985=""),"",$D1985*IFERROR(INDEX(ProdCusto,MATCH($B1985,ProdCod,0)),0))</f>
        <v>0</v>
      </c>
      <c r="H1985" s="25">
        <f>IF($A1985="","",IF(OR($B1985="",$C1985="",$D1985=""),"Preencher tudo",IF($F1985="Código não cadastrado","Código inválido","OK")))</f>
        <v>0</v>
      </c>
    </row>
    <row r="1986" spans="1:8">
      <c r="A1986" s="16"/>
      <c r="B1986" s="15"/>
      <c r="C1986" s="20"/>
      <c r="D1986" s="22"/>
      <c r="E1986" s="15"/>
      <c r="F1986" s="23">
        <f>IF($B1986="","",IFERROR(INDEX(ProdNome,MATCH($B1986,ProdCod,0)),"Código não cadastrado"))</f>
        <v>0</v>
      </c>
      <c r="G1986" s="24">
        <f>IF(OR($B1986="",$D1986=""),"",$D1986*IFERROR(INDEX(ProdCusto,MATCH($B1986,ProdCod,0)),0))</f>
        <v>0</v>
      </c>
      <c r="H1986" s="25">
        <f>IF($A1986="","",IF(OR($B1986="",$C1986="",$D1986=""),"Preencher tudo",IF($F1986="Código não cadastrado","Código inválido","OK")))</f>
        <v>0</v>
      </c>
    </row>
    <row r="1987" spans="1:8">
      <c r="A1987" s="16"/>
      <c r="B1987" s="15"/>
      <c r="C1987" s="20"/>
      <c r="D1987" s="22"/>
      <c r="E1987" s="15"/>
      <c r="F1987" s="23">
        <f>IF($B1987="","",IFERROR(INDEX(ProdNome,MATCH($B1987,ProdCod,0)),"Código não cadastrado"))</f>
        <v>0</v>
      </c>
      <c r="G1987" s="24">
        <f>IF(OR($B1987="",$D1987=""),"",$D1987*IFERROR(INDEX(ProdCusto,MATCH($B1987,ProdCod,0)),0))</f>
        <v>0</v>
      </c>
      <c r="H1987" s="25">
        <f>IF($A1987="","",IF(OR($B1987="",$C1987="",$D1987=""),"Preencher tudo",IF($F1987="Código não cadastrado","Código inválido","OK")))</f>
        <v>0</v>
      </c>
    </row>
    <row r="1988" spans="1:8">
      <c r="A1988" s="16"/>
      <c r="B1988" s="15"/>
      <c r="C1988" s="20"/>
      <c r="D1988" s="22"/>
      <c r="E1988" s="15"/>
      <c r="F1988" s="23">
        <f>IF($B1988="","",IFERROR(INDEX(ProdNome,MATCH($B1988,ProdCod,0)),"Código não cadastrado"))</f>
        <v>0</v>
      </c>
      <c r="G1988" s="24">
        <f>IF(OR($B1988="",$D1988=""),"",$D1988*IFERROR(INDEX(ProdCusto,MATCH($B1988,ProdCod,0)),0))</f>
        <v>0</v>
      </c>
      <c r="H1988" s="25">
        <f>IF($A1988="","",IF(OR($B1988="",$C1988="",$D1988=""),"Preencher tudo",IF($F1988="Código não cadastrado","Código inválido","OK")))</f>
        <v>0</v>
      </c>
    </row>
    <row r="1989" spans="1:8">
      <c r="A1989" s="16"/>
      <c r="B1989" s="15"/>
      <c r="C1989" s="20"/>
      <c r="D1989" s="22"/>
      <c r="E1989" s="15"/>
      <c r="F1989" s="23">
        <f>IF($B1989="","",IFERROR(INDEX(ProdNome,MATCH($B1989,ProdCod,0)),"Código não cadastrado"))</f>
        <v>0</v>
      </c>
      <c r="G1989" s="24">
        <f>IF(OR($B1989="",$D1989=""),"",$D1989*IFERROR(INDEX(ProdCusto,MATCH($B1989,ProdCod,0)),0))</f>
        <v>0</v>
      </c>
      <c r="H1989" s="25">
        <f>IF($A1989="","",IF(OR($B1989="",$C1989="",$D1989=""),"Preencher tudo",IF($F1989="Código não cadastrado","Código inválido","OK")))</f>
        <v>0</v>
      </c>
    </row>
    <row r="1990" spans="1:8">
      <c r="A1990" s="16"/>
      <c r="B1990" s="15"/>
      <c r="C1990" s="20"/>
      <c r="D1990" s="22"/>
      <c r="E1990" s="15"/>
      <c r="F1990" s="23">
        <f>IF($B1990="","",IFERROR(INDEX(ProdNome,MATCH($B1990,ProdCod,0)),"Código não cadastrado"))</f>
        <v>0</v>
      </c>
      <c r="G1990" s="24">
        <f>IF(OR($B1990="",$D1990=""),"",$D1990*IFERROR(INDEX(ProdCusto,MATCH($B1990,ProdCod,0)),0))</f>
        <v>0</v>
      </c>
      <c r="H1990" s="25">
        <f>IF($A1990="","",IF(OR($B1990="",$C1990="",$D1990=""),"Preencher tudo",IF($F1990="Código não cadastrado","Código inválido","OK")))</f>
        <v>0</v>
      </c>
    </row>
    <row r="1991" spans="1:8">
      <c r="A1991" s="16"/>
      <c r="B1991" s="15"/>
      <c r="C1991" s="20"/>
      <c r="D1991" s="22"/>
      <c r="E1991" s="15"/>
      <c r="F1991" s="23">
        <f>IF($B1991="","",IFERROR(INDEX(ProdNome,MATCH($B1991,ProdCod,0)),"Código não cadastrado"))</f>
        <v>0</v>
      </c>
      <c r="G1991" s="24">
        <f>IF(OR($B1991="",$D1991=""),"",$D1991*IFERROR(INDEX(ProdCusto,MATCH($B1991,ProdCod,0)),0))</f>
        <v>0</v>
      </c>
      <c r="H1991" s="25">
        <f>IF($A1991="","",IF(OR($B1991="",$C1991="",$D1991=""),"Preencher tudo",IF($F1991="Código não cadastrado","Código inválido","OK")))</f>
        <v>0</v>
      </c>
    </row>
    <row r="1992" spans="1:8">
      <c r="A1992" s="16"/>
      <c r="B1992" s="15"/>
      <c r="C1992" s="20"/>
      <c r="D1992" s="22"/>
      <c r="E1992" s="15"/>
      <c r="F1992" s="23">
        <f>IF($B1992="","",IFERROR(INDEX(ProdNome,MATCH($B1992,ProdCod,0)),"Código não cadastrado"))</f>
        <v>0</v>
      </c>
      <c r="G1992" s="24">
        <f>IF(OR($B1992="",$D1992=""),"",$D1992*IFERROR(INDEX(ProdCusto,MATCH($B1992,ProdCod,0)),0))</f>
        <v>0</v>
      </c>
      <c r="H1992" s="25">
        <f>IF($A1992="","",IF(OR($B1992="",$C1992="",$D1992=""),"Preencher tudo",IF($F1992="Código não cadastrado","Código inválido","OK")))</f>
        <v>0</v>
      </c>
    </row>
    <row r="1993" spans="1:8">
      <c r="A1993" s="16"/>
      <c r="B1993" s="15"/>
      <c r="C1993" s="20"/>
      <c r="D1993" s="22"/>
      <c r="E1993" s="15"/>
      <c r="F1993" s="23">
        <f>IF($B1993="","",IFERROR(INDEX(ProdNome,MATCH($B1993,ProdCod,0)),"Código não cadastrado"))</f>
        <v>0</v>
      </c>
      <c r="G1993" s="24">
        <f>IF(OR($B1993="",$D1993=""),"",$D1993*IFERROR(INDEX(ProdCusto,MATCH($B1993,ProdCod,0)),0))</f>
        <v>0</v>
      </c>
      <c r="H1993" s="25">
        <f>IF($A1993="","",IF(OR($B1993="",$C1993="",$D1993=""),"Preencher tudo",IF($F1993="Código não cadastrado","Código inválido","OK")))</f>
        <v>0</v>
      </c>
    </row>
    <row r="1994" spans="1:8">
      <c r="A1994" s="16"/>
      <c r="B1994" s="15"/>
      <c r="C1994" s="20"/>
      <c r="D1994" s="22"/>
      <c r="E1994" s="15"/>
      <c r="F1994" s="23">
        <f>IF($B1994="","",IFERROR(INDEX(ProdNome,MATCH($B1994,ProdCod,0)),"Código não cadastrado"))</f>
        <v>0</v>
      </c>
      <c r="G1994" s="24">
        <f>IF(OR($B1994="",$D1994=""),"",$D1994*IFERROR(INDEX(ProdCusto,MATCH($B1994,ProdCod,0)),0))</f>
        <v>0</v>
      </c>
      <c r="H1994" s="25">
        <f>IF($A1994="","",IF(OR($B1994="",$C1994="",$D1994=""),"Preencher tudo",IF($F1994="Código não cadastrado","Código inválido","OK")))</f>
        <v>0</v>
      </c>
    </row>
    <row r="1995" spans="1:8">
      <c r="A1995" s="16"/>
      <c r="B1995" s="15"/>
      <c r="C1995" s="20"/>
      <c r="D1995" s="22"/>
      <c r="E1995" s="15"/>
      <c r="F1995" s="23">
        <f>IF($B1995="","",IFERROR(INDEX(ProdNome,MATCH($B1995,ProdCod,0)),"Código não cadastrado"))</f>
        <v>0</v>
      </c>
      <c r="G1995" s="24">
        <f>IF(OR($B1995="",$D1995=""),"",$D1995*IFERROR(INDEX(ProdCusto,MATCH($B1995,ProdCod,0)),0))</f>
        <v>0</v>
      </c>
      <c r="H1995" s="25">
        <f>IF($A1995="","",IF(OR($B1995="",$C1995="",$D1995=""),"Preencher tudo",IF($F1995="Código não cadastrado","Código inválido","OK")))</f>
        <v>0</v>
      </c>
    </row>
    <row r="1996" spans="1:8">
      <c r="A1996" s="16"/>
      <c r="B1996" s="15"/>
      <c r="C1996" s="20"/>
      <c r="D1996" s="22"/>
      <c r="E1996" s="15"/>
      <c r="F1996" s="23">
        <f>IF($B1996="","",IFERROR(INDEX(ProdNome,MATCH($B1996,ProdCod,0)),"Código não cadastrado"))</f>
        <v>0</v>
      </c>
      <c r="G1996" s="24">
        <f>IF(OR($B1996="",$D1996=""),"",$D1996*IFERROR(INDEX(ProdCusto,MATCH($B1996,ProdCod,0)),0))</f>
        <v>0</v>
      </c>
      <c r="H1996" s="25">
        <f>IF($A1996="","",IF(OR($B1996="",$C1996="",$D1996=""),"Preencher tudo",IF($F1996="Código não cadastrado","Código inválido","OK")))</f>
        <v>0</v>
      </c>
    </row>
    <row r="1997" spans="1:8">
      <c r="A1997" s="16"/>
      <c r="B1997" s="15"/>
      <c r="C1997" s="20"/>
      <c r="D1997" s="22"/>
      <c r="E1997" s="15"/>
      <c r="F1997" s="23">
        <f>IF($B1997="","",IFERROR(INDEX(ProdNome,MATCH($B1997,ProdCod,0)),"Código não cadastrado"))</f>
        <v>0</v>
      </c>
      <c r="G1997" s="24">
        <f>IF(OR($B1997="",$D1997=""),"",$D1997*IFERROR(INDEX(ProdCusto,MATCH($B1997,ProdCod,0)),0))</f>
        <v>0</v>
      </c>
      <c r="H1997" s="25">
        <f>IF($A1997="","",IF(OR($B1997="",$C1997="",$D1997=""),"Preencher tudo",IF($F1997="Código não cadastrado","Código inválido","OK")))</f>
        <v>0</v>
      </c>
    </row>
    <row r="1998" spans="1:8">
      <c r="A1998" s="16"/>
      <c r="B1998" s="15"/>
      <c r="C1998" s="20"/>
      <c r="D1998" s="22"/>
      <c r="E1998" s="15"/>
      <c r="F1998" s="23">
        <f>IF($B1998="","",IFERROR(INDEX(ProdNome,MATCH($B1998,ProdCod,0)),"Código não cadastrado"))</f>
        <v>0</v>
      </c>
      <c r="G1998" s="24">
        <f>IF(OR($B1998="",$D1998=""),"",$D1998*IFERROR(INDEX(ProdCusto,MATCH($B1998,ProdCod,0)),0))</f>
        <v>0</v>
      </c>
      <c r="H1998" s="25">
        <f>IF($A1998="","",IF(OR($B1998="",$C1998="",$D1998=""),"Preencher tudo",IF($F1998="Código não cadastrado","Código inválido","OK")))</f>
        <v>0</v>
      </c>
    </row>
    <row r="1999" spans="1:8">
      <c r="A1999" s="16"/>
      <c r="B1999" s="15"/>
      <c r="C1999" s="20"/>
      <c r="D1999" s="22"/>
      <c r="E1999" s="15"/>
      <c r="F1999" s="23">
        <f>IF($B1999="","",IFERROR(INDEX(ProdNome,MATCH($B1999,ProdCod,0)),"Código não cadastrado"))</f>
        <v>0</v>
      </c>
      <c r="G1999" s="24">
        <f>IF(OR($B1999="",$D1999=""),"",$D1999*IFERROR(INDEX(ProdCusto,MATCH($B1999,ProdCod,0)),0))</f>
        <v>0</v>
      </c>
      <c r="H1999" s="25">
        <f>IF($A1999="","",IF(OR($B1999="",$C1999="",$D1999=""),"Preencher tudo",IF($F1999="Código não cadastrado","Código inválido","OK")))</f>
        <v>0</v>
      </c>
    </row>
    <row r="2000" spans="1:8">
      <c r="A2000" s="16"/>
      <c r="B2000" s="15"/>
      <c r="C2000" s="20"/>
      <c r="D2000" s="22"/>
      <c r="E2000" s="15"/>
      <c r="F2000" s="23">
        <f>IF($B2000="","",IFERROR(INDEX(ProdNome,MATCH($B2000,ProdCod,0)),"Código não cadastrado"))</f>
        <v>0</v>
      </c>
      <c r="G2000" s="24">
        <f>IF(OR($B2000="",$D2000=""),"",$D2000*IFERROR(INDEX(ProdCusto,MATCH($B2000,ProdCod,0)),0))</f>
        <v>0</v>
      </c>
      <c r="H2000" s="25">
        <f>IF($A2000="","",IF(OR($B2000="",$C2000="",$D2000=""),"Preencher tudo",IF($F2000="Código não cadastrado","Código inválido","OK")))</f>
        <v>0</v>
      </c>
    </row>
    <row r="2001" spans="1:8">
      <c r="A2001" s="16"/>
      <c r="B2001" s="15"/>
      <c r="C2001" s="20"/>
      <c r="D2001" s="22"/>
      <c r="E2001" s="15"/>
      <c r="F2001" s="23">
        <f>IF($B2001="","",IFERROR(INDEX(ProdNome,MATCH($B2001,ProdCod,0)),"Código não cadastrado"))</f>
        <v>0</v>
      </c>
      <c r="G2001" s="24">
        <f>IF(OR($B2001="",$D2001=""),"",$D2001*IFERROR(INDEX(ProdCusto,MATCH($B2001,ProdCod,0)),0))</f>
        <v>0</v>
      </c>
      <c r="H2001" s="25">
        <f>IF($A2001="","",IF(OR($B2001="",$C2001="",$D2001=""),"Preencher tudo",IF($F2001="Código não cadastrado","Código inválido","OK")))</f>
        <v>0</v>
      </c>
    </row>
    <row r="2002" spans="1:8">
      <c r="A2002" s="16"/>
      <c r="B2002" s="15"/>
      <c r="C2002" s="20"/>
      <c r="D2002" s="22"/>
      <c r="E2002" s="15"/>
      <c r="F2002" s="23">
        <f>IF($B2002="","",IFERROR(INDEX(ProdNome,MATCH($B2002,ProdCod,0)),"Código não cadastrado"))</f>
        <v>0</v>
      </c>
      <c r="G2002" s="24">
        <f>IF(OR($B2002="",$D2002=""),"",$D2002*IFERROR(INDEX(ProdCusto,MATCH($B2002,ProdCod,0)),0))</f>
        <v>0</v>
      </c>
      <c r="H2002" s="25">
        <f>IF($A2002="","",IF(OR($B2002="",$C2002="",$D2002=""),"Preencher tudo",IF($F2002="Código não cadastrado","Código inválido","OK")))</f>
        <v>0</v>
      </c>
    </row>
    <row r="2003" spans="1:8">
      <c r="A2003" s="16"/>
      <c r="B2003" s="15"/>
      <c r="C2003" s="20"/>
      <c r="D2003" s="22"/>
      <c r="E2003" s="15"/>
      <c r="F2003" s="23">
        <f>IF($B2003="","",IFERROR(INDEX(ProdNome,MATCH($B2003,ProdCod,0)),"Código não cadastrado"))</f>
        <v>0</v>
      </c>
      <c r="G2003" s="24">
        <f>IF(OR($B2003="",$D2003=""),"",$D2003*IFERROR(INDEX(ProdCusto,MATCH($B2003,ProdCod,0)),0))</f>
        <v>0</v>
      </c>
      <c r="H2003" s="25">
        <f>IF($A2003="","",IF(OR($B2003="",$C2003="",$D2003=""),"Preencher tudo",IF($F2003="Código não cadastrado","Código inválido","OK")))</f>
        <v>0</v>
      </c>
    </row>
    <row r="2004" spans="1:8">
      <c r="A2004" s="16"/>
      <c r="B2004" s="15"/>
      <c r="C2004" s="20"/>
      <c r="D2004" s="22"/>
      <c r="E2004" s="15"/>
      <c r="F2004" s="23">
        <f>IF($B2004="","",IFERROR(INDEX(ProdNome,MATCH($B2004,ProdCod,0)),"Código não cadastrado"))</f>
        <v>0</v>
      </c>
      <c r="G2004" s="24">
        <f>IF(OR($B2004="",$D2004=""),"",$D2004*IFERROR(INDEX(ProdCusto,MATCH($B2004,ProdCod,0)),0))</f>
        <v>0</v>
      </c>
      <c r="H2004" s="25">
        <f>IF($A2004="","",IF(OR($B2004="",$C2004="",$D2004=""),"Preencher tudo",IF($F2004="Código não cadastrado","Código inválido","OK")))</f>
        <v>0</v>
      </c>
    </row>
    <row r="2005" spans="1:8">
      <c r="A2005" s="16"/>
      <c r="B2005" s="15"/>
      <c r="C2005" s="20"/>
      <c r="D2005" s="22"/>
      <c r="E2005" s="15"/>
      <c r="F2005" s="23">
        <f>IF($B2005="","",IFERROR(INDEX(ProdNome,MATCH($B2005,ProdCod,0)),"Código não cadastrado"))</f>
        <v>0</v>
      </c>
      <c r="G2005" s="24">
        <f>IF(OR($B2005="",$D2005=""),"",$D2005*IFERROR(INDEX(ProdCusto,MATCH($B2005,ProdCod,0)),0))</f>
        <v>0</v>
      </c>
      <c r="H2005" s="25">
        <f>IF($A2005="","",IF(OR($B2005="",$C2005="",$D2005=""),"Preencher tudo",IF($F2005="Código não cadastrado","Código inválido","OK")))</f>
        <v>0</v>
      </c>
    </row>
    <row r="2006" spans="1:8">
      <c r="A2006" s="16"/>
      <c r="B2006" s="15"/>
      <c r="C2006" s="20"/>
      <c r="D2006" s="22"/>
      <c r="E2006" s="15"/>
      <c r="F2006" s="23">
        <f>IF($B2006="","",IFERROR(INDEX(ProdNome,MATCH($B2006,ProdCod,0)),"Código não cadastrado"))</f>
        <v>0</v>
      </c>
      <c r="G2006" s="24">
        <f>IF(OR($B2006="",$D2006=""),"",$D2006*IFERROR(INDEX(ProdCusto,MATCH($B2006,ProdCod,0)),0))</f>
        <v>0</v>
      </c>
      <c r="H2006" s="25">
        <f>IF($A2006="","",IF(OR($B2006="",$C2006="",$D2006=""),"Preencher tudo",IF($F2006="Código não cadastrado","Código inválido","OK")))</f>
        <v>0</v>
      </c>
    </row>
    <row r="2007" spans="1:8">
      <c r="A2007" s="16"/>
      <c r="B2007" s="15"/>
      <c r="C2007" s="20"/>
      <c r="D2007" s="22"/>
      <c r="E2007" s="15"/>
      <c r="F2007" s="23">
        <f>IF($B2007="","",IFERROR(INDEX(ProdNome,MATCH($B2007,ProdCod,0)),"Código não cadastrado"))</f>
        <v>0</v>
      </c>
      <c r="G2007" s="24">
        <f>IF(OR($B2007="",$D2007=""),"",$D2007*IFERROR(INDEX(ProdCusto,MATCH($B2007,ProdCod,0)),0))</f>
        <v>0</v>
      </c>
      <c r="H2007" s="25">
        <f>IF($A2007="","",IF(OR($B2007="",$C2007="",$D2007=""),"Preencher tudo",IF($F2007="Código não cadastrado","Código inválido","OK")))</f>
        <v>0</v>
      </c>
    </row>
    <row r="2008" spans="1:8">
      <c r="A2008" s="16"/>
      <c r="B2008" s="15"/>
      <c r="C2008" s="20"/>
      <c r="D2008" s="22"/>
      <c r="E2008" s="15"/>
      <c r="F2008" s="23">
        <f>IF($B2008="","",IFERROR(INDEX(ProdNome,MATCH($B2008,ProdCod,0)),"Código não cadastrado"))</f>
        <v>0</v>
      </c>
      <c r="G2008" s="24">
        <f>IF(OR($B2008="",$D2008=""),"",$D2008*IFERROR(INDEX(ProdCusto,MATCH($B2008,ProdCod,0)),0))</f>
        <v>0</v>
      </c>
      <c r="H2008" s="25">
        <f>IF($A2008="","",IF(OR($B2008="",$C2008="",$D2008=""),"Preencher tudo",IF($F2008="Código não cadastrado","Código inválido","OK")))</f>
        <v>0</v>
      </c>
    </row>
    <row r="2009" spans="1:8">
      <c r="A2009" s="16"/>
      <c r="B2009" s="15"/>
      <c r="C2009" s="20"/>
      <c r="D2009" s="22"/>
      <c r="E2009" s="15"/>
      <c r="F2009" s="23">
        <f>IF($B2009="","",IFERROR(INDEX(ProdNome,MATCH($B2009,ProdCod,0)),"Código não cadastrado"))</f>
        <v>0</v>
      </c>
      <c r="G2009" s="24">
        <f>IF(OR($B2009="",$D2009=""),"",$D2009*IFERROR(INDEX(ProdCusto,MATCH($B2009,ProdCod,0)),0))</f>
        <v>0</v>
      </c>
      <c r="H2009" s="25">
        <f>IF($A2009="","",IF(OR($B2009="",$C2009="",$D2009=""),"Preencher tudo",IF($F2009="Código não cadastrado","Código inválido","OK")))</f>
        <v>0</v>
      </c>
    </row>
    <row r="2010" spans="1:8">
      <c r="A2010" s="16"/>
      <c r="B2010" s="15"/>
      <c r="C2010" s="20"/>
      <c r="D2010" s="22"/>
      <c r="E2010" s="15"/>
      <c r="F2010" s="23">
        <f>IF($B2010="","",IFERROR(INDEX(ProdNome,MATCH($B2010,ProdCod,0)),"Código não cadastrado"))</f>
        <v>0</v>
      </c>
      <c r="G2010" s="24">
        <f>IF(OR($B2010="",$D2010=""),"",$D2010*IFERROR(INDEX(ProdCusto,MATCH($B2010,ProdCod,0)),0))</f>
        <v>0</v>
      </c>
      <c r="H2010" s="25">
        <f>IF($A2010="","",IF(OR($B2010="",$C2010="",$D2010=""),"Preencher tudo",IF($F2010="Código não cadastrado","Código inválido","OK")))</f>
        <v>0</v>
      </c>
    </row>
    <row r="2011" spans="1:8">
      <c r="A2011" s="16"/>
      <c r="B2011" s="15"/>
      <c r="C2011" s="20"/>
      <c r="D2011" s="22"/>
      <c r="E2011" s="15"/>
      <c r="F2011" s="23">
        <f>IF($B2011="","",IFERROR(INDEX(ProdNome,MATCH($B2011,ProdCod,0)),"Código não cadastrado"))</f>
        <v>0</v>
      </c>
      <c r="G2011" s="24">
        <f>IF(OR($B2011="",$D2011=""),"",$D2011*IFERROR(INDEX(ProdCusto,MATCH($B2011,ProdCod,0)),0))</f>
        <v>0</v>
      </c>
      <c r="H2011" s="25">
        <f>IF($A2011="","",IF(OR($B2011="",$C2011="",$D2011=""),"Preencher tudo",IF($F2011="Código não cadastrado","Código inválido","OK")))</f>
        <v>0</v>
      </c>
    </row>
    <row r="2012" spans="1:8">
      <c r="A2012" s="16"/>
      <c r="B2012" s="15"/>
      <c r="C2012" s="20"/>
      <c r="D2012" s="22"/>
      <c r="E2012" s="15"/>
      <c r="F2012" s="23">
        <f>IF($B2012="","",IFERROR(INDEX(ProdNome,MATCH($B2012,ProdCod,0)),"Código não cadastrado"))</f>
        <v>0</v>
      </c>
      <c r="G2012" s="24">
        <f>IF(OR($B2012="",$D2012=""),"",$D2012*IFERROR(INDEX(ProdCusto,MATCH($B2012,ProdCod,0)),0))</f>
        <v>0</v>
      </c>
      <c r="H2012" s="25">
        <f>IF($A2012="","",IF(OR($B2012="",$C2012="",$D2012=""),"Preencher tudo",IF($F2012="Código não cadastrado","Código inválido","OK")))</f>
        <v>0</v>
      </c>
    </row>
    <row r="2013" spans="1:8">
      <c r="A2013" s="16"/>
      <c r="B2013" s="15"/>
      <c r="C2013" s="20"/>
      <c r="D2013" s="22"/>
      <c r="E2013" s="15"/>
      <c r="F2013" s="23">
        <f>IF($B2013="","",IFERROR(INDEX(ProdNome,MATCH($B2013,ProdCod,0)),"Código não cadastrado"))</f>
        <v>0</v>
      </c>
      <c r="G2013" s="24">
        <f>IF(OR($B2013="",$D2013=""),"",$D2013*IFERROR(INDEX(ProdCusto,MATCH($B2013,ProdCod,0)),0))</f>
        <v>0</v>
      </c>
      <c r="H2013" s="25">
        <f>IF($A2013="","",IF(OR($B2013="",$C2013="",$D2013=""),"Preencher tudo",IF($F2013="Código não cadastrado","Código inválido","OK")))</f>
        <v>0</v>
      </c>
    </row>
    <row r="2014" spans="1:8">
      <c r="A2014" s="16"/>
      <c r="B2014" s="15"/>
      <c r="C2014" s="20"/>
      <c r="D2014" s="22"/>
      <c r="E2014" s="15"/>
      <c r="F2014" s="23">
        <f>IF($B2014="","",IFERROR(INDEX(ProdNome,MATCH($B2014,ProdCod,0)),"Código não cadastrado"))</f>
        <v>0</v>
      </c>
      <c r="G2014" s="24">
        <f>IF(OR($B2014="",$D2014=""),"",$D2014*IFERROR(INDEX(ProdCusto,MATCH($B2014,ProdCod,0)),0))</f>
        <v>0</v>
      </c>
      <c r="H2014" s="25">
        <f>IF($A2014="","",IF(OR($B2014="",$C2014="",$D2014=""),"Preencher tudo",IF($F2014="Código não cadastrado","Código inválido","OK")))</f>
        <v>0</v>
      </c>
    </row>
    <row r="2015" spans="1:8">
      <c r="A2015" s="16"/>
      <c r="B2015" s="15"/>
      <c r="C2015" s="20"/>
      <c r="D2015" s="22"/>
      <c r="E2015" s="15"/>
      <c r="F2015" s="23">
        <f>IF($B2015="","",IFERROR(INDEX(ProdNome,MATCH($B2015,ProdCod,0)),"Código não cadastrado"))</f>
        <v>0</v>
      </c>
      <c r="G2015" s="24">
        <f>IF(OR($B2015="",$D2015=""),"",$D2015*IFERROR(INDEX(ProdCusto,MATCH($B2015,ProdCod,0)),0))</f>
        <v>0</v>
      </c>
      <c r="H2015" s="25">
        <f>IF($A2015="","",IF(OR($B2015="",$C2015="",$D2015=""),"Preencher tudo",IF($F2015="Código não cadastrado","Código inválido","OK")))</f>
        <v>0</v>
      </c>
    </row>
    <row r="2016" spans="1:8">
      <c r="A2016" s="16"/>
      <c r="B2016" s="15"/>
      <c r="C2016" s="20"/>
      <c r="D2016" s="22"/>
      <c r="E2016" s="15"/>
      <c r="F2016" s="23">
        <f>IF($B2016="","",IFERROR(INDEX(ProdNome,MATCH($B2016,ProdCod,0)),"Código não cadastrado"))</f>
        <v>0</v>
      </c>
      <c r="G2016" s="24">
        <f>IF(OR($B2016="",$D2016=""),"",$D2016*IFERROR(INDEX(ProdCusto,MATCH($B2016,ProdCod,0)),0))</f>
        <v>0</v>
      </c>
      <c r="H2016" s="25">
        <f>IF($A2016="","",IF(OR($B2016="",$C2016="",$D2016=""),"Preencher tudo",IF($F2016="Código não cadastrado","Código inválido","OK")))</f>
        <v>0</v>
      </c>
    </row>
    <row r="2017" spans="1:8">
      <c r="A2017" s="16"/>
      <c r="B2017" s="15"/>
      <c r="C2017" s="20"/>
      <c r="D2017" s="22"/>
      <c r="E2017" s="15"/>
      <c r="F2017" s="23">
        <f>IF($B2017="","",IFERROR(INDEX(ProdNome,MATCH($B2017,ProdCod,0)),"Código não cadastrado"))</f>
        <v>0</v>
      </c>
      <c r="G2017" s="24">
        <f>IF(OR($B2017="",$D2017=""),"",$D2017*IFERROR(INDEX(ProdCusto,MATCH($B2017,ProdCod,0)),0))</f>
        <v>0</v>
      </c>
      <c r="H2017" s="25">
        <f>IF($A2017="","",IF(OR($B2017="",$C2017="",$D2017=""),"Preencher tudo",IF($F2017="Código não cadastrado","Código inválido","OK")))</f>
        <v>0</v>
      </c>
    </row>
    <row r="2018" spans="1:8">
      <c r="A2018" s="16"/>
      <c r="B2018" s="15"/>
      <c r="C2018" s="20"/>
      <c r="D2018" s="22"/>
      <c r="E2018" s="15"/>
      <c r="F2018" s="23">
        <f>IF($B2018="","",IFERROR(INDEX(ProdNome,MATCH($B2018,ProdCod,0)),"Código não cadastrado"))</f>
        <v>0</v>
      </c>
      <c r="G2018" s="24">
        <f>IF(OR($B2018="",$D2018=""),"",$D2018*IFERROR(INDEX(ProdCusto,MATCH($B2018,ProdCod,0)),0))</f>
        <v>0</v>
      </c>
      <c r="H2018" s="25">
        <f>IF($A2018="","",IF(OR($B2018="",$C2018="",$D2018=""),"Preencher tudo",IF($F2018="Código não cadastrado","Código inválido","OK")))</f>
        <v>0</v>
      </c>
    </row>
    <row r="2019" spans="1:8">
      <c r="A2019" s="16"/>
      <c r="B2019" s="15"/>
      <c r="C2019" s="20"/>
      <c r="D2019" s="22"/>
      <c r="E2019" s="15"/>
      <c r="F2019" s="23">
        <f>IF($B2019="","",IFERROR(INDEX(ProdNome,MATCH($B2019,ProdCod,0)),"Código não cadastrado"))</f>
        <v>0</v>
      </c>
      <c r="G2019" s="24">
        <f>IF(OR($B2019="",$D2019=""),"",$D2019*IFERROR(INDEX(ProdCusto,MATCH($B2019,ProdCod,0)),0))</f>
        <v>0</v>
      </c>
      <c r="H2019" s="25">
        <f>IF($A2019="","",IF(OR($B2019="",$C2019="",$D2019=""),"Preencher tudo",IF($F2019="Código não cadastrado","Código inválido","OK")))</f>
        <v>0</v>
      </c>
    </row>
    <row r="2020" spans="1:8">
      <c r="A2020" s="16"/>
      <c r="B2020" s="15"/>
      <c r="C2020" s="20"/>
      <c r="D2020" s="22"/>
      <c r="E2020" s="15"/>
      <c r="F2020" s="23">
        <f>IF($B2020="","",IFERROR(INDEX(ProdNome,MATCH($B2020,ProdCod,0)),"Código não cadastrado"))</f>
        <v>0</v>
      </c>
      <c r="G2020" s="24">
        <f>IF(OR($B2020="",$D2020=""),"",$D2020*IFERROR(INDEX(ProdCusto,MATCH($B2020,ProdCod,0)),0))</f>
        <v>0</v>
      </c>
      <c r="H2020" s="25">
        <f>IF($A2020="","",IF(OR($B2020="",$C2020="",$D2020=""),"Preencher tudo",IF($F2020="Código não cadastrado","Código inválido","OK")))</f>
        <v>0</v>
      </c>
    </row>
    <row r="2021" spans="1:8">
      <c r="A2021" s="16"/>
      <c r="B2021" s="15"/>
      <c r="C2021" s="20"/>
      <c r="D2021" s="22"/>
      <c r="E2021" s="15"/>
      <c r="F2021" s="23">
        <f>IF($B2021="","",IFERROR(INDEX(ProdNome,MATCH($B2021,ProdCod,0)),"Código não cadastrado"))</f>
        <v>0</v>
      </c>
      <c r="G2021" s="24">
        <f>IF(OR($B2021="",$D2021=""),"",$D2021*IFERROR(INDEX(ProdCusto,MATCH($B2021,ProdCod,0)),0))</f>
        <v>0</v>
      </c>
      <c r="H2021" s="25">
        <f>IF($A2021="","",IF(OR($B2021="",$C2021="",$D2021=""),"Preencher tudo",IF($F2021="Código não cadastrado","Código inválido","OK")))</f>
        <v>0</v>
      </c>
    </row>
    <row r="2022" spans="1:8">
      <c r="A2022" s="16"/>
      <c r="B2022" s="15"/>
      <c r="C2022" s="20"/>
      <c r="D2022" s="22"/>
      <c r="E2022" s="15"/>
      <c r="F2022" s="23">
        <f>IF($B2022="","",IFERROR(INDEX(ProdNome,MATCH($B2022,ProdCod,0)),"Código não cadastrado"))</f>
        <v>0</v>
      </c>
      <c r="G2022" s="24">
        <f>IF(OR($B2022="",$D2022=""),"",$D2022*IFERROR(INDEX(ProdCusto,MATCH($B2022,ProdCod,0)),0))</f>
        <v>0</v>
      </c>
      <c r="H2022" s="25">
        <f>IF($A2022="","",IF(OR($B2022="",$C2022="",$D2022=""),"Preencher tudo",IF($F2022="Código não cadastrado","Código inválido","OK")))</f>
        <v>0</v>
      </c>
    </row>
    <row r="2023" spans="1:8">
      <c r="A2023" s="16"/>
      <c r="B2023" s="15"/>
      <c r="C2023" s="20"/>
      <c r="D2023" s="22"/>
      <c r="E2023" s="15"/>
      <c r="F2023" s="23">
        <f>IF($B2023="","",IFERROR(INDEX(ProdNome,MATCH($B2023,ProdCod,0)),"Código não cadastrado"))</f>
        <v>0</v>
      </c>
      <c r="G2023" s="24">
        <f>IF(OR($B2023="",$D2023=""),"",$D2023*IFERROR(INDEX(ProdCusto,MATCH($B2023,ProdCod,0)),0))</f>
        <v>0</v>
      </c>
      <c r="H2023" s="25">
        <f>IF($A2023="","",IF(OR($B2023="",$C2023="",$D2023=""),"Preencher tudo",IF($F2023="Código não cadastrado","Código inválido","OK")))</f>
        <v>0</v>
      </c>
    </row>
    <row r="2024" spans="1:8">
      <c r="A2024" s="16"/>
      <c r="B2024" s="15"/>
      <c r="C2024" s="20"/>
      <c r="D2024" s="22"/>
      <c r="E2024" s="15"/>
      <c r="F2024" s="23">
        <f>IF($B2024="","",IFERROR(INDEX(ProdNome,MATCH($B2024,ProdCod,0)),"Código não cadastrado"))</f>
        <v>0</v>
      </c>
      <c r="G2024" s="24">
        <f>IF(OR($B2024="",$D2024=""),"",$D2024*IFERROR(INDEX(ProdCusto,MATCH($B2024,ProdCod,0)),0))</f>
        <v>0</v>
      </c>
      <c r="H2024" s="25">
        <f>IF($A2024="","",IF(OR($B2024="",$C2024="",$D2024=""),"Preencher tudo",IF($F2024="Código não cadastrado","Código inválido","OK")))</f>
        <v>0</v>
      </c>
    </row>
    <row r="2025" spans="1:8">
      <c r="A2025" s="16"/>
      <c r="B2025" s="15"/>
      <c r="C2025" s="20"/>
      <c r="D2025" s="22"/>
      <c r="E2025" s="15"/>
      <c r="F2025" s="23">
        <f>IF($B2025="","",IFERROR(INDEX(ProdNome,MATCH($B2025,ProdCod,0)),"Código não cadastrado"))</f>
        <v>0</v>
      </c>
      <c r="G2025" s="24">
        <f>IF(OR($B2025="",$D2025=""),"",$D2025*IFERROR(INDEX(ProdCusto,MATCH($B2025,ProdCod,0)),0))</f>
        <v>0</v>
      </c>
      <c r="H2025" s="25">
        <f>IF($A2025="","",IF(OR($B2025="",$C2025="",$D2025=""),"Preencher tudo",IF($F2025="Código não cadastrado","Código inválido","OK")))</f>
        <v>0</v>
      </c>
    </row>
    <row r="2026" spans="1:8">
      <c r="A2026" s="16"/>
      <c r="B2026" s="15"/>
      <c r="C2026" s="20"/>
      <c r="D2026" s="22"/>
      <c r="E2026" s="15"/>
      <c r="F2026" s="23">
        <f>IF($B2026="","",IFERROR(INDEX(ProdNome,MATCH($B2026,ProdCod,0)),"Código não cadastrado"))</f>
        <v>0</v>
      </c>
      <c r="G2026" s="24">
        <f>IF(OR($B2026="",$D2026=""),"",$D2026*IFERROR(INDEX(ProdCusto,MATCH($B2026,ProdCod,0)),0))</f>
        <v>0</v>
      </c>
      <c r="H2026" s="25">
        <f>IF($A2026="","",IF(OR($B2026="",$C2026="",$D2026=""),"Preencher tudo",IF($F2026="Código não cadastrado","Código inválido","OK")))</f>
        <v>0</v>
      </c>
    </row>
    <row r="2027" spans="1:8">
      <c r="A2027" s="16"/>
      <c r="B2027" s="15"/>
      <c r="C2027" s="20"/>
      <c r="D2027" s="22"/>
      <c r="E2027" s="15"/>
      <c r="F2027" s="23">
        <f>IF($B2027="","",IFERROR(INDEX(ProdNome,MATCH($B2027,ProdCod,0)),"Código não cadastrado"))</f>
        <v>0</v>
      </c>
      <c r="G2027" s="24">
        <f>IF(OR($B2027="",$D2027=""),"",$D2027*IFERROR(INDEX(ProdCusto,MATCH($B2027,ProdCod,0)),0))</f>
        <v>0</v>
      </c>
      <c r="H2027" s="25">
        <f>IF($A2027="","",IF(OR($B2027="",$C2027="",$D2027=""),"Preencher tudo",IF($F2027="Código não cadastrado","Código inválido","OK")))</f>
        <v>0</v>
      </c>
    </row>
    <row r="2028" spans="1:8">
      <c r="A2028" s="16"/>
      <c r="B2028" s="15"/>
      <c r="C2028" s="20"/>
      <c r="D2028" s="22"/>
      <c r="E2028" s="15"/>
      <c r="F2028" s="23">
        <f>IF($B2028="","",IFERROR(INDEX(ProdNome,MATCH($B2028,ProdCod,0)),"Código não cadastrado"))</f>
        <v>0</v>
      </c>
      <c r="G2028" s="24">
        <f>IF(OR($B2028="",$D2028=""),"",$D2028*IFERROR(INDEX(ProdCusto,MATCH($B2028,ProdCod,0)),0))</f>
        <v>0</v>
      </c>
      <c r="H2028" s="25">
        <f>IF($A2028="","",IF(OR($B2028="",$C2028="",$D2028=""),"Preencher tudo",IF($F2028="Código não cadastrado","Código inválido","OK")))</f>
        <v>0</v>
      </c>
    </row>
    <row r="2029" spans="1:8">
      <c r="A2029" s="16"/>
      <c r="B2029" s="15"/>
      <c r="C2029" s="20"/>
      <c r="D2029" s="22"/>
      <c r="E2029" s="15"/>
      <c r="F2029" s="23">
        <f>IF($B2029="","",IFERROR(INDEX(ProdNome,MATCH($B2029,ProdCod,0)),"Código não cadastrado"))</f>
        <v>0</v>
      </c>
      <c r="G2029" s="24">
        <f>IF(OR($B2029="",$D2029=""),"",$D2029*IFERROR(INDEX(ProdCusto,MATCH($B2029,ProdCod,0)),0))</f>
        <v>0</v>
      </c>
      <c r="H2029" s="25">
        <f>IF($A2029="","",IF(OR($B2029="",$C2029="",$D2029=""),"Preencher tudo",IF($F2029="Código não cadastrado","Código inválido","OK")))</f>
        <v>0</v>
      </c>
    </row>
    <row r="2030" spans="1:8">
      <c r="A2030" s="16"/>
      <c r="B2030" s="15"/>
      <c r="C2030" s="20"/>
      <c r="D2030" s="22"/>
      <c r="E2030" s="15"/>
      <c r="F2030" s="23">
        <f>IF($B2030="","",IFERROR(INDEX(ProdNome,MATCH($B2030,ProdCod,0)),"Código não cadastrado"))</f>
        <v>0</v>
      </c>
      <c r="G2030" s="24">
        <f>IF(OR($B2030="",$D2030=""),"",$D2030*IFERROR(INDEX(ProdCusto,MATCH($B2030,ProdCod,0)),0))</f>
        <v>0</v>
      </c>
      <c r="H2030" s="25">
        <f>IF($A2030="","",IF(OR($B2030="",$C2030="",$D2030=""),"Preencher tudo",IF($F2030="Código não cadastrado","Código inválido","OK")))</f>
        <v>0</v>
      </c>
    </row>
    <row r="2031" spans="1:8">
      <c r="A2031" s="16"/>
      <c r="B2031" s="15"/>
      <c r="C2031" s="20"/>
      <c r="D2031" s="22"/>
      <c r="E2031" s="15"/>
      <c r="F2031" s="23">
        <f>IF($B2031="","",IFERROR(INDEX(ProdNome,MATCH($B2031,ProdCod,0)),"Código não cadastrado"))</f>
        <v>0</v>
      </c>
      <c r="G2031" s="24">
        <f>IF(OR($B2031="",$D2031=""),"",$D2031*IFERROR(INDEX(ProdCusto,MATCH($B2031,ProdCod,0)),0))</f>
        <v>0</v>
      </c>
      <c r="H2031" s="25">
        <f>IF($A2031="","",IF(OR($B2031="",$C2031="",$D2031=""),"Preencher tudo",IF($F2031="Código não cadastrado","Código inválido","OK")))</f>
        <v>0</v>
      </c>
    </row>
    <row r="2032" spans="1:8">
      <c r="A2032" s="16"/>
      <c r="B2032" s="15"/>
      <c r="C2032" s="20"/>
      <c r="D2032" s="22"/>
      <c r="E2032" s="15"/>
      <c r="F2032" s="23">
        <f>IF($B2032="","",IFERROR(INDEX(ProdNome,MATCH($B2032,ProdCod,0)),"Código não cadastrado"))</f>
        <v>0</v>
      </c>
      <c r="G2032" s="24">
        <f>IF(OR($B2032="",$D2032=""),"",$D2032*IFERROR(INDEX(ProdCusto,MATCH($B2032,ProdCod,0)),0))</f>
        <v>0</v>
      </c>
      <c r="H2032" s="25">
        <f>IF($A2032="","",IF(OR($B2032="",$C2032="",$D2032=""),"Preencher tudo",IF($F2032="Código não cadastrado","Código inválido","OK")))</f>
        <v>0</v>
      </c>
    </row>
    <row r="2033" spans="1:8">
      <c r="A2033" s="16"/>
      <c r="B2033" s="15"/>
      <c r="C2033" s="20"/>
      <c r="D2033" s="22"/>
      <c r="E2033" s="15"/>
      <c r="F2033" s="23">
        <f>IF($B2033="","",IFERROR(INDEX(ProdNome,MATCH($B2033,ProdCod,0)),"Código não cadastrado"))</f>
        <v>0</v>
      </c>
      <c r="G2033" s="24">
        <f>IF(OR($B2033="",$D2033=""),"",$D2033*IFERROR(INDEX(ProdCusto,MATCH($B2033,ProdCod,0)),0))</f>
        <v>0</v>
      </c>
      <c r="H2033" s="25">
        <f>IF($A2033="","",IF(OR($B2033="",$C2033="",$D2033=""),"Preencher tudo",IF($F2033="Código não cadastrado","Código inválido","OK")))</f>
        <v>0</v>
      </c>
    </row>
    <row r="2034" spans="1:8">
      <c r="A2034" s="16"/>
      <c r="B2034" s="15"/>
      <c r="C2034" s="20"/>
      <c r="D2034" s="22"/>
      <c r="E2034" s="15"/>
      <c r="F2034" s="23">
        <f>IF($B2034="","",IFERROR(INDEX(ProdNome,MATCH($B2034,ProdCod,0)),"Código não cadastrado"))</f>
        <v>0</v>
      </c>
      <c r="G2034" s="24">
        <f>IF(OR($B2034="",$D2034=""),"",$D2034*IFERROR(INDEX(ProdCusto,MATCH($B2034,ProdCod,0)),0))</f>
        <v>0</v>
      </c>
      <c r="H2034" s="25">
        <f>IF($A2034="","",IF(OR($B2034="",$C2034="",$D2034=""),"Preencher tudo",IF($F2034="Código não cadastrado","Código inválido","OK")))</f>
        <v>0</v>
      </c>
    </row>
    <row r="2035" spans="1:8">
      <c r="A2035" s="16"/>
      <c r="B2035" s="15"/>
      <c r="C2035" s="20"/>
      <c r="D2035" s="22"/>
      <c r="E2035" s="15"/>
      <c r="F2035" s="23">
        <f>IF($B2035="","",IFERROR(INDEX(ProdNome,MATCH($B2035,ProdCod,0)),"Código não cadastrado"))</f>
        <v>0</v>
      </c>
      <c r="G2035" s="24">
        <f>IF(OR($B2035="",$D2035=""),"",$D2035*IFERROR(INDEX(ProdCusto,MATCH($B2035,ProdCod,0)),0))</f>
        <v>0</v>
      </c>
      <c r="H2035" s="25">
        <f>IF($A2035="","",IF(OR($B2035="",$C2035="",$D2035=""),"Preencher tudo",IF($F2035="Código não cadastrado","Código inválido","OK")))</f>
        <v>0</v>
      </c>
    </row>
    <row r="2036" spans="1:8">
      <c r="A2036" s="16"/>
      <c r="B2036" s="15"/>
      <c r="C2036" s="20"/>
      <c r="D2036" s="22"/>
      <c r="E2036" s="15"/>
      <c r="F2036" s="23">
        <f>IF($B2036="","",IFERROR(INDEX(ProdNome,MATCH($B2036,ProdCod,0)),"Código não cadastrado"))</f>
        <v>0</v>
      </c>
      <c r="G2036" s="24">
        <f>IF(OR($B2036="",$D2036=""),"",$D2036*IFERROR(INDEX(ProdCusto,MATCH($B2036,ProdCod,0)),0))</f>
        <v>0</v>
      </c>
      <c r="H2036" s="25">
        <f>IF($A2036="","",IF(OR($B2036="",$C2036="",$D2036=""),"Preencher tudo",IF($F2036="Código não cadastrado","Código inválido","OK")))</f>
        <v>0</v>
      </c>
    </row>
    <row r="2037" spans="1:8">
      <c r="A2037" s="16"/>
      <c r="B2037" s="15"/>
      <c r="C2037" s="20"/>
      <c r="D2037" s="22"/>
      <c r="E2037" s="15"/>
      <c r="F2037" s="23">
        <f>IF($B2037="","",IFERROR(INDEX(ProdNome,MATCH($B2037,ProdCod,0)),"Código não cadastrado"))</f>
        <v>0</v>
      </c>
      <c r="G2037" s="24">
        <f>IF(OR($B2037="",$D2037=""),"",$D2037*IFERROR(INDEX(ProdCusto,MATCH($B2037,ProdCod,0)),0))</f>
        <v>0</v>
      </c>
      <c r="H2037" s="25">
        <f>IF($A2037="","",IF(OR($B2037="",$C2037="",$D2037=""),"Preencher tudo",IF($F2037="Código não cadastrado","Código inválido","OK")))</f>
        <v>0</v>
      </c>
    </row>
    <row r="2038" spans="1:8">
      <c r="A2038" s="16"/>
      <c r="B2038" s="15"/>
      <c r="C2038" s="20"/>
      <c r="D2038" s="22"/>
      <c r="E2038" s="15"/>
      <c r="F2038" s="23">
        <f>IF($B2038="","",IFERROR(INDEX(ProdNome,MATCH($B2038,ProdCod,0)),"Código não cadastrado"))</f>
        <v>0</v>
      </c>
      <c r="G2038" s="24">
        <f>IF(OR($B2038="",$D2038=""),"",$D2038*IFERROR(INDEX(ProdCusto,MATCH($B2038,ProdCod,0)),0))</f>
        <v>0</v>
      </c>
      <c r="H2038" s="25">
        <f>IF($A2038="","",IF(OR($B2038="",$C2038="",$D2038=""),"Preencher tudo",IF($F2038="Código não cadastrado","Código inválido","OK")))</f>
        <v>0</v>
      </c>
    </row>
    <row r="2039" spans="1:8">
      <c r="A2039" s="16"/>
      <c r="B2039" s="15"/>
      <c r="C2039" s="20"/>
      <c r="D2039" s="22"/>
      <c r="E2039" s="15"/>
      <c r="F2039" s="23">
        <f>IF($B2039="","",IFERROR(INDEX(ProdNome,MATCH($B2039,ProdCod,0)),"Código não cadastrado"))</f>
        <v>0</v>
      </c>
      <c r="G2039" s="24">
        <f>IF(OR($B2039="",$D2039=""),"",$D2039*IFERROR(INDEX(ProdCusto,MATCH($B2039,ProdCod,0)),0))</f>
        <v>0</v>
      </c>
      <c r="H2039" s="25">
        <f>IF($A2039="","",IF(OR($B2039="",$C2039="",$D2039=""),"Preencher tudo",IF($F2039="Código não cadastrado","Código inválido","OK")))</f>
        <v>0</v>
      </c>
    </row>
    <row r="2040" spans="1:8">
      <c r="A2040" s="16"/>
      <c r="B2040" s="15"/>
      <c r="C2040" s="20"/>
      <c r="D2040" s="22"/>
      <c r="E2040" s="15"/>
      <c r="F2040" s="23">
        <f>IF($B2040="","",IFERROR(INDEX(ProdNome,MATCH($B2040,ProdCod,0)),"Código não cadastrado"))</f>
        <v>0</v>
      </c>
      <c r="G2040" s="24">
        <f>IF(OR($B2040="",$D2040=""),"",$D2040*IFERROR(INDEX(ProdCusto,MATCH($B2040,ProdCod,0)),0))</f>
        <v>0</v>
      </c>
      <c r="H2040" s="25">
        <f>IF($A2040="","",IF(OR($B2040="",$C2040="",$D2040=""),"Preencher tudo",IF($F2040="Código não cadastrado","Código inválido","OK")))</f>
        <v>0</v>
      </c>
    </row>
    <row r="2041" spans="1:8">
      <c r="A2041" s="16"/>
      <c r="B2041" s="15"/>
      <c r="C2041" s="20"/>
      <c r="D2041" s="22"/>
      <c r="E2041" s="15"/>
      <c r="F2041" s="23">
        <f>IF($B2041="","",IFERROR(INDEX(ProdNome,MATCH($B2041,ProdCod,0)),"Código não cadastrado"))</f>
        <v>0</v>
      </c>
      <c r="G2041" s="24">
        <f>IF(OR($B2041="",$D2041=""),"",$D2041*IFERROR(INDEX(ProdCusto,MATCH($B2041,ProdCod,0)),0))</f>
        <v>0</v>
      </c>
      <c r="H2041" s="25">
        <f>IF($A2041="","",IF(OR($B2041="",$C2041="",$D2041=""),"Preencher tudo",IF($F2041="Código não cadastrado","Código inválido","OK")))</f>
        <v>0</v>
      </c>
    </row>
    <row r="2042" spans="1:8">
      <c r="A2042" s="16"/>
      <c r="B2042" s="15"/>
      <c r="C2042" s="20"/>
      <c r="D2042" s="22"/>
      <c r="E2042" s="15"/>
      <c r="F2042" s="23">
        <f>IF($B2042="","",IFERROR(INDEX(ProdNome,MATCH($B2042,ProdCod,0)),"Código não cadastrado"))</f>
        <v>0</v>
      </c>
      <c r="G2042" s="24">
        <f>IF(OR($B2042="",$D2042=""),"",$D2042*IFERROR(INDEX(ProdCusto,MATCH($B2042,ProdCod,0)),0))</f>
        <v>0</v>
      </c>
      <c r="H2042" s="25">
        <f>IF($A2042="","",IF(OR($B2042="",$C2042="",$D2042=""),"Preencher tudo",IF($F2042="Código não cadastrado","Código inválido","OK")))</f>
        <v>0</v>
      </c>
    </row>
    <row r="2043" spans="1:8">
      <c r="A2043" s="16"/>
      <c r="B2043" s="15"/>
      <c r="C2043" s="20"/>
      <c r="D2043" s="22"/>
      <c r="E2043" s="15"/>
      <c r="F2043" s="23">
        <f>IF($B2043="","",IFERROR(INDEX(ProdNome,MATCH($B2043,ProdCod,0)),"Código não cadastrado"))</f>
        <v>0</v>
      </c>
      <c r="G2043" s="24">
        <f>IF(OR($B2043="",$D2043=""),"",$D2043*IFERROR(INDEX(ProdCusto,MATCH($B2043,ProdCod,0)),0))</f>
        <v>0</v>
      </c>
      <c r="H2043" s="25">
        <f>IF($A2043="","",IF(OR($B2043="",$C2043="",$D2043=""),"Preencher tudo",IF($F2043="Código não cadastrado","Código inválido","OK")))</f>
        <v>0</v>
      </c>
    </row>
    <row r="2044" spans="1:8">
      <c r="A2044" s="16"/>
      <c r="B2044" s="15"/>
      <c r="C2044" s="20"/>
      <c r="D2044" s="22"/>
      <c r="E2044" s="15"/>
      <c r="F2044" s="23">
        <f>IF($B2044="","",IFERROR(INDEX(ProdNome,MATCH($B2044,ProdCod,0)),"Código não cadastrado"))</f>
        <v>0</v>
      </c>
      <c r="G2044" s="24">
        <f>IF(OR($B2044="",$D2044=""),"",$D2044*IFERROR(INDEX(ProdCusto,MATCH($B2044,ProdCod,0)),0))</f>
        <v>0</v>
      </c>
      <c r="H2044" s="25">
        <f>IF($A2044="","",IF(OR($B2044="",$C2044="",$D2044=""),"Preencher tudo",IF($F2044="Código não cadastrado","Código inválido","OK")))</f>
        <v>0</v>
      </c>
    </row>
    <row r="2045" spans="1:8">
      <c r="A2045" s="16"/>
      <c r="B2045" s="15"/>
      <c r="C2045" s="20"/>
      <c r="D2045" s="22"/>
      <c r="E2045" s="15"/>
      <c r="F2045" s="23">
        <f>IF($B2045="","",IFERROR(INDEX(ProdNome,MATCH($B2045,ProdCod,0)),"Código não cadastrado"))</f>
        <v>0</v>
      </c>
      <c r="G2045" s="24">
        <f>IF(OR($B2045="",$D2045=""),"",$D2045*IFERROR(INDEX(ProdCusto,MATCH($B2045,ProdCod,0)),0))</f>
        <v>0</v>
      </c>
      <c r="H2045" s="25">
        <f>IF($A2045="","",IF(OR($B2045="",$C2045="",$D2045=""),"Preencher tudo",IF($F2045="Código não cadastrado","Código inválido","OK")))</f>
        <v>0</v>
      </c>
    </row>
    <row r="2046" spans="1:8">
      <c r="A2046" s="16"/>
      <c r="B2046" s="15"/>
      <c r="C2046" s="20"/>
      <c r="D2046" s="22"/>
      <c r="E2046" s="15"/>
      <c r="F2046" s="23">
        <f>IF($B2046="","",IFERROR(INDEX(ProdNome,MATCH($B2046,ProdCod,0)),"Código não cadastrado"))</f>
        <v>0</v>
      </c>
      <c r="G2046" s="24">
        <f>IF(OR($B2046="",$D2046=""),"",$D2046*IFERROR(INDEX(ProdCusto,MATCH($B2046,ProdCod,0)),0))</f>
        <v>0</v>
      </c>
      <c r="H2046" s="25">
        <f>IF($A2046="","",IF(OR($B2046="",$C2046="",$D2046=""),"Preencher tudo",IF($F2046="Código não cadastrado","Código inválido","OK")))</f>
        <v>0</v>
      </c>
    </row>
    <row r="2047" spans="1:8">
      <c r="A2047" s="16"/>
      <c r="B2047" s="15"/>
      <c r="C2047" s="20"/>
      <c r="D2047" s="22"/>
      <c r="E2047" s="15"/>
      <c r="F2047" s="23">
        <f>IF($B2047="","",IFERROR(INDEX(ProdNome,MATCH($B2047,ProdCod,0)),"Código não cadastrado"))</f>
        <v>0</v>
      </c>
      <c r="G2047" s="24">
        <f>IF(OR($B2047="",$D2047=""),"",$D2047*IFERROR(INDEX(ProdCusto,MATCH($B2047,ProdCod,0)),0))</f>
        <v>0</v>
      </c>
      <c r="H2047" s="25">
        <f>IF($A2047="","",IF(OR($B2047="",$C2047="",$D2047=""),"Preencher tudo",IF($F2047="Código não cadastrado","Código inválido","OK")))</f>
        <v>0</v>
      </c>
    </row>
    <row r="2048" spans="1:8">
      <c r="A2048" s="16"/>
      <c r="B2048" s="15"/>
      <c r="C2048" s="20"/>
      <c r="D2048" s="22"/>
      <c r="E2048" s="15"/>
      <c r="F2048" s="23">
        <f>IF($B2048="","",IFERROR(INDEX(ProdNome,MATCH($B2048,ProdCod,0)),"Código não cadastrado"))</f>
        <v>0</v>
      </c>
      <c r="G2048" s="24">
        <f>IF(OR($B2048="",$D2048=""),"",$D2048*IFERROR(INDEX(ProdCusto,MATCH($B2048,ProdCod,0)),0))</f>
        <v>0</v>
      </c>
      <c r="H2048" s="25">
        <f>IF($A2048="","",IF(OR($B2048="",$C2048="",$D2048=""),"Preencher tudo",IF($F2048="Código não cadastrado","Código inválido","OK")))</f>
        <v>0</v>
      </c>
    </row>
    <row r="2049" spans="1:8">
      <c r="A2049" s="16"/>
      <c r="B2049" s="15"/>
      <c r="C2049" s="20"/>
      <c r="D2049" s="22"/>
      <c r="E2049" s="15"/>
      <c r="F2049" s="23">
        <f>IF($B2049="","",IFERROR(INDEX(ProdNome,MATCH($B2049,ProdCod,0)),"Código não cadastrado"))</f>
        <v>0</v>
      </c>
      <c r="G2049" s="24">
        <f>IF(OR($B2049="",$D2049=""),"",$D2049*IFERROR(INDEX(ProdCusto,MATCH($B2049,ProdCod,0)),0))</f>
        <v>0</v>
      </c>
      <c r="H2049" s="25">
        <f>IF($A2049="","",IF(OR($B2049="",$C2049="",$D2049=""),"Preencher tudo",IF($F2049="Código não cadastrado","Código inválido","OK")))</f>
        <v>0</v>
      </c>
    </row>
    <row r="2050" spans="1:8">
      <c r="A2050" s="16"/>
      <c r="B2050" s="15"/>
      <c r="C2050" s="20"/>
      <c r="D2050" s="22"/>
      <c r="E2050" s="15"/>
      <c r="F2050" s="23">
        <f>IF($B2050="","",IFERROR(INDEX(ProdNome,MATCH($B2050,ProdCod,0)),"Código não cadastrado"))</f>
        <v>0</v>
      </c>
      <c r="G2050" s="24">
        <f>IF(OR($B2050="",$D2050=""),"",$D2050*IFERROR(INDEX(ProdCusto,MATCH($B2050,ProdCod,0)),0))</f>
        <v>0</v>
      </c>
      <c r="H2050" s="25">
        <f>IF($A2050="","",IF(OR($B2050="",$C2050="",$D2050=""),"Preencher tudo",IF($F2050="Código não cadastrado","Código inválido","OK")))</f>
        <v>0</v>
      </c>
    </row>
    <row r="2051" spans="1:8">
      <c r="A2051" s="16"/>
      <c r="B2051" s="15"/>
      <c r="C2051" s="20"/>
      <c r="D2051" s="22"/>
      <c r="E2051" s="15"/>
      <c r="F2051" s="23">
        <f>IF($B2051="","",IFERROR(INDEX(ProdNome,MATCH($B2051,ProdCod,0)),"Código não cadastrado"))</f>
        <v>0</v>
      </c>
      <c r="G2051" s="24">
        <f>IF(OR($B2051="",$D2051=""),"",$D2051*IFERROR(INDEX(ProdCusto,MATCH($B2051,ProdCod,0)),0))</f>
        <v>0</v>
      </c>
      <c r="H2051" s="25">
        <f>IF($A2051="","",IF(OR($B2051="",$C2051="",$D2051=""),"Preencher tudo",IF($F2051="Código não cadastrado","Código inválido","OK")))</f>
        <v>0</v>
      </c>
    </row>
    <row r="2052" spans="1:8">
      <c r="A2052" s="16"/>
      <c r="B2052" s="15"/>
      <c r="C2052" s="20"/>
      <c r="D2052" s="22"/>
      <c r="E2052" s="15"/>
      <c r="F2052" s="23">
        <f>IF($B2052="","",IFERROR(INDEX(ProdNome,MATCH($B2052,ProdCod,0)),"Código não cadastrado"))</f>
        <v>0</v>
      </c>
      <c r="G2052" s="24">
        <f>IF(OR($B2052="",$D2052=""),"",$D2052*IFERROR(INDEX(ProdCusto,MATCH($B2052,ProdCod,0)),0))</f>
        <v>0</v>
      </c>
      <c r="H2052" s="25">
        <f>IF($A2052="","",IF(OR($B2052="",$C2052="",$D2052=""),"Preencher tudo",IF($F2052="Código não cadastrado","Código inválido","OK")))</f>
        <v>0</v>
      </c>
    </row>
    <row r="2053" spans="1:8">
      <c r="A2053" s="16"/>
      <c r="B2053" s="15"/>
      <c r="C2053" s="20"/>
      <c r="D2053" s="22"/>
      <c r="E2053" s="15"/>
      <c r="F2053" s="23">
        <f>IF($B2053="","",IFERROR(INDEX(ProdNome,MATCH($B2053,ProdCod,0)),"Código não cadastrado"))</f>
        <v>0</v>
      </c>
      <c r="G2053" s="24">
        <f>IF(OR($B2053="",$D2053=""),"",$D2053*IFERROR(INDEX(ProdCusto,MATCH($B2053,ProdCod,0)),0))</f>
        <v>0</v>
      </c>
      <c r="H2053" s="25">
        <f>IF($A2053="","",IF(OR($B2053="",$C2053="",$D2053=""),"Preencher tudo",IF($F2053="Código não cadastrado","Código inválido","OK")))</f>
        <v>0</v>
      </c>
    </row>
    <row r="2054" spans="1:8">
      <c r="A2054" s="16"/>
      <c r="B2054" s="15"/>
      <c r="C2054" s="20"/>
      <c r="D2054" s="22"/>
      <c r="E2054" s="15"/>
      <c r="F2054" s="23">
        <f>IF($B2054="","",IFERROR(INDEX(ProdNome,MATCH($B2054,ProdCod,0)),"Código não cadastrado"))</f>
        <v>0</v>
      </c>
      <c r="G2054" s="24">
        <f>IF(OR($B2054="",$D2054=""),"",$D2054*IFERROR(INDEX(ProdCusto,MATCH($B2054,ProdCod,0)),0))</f>
        <v>0</v>
      </c>
      <c r="H2054" s="25">
        <f>IF($A2054="","",IF(OR($B2054="",$C2054="",$D2054=""),"Preencher tudo",IF($F2054="Código não cadastrado","Código inválido","OK")))</f>
        <v>0</v>
      </c>
    </row>
    <row r="2055" spans="1:8">
      <c r="A2055" s="16"/>
      <c r="B2055" s="15"/>
      <c r="C2055" s="20"/>
      <c r="D2055" s="22"/>
      <c r="E2055" s="15"/>
      <c r="F2055" s="23">
        <f>IF($B2055="","",IFERROR(INDEX(ProdNome,MATCH($B2055,ProdCod,0)),"Código não cadastrado"))</f>
        <v>0</v>
      </c>
      <c r="G2055" s="24">
        <f>IF(OR($B2055="",$D2055=""),"",$D2055*IFERROR(INDEX(ProdCusto,MATCH($B2055,ProdCod,0)),0))</f>
        <v>0</v>
      </c>
      <c r="H2055" s="25">
        <f>IF($A2055="","",IF(OR($B2055="",$C2055="",$D2055=""),"Preencher tudo",IF($F2055="Código não cadastrado","Código inválido","OK")))</f>
        <v>0</v>
      </c>
    </row>
    <row r="2056" spans="1:8">
      <c r="A2056" s="16"/>
      <c r="B2056" s="15"/>
      <c r="C2056" s="20"/>
      <c r="D2056" s="22"/>
      <c r="E2056" s="15"/>
      <c r="F2056" s="23">
        <f>IF($B2056="","",IFERROR(INDEX(ProdNome,MATCH($B2056,ProdCod,0)),"Código não cadastrado"))</f>
        <v>0</v>
      </c>
      <c r="G2056" s="24">
        <f>IF(OR($B2056="",$D2056=""),"",$D2056*IFERROR(INDEX(ProdCusto,MATCH($B2056,ProdCod,0)),0))</f>
        <v>0</v>
      </c>
      <c r="H2056" s="25">
        <f>IF($A2056="","",IF(OR($B2056="",$C2056="",$D2056=""),"Preencher tudo",IF($F2056="Código não cadastrado","Código inválido","OK")))</f>
        <v>0</v>
      </c>
    </row>
    <row r="2057" spans="1:8">
      <c r="A2057" s="16"/>
      <c r="B2057" s="15"/>
      <c r="C2057" s="20"/>
      <c r="D2057" s="22"/>
      <c r="E2057" s="15"/>
      <c r="F2057" s="23">
        <f>IF($B2057="","",IFERROR(INDEX(ProdNome,MATCH($B2057,ProdCod,0)),"Código não cadastrado"))</f>
        <v>0</v>
      </c>
      <c r="G2057" s="24">
        <f>IF(OR($B2057="",$D2057=""),"",$D2057*IFERROR(INDEX(ProdCusto,MATCH($B2057,ProdCod,0)),0))</f>
        <v>0</v>
      </c>
      <c r="H2057" s="25">
        <f>IF($A2057="","",IF(OR($B2057="",$C2057="",$D2057=""),"Preencher tudo",IF($F2057="Código não cadastrado","Código inválido","OK")))</f>
        <v>0</v>
      </c>
    </row>
    <row r="2058" spans="1:8">
      <c r="A2058" s="16"/>
      <c r="B2058" s="15"/>
      <c r="C2058" s="20"/>
      <c r="D2058" s="22"/>
      <c r="E2058" s="15"/>
      <c r="F2058" s="23">
        <f>IF($B2058="","",IFERROR(INDEX(ProdNome,MATCH($B2058,ProdCod,0)),"Código não cadastrado"))</f>
        <v>0</v>
      </c>
      <c r="G2058" s="24">
        <f>IF(OR($B2058="",$D2058=""),"",$D2058*IFERROR(INDEX(ProdCusto,MATCH($B2058,ProdCod,0)),0))</f>
        <v>0</v>
      </c>
      <c r="H2058" s="25">
        <f>IF($A2058="","",IF(OR($B2058="",$C2058="",$D2058=""),"Preencher tudo",IF($F2058="Código não cadastrado","Código inválido","OK")))</f>
        <v>0</v>
      </c>
    </row>
    <row r="2059" spans="1:8">
      <c r="A2059" s="16"/>
      <c r="B2059" s="15"/>
      <c r="C2059" s="20"/>
      <c r="D2059" s="22"/>
      <c r="E2059" s="15"/>
      <c r="F2059" s="23">
        <f>IF($B2059="","",IFERROR(INDEX(ProdNome,MATCH($B2059,ProdCod,0)),"Código não cadastrado"))</f>
        <v>0</v>
      </c>
      <c r="G2059" s="24">
        <f>IF(OR($B2059="",$D2059=""),"",$D2059*IFERROR(INDEX(ProdCusto,MATCH($B2059,ProdCod,0)),0))</f>
        <v>0</v>
      </c>
      <c r="H2059" s="25">
        <f>IF($A2059="","",IF(OR($B2059="",$C2059="",$D2059=""),"Preencher tudo",IF($F2059="Código não cadastrado","Código inválido","OK")))</f>
        <v>0</v>
      </c>
    </row>
    <row r="2060" spans="1:8">
      <c r="A2060" s="16"/>
      <c r="B2060" s="15"/>
      <c r="C2060" s="20"/>
      <c r="D2060" s="22"/>
      <c r="E2060" s="15"/>
      <c r="F2060" s="23">
        <f>IF($B2060="","",IFERROR(INDEX(ProdNome,MATCH($B2060,ProdCod,0)),"Código não cadastrado"))</f>
        <v>0</v>
      </c>
      <c r="G2060" s="24">
        <f>IF(OR($B2060="",$D2060=""),"",$D2060*IFERROR(INDEX(ProdCusto,MATCH($B2060,ProdCod,0)),0))</f>
        <v>0</v>
      </c>
      <c r="H2060" s="25">
        <f>IF($A2060="","",IF(OR($B2060="",$C2060="",$D2060=""),"Preencher tudo",IF($F2060="Código não cadastrado","Código inválido","OK")))</f>
        <v>0</v>
      </c>
    </row>
    <row r="2061" spans="1:8">
      <c r="A2061" s="16"/>
      <c r="B2061" s="15"/>
      <c r="C2061" s="20"/>
      <c r="D2061" s="22"/>
      <c r="E2061" s="15"/>
      <c r="F2061" s="23">
        <f>IF($B2061="","",IFERROR(INDEX(ProdNome,MATCH($B2061,ProdCod,0)),"Código não cadastrado"))</f>
        <v>0</v>
      </c>
      <c r="G2061" s="24">
        <f>IF(OR($B2061="",$D2061=""),"",$D2061*IFERROR(INDEX(ProdCusto,MATCH($B2061,ProdCod,0)),0))</f>
        <v>0</v>
      </c>
      <c r="H2061" s="25">
        <f>IF($A2061="","",IF(OR($B2061="",$C2061="",$D2061=""),"Preencher tudo",IF($F2061="Código não cadastrado","Código inválido","OK")))</f>
        <v>0</v>
      </c>
    </row>
    <row r="2062" spans="1:8">
      <c r="A2062" s="16"/>
      <c r="B2062" s="15"/>
      <c r="C2062" s="20"/>
      <c r="D2062" s="22"/>
      <c r="E2062" s="15"/>
      <c r="F2062" s="23">
        <f>IF($B2062="","",IFERROR(INDEX(ProdNome,MATCH($B2062,ProdCod,0)),"Código não cadastrado"))</f>
        <v>0</v>
      </c>
      <c r="G2062" s="24">
        <f>IF(OR($B2062="",$D2062=""),"",$D2062*IFERROR(INDEX(ProdCusto,MATCH($B2062,ProdCod,0)),0))</f>
        <v>0</v>
      </c>
      <c r="H2062" s="25">
        <f>IF($A2062="","",IF(OR($B2062="",$C2062="",$D2062=""),"Preencher tudo",IF($F2062="Código não cadastrado","Código inválido","OK")))</f>
        <v>0</v>
      </c>
    </row>
    <row r="2063" spans="1:8">
      <c r="A2063" s="16"/>
      <c r="B2063" s="15"/>
      <c r="C2063" s="20"/>
      <c r="D2063" s="22"/>
      <c r="E2063" s="15"/>
      <c r="F2063" s="23">
        <f>IF($B2063="","",IFERROR(INDEX(ProdNome,MATCH($B2063,ProdCod,0)),"Código não cadastrado"))</f>
        <v>0</v>
      </c>
      <c r="G2063" s="24">
        <f>IF(OR($B2063="",$D2063=""),"",$D2063*IFERROR(INDEX(ProdCusto,MATCH($B2063,ProdCod,0)),0))</f>
        <v>0</v>
      </c>
      <c r="H2063" s="25">
        <f>IF($A2063="","",IF(OR($B2063="",$C2063="",$D2063=""),"Preencher tudo",IF($F2063="Código não cadastrado","Código inválido","OK")))</f>
        <v>0</v>
      </c>
    </row>
    <row r="2064" spans="1:8">
      <c r="A2064" s="16"/>
      <c r="B2064" s="15"/>
      <c r="C2064" s="20"/>
      <c r="D2064" s="22"/>
      <c r="E2064" s="15"/>
      <c r="F2064" s="23">
        <f>IF($B2064="","",IFERROR(INDEX(ProdNome,MATCH($B2064,ProdCod,0)),"Código não cadastrado"))</f>
        <v>0</v>
      </c>
      <c r="G2064" s="24">
        <f>IF(OR($B2064="",$D2064=""),"",$D2064*IFERROR(INDEX(ProdCusto,MATCH($B2064,ProdCod,0)),0))</f>
        <v>0</v>
      </c>
      <c r="H2064" s="25">
        <f>IF($A2064="","",IF(OR($B2064="",$C2064="",$D2064=""),"Preencher tudo",IF($F2064="Código não cadastrado","Código inválido","OK")))</f>
        <v>0</v>
      </c>
    </row>
    <row r="2065" spans="1:8">
      <c r="A2065" s="16"/>
      <c r="B2065" s="15"/>
      <c r="C2065" s="20"/>
      <c r="D2065" s="22"/>
      <c r="E2065" s="15"/>
      <c r="F2065" s="23">
        <f>IF($B2065="","",IFERROR(INDEX(ProdNome,MATCH($B2065,ProdCod,0)),"Código não cadastrado"))</f>
        <v>0</v>
      </c>
      <c r="G2065" s="24">
        <f>IF(OR($B2065="",$D2065=""),"",$D2065*IFERROR(INDEX(ProdCusto,MATCH($B2065,ProdCod,0)),0))</f>
        <v>0</v>
      </c>
      <c r="H2065" s="25">
        <f>IF($A2065="","",IF(OR($B2065="",$C2065="",$D2065=""),"Preencher tudo",IF($F2065="Código não cadastrado","Código inválido","OK")))</f>
        <v>0</v>
      </c>
    </row>
    <row r="2066" spans="1:8">
      <c r="A2066" s="16"/>
      <c r="B2066" s="15"/>
      <c r="C2066" s="20"/>
      <c r="D2066" s="22"/>
      <c r="E2066" s="15"/>
      <c r="F2066" s="23">
        <f>IF($B2066="","",IFERROR(INDEX(ProdNome,MATCH($B2066,ProdCod,0)),"Código não cadastrado"))</f>
        <v>0</v>
      </c>
      <c r="G2066" s="24">
        <f>IF(OR($B2066="",$D2066=""),"",$D2066*IFERROR(INDEX(ProdCusto,MATCH($B2066,ProdCod,0)),0))</f>
        <v>0</v>
      </c>
      <c r="H2066" s="25">
        <f>IF($A2066="","",IF(OR($B2066="",$C2066="",$D2066=""),"Preencher tudo",IF($F2066="Código não cadastrado","Código inválido","OK")))</f>
        <v>0</v>
      </c>
    </row>
    <row r="2067" spans="1:8">
      <c r="A2067" s="16"/>
      <c r="B2067" s="15"/>
      <c r="C2067" s="20"/>
      <c r="D2067" s="22"/>
      <c r="E2067" s="15"/>
      <c r="F2067" s="23">
        <f>IF($B2067="","",IFERROR(INDEX(ProdNome,MATCH($B2067,ProdCod,0)),"Código não cadastrado"))</f>
        <v>0</v>
      </c>
      <c r="G2067" s="24">
        <f>IF(OR($B2067="",$D2067=""),"",$D2067*IFERROR(INDEX(ProdCusto,MATCH($B2067,ProdCod,0)),0))</f>
        <v>0</v>
      </c>
      <c r="H2067" s="25">
        <f>IF($A2067="","",IF(OR($B2067="",$C2067="",$D2067=""),"Preencher tudo",IF($F2067="Código não cadastrado","Código inválido","OK")))</f>
        <v>0</v>
      </c>
    </row>
    <row r="2068" spans="1:8">
      <c r="A2068" s="16"/>
      <c r="B2068" s="15"/>
      <c r="C2068" s="20"/>
      <c r="D2068" s="22"/>
      <c r="E2068" s="15"/>
      <c r="F2068" s="23">
        <f>IF($B2068="","",IFERROR(INDEX(ProdNome,MATCH($B2068,ProdCod,0)),"Código não cadastrado"))</f>
        <v>0</v>
      </c>
      <c r="G2068" s="24">
        <f>IF(OR($B2068="",$D2068=""),"",$D2068*IFERROR(INDEX(ProdCusto,MATCH($B2068,ProdCod,0)),0))</f>
        <v>0</v>
      </c>
      <c r="H2068" s="25">
        <f>IF($A2068="","",IF(OR($B2068="",$C2068="",$D2068=""),"Preencher tudo",IF($F2068="Código não cadastrado","Código inválido","OK")))</f>
        <v>0</v>
      </c>
    </row>
    <row r="2069" spans="1:8">
      <c r="A2069" s="16"/>
      <c r="B2069" s="15"/>
      <c r="C2069" s="20"/>
      <c r="D2069" s="22"/>
      <c r="E2069" s="15"/>
      <c r="F2069" s="23">
        <f>IF($B2069="","",IFERROR(INDEX(ProdNome,MATCH($B2069,ProdCod,0)),"Código não cadastrado"))</f>
        <v>0</v>
      </c>
      <c r="G2069" s="24">
        <f>IF(OR($B2069="",$D2069=""),"",$D2069*IFERROR(INDEX(ProdCusto,MATCH($B2069,ProdCod,0)),0))</f>
        <v>0</v>
      </c>
      <c r="H2069" s="25">
        <f>IF($A2069="","",IF(OR($B2069="",$C2069="",$D2069=""),"Preencher tudo",IF($F2069="Código não cadastrado","Código inválido","OK")))</f>
        <v>0</v>
      </c>
    </row>
    <row r="2070" spans="1:8">
      <c r="A2070" s="16"/>
      <c r="B2070" s="15"/>
      <c r="C2070" s="20"/>
      <c r="D2070" s="22"/>
      <c r="E2070" s="15"/>
      <c r="F2070" s="23">
        <f>IF($B2070="","",IFERROR(INDEX(ProdNome,MATCH($B2070,ProdCod,0)),"Código não cadastrado"))</f>
        <v>0</v>
      </c>
      <c r="G2070" s="24">
        <f>IF(OR($B2070="",$D2070=""),"",$D2070*IFERROR(INDEX(ProdCusto,MATCH($B2070,ProdCod,0)),0))</f>
        <v>0</v>
      </c>
      <c r="H2070" s="25">
        <f>IF($A2070="","",IF(OR($B2070="",$C2070="",$D2070=""),"Preencher tudo",IF($F2070="Código não cadastrado","Código inválido","OK")))</f>
        <v>0</v>
      </c>
    </row>
    <row r="2071" spans="1:8">
      <c r="A2071" s="16"/>
      <c r="B2071" s="15"/>
      <c r="C2071" s="20"/>
      <c r="D2071" s="22"/>
      <c r="E2071" s="15"/>
      <c r="F2071" s="23">
        <f>IF($B2071="","",IFERROR(INDEX(ProdNome,MATCH($B2071,ProdCod,0)),"Código não cadastrado"))</f>
        <v>0</v>
      </c>
      <c r="G2071" s="24">
        <f>IF(OR($B2071="",$D2071=""),"",$D2071*IFERROR(INDEX(ProdCusto,MATCH($B2071,ProdCod,0)),0))</f>
        <v>0</v>
      </c>
      <c r="H2071" s="25">
        <f>IF($A2071="","",IF(OR($B2071="",$C2071="",$D2071=""),"Preencher tudo",IF($F2071="Código não cadastrado","Código inválido","OK")))</f>
        <v>0</v>
      </c>
    </row>
    <row r="2072" spans="1:8">
      <c r="A2072" s="16"/>
      <c r="B2072" s="15"/>
      <c r="C2072" s="20"/>
      <c r="D2072" s="22"/>
      <c r="E2072" s="15"/>
      <c r="F2072" s="23">
        <f>IF($B2072="","",IFERROR(INDEX(ProdNome,MATCH($B2072,ProdCod,0)),"Código não cadastrado"))</f>
        <v>0</v>
      </c>
      <c r="G2072" s="24">
        <f>IF(OR($B2072="",$D2072=""),"",$D2072*IFERROR(INDEX(ProdCusto,MATCH($B2072,ProdCod,0)),0))</f>
        <v>0</v>
      </c>
      <c r="H2072" s="25">
        <f>IF($A2072="","",IF(OR($B2072="",$C2072="",$D2072=""),"Preencher tudo",IF($F2072="Código não cadastrado","Código inválido","OK")))</f>
        <v>0</v>
      </c>
    </row>
    <row r="2073" spans="1:8">
      <c r="A2073" s="16"/>
      <c r="B2073" s="15"/>
      <c r="C2073" s="20"/>
      <c r="D2073" s="22"/>
      <c r="E2073" s="15"/>
      <c r="F2073" s="23">
        <f>IF($B2073="","",IFERROR(INDEX(ProdNome,MATCH($B2073,ProdCod,0)),"Código não cadastrado"))</f>
        <v>0</v>
      </c>
      <c r="G2073" s="24">
        <f>IF(OR($B2073="",$D2073=""),"",$D2073*IFERROR(INDEX(ProdCusto,MATCH($B2073,ProdCod,0)),0))</f>
        <v>0</v>
      </c>
      <c r="H2073" s="25">
        <f>IF($A2073="","",IF(OR($B2073="",$C2073="",$D2073=""),"Preencher tudo",IF($F2073="Código não cadastrado","Código inválido","OK")))</f>
        <v>0</v>
      </c>
    </row>
    <row r="2074" spans="1:8">
      <c r="A2074" s="16"/>
      <c r="B2074" s="15"/>
      <c r="C2074" s="20"/>
      <c r="D2074" s="22"/>
      <c r="E2074" s="15"/>
      <c r="F2074" s="23">
        <f>IF($B2074="","",IFERROR(INDEX(ProdNome,MATCH($B2074,ProdCod,0)),"Código não cadastrado"))</f>
        <v>0</v>
      </c>
      <c r="G2074" s="24">
        <f>IF(OR($B2074="",$D2074=""),"",$D2074*IFERROR(INDEX(ProdCusto,MATCH($B2074,ProdCod,0)),0))</f>
        <v>0</v>
      </c>
      <c r="H2074" s="25">
        <f>IF($A2074="","",IF(OR($B2074="",$C2074="",$D2074=""),"Preencher tudo",IF($F2074="Código não cadastrado","Código inválido","OK")))</f>
        <v>0</v>
      </c>
    </row>
    <row r="2075" spans="1:8">
      <c r="A2075" s="16"/>
      <c r="B2075" s="15"/>
      <c r="C2075" s="20"/>
      <c r="D2075" s="22"/>
      <c r="E2075" s="15"/>
      <c r="F2075" s="23">
        <f>IF($B2075="","",IFERROR(INDEX(ProdNome,MATCH($B2075,ProdCod,0)),"Código não cadastrado"))</f>
        <v>0</v>
      </c>
      <c r="G2075" s="24">
        <f>IF(OR($B2075="",$D2075=""),"",$D2075*IFERROR(INDEX(ProdCusto,MATCH($B2075,ProdCod,0)),0))</f>
        <v>0</v>
      </c>
      <c r="H2075" s="25">
        <f>IF($A2075="","",IF(OR($B2075="",$C2075="",$D2075=""),"Preencher tudo",IF($F2075="Código não cadastrado","Código inválido","OK")))</f>
        <v>0</v>
      </c>
    </row>
    <row r="2076" spans="1:8">
      <c r="A2076" s="16"/>
      <c r="B2076" s="15"/>
      <c r="C2076" s="20"/>
      <c r="D2076" s="22"/>
      <c r="E2076" s="15"/>
      <c r="F2076" s="23">
        <f>IF($B2076="","",IFERROR(INDEX(ProdNome,MATCH($B2076,ProdCod,0)),"Código não cadastrado"))</f>
        <v>0</v>
      </c>
      <c r="G2076" s="24">
        <f>IF(OR($B2076="",$D2076=""),"",$D2076*IFERROR(INDEX(ProdCusto,MATCH($B2076,ProdCod,0)),0))</f>
        <v>0</v>
      </c>
      <c r="H2076" s="25">
        <f>IF($A2076="","",IF(OR($B2076="",$C2076="",$D2076=""),"Preencher tudo",IF($F2076="Código não cadastrado","Código inválido","OK")))</f>
        <v>0</v>
      </c>
    </row>
    <row r="2077" spans="1:8">
      <c r="A2077" s="16"/>
      <c r="B2077" s="15"/>
      <c r="C2077" s="20"/>
      <c r="D2077" s="22"/>
      <c r="E2077" s="15"/>
      <c r="F2077" s="23">
        <f>IF($B2077="","",IFERROR(INDEX(ProdNome,MATCH($B2077,ProdCod,0)),"Código não cadastrado"))</f>
        <v>0</v>
      </c>
      <c r="G2077" s="24">
        <f>IF(OR($B2077="",$D2077=""),"",$D2077*IFERROR(INDEX(ProdCusto,MATCH($B2077,ProdCod,0)),0))</f>
        <v>0</v>
      </c>
      <c r="H2077" s="25">
        <f>IF($A2077="","",IF(OR($B2077="",$C2077="",$D2077=""),"Preencher tudo",IF($F2077="Código não cadastrado","Código inválido","OK")))</f>
        <v>0</v>
      </c>
    </row>
    <row r="2078" spans="1:8">
      <c r="A2078" s="16"/>
      <c r="B2078" s="15"/>
      <c r="C2078" s="20"/>
      <c r="D2078" s="22"/>
      <c r="E2078" s="15"/>
      <c r="F2078" s="23">
        <f>IF($B2078="","",IFERROR(INDEX(ProdNome,MATCH($B2078,ProdCod,0)),"Código não cadastrado"))</f>
        <v>0</v>
      </c>
      <c r="G2078" s="24">
        <f>IF(OR($B2078="",$D2078=""),"",$D2078*IFERROR(INDEX(ProdCusto,MATCH($B2078,ProdCod,0)),0))</f>
        <v>0</v>
      </c>
      <c r="H2078" s="25">
        <f>IF($A2078="","",IF(OR($B2078="",$C2078="",$D2078=""),"Preencher tudo",IF($F2078="Código não cadastrado","Código inválido","OK")))</f>
        <v>0</v>
      </c>
    </row>
    <row r="2079" spans="1:8">
      <c r="A2079" s="16"/>
      <c r="B2079" s="15"/>
      <c r="C2079" s="20"/>
      <c r="D2079" s="22"/>
      <c r="E2079" s="15"/>
      <c r="F2079" s="23">
        <f>IF($B2079="","",IFERROR(INDEX(ProdNome,MATCH($B2079,ProdCod,0)),"Código não cadastrado"))</f>
        <v>0</v>
      </c>
      <c r="G2079" s="24">
        <f>IF(OR($B2079="",$D2079=""),"",$D2079*IFERROR(INDEX(ProdCusto,MATCH($B2079,ProdCod,0)),0))</f>
        <v>0</v>
      </c>
      <c r="H2079" s="25">
        <f>IF($A2079="","",IF(OR($B2079="",$C2079="",$D2079=""),"Preencher tudo",IF($F2079="Código não cadastrado","Código inválido","OK")))</f>
        <v>0</v>
      </c>
    </row>
    <row r="2080" spans="1:8">
      <c r="A2080" s="16"/>
      <c r="B2080" s="15"/>
      <c r="C2080" s="20"/>
      <c r="D2080" s="22"/>
      <c r="E2080" s="15"/>
      <c r="F2080" s="23">
        <f>IF($B2080="","",IFERROR(INDEX(ProdNome,MATCH($B2080,ProdCod,0)),"Código não cadastrado"))</f>
        <v>0</v>
      </c>
      <c r="G2080" s="24">
        <f>IF(OR($B2080="",$D2080=""),"",$D2080*IFERROR(INDEX(ProdCusto,MATCH($B2080,ProdCod,0)),0))</f>
        <v>0</v>
      </c>
      <c r="H2080" s="25">
        <f>IF($A2080="","",IF(OR($B2080="",$C2080="",$D2080=""),"Preencher tudo",IF($F2080="Código não cadastrado","Código inválido","OK")))</f>
        <v>0</v>
      </c>
    </row>
    <row r="2081" spans="1:8">
      <c r="A2081" s="16"/>
      <c r="B2081" s="15"/>
      <c r="C2081" s="20"/>
      <c r="D2081" s="22"/>
      <c r="E2081" s="15"/>
      <c r="F2081" s="23">
        <f>IF($B2081="","",IFERROR(INDEX(ProdNome,MATCH($B2081,ProdCod,0)),"Código não cadastrado"))</f>
        <v>0</v>
      </c>
      <c r="G2081" s="24">
        <f>IF(OR($B2081="",$D2081=""),"",$D2081*IFERROR(INDEX(ProdCusto,MATCH($B2081,ProdCod,0)),0))</f>
        <v>0</v>
      </c>
      <c r="H2081" s="25">
        <f>IF($A2081="","",IF(OR($B2081="",$C2081="",$D2081=""),"Preencher tudo",IF($F2081="Código não cadastrado","Código inválido","OK")))</f>
        <v>0</v>
      </c>
    </row>
    <row r="2082" spans="1:8">
      <c r="A2082" s="16"/>
      <c r="B2082" s="15"/>
      <c r="C2082" s="20"/>
      <c r="D2082" s="22"/>
      <c r="E2082" s="15"/>
      <c r="F2082" s="23">
        <f>IF($B2082="","",IFERROR(INDEX(ProdNome,MATCH($B2082,ProdCod,0)),"Código não cadastrado"))</f>
        <v>0</v>
      </c>
      <c r="G2082" s="24">
        <f>IF(OR($B2082="",$D2082=""),"",$D2082*IFERROR(INDEX(ProdCusto,MATCH($B2082,ProdCod,0)),0))</f>
        <v>0</v>
      </c>
      <c r="H2082" s="25">
        <f>IF($A2082="","",IF(OR($B2082="",$C2082="",$D2082=""),"Preencher tudo",IF($F2082="Código não cadastrado","Código inválido","OK")))</f>
        <v>0</v>
      </c>
    </row>
    <row r="2083" spans="1:8">
      <c r="A2083" s="16"/>
      <c r="B2083" s="15"/>
      <c r="C2083" s="20"/>
      <c r="D2083" s="22"/>
      <c r="E2083" s="15"/>
      <c r="F2083" s="23">
        <f>IF($B2083="","",IFERROR(INDEX(ProdNome,MATCH($B2083,ProdCod,0)),"Código não cadastrado"))</f>
        <v>0</v>
      </c>
      <c r="G2083" s="24">
        <f>IF(OR($B2083="",$D2083=""),"",$D2083*IFERROR(INDEX(ProdCusto,MATCH($B2083,ProdCod,0)),0))</f>
        <v>0</v>
      </c>
      <c r="H2083" s="25">
        <f>IF($A2083="","",IF(OR($B2083="",$C2083="",$D2083=""),"Preencher tudo",IF($F2083="Código não cadastrado","Código inválido","OK")))</f>
        <v>0</v>
      </c>
    </row>
    <row r="2084" spans="1:8">
      <c r="A2084" s="16"/>
      <c r="B2084" s="15"/>
      <c r="C2084" s="20"/>
      <c r="D2084" s="22"/>
      <c r="E2084" s="15"/>
      <c r="F2084" s="23">
        <f>IF($B2084="","",IFERROR(INDEX(ProdNome,MATCH($B2084,ProdCod,0)),"Código não cadastrado"))</f>
        <v>0</v>
      </c>
      <c r="G2084" s="24">
        <f>IF(OR($B2084="",$D2084=""),"",$D2084*IFERROR(INDEX(ProdCusto,MATCH($B2084,ProdCod,0)),0))</f>
        <v>0</v>
      </c>
      <c r="H2084" s="25">
        <f>IF($A2084="","",IF(OR($B2084="",$C2084="",$D2084=""),"Preencher tudo",IF($F2084="Código não cadastrado","Código inválido","OK")))</f>
        <v>0</v>
      </c>
    </row>
    <row r="2085" spans="1:8">
      <c r="A2085" s="16"/>
      <c r="B2085" s="15"/>
      <c r="C2085" s="20"/>
      <c r="D2085" s="22"/>
      <c r="E2085" s="15"/>
      <c r="F2085" s="23">
        <f>IF($B2085="","",IFERROR(INDEX(ProdNome,MATCH($B2085,ProdCod,0)),"Código não cadastrado"))</f>
        <v>0</v>
      </c>
      <c r="G2085" s="24">
        <f>IF(OR($B2085="",$D2085=""),"",$D2085*IFERROR(INDEX(ProdCusto,MATCH($B2085,ProdCod,0)),0))</f>
        <v>0</v>
      </c>
      <c r="H2085" s="25">
        <f>IF($A2085="","",IF(OR($B2085="",$C2085="",$D2085=""),"Preencher tudo",IF($F2085="Código não cadastrado","Código inválido","OK")))</f>
        <v>0</v>
      </c>
    </row>
    <row r="2086" spans="1:8">
      <c r="A2086" s="16"/>
      <c r="B2086" s="15"/>
      <c r="C2086" s="20"/>
      <c r="D2086" s="22"/>
      <c r="E2086" s="15"/>
      <c r="F2086" s="23">
        <f>IF($B2086="","",IFERROR(INDEX(ProdNome,MATCH($B2086,ProdCod,0)),"Código não cadastrado"))</f>
        <v>0</v>
      </c>
      <c r="G2086" s="24">
        <f>IF(OR($B2086="",$D2086=""),"",$D2086*IFERROR(INDEX(ProdCusto,MATCH($B2086,ProdCod,0)),0))</f>
        <v>0</v>
      </c>
      <c r="H2086" s="25">
        <f>IF($A2086="","",IF(OR($B2086="",$C2086="",$D2086=""),"Preencher tudo",IF($F2086="Código não cadastrado","Código inválido","OK")))</f>
        <v>0</v>
      </c>
    </row>
    <row r="2087" spans="1:8">
      <c r="A2087" s="16"/>
      <c r="B2087" s="15"/>
      <c r="C2087" s="20"/>
      <c r="D2087" s="22"/>
      <c r="E2087" s="15"/>
      <c r="F2087" s="23">
        <f>IF($B2087="","",IFERROR(INDEX(ProdNome,MATCH($B2087,ProdCod,0)),"Código não cadastrado"))</f>
        <v>0</v>
      </c>
      <c r="G2087" s="24">
        <f>IF(OR($B2087="",$D2087=""),"",$D2087*IFERROR(INDEX(ProdCusto,MATCH($B2087,ProdCod,0)),0))</f>
        <v>0</v>
      </c>
      <c r="H2087" s="25">
        <f>IF($A2087="","",IF(OR($B2087="",$C2087="",$D2087=""),"Preencher tudo",IF($F2087="Código não cadastrado","Código inválido","OK")))</f>
        <v>0</v>
      </c>
    </row>
    <row r="2088" spans="1:8">
      <c r="A2088" s="16"/>
      <c r="B2088" s="15"/>
      <c r="C2088" s="20"/>
      <c r="D2088" s="22"/>
      <c r="E2088" s="15"/>
      <c r="F2088" s="23">
        <f>IF($B2088="","",IFERROR(INDEX(ProdNome,MATCH($B2088,ProdCod,0)),"Código não cadastrado"))</f>
        <v>0</v>
      </c>
      <c r="G2088" s="24">
        <f>IF(OR($B2088="",$D2088=""),"",$D2088*IFERROR(INDEX(ProdCusto,MATCH($B2088,ProdCod,0)),0))</f>
        <v>0</v>
      </c>
      <c r="H2088" s="25">
        <f>IF($A2088="","",IF(OR($B2088="",$C2088="",$D2088=""),"Preencher tudo",IF($F2088="Código não cadastrado","Código inválido","OK")))</f>
        <v>0</v>
      </c>
    </row>
    <row r="2089" spans="1:8">
      <c r="A2089" s="16"/>
      <c r="B2089" s="15"/>
      <c r="C2089" s="20"/>
      <c r="D2089" s="22"/>
      <c r="E2089" s="15"/>
      <c r="F2089" s="23">
        <f>IF($B2089="","",IFERROR(INDEX(ProdNome,MATCH($B2089,ProdCod,0)),"Código não cadastrado"))</f>
        <v>0</v>
      </c>
      <c r="G2089" s="24">
        <f>IF(OR($B2089="",$D2089=""),"",$D2089*IFERROR(INDEX(ProdCusto,MATCH($B2089,ProdCod,0)),0))</f>
        <v>0</v>
      </c>
      <c r="H2089" s="25">
        <f>IF($A2089="","",IF(OR($B2089="",$C2089="",$D2089=""),"Preencher tudo",IF($F2089="Código não cadastrado","Código inválido","OK")))</f>
        <v>0</v>
      </c>
    </row>
    <row r="2090" spans="1:8">
      <c r="A2090" s="16"/>
      <c r="B2090" s="15"/>
      <c r="C2090" s="20"/>
      <c r="D2090" s="22"/>
      <c r="E2090" s="15"/>
      <c r="F2090" s="23">
        <f>IF($B2090="","",IFERROR(INDEX(ProdNome,MATCH($B2090,ProdCod,0)),"Código não cadastrado"))</f>
        <v>0</v>
      </c>
      <c r="G2090" s="24">
        <f>IF(OR($B2090="",$D2090=""),"",$D2090*IFERROR(INDEX(ProdCusto,MATCH($B2090,ProdCod,0)),0))</f>
        <v>0</v>
      </c>
      <c r="H2090" s="25">
        <f>IF($A2090="","",IF(OR($B2090="",$C2090="",$D2090=""),"Preencher tudo",IF($F2090="Código não cadastrado","Código inválido","OK")))</f>
        <v>0</v>
      </c>
    </row>
    <row r="2091" spans="1:8">
      <c r="A2091" s="16"/>
      <c r="B2091" s="15"/>
      <c r="C2091" s="20"/>
      <c r="D2091" s="22"/>
      <c r="E2091" s="15"/>
      <c r="F2091" s="23">
        <f>IF($B2091="","",IFERROR(INDEX(ProdNome,MATCH($B2091,ProdCod,0)),"Código não cadastrado"))</f>
        <v>0</v>
      </c>
      <c r="G2091" s="24">
        <f>IF(OR($B2091="",$D2091=""),"",$D2091*IFERROR(INDEX(ProdCusto,MATCH($B2091,ProdCod,0)),0))</f>
        <v>0</v>
      </c>
      <c r="H2091" s="25">
        <f>IF($A2091="","",IF(OR($B2091="",$C2091="",$D2091=""),"Preencher tudo",IF($F2091="Código não cadastrado","Código inválido","OK")))</f>
        <v>0</v>
      </c>
    </row>
    <row r="2092" spans="1:8">
      <c r="A2092" s="16"/>
      <c r="B2092" s="15"/>
      <c r="C2092" s="20"/>
      <c r="D2092" s="22"/>
      <c r="E2092" s="15"/>
      <c r="F2092" s="23">
        <f>IF($B2092="","",IFERROR(INDEX(ProdNome,MATCH($B2092,ProdCod,0)),"Código não cadastrado"))</f>
        <v>0</v>
      </c>
      <c r="G2092" s="24">
        <f>IF(OR($B2092="",$D2092=""),"",$D2092*IFERROR(INDEX(ProdCusto,MATCH($B2092,ProdCod,0)),0))</f>
        <v>0</v>
      </c>
      <c r="H2092" s="25">
        <f>IF($A2092="","",IF(OR($B2092="",$C2092="",$D2092=""),"Preencher tudo",IF($F2092="Código não cadastrado","Código inválido","OK")))</f>
        <v>0</v>
      </c>
    </row>
    <row r="2093" spans="1:8">
      <c r="A2093" s="16"/>
      <c r="B2093" s="15"/>
      <c r="C2093" s="20"/>
      <c r="D2093" s="22"/>
      <c r="E2093" s="15"/>
      <c r="F2093" s="23">
        <f>IF($B2093="","",IFERROR(INDEX(ProdNome,MATCH($B2093,ProdCod,0)),"Código não cadastrado"))</f>
        <v>0</v>
      </c>
      <c r="G2093" s="24">
        <f>IF(OR($B2093="",$D2093=""),"",$D2093*IFERROR(INDEX(ProdCusto,MATCH($B2093,ProdCod,0)),0))</f>
        <v>0</v>
      </c>
      <c r="H2093" s="25">
        <f>IF($A2093="","",IF(OR($B2093="",$C2093="",$D2093=""),"Preencher tudo",IF($F2093="Código não cadastrado","Código inválido","OK")))</f>
        <v>0</v>
      </c>
    </row>
    <row r="2094" spans="1:8">
      <c r="A2094" s="16"/>
      <c r="B2094" s="15"/>
      <c r="C2094" s="20"/>
      <c r="D2094" s="22"/>
      <c r="E2094" s="15"/>
      <c r="F2094" s="23">
        <f>IF($B2094="","",IFERROR(INDEX(ProdNome,MATCH($B2094,ProdCod,0)),"Código não cadastrado"))</f>
        <v>0</v>
      </c>
      <c r="G2094" s="24">
        <f>IF(OR($B2094="",$D2094=""),"",$D2094*IFERROR(INDEX(ProdCusto,MATCH($B2094,ProdCod,0)),0))</f>
        <v>0</v>
      </c>
      <c r="H2094" s="25">
        <f>IF($A2094="","",IF(OR($B2094="",$C2094="",$D2094=""),"Preencher tudo",IF($F2094="Código não cadastrado","Código inválido","OK")))</f>
        <v>0</v>
      </c>
    </row>
    <row r="2095" spans="1:8">
      <c r="A2095" s="16"/>
      <c r="B2095" s="15"/>
      <c r="C2095" s="20"/>
      <c r="D2095" s="22"/>
      <c r="E2095" s="15"/>
      <c r="F2095" s="23">
        <f>IF($B2095="","",IFERROR(INDEX(ProdNome,MATCH($B2095,ProdCod,0)),"Código não cadastrado"))</f>
        <v>0</v>
      </c>
      <c r="G2095" s="24">
        <f>IF(OR($B2095="",$D2095=""),"",$D2095*IFERROR(INDEX(ProdCusto,MATCH($B2095,ProdCod,0)),0))</f>
        <v>0</v>
      </c>
      <c r="H2095" s="25">
        <f>IF($A2095="","",IF(OR($B2095="",$C2095="",$D2095=""),"Preencher tudo",IF($F2095="Código não cadastrado","Código inválido","OK")))</f>
        <v>0</v>
      </c>
    </row>
    <row r="2096" spans="1:8">
      <c r="A2096" s="16"/>
      <c r="B2096" s="15"/>
      <c r="C2096" s="20"/>
      <c r="D2096" s="22"/>
      <c r="E2096" s="15"/>
      <c r="F2096" s="23">
        <f>IF($B2096="","",IFERROR(INDEX(ProdNome,MATCH($B2096,ProdCod,0)),"Código não cadastrado"))</f>
        <v>0</v>
      </c>
      <c r="G2096" s="24">
        <f>IF(OR($B2096="",$D2096=""),"",$D2096*IFERROR(INDEX(ProdCusto,MATCH($B2096,ProdCod,0)),0))</f>
        <v>0</v>
      </c>
      <c r="H2096" s="25">
        <f>IF($A2096="","",IF(OR($B2096="",$C2096="",$D2096=""),"Preencher tudo",IF($F2096="Código não cadastrado","Código inválido","OK")))</f>
        <v>0</v>
      </c>
    </row>
    <row r="2097" spans="1:8">
      <c r="A2097" s="16"/>
      <c r="B2097" s="15"/>
      <c r="C2097" s="20"/>
      <c r="D2097" s="22"/>
      <c r="E2097" s="15"/>
      <c r="F2097" s="23">
        <f>IF($B2097="","",IFERROR(INDEX(ProdNome,MATCH($B2097,ProdCod,0)),"Código não cadastrado"))</f>
        <v>0</v>
      </c>
      <c r="G2097" s="24">
        <f>IF(OR($B2097="",$D2097=""),"",$D2097*IFERROR(INDEX(ProdCusto,MATCH($B2097,ProdCod,0)),0))</f>
        <v>0</v>
      </c>
      <c r="H2097" s="25">
        <f>IF($A2097="","",IF(OR($B2097="",$C2097="",$D2097=""),"Preencher tudo",IF($F2097="Código não cadastrado","Código inválido","OK")))</f>
        <v>0</v>
      </c>
    </row>
    <row r="2098" spans="1:8">
      <c r="A2098" s="16"/>
      <c r="B2098" s="15"/>
      <c r="C2098" s="20"/>
      <c r="D2098" s="22"/>
      <c r="E2098" s="15"/>
      <c r="F2098" s="23">
        <f>IF($B2098="","",IFERROR(INDEX(ProdNome,MATCH($B2098,ProdCod,0)),"Código não cadastrado"))</f>
        <v>0</v>
      </c>
      <c r="G2098" s="24">
        <f>IF(OR($B2098="",$D2098=""),"",$D2098*IFERROR(INDEX(ProdCusto,MATCH($B2098,ProdCod,0)),0))</f>
        <v>0</v>
      </c>
      <c r="H2098" s="25">
        <f>IF($A2098="","",IF(OR($B2098="",$C2098="",$D2098=""),"Preencher tudo",IF($F2098="Código não cadastrado","Código inválido","OK")))</f>
        <v>0</v>
      </c>
    </row>
    <row r="2099" spans="1:8">
      <c r="A2099" s="16"/>
      <c r="B2099" s="15"/>
      <c r="C2099" s="20"/>
      <c r="D2099" s="22"/>
      <c r="E2099" s="15"/>
      <c r="F2099" s="23">
        <f>IF($B2099="","",IFERROR(INDEX(ProdNome,MATCH($B2099,ProdCod,0)),"Código não cadastrado"))</f>
        <v>0</v>
      </c>
      <c r="G2099" s="24">
        <f>IF(OR($B2099="",$D2099=""),"",$D2099*IFERROR(INDEX(ProdCusto,MATCH($B2099,ProdCod,0)),0))</f>
        <v>0</v>
      </c>
      <c r="H2099" s="25">
        <f>IF($A2099="","",IF(OR($B2099="",$C2099="",$D2099=""),"Preencher tudo",IF($F2099="Código não cadastrado","Código inválido","OK")))</f>
        <v>0</v>
      </c>
    </row>
    <row r="2100" spans="1:8">
      <c r="A2100" s="16"/>
      <c r="B2100" s="15"/>
      <c r="C2100" s="20"/>
      <c r="D2100" s="22"/>
      <c r="E2100" s="15"/>
      <c r="F2100" s="23">
        <f>IF($B2100="","",IFERROR(INDEX(ProdNome,MATCH($B2100,ProdCod,0)),"Código não cadastrado"))</f>
        <v>0</v>
      </c>
      <c r="G2100" s="24">
        <f>IF(OR($B2100="",$D2100=""),"",$D2100*IFERROR(INDEX(ProdCusto,MATCH($B2100,ProdCod,0)),0))</f>
        <v>0</v>
      </c>
      <c r="H2100" s="25">
        <f>IF($A2100="","",IF(OR($B2100="",$C2100="",$D2100=""),"Preencher tudo",IF($F2100="Código não cadastrado","Código inválido","OK")))</f>
        <v>0</v>
      </c>
    </row>
    <row r="2101" spans="1:8">
      <c r="A2101" s="16"/>
      <c r="B2101" s="15"/>
      <c r="C2101" s="20"/>
      <c r="D2101" s="22"/>
      <c r="E2101" s="15"/>
      <c r="F2101" s="23">
        <f>IF($B2101="","",IFERROR(INDEX(ProdNome,MATCH($B2101,ProdCod,0)),"Código não cadastrado"))</f>
        <v>0</v>
      </c>
      <c r="G2101" s="24">
        <f>IF(OR($B2101="",$D2101=""),"",$D2101*IFERROR(INDEX(ProdCusto,MATCH($B2101,ProdCod,0)),0))</f>
        <v>0</v>
      </c>
      <c r="H2101" s="25">
        <f>IF($A2101="","",IF(OR($B2101="",$C2101="",$D2101=""),"Preencher tudo",IF($F2101="Código não cadastrado","Código inválido","OK")))</f>
        <v>0</v>
      </c>
    </row>
    <row r="2102" spans="1:8">
      <c r="A2102" s="16"/>
      <c r="B2102" s="15"/>
      <c r="C2102" s="20"/>
      <c r="D2102" s="22"/>
      <c r="E2102" s="15"/>
      <c r="F2102" s="23">
        <f>IF($B2102="","",IFERROR(INDEX(ProdNome,MATCH($B2102,ProdCod,0)),"Código não cadastrado"))</f>
        <v>0</v>
      </c>
      <c r="G2102" s="24">
        <f>IF(OR($B2102="",$D2102=""),"",$D2102*IFERROR(INDEX(ProdCusto,MATCH($B2102,ProdCod,0)),0))</f>
        <v>0</v>
      </c>
      <c r="H2102" s="25">
        <f>IF($A2102="","",IF(OR($B2102="",$C2102="",$D2102=""),"Preencher tudo",IF($F2102="Código não cadastrado","Código inválido","OK")))</f>
        <v>0</v>
      </c>
    </row>
    <row r="2103" spans="1:8">
      <c r="A2103" s="16"/>
      <c r="B2103" s="15"/>
      <c r="C2103" s="20"/>
      <c r="D2103" s="22"/>
      <c r="E2103" s="15"/>
      <c r="F2103" s="23">
        <f>IF($B2103="","",IFERROR(INDEX(ProdNome,MATCH($B2103,ProdCod,0)),"Código não cadastrado"))</f>
        <v>0</v>
      </c>
      <c r="G2103" s="24">
        <f>IF(OR($B2103="",$D2103=""),"",$D2103*IFERROR(INDEX(ProdCusto,MATCH($B2103,ProdCod,0)),0))</f>
        <v>0</v>
      </c>
      <c r="H2103" s="25">
        <f>IF($A2103="","",IF(OR($B2103="",$C2103="",$D2103=""),"Preencher tudo",IF($F2103="Código não cadastrado","Código inválido","OK")))</f>
        <v>0</v>
      </c>
    </row>
    <row r="2104" spans="1:8">
      <c r="A2104" s="16"/>
      <c r="B2104" s="15"/>
      <c r="C2104" s="20"/>
      <c r="D2104" s="22"/>
      <c r="E2104" s="15"/>
      <c r="F2104" s="23">
        <f>IF($B2104="","",IFERROR(INDEX(ProdNome,MATCH($B2104,ProdCod,0)),"Código não cadastrado"))</f>
        <v>0</v>
      </c>
      <c r="G2104" s="24">
        <f>IF(OR($B2104="",$D2104=""),"",$D2104*IFERROR(INDEX(ProdCusto,MATCH($B2104,ProdCod,0)),0))</f>
        <v>0</v>
      </c>
      <c r="H2104" s="25">
        <f>IF($A2104="","",IF(OR($B2104="",$C2104="",$D2104=""),"Preencher tudo",IF($F2104="Código não cadastrado","Código inválido","OK")))</f>
        <v>0</v>
      </c>
    </row>
    <row r="2105" spans="1:8">
      <c r="A2105" s="16"/>
      <c r="B2105" s="15"/>
      <c r="C2105" s="20"/>
      <c r="D2105" s="22"/>
      <c r="E2105" s="15"/>
      <c r="F2105" s="23">
        <f>IF($B2105="","",IFERROR(INDEX(ProdNome,MATCH($B2105,ProdCod,0)),"Código não cadastrado"))</f>
        <v>0</v>
      </c>
      <c r="G2105" s="24">
        <f>IF(OR($B2105="",$D2105=""),"",$D2105*IFERROR(INDEX(ProdCusto,MATCH($B2105,ProdCod,0)),0))</f>
        <v>0</v>
      </c>
      <c r="H2105" s="25">
        <f>IF($A2105="","",IF(OR($B2105="",$C2105="",$D2105=""),"Preencher tudo",IF($F2105="Código não cadastrado","Código inválido","OK")))</f>
        <v>0</v>
      </c>
    </row>
    <row r="2106" spans="1:8">
      <c r="A2106" s="16"/>
      <c r="B2106" s="15"/>
      <c r="C2106" s="20"/>
      <c r="D2106" s="22"/>
      <c r="E2106" s="15"/>
      <c r="F2106" s="23">
        <f>IF($B2106="","",IFERROR(INDEX(ProdNome,MATCH($B2106,ProdCod,0)),"Código não cadastrado"))</f>
        <v>0</v>
      </c>
      <c r="G2106" s="24">
        <f>IF(OR($B2106="",$D2106=""),"",$D2106*IFERROR(INDEX(ProdCusto,MATCH($B2106,ProdCod,0)),0))</f>
        <v>0</v>
      </c>
      <c r="H2106" s="25">
        <f>IF($A2106="","",IF(OR($B2106="",$C2106="",$D2106=""),"Preencher tudo",IF($F2106="Código não cadastrado","Código inválido","OK")))</f>
        <v>0</v>
      </c>
    </row>
    <row r="2107" spans="1:8">
      <c r="A2107" s="16"/>
      <c r="B2107" s="15"/>
      <c r="C2107" s="20"/>
      <c r="D2107" s="22"/>
      <c r="E2107" s="15"/>
      <c r="F2107" s="23">
        <f>IF($B2107="","",IFERROR(INDEX(ProdNome,MATCH($B2107,ProdCod,0)),"Código não cadastrado"))</f>
        <v>0</v>
      </c>
      <c r="G2107" s="24">
        <f>IF(OR($B2107="",$D2107=""),"",$D2107*IFERROR(INDEX(ProdCusto,MATCH($B2107,ProdCod,0)),0))</f>
        <v>0</v>
      </c>
      <c r="H2107" s="25">
        <f>IF($A2107="","",IF(OR($B2107="",$C2107="",$D2107=""),"Preencher tudo",IF($F2107="Código não cadastrado","Código inválido","OK")))</f>
        <v>0</v>
      </c>
    </row>
    <row r="2108" spans="1:8">
      <c r="A2108" s="16"/>
      <c r="B2108" s="15"/>
      <c r="C2108" s="20"/>
      <c r="D2108" s="22"/>
      <c r="E2108" s="15"/>
      <c r="F2108" s="23">
        <f>IF($B2108="","",IFERROR(INDEX(ProdNome,MATCH($B2108,ProdCod,0)),"Código não cadastrado"))</f>
        <v>0</v>
      </c>
      <c r="G2108" s="24">
        <f>IF(OR($B2108="",$D2108=""),"",$D2108*IFERROR(INDEX(ProdCusto,MATCH($B2108,ProdCod,0)),0))</f>
        <v>0</v>
      </c>
      <c r="H2108" s="25">
        <f>IF($A2108="","",IF(OR($B2108="",$C2108="",$D2108=""),"Preencher tudo",IF($F2108="Código não cadastrado","Código inválido","OK")))</f>
        <v>0</v>
      </c>
    </row>
    <row r="2109" spans="1:8">
      <c r="A2109" s="16"/>
      <c r="B2109" s="15"/>
      <c r="C2109" s="20"/>
      <c r="D2109" s="22"/>
      <c r="E2109" s="15"/>
      <c r="F2109" s="23">
        <f>IF($B2109="","",IFERROR(INDEX(ProdNome,MATCH($B2109,ProdCod,0)),"Código não cadastrado"))</f>
        <v>0</v>
      </c>
      <c r="G2109" s="24">
        <f>IF(OR($B2109="",$D2109=""),"",$D2109*IFERROR(INDEX(ProdCusto,MATCH($B2109,ProdCod,0)),0))</f>
        <v>0</v>
      </c>
      <c r="H2109" s="25">
        <f>IF($A2109="","",IF(OR($B2109="",$C2109="",$D2109=""),"Preencher tudo",IF($F2109="Código não cadastrado","Código inválido","OK")))</f>
        <v>0</v>
      </c>
    </row>
    <row r="2110" spans="1:8">
      <c r="A2110" s="16"/>
      <c r="B2110" s="15"/>
      <c r="C2110" s="20"/>
      <c r="D2110" s="22"/>
      <c r="E2110" s="15"/>
      <c r="F2110" s="23">
        <f>IF($B2110="","",IFERROR(INDEX(ProdNome,MATCH($B2110,ProdCod,0)),"Código não cadastrado"))</f>
        <v>0</v>
      </c>
      <c r="G2110" s="24">
        <f>IF(OR($B2110="",$D2110=""),"",$D2110*IFERROR(INDEX(ProdCusto,MATCH($B2110,ProdCod,0)),0))</f>
        <v>0</v>
      </c>
      <c r="H2110" s="25">
        <f>IF($A2110="","",IF(OR($B2110="",$C2110="",$D2110=""),"Preencher tudo",IF($F2110="Código não cadastrado","Código inválido","OK")))</f>
        <v>0</v>
      </c>
    </row>
    <row r="2111" spans="1:8">
      <c r="A2111" s="16"/>
      <c r="B2111" s="15"/>
      <c r="C2111" s="20"/>
      <c r="D2111" s="22"/>
      <c r="E2111" s="15"/>
      <c r="F2111" s="23">
        <f>IF($B2111="","",IFERROR(INDEX(ProdNome,MATCH($B2111,ProdCod,0)),"Código não cadastrado"))</f>
        <v>0</v>
      </c>
      <c r="G2111" s="24">
        <f>IF(OR($B2111="",$D2111=""),"",$D2111*IFERROR(INDEX(ProdCusto,MATCH($B2111,ProdCod,0)),0))</f>
        <v>0</v>
      </c>
      <c r="H2111" s="25">
        <f>IF($A2111="","",IF(OR($B2111="",$C2111="",$D2111=""),"Preencher tudo",IF($F2111="Código não cadastrado","Código inválido","OK")))</f>
        <v>0</v>
      </c>
    </row>
    <row r="2112" spans="1:8">
      <c r="A2112" s="16"/>
      <c r="B2112" s="15"/>
      <c r="C2112" s="20"/>
      <c r="D2112" s="22"/>
      <c r="E2112" s="15"/>
      <c r="F2112" s="23">
        <f>IF($B2112="","",IFERROR(INDEX(ProdNome,MATCH($B2112,ProdCod,0)),"Código não cadastrado"))</f>
        <v>0</v>
      </c>
      <c r="G2112" s="24">
        <f>IF(OR($B2112="",$D2112=""),"",$D2112*IFERROR(INDEX(ProdCusto,MATCH($B2112,ProdCod,0)),0))</f>
        <v>0</v>
      </c>
      <c r="H2112" s="25">
        <f>IF($A2112="","",IF(OR($B2112="",$C2112="",$D2112=""),"Preencher tudo",IF($F2112="Código não cadastrado","Código inválido","OK")))</f>
        <v>0</v>
      </c>
    </row>
    <row r="2113" spans="1:8">
      <c r="A2113" s="16"/>
      <c r="B2113" s="15"/>
      <c r="C2113" s="20"/>
      <c r="D2113" s="22"/>
      <c r="E2113" s="15"/>
      <c r="F2113" s="23">
        <f>IF($B2113="","",IFERROR(INDEX(ProdNome,MATCH($B2113,ProdCod,0)),"Código não cadastrado"))</f>
        <v>0</v>
      </c>
      <c r="G2113" s="24">
        <f>IF(OR($B2113="",$D2113=""),"",$D2113*IFERROR(INDEX(ProdCusto,MATCH($B2113,ProdCod,0)),0))</f>
        <v>0</v>
      </c>
      <c r="H2113" s="25">
        <f>IF($A2113="","",IF(OR($B2113="",$C2113="",$D2113=""),"Preencher tudo",IF($F2113="Código não cadastrado","Código inválido","OK")))</f>
        <v>0</v>
      </c>
    </row>
    <row r="2114" spans="1:8">
      <c r="A2114" s="16"/>
      <c r="B2114" s="15"/>
      <c r="C2114" s="20"/>
      <c r="D2114" s="22"/>
      <c r="E2114" s="15"/>
      <c r="F2114" s="23">
        <f>IF($B2114="","",IFERROR(INDEX(ProdNome,MATCH($B2114,ProdCod,0)),"Código não cadastrado"))</f>
        <v>0</v>
      </c>
      <c r="G2114" s="24">
        <f>IF(OR($B2114="",$D2114=""),"",$D2114*IFERROR(INDEX(ProdCusto,MATCH($B2114,ProdCod,0)),0))</f>
        <v>0</v>
      </c>
      <c r="H2114" s="25">
        <f>IF($A2114="","",IF(OR($B2114="",$C2114="",$D2114=""),"Preencher tudo",IF($F2114="Código não cadastrado","Código inválido","OK")))</f>
        <v>0</v>
      </c>
    </row>
    <row r="2115" spans="1:8">
      <c r="A2115" s="16"/>
      <c r="B2115" s="15"/>
      <c r="C2115" s="20"/>
      <c r="D2115" s="22"/>
      <c r="E2115" s="15"/>
      <c r="F2115" s="23">
        <f>IF($B2115="","",IFERROR(INDEX(ProdNome,MATCH($B2115,ProdCod,0)),"Código não cadastrado"))</f>
        <v>0</v>
      </c>
      <c r="G2115" s="24">
        <f>IF(OR($B2115="",$D2115=""),"",$D2115*IFERROR(INDEX(ProdCusto,MATCH($B2115,ProdCod,0)),0))</f>
        <v>0</v>
      </c>
      <c r="H2115" s="25">
        <f>IF($A2115="","",IF(OR($B2115="",$C2115="",$D2115=""),"Preencher tudo",IF($F2115="Código não cadastrado","Código inválido","OK")))</f>
        <v>0</v>
      </c>
    </row>
    <row r="2116" spans="1:8">
      <c r="A2116" s="16"/>
      <c r="B2116" s="15"/>
      <c r="C2116" s="20"/>
      <c r="D2116" s="22"/>
      <c r="E2116" s="15"/>
      <c r="F2116" s="23">
        <f>IF($B2116="","",IFERROR(INDEX(ProdNome,MATCH($B2116,ProdCod,0)),"Código não cadastrado"))</f>
        <v>0</v>
      </c>
      <c r="G2116" s="24">
        <f>IF(OR($B2116="",$D2116=""),"",$D2116*IFERROR(INDEX(ProdCusto,MATCH($B2116,ProdCod,0)),0))</f>
        <v>0</v>
      </c>
      <c r="H2116" s="25">
        <f>IF($A2116="","",IF(OR($B2116="",$C2116="",$D2116=""),"Preencher tudo",IF($F2116="Código não cadastrado","Código inválido","OK")))</f>
        <v>0</v>
      </c>
    </row>
    <row r="2117" spans="1:8">
      <c r="A2117" s="16"/>
      <c r="B2117" s="15"/>
      <c r="C2117" s="20"/>
      <c r="D2117" s="22"/>
      <c r="E2117" s="15"/>
      <c r="F2117" s="23">
        <f>IF($B2117="","",IFERROR(INDEX(ProdNome,MATCH($B2117,ProdCod,0)),"Código não cadastrado"))</f>
        <v>0</v>
      </c>
      <c r="G2117" s="24">
        <f>IF(OR($B2117="",$D2117=""),"",$D2117*IFERROR(INDEX(ProdCusto,MATCH($B2117,ProdCod,0)),0))</f>
        <v>0</v>
      </c>
      <c r="H2117" s="25">
        <f>IF($A2117="","",IF(OR($B2117="",$C2117="",$D2117=""),"Preencher tudo",IF($F2117="Código não cadastrado","Código inválido","OK")))</f>
        <v>0</v>
      </c>
    </row>
    <row r="2118" spans="1:8">
      <c r="A2118" s="16"/>
      <c r="B2118" s="15"/>
      <c r="C2118" s="20"/>
      <c r="D2118" s="22"/>
      <c r="E2118" s="15"/>
      <c r="F2118" s="23">
        <f>IF($B2118="","",IFERROR(INDEX(ProdNome,MATCH($B2118,ProdCod,0)),"Código não cadastrado"))</f>
        <v>0</v>
      </c>
      <c r="G2118" s="24">
        <f>IF(OR($B2118="",$D2118=""),"",$D2118*IFERROR(INDEX(ProdCusto,MATCH($B2118,ProdCod,0)),0))</f>
        <v>0</v>
      </c>
      <c r="H2118" s="25">
        <f>IF($A2118="","",IF(OR($B2118="",$C2118="",$D2118=""),"Preencher tudo",IF($F2118="Código não cadastrado","Código inválido","OK")))</f>
        <v>0</v>
      </c>
    </row>
    <row r="2119" spans="1:8">
      <c r="A2119" s="16"/>
      <c r="B2119" s="15"/>
      <c r="C2119" s="20"/>
      <c r="D2119" s="22"/>
      <c r="E2119" s="15"/>
      <c r="F2119" s="23">
        <f>IF($B2119="","",IFERROR(INDEX(ProdNome,MATCH($B2119,ProdCod,0)),"Código não cadastrado"))</f>
        <v>0</v>
      </c>
      <c r="G2119" s="24">
        <f>IF(OR($B2119="",$D2119=""),"",$D2119*IFERROR(INDEX(ProdCusto,MATCH($B2119,ProdCod,0)),0))</f>
        <v>0</v>
      </c>
      <c r="H2119" s="25">
        <f>IF($A2119="","",IF(OR($B2119="",$C2119="",$D2119=""),"Preencher tudo",IF($F2119="Código não cadastrado","Código inválido","OK")))</f>
        <v>0</v>
      </c>
    </row>
    <row r="2120" spans="1:8">
      <c r="A2120" s="16"/>
      <c r="B2120" s="15"/>
      <c r="C2120" s="20"/>
      <c r="D2120" s="22"/>
      <c r="E2120" s="15"/>
      <c r="F2120" s="23">
        <f>IF($B2120="","",IFERROR(INDEX(ProdNome,MATCH($B2120,ProdCod,0)),"Código não cadastrado"))</f>
        <v>0</v>
      </c>
      <c r="G2120" s="24">
        <f>IF(OR($B2120="",$D2120=""),"",$D2120*IFERROR(INDEX(ProdCusto,MATCH($B2120,ProdCod,0)),0))</f>
        <v>0</v>
      </c>
      <c r="H2120" s="25">
        <f>IF($A2120="","",IF(OR($B2120="",$C2120="",$D2120=""),"Preencher tudo",IF($F2120="Código não cadastrado","Código inválido","OK")))</f>
        <v>0</v>
      </c>
    </row>
    <row r="2121" spans="1:8">
      <c r="A2121" s="16"/>
      <c r="B2121" s="15"/>
      <c r="C2121" s="20"/>
      <c r="D2121" s="22"/>
      <c r="E2121" s="15"/>
      <c r="F2121" s="23">
        <f>IF($B2121="","",IFERROR(INDEX(ProdNome,MATCH($B2121,ProdCod,0)),"Código não cadastrado"))</f>
        <v>0</v>
      </c>
      <c r="G2121" s="24">
        <f>IF(OR($B2121="",$D2121=""),"",$D2121*IFERROR(INDEX(ProdCusto,MATCH($B2121,ProdCod,0)),0))</f>
        <v>0</v>
      </c>
      <c r="H2121" s="25">
        <f>IF($A2121="","",IF(OR($B2121="",$C2121="",$D2121=""),"Preencher tudo",IF($F2121="Código não cadastrado","Código inválido","OK")))</f>
        <v>0</v>
      </c>
    </row>
    <row r="2122" spans="1:8">
      <c r="A2122" s="16"/>
      <c r="B2122" s="15"/>
      <c r="C2122" s="20"/>
      <c r="D2122" s="22"/>
      <c r="E2122" s="15"/>
      <c r="F2122" s="23">
        <f>IF($B2122="","",IFERROR(INDEX(ProdNome,MATCH($B2122,ProdCod,0)),"Código não cadastrado"))</f>
        <v>0</v>
      </c>
      <c r="G2122" s="24">
        <f>IF(OR($B2122="",$D2122=""),"",$D2122*IFERROR(INDEX(ProdCusto,MATCH($B2122,ProdCod,0)),0))</f>
        <v>0</v>
      </c>
      <c r="H2122" s="25">
        <f>IF($A2122="","",IF(OR($B2122="",$C2122="",$D2122=""),"Preencher tudo",IF($F2122="Código não cadastrado","Código inválido","OK")))</f>
        <v>0</v>
      </c>
    </row>
    <row r="2123" spans="1:8">
      <c r="A2123" s="16"/>
      <c r="B2123" s="15"/>
      <c r="C2123" s="20"/>
      <c r="D2123" s="22"/>
      <c r="E2123" s="15"/>
      <c r="F2123" s="23">
        <f>IF($B2123="","",IFERROR(INDEX(ProdNome,MATCH($B2123,ProdCod,0)),"Código não cadastrado"))</f>
        <v>0</v>
      </c>
      <c r="G2123" s="24">
        <f>IF(OR($B2123="",$D2123=""),"",$D2123*IFERROR(INDEX(ProdCusto,MATCH($B2123,ProdCod,0)),0))</f>
        <v>0</v>
      </c>
      <c r="H2123" s="25">
        <f>IF($A2123="","",IF(OR($B2123="",$C2123="",$D2123=""),"Preencher tudo",IF($F2123="Código não cadastrado","Código inválido","OK")))</f>
        <v>0</v>
      </c>
    </row>
    <row r="2124" spans="1:8">
      <c r="A2124" s="16"/>
      <c r="B2124" s="15"/>
      <c r="C2124" s="20"/>
      <c r="D2124" s="22"/>
      <c r="E2124" s="15"/>
      <c r="F2124" s="23">
        <f>IF($B2124="","",IFERROR(INDEX(ProdNome,MATCH($B2124,ProdCod,0)),"Código não cadastrado"))</f>
        <v>0</v>
      </c>
      <c r="G2124" s="24">
        <f>IF(OR($B2124="",$D2124=""),"",$D2124*IFERROR(INDEX(ProdCusto,MATCH($B2124,ProdCod,0)),0))</f>
        <v>0</v>
      </c>
      <c r="H2124" s="25">
        <f>IF($A2124="","",IF(OR($B2124="",$C2124="",$D2124=""),"Preencher tudo",IF($F2124="Código não cadastrado","Código inválido","OK")))</f>
        <v>0</v>
      </c>
    </row>
    <row r="2125" spans="1:8">
      <c r="A2125" s="16"/>
      <c r="B2125" s="15"/>
      <c r="C2125" s="20"/>
      <c r="D2125" s="22"/>
      <c r="E2125" s="15"/>
      <c r="F2125" s="23">
        <f>IF($B2125="","",IFERROR(INDEX(ProdNome,MATCH($B2125,ProdCod,0)),"Código não cadastrado"))</f>
        <v>0</v>
      </c>
      <c r="G2125" s="24">
        <f>IF(OR($B2125="",$D2125=""),"",$D2125*IFERROR(INDEX(ProdCusto,MATCH($B2125,ProdCod,0)),0))</f>
        <v>0</v>
      </c>
      <c r="H2125" s="25">
        <f>IF($A2125="","",IF(OR($B2125="",$C2125="",$D2125=""),"Preencher tudo",IF($F2125="Código não cadastrado","Código inválido","OK")))</f>
        <v>0</v>
      </c>
    </row>
    <row r="2126" spans="1:8">
      <c r="A2126" s="16"/>
      <c r="B2126" s="15"/>
      <c r="C2126" s="20"/>
      <c r="D2126" s="22"/>
      <c r="E2126" s="15"/>
      <c r="F2126" s="23">
        <f>IF($B2126="","",IFERROR(INDEX(ProdNome,MATCH($B2126,ProdCod,0)),"Código não cadastrado"))</f>
        <v>0</v>
      </c>
      <c r="G2126" s="24">
        <f>IF(OR($B2126="",$D2126=""),"",$D2126*IFERROR(INDEX(ProdCusto,MATCH($B2126,ProdCod,0)),0))</f>
        <v>0</v>
      </c>
      <c r="H2126" s="25">
        <f>IF($A2126="","",IF(OR($B2126="",$C2126="",$D2126=""),"Preencher tudo",IF($F2126="Código não cadastrado","Código inválido","OK")))</f>
        <v>0</v>
      </c>
    </row>
    <row r="2127" spans="1:8">
      <c r="A2127" s="16"/>
      <c r="B2127" s="15"/>
      <c r="C2127" s="20"/>
      <c r="D2127" s="22"/>
      <c r="E2127" s="15"/>
      <c r="F2127" s="23">
        <f>IF($B2127="","",IFERROR(INDEX(ProdNome,MATCH($B2127,ProdCod,0)),"Código não cadastrado"))</f>
        <v>0</v>
      </c>
      <c r="G2127" s="24">
        <f>IF(OR($B2127="",$D2127=""),"",$D2127*IFERROR(INDEX(ProdCusto,MATCH($B2127,ProdCod,0)),0))</f>
        <v>0</v>
      </c>
      <c r="H2127" s="25">
        <f>IF($A2127="","",IF(OR($B2127="",$C2127="",$D2127=""),"Preencher tudo",IF($F2127="Código não cadastrado","Código inválido","OK")))</f>
        <v>0</v>
      </c>
    </row>
    <row r="2128" spans="1:8">
      <c r="A2128" s="16"/>
      <c r="B2128" s="15"/>
      <c r="C2128" s="20"/>
      <c r="D2128" s="22"/>
      <c r="E2128" s="15"/>
      <c r="F2128" s="23">
        <f>IF($B2128="","",IFERROR(INDEX(ProdNome,MATCH($B2128,ProdCod,0)),"Código não cadastrado"))</f>
        <v>0</v>
      </c>
      <c r="G2128" s="24">
        <f>IF(OR($B2128="",$D2128=""),"",$D2128*IFERROR(INDEX(ProdCusto,MATCH($B2128,ProdCod,0)),0))</f>
        <v>0</v>
      </c>
      <c r="H2128" s="25">
        <f>IF($A2128="","",IF(OR($B2128="",$C2128="",$D2128=""),"Preencher tudo",IF($F2128="Código não cadastrado","Código inválido","OK")))</f>
        <v>0</v>
      </c>
    </row>
    <row r="2129" spans="1:8">
      <c r="A2129" s="16"/>
      <c r="B2129" s="15"/>
      <c r="C2129" s="20"/>
      <c r="D2129" s="22"/>
      <c r="E2129" s="15"/>
      <c r="F2129" s="23">
        <f>IF($B2129="","",IFERROR(INDEX(ProdNome,MATCH($B2129,ProdCod,0)),"Código não cadastrado"))</f>
        <v>0</v>
      </c>
      <c r="G2129" s="24">
        <f>IF(OR($B2129="",$D2129=""),"",$D2129*IFERROR(INDEX(ProdCusto,MATCH($B2129,ProdCod,0)),0))</f>
        <v>0</v>
      </c>
      <c r="H2129" s="25">
        <f>IF($A2129="","",IF(OR($B2129="",$C2129="",$D2129=""),"Preencher tudo",IF($F2129="Código não cadastrado","Código inválido","OK")))</f>
        <v>0</v>
      </c>
    </row>
    <row r="2130" spans="1:8">
      <c r="A2130" s="16"/>
      <c r="B2130" s="15"/>
      <c r="C2130" s="20"/>
      <c r="D2130" s="22"/>
      <c r="E2130" s="15"/>
      <c r="F2130" s="23">
        <f>IF($B2130="","",IFERROR(INDEX(ProdNome,MATCH($B2130,ProdCod,0)),"Código não cadastrado"))</f>
        <v>0</v>
      </c>
      <c r="G2130" s="24">
        <f>IF(OR($B2130="",$D2130=""),"",$D2130*IFERROR(INDEX(ProdCusto,MATCH($B2130,ProdCod,0)),0))</f>
        <v>0</v>
      </c>
      <c r="H2130" s="25">
        <f>IF($A2130="","",IF(OR($B2130="",$C2130="",$D2130=""),"Preencher tudo",IF($F2130="Código não cadastrado","Código inválido","OK")))</f>
        <v>0</v>
      </c>
    </row>
    <row r="2131" spans="1:8">
      <c r="A2131" s="16"/>
      <c r="B2131" s="15"/>
      <c r="C2131" s="20"/>
      <c r="D2131" s="22"/>
      <c r="E2131" s="15"/>
      <c r="F2131" s="23">
        <f>IF($B2131="","",IFERROR(INDEX(ProdNome,MATCH($B2131,ProdCod,0)),"Código não cadastrado"))</f>
        <v>0</v>
      </c>
      <c r="G2131" s="24">
        <f>IF(OR($B2131="",$D2131=""),"",$D2131*IFERROR(INDEX(ProdCusto,MATCH($B2131,ProdCod,0)),0))</f>
        <v>0</v>
      </c>
      <c r="H2131" s="25">
        <f>IF($A2131="","",IF(OR($B2131="",$C2131="",$D2131=""),"Preencher tudo",IF($F2131="Código não cadastrado","Código inválido","OK")))</f>
        <v>0</v>
      </c>
    </row>
    <row r="2132" spans="1:8">
      <c r="A2132" s="16"/>
      <c r="B2132" s="15"/>
      <c r="C2132" s="20"/>
      <c r="D2132" s="22"/>
      <c r="E2132" s="15"/>
      <c r="F2132" s="23">
        <f>IF($B2132="","",IFERROR(INDEX(ProdNome,MATCH($B2132,ProdCod,0)),"Código não cadastrado"))</f>
        <v>0</v>
      </c>
      <c r="G2132" s="24">
        <f>IF(OR($B2132="",$D2132=""),"",$D2132*IFERROR(INDEX(ProdCusto,MATCH($B2132,ProdCod,0)),0))</f>
        <v>0</v>
      </c>
      <c r="H2132" s="25">
        <f>IF($A2132="","",IF(OR($B2132="",$C2132="",$D2132=""),"Preencher tudo",IF($F2132="Código não cadastrado","Código inválido","OK")))</f>
        <v>0</v>
      </c>
    </row>
    <row r="2133" spans="1:8">
      <c r="A2133" s="16"/>
      <c r="B2133" s="15"/>
      <c r="C2133" s="20"/>
      <c r="D2133" s="22"/>
      <c r="E2133" s="15"/>
      <c r="F2133" s="23">
        <f>IF($B2133="","",IFERROR(INDEX(ProdNome,MATCH($B2133,ProdCod,0)),"Código não cadastrado"))</f>
        <v>0</v>
      </c>
      <c r="G2133" s="24">
        <f>IF(OR($B2133="",$D2133=""),"",$D2133*IFERROR(INDEX(ProdCusto,MATCH($B2133,ProdCod,0)),0))</f>
        <v>0</v>
      </c>
      <c r="H2133" s="25">
        <f>IF($A2133="","",IF(OR($B2133="",$C2133="",$D2133=""),"Preencher tudo",IF($F2133="Código não cadastrado","Código inválido","OK")))</f>
        <v>0</v>
      </c>
    </row>
    <row r="2134" spans="1:8">
      <c r="A2134" s="16"/>
      <c r="B2134" s="15"/>
      <c r="C2134" s="20"/>
      <c r="D2134" s="22"/>
      <c r="E2134" s="15"/>
      <c r="F2134" s="23">
        <f>IF($B2134="","",IFERROR(INDEX(ProdNome,MATCH($B2134,ProdCod,0)),"Código não cadastrado"))</f>
        <v>0</v>
      </c>
      <c r="G2134" s="24">
        <f>IF(OR($B2134="",$D2134=""),"",$D2134*IFERROR(INDEX(ProdCusto,MATCH($B2134,ProdCod,0)),0))</f>
        <v>0</v>
      </c>
      <c r="H2134" s="25">
        <f>IF($A2134="","",IF(OR($B2134="",$C2134="",$D2134=""),"Preencher tudo",IF($F2134="Código não cadastrado","Código inválido","OK")))</f>
        <v>0</v>
      </c>
    </row>
    <row r="2135" spans="1:8">
      <c r="A2135" s="16"/>
      <c r="B2135" s="15"/>
      <c r="C2135" s="20"/>
      <c r="D2135" s="22"/>
      <c r="E2135" s="15"/>
      <c r="F2135" s="23">
        <f>IF($B2135="","",IFERROR(INDEX(ProdNome,MATCH($B2135,ProdCod,0)),"Código não cadastrado"))</f>
        <v>0</v>
      </c>
      <c r="G2135" s="24">
        <f>IF(OR($B2135="",$D2135=""),"",$D2135*IFERROR(INDEX(ProdCusto,MATCH($B2135,ProdCod,0)),0))</f>
        <v>0</v>
      </c>
      <c r="H2135" s="25">
        <f>IF($A2135="","",IF(OR($B2135="",$C2135="",$D2135=""),"Preencher tudo",IF($F2135="Código não cadastrado","Código inválido","OK")))</f>
        <v>0</v>
      </c>
    </row>
    <row r="2136" spans="1:8">
      <c r="A2136" s="16"/>
      <c r="B2136" s="15"/>
      <c r="C2136" s="20"/>
      <c r="D2136" s="22"/>
      <c r="E2136" s="15"/>
      <c r="F2136" s="23">
        <f>IF($B2136="","",IFERROR(INDEX(ProdNome,MATCH($B2136,ProdCod,0)),"Código não cadastrado"))</f>
        <v>0</v>
      </c>
      <c r="G2136" s="24">
        <f>IF(OR($B2136="",$D2136=""),"",$D2136*IFERROR(INDEX(ProdCusto,MATCH($B2136,ProdCod,0)),0))</f>
        <v>0</v>
      </c>
      <c r="H2136" s="25">
        <f>IF($A2136="","",IF(OR($B2136="",$C2136="",$D2136=""),"Preencher tudo",IF($F2136="Código não cadastrado","Código inválido","OK")))</f>
        <v>0</v>
      </c>
    </row>
    <row r="2137" spans="1:8">
      <c r="A2137" s="16"/>
      <c r="B2137" s="15"/>
      <c r="C2137" s="20"/>
      <c r="D2137" s="22"/>
      <c r="E2137" s="15"/>
      <c r="F2137" s="23">
        <f>IF($B2137="","",IFERROR(INDEX(ProdNome,MATCH($B2137,ProdCod,0)),"Código não cadastrado"))</f>
        <v>0</v>
      </c>
      <c r="G2137" s="24">
        <f>IF(OR($B2137="",$D2137=""),"",$D2137*IFERROR(INDEX(ProdCusto,MATCH($B2137,ProdCod,0)),0))</f>
        <v>0</v>
      </c>
      <c r="H2137" s="25">
        <f>IF($A2137="","",IF(OR($B2137="",$C2137="",$D2137=""),"Preencher tudo",IF($F2137="Código não cadastrado","Código inválido","OK")))</f>
        <v>0</v>
      </c>
    </row>
    <row r="2138" spans="1:8">
      <c r="A2138" s="16"/>
      <c r="B2138" s="15"/>
      <c r="C2138" s="20"/>
      <c r="D2138" s="22"/>
      <c r="E2138" s="15"/>
      <c r="F2138" s="23">
        <f>IF($B2138="","",IFERROR(INDEX(ProdNome,MATCH($B2138,ProdCod,0)),"Código não cadastrado"))</f>
        <v>0</v>
      </c>
      <c r="G2138" s="24">
        <f>IF(OR($B2138="",$D2138=""),"",$D2138*IFERROR(INDEX(ProdCusto,MATCH($B2138,ProdCod,0)),0))</f>
        <v>0</v>
      </c>
      <c r="H2138" s="25">
        <f>IF($A2138="","",IF(OR($B2138="",$C2138="",$D2138=""),"Preencher tudo",IF($F2138="Código não cadastrado","Código inválido","OK")))</f>
        <v>0</v>
      </c>
    </row>
    <row r="2139" spans="1:8">
      <c r="A2139" s="16"/>
      <c r="B2139" s="15"/>
      <c r="C2139" s="20"/>
      <c r="D2139" s="22"/>
      <c r="E2139" s="15"/>
      <c r="F2139" s="23">
        <f>IF($B2139="","",IFERROR(INDEX(ProdNome,MATCH($B2139,ProdCod,0)),"Código não cadastrado"))</f>
        <v>0</v>
      </c>
      <c r="G2139" s="24">
        <f>IF(OR($B2139="",$D2139=""),"",$D2139*IFERROR(INDEX(ProdCusto,MATCH($B2139,ProdCod,0)),0))</f>
        <v>0</v>
      </c>
      <c r="H2139" s="25">
        <f>IF($A2139="","",IF(OR($B2139="",$C2139="",$D2139=""),"Preencher tudo",IF($F2139="Código não cadastrado","Código inválido","OK")))</f>
        <v>0</v>
      </c>
    </row>
    <row r="2140" spans="1:8">
      <c r="A2140" s="16"/>
      <c r="B2140" s="15"/>
      <c r="C2140" s="20"/>
      <c r="D2140" s="22"/>
      <c r="E2140" s="15"/>
      <c r="F2140" s="23">
        <f>IF($B2140="","",IFERROR(INDEX(ProdNome,MATCH($B2140,ProdCod,0)),"Código não cadastrado"))</f>
        <v>0</v>
      </c>
      <c r="G2140" s="24">
        <f>IF(OR($B2140="",$D2140=""),"",$D2140*IFERROR(INDEX(ProdCusto,MATCH($B2140,ProdCod,0)),0))</f>
        <v>0</v>
      </c>
      <c r="H2140" s="25">
        <f>IF($A2140="","",IF(OR($B2140="",$C2140="",$D2140=""),"Preencher tudo",IF($F2140="Código não cadastrado","Código inválido","OK")))</f>
        <v>0</v>
      </c>
    </row>
    <row r="2141" spans="1:8">
      <c r="A2141" s="16"/>
      <c r="B2141" s="15"/>
      <c r="C2141" s="20"/>
      <c r="D2141" s="22"/>
      <c r="E2141" s="15"/>
      <c r="F2141" s="23">
        <f>IF($B2141="","",IFERROR(INDEX(ProdNome,MATCH($B2141,ProdCod,0)),"Código não cadastrado"))</f>
        <v>0</v>
      </c>
      <c r="G2141" s="24">
        <f>IF(OR($B2141="",$D2141=""),"",$D2141*IFERROR(INDEX(ProdCusto,MATCH($B2141,ProdCod,0)),0))</f>
        <v>0</v>
      </c>
      <c r="H2141" s="25">
        <f>IF($A2141="","",IF(OR($B2141="",$C2141="",$D2141=""),"Preencher tudo",IF($F2141="Código não cadastrado","Código inválido","OK")))</f>
        <v>0</v>
      </c>
    </row>
    <row r="2142" spans="1:8">
      <c r="A2142" s="16"/>
      <c r="B2142" s="15"/>
      <c r="C2142" s="20"/>
      <c r="D2142" s="22"/>
      <c r="E2142" s="15"/>
      <c r="F2142" s="23">
        <f>IF($B2142="","",IFERROR(INDEX(ProdNome,MATCH($B2142,ProdCod,0)),"Código não cadastrado"))</f>
        <v>0</v>
      </c>
      <c r="G2142" s="24">
        <f>IF(OR($B2142="",$D2142=""),"",$D2142*IFERROR(INDEX(ProdCusto,MATCH($B2142,ProdCod,0)),0))</f>
        <v>0</v>
      </c>
      <c r="H2142" s="25">
        <f>IF($A2142="","",IF(OR($B2142="",$C2142="",$D2142=""),"Preencher tudo",IF($F2142="Código não cadastrado","Código inválido","OK")))</f>
        <v>0</v>
      </c>
    </row>
    <row r="2143" spans="1:8">
      <c r="A2143" s="16"/>
      <c r="B2143" s="15"/>
      <c r="C2143" s="20"/>
      <c r="D2143" s="22"/>
      <c r="E2143" s="15"/>
      <c r="F2143" s="23">
        <f>IF($B2143="","",IFERROR(INDEX(ProdNome,MATCH($B2143,ProdCod,0)),"Código não cadastrado"))</f>
        <v>0</v>
      </c>
      <c r="G2143" s="24">
        <f>IF(OR($B2143="",$D2143=""),"",$D2143*IFERROR(INDEX(ProdCusto,MATCH($B2143,ProdCod,0)),0))</f>
        <v>0</v>
      </c>
      <c r="H2143" s="25">
        <f>IF($A2143="","",IF(OR($B2143="",$C2143="",$D2143=""),"Preencher tudo",IF($F2143="Código não cadastrado","Código inválido","OK")))</f>
        <v>0</v>
      </c>
    </row>
    <row r="2144" spans="1:8">
      <c r="A2144" s="16"/>
      <c r="B2144" s="15"/>
      <c r="C2144" s="20"/>
      <c r="D2144" s="22"/>
      <c r="E2144" s="15"/>
      <c r="F2144" s="23">
        <f>IF($B2144="","",IFERROR(INDEX(ProdNome,MATCH($B2144,ProdCod,0)),"Código não cadastrado"))</f>
        <v>0</v>
      </c>
      <c r="G2144" s="24">
        <f>IF(OR($B2144="",$D2144=""),"",$D2144*IFERROR(INDEX(ProdCusto,MATCH($B2144,ProdCod,0)),0))</f>
        <v>0</v>
      </c>
      <c r="H2144" s="25">
        <f>IF($A2144="","",IF(OR($B2144="",$C2144="",$D2144=""),"Preencher tudo",IF($F2144="Código não cadastrado","Código inválido","OK")))</f>
        <v>0</v>
      </c>
    </row>
    <row r="2145" spans="1:8">
      <c r="A2145" s="16"/>
      <c r="B2145" s="15"/>
      <c r="C2145" s="20"/>
      <c r="D2145" s="22"/>
      <c r="E2145" s="15"/>
      <c r="F2145" s="23">
        <f>IF($B2145="","",IFERROR(INDEX(ProdNome,MATCH($B2145,ProdCod,0)),"Código não cadastrado"))</f>
        <v>0</v>
      </c>
      <c r="G2145" s="24">
        <f>IF(OR($B2145="",$D2145=""),"",$D2145*IFERROR(INDEX(ProdCusto,MATCH($B2145,ProdCod,0)),0))</f>
        <v>0</v>
      </c>
      <c r="H2145" s="25">
        <f>IF($A2145="","",IF(OR($B2145="",$C2145="",$D2145=""),"Preencher tudo",IF($F2145="Código não cadastrado","Código inválido","OK")))</f>
        <v>0</v>
      </c>
    </row>
    <row r="2146" spans="1:8">
      <c r="A2146" s="16"/>
      <c r="B2146" s="15"/>
      <c r="C2146" s="20"/>
      <c r="D2146" s="22"/>
      <c r="E2146" s="15"/>
      <c r="F2146" s="23">
        <f>IF($B2146="","",IFERROR(INDEX(ProdNome,MATCH($B2146,ProdCod,0)),"Código não cadastrado"))</f>
        <v>0</v>
      </c>
      <c r="G2146" s="24">
        <f>IF(OR($B2146="",$D2146=""),"",$D2146*IFERROR(INDEX(ProdCusto,MATCH($B2146,ProdCod,0)),0))</f>
        <v>0</v>
      </c>
      <c r="H2146" s="25">
        <f>IF($A2146="","",IF(OR($B2146="",$C2146="",$D2146=""),"Preencher tudo",IF($F2146="Código não cadastrado","Código inválido","OK")))</f>
        <v>0</v>
      </c>
    </row>
    <row r="2147" spans="1:8">
      <c r="A2147" s="16"/>
      <c r="B2147" s="15"/>
      <c r="C2147" s="20"/>
      <c r="D2147" s="22"/>
      <c r="E2147" s="15"/>
      <c r="F2147" s="23">
        <f>IF($B2147="","",IFERROR(INDEX(ProdNome,MATCH($B2147,ProdCod,0)),"Código não cadastrado"))</f>
        <v>0</v>
      </c>
      <c r="G2147" s="24">
        <f>IF(OR($B2147="",$D2147=""),"",$D2147*IFERROR(INDEX(ProdCusto,MATCH($B2147,ProdCod,0)),0))</f>
        <v>0</v>
      </c>
      <c r="H2147" s="25">
        <f>IF($A2147="","",IF(OR($B2147="",$C2147="",$D2147=""),"Preencher tudo",IF($F2147="Código não cadastrado","Código inválido","OK")))</f>
        <v>0</v>
      </c>
    </row>
    <row r="2148" spans="1:8">
      <c r="A2148" s="16"/>
      <c r="B2148" s="15"/>
      <c r="C2148" s="20"/>
      <c r="D2148" s="22"/>
      <c r="E2148" s="15"/>
      <c r="F2148" s="23">
        <f>IF($B2148="","",IFERROR(INDEX(ProdNome,MATCH($B2148,ProdCod,0)),"Código não cadastrado"))</f>
        <v>0</v>
      </c>
      <c r="G2148" s="24">
        <f>IF(OR($B2148="",$D2148=""),"",$D2148*IFERROR(INDEX(ProdCusto,MATCH($B2148,ProdCod,0)),0))</f>
        <v>0</v>
      </c>
      <c r="H2148" s="25">
        <f>IF($A2148="","",IF(OR($B2148="",$C2148="",$D2148=""),"Preencher tudo",IF($F2148="Código não cadastrado","Código inválido","OK")))</f>
        <v>0</v>
      </c>
    </row>
    <row r="2149" spans="1:8">
      <c r="A2149" s="16"/>
      <c r="B2149" s="15"/>
      <c r="C2149" s="20"/>
      <c r="D2149" s="22"/>
      <c r="E2149" s="15"/>
      <c r="F2149" s="23">
        <f>IF($B2149="","",IFERROR(INDEX(ProdNome,MATCH($B2149,ProdCod,0)),"Código não cadastrado"))</f>
        <v>0</v>
      </c>
      <c r="G2149" s="24">
        <f>IF(OR($B2149="",$D2149=""),"",$D2149*IFERROR(INDEX(ProdCusto,MATCH($B2149,ProdCod,0)),0))</f>
        <v>0</v>
      </c>
      <c r="H2149" s="25">
        <f>IF($A2149="","",IF(OR($B2149="",$C2149="",$D2149=""),"Preencher tudo",IF($F2149="Código não cadastrado","Código inválido","OK")))</f>
        <v>0</v>
      </c>
    </row>
    <row r="2150" spans="1:8">
      <c r="A2150" s="16"/>
      <c r="B2150" s="15"/>
      <c r="C2150" s="20"/>
      <c r="D2150" s="22"/>
      <c r="E2150" s="15"/>
      <c r="F2150" s="23">
        <f>IF($B2150="","",IFERROR(INDEX(ProdNome,MATCH($B2150,ProdCod,0)),"Código não cadastrado"))</f>
        <v>0</v>
      </c>
      <c r="G2150" s="24">
        <f>IF(OR($B2150="",$D2150=""),"",$D2150*IFERROR(INDEX(ProdCusto,MATCH($B2150,ProdCod,0)),0))</f>
        <v>0</v>
      </c>
      <c r="H2150" s="25">
        <f>IF($A2150="","",IF(OR($B2150="",$C2150="",$D2150=""),"Preencher tudo",IF($F2150="Código não cadastrado","Código inválido","OK")))</f>
        <v>0</v>
      </c>
    </row>
    <row r="2151" spans="1:8">
      <c r="A2151" s="16"/>
      <c r="B2151" s="15"/>
      <c r="C2151" s="20"/>
      <c r="D2151" s="22"/>
      <c r="E2151" s="15"/>
      <c r="F2151" s="23">
        <f>IF($B2151="","",IFERROR(INDEX(ProdNome,MATCH($B2151,ProdCod,0)),"Código não cadastrado"))</f>
        <v>0</v>
      </c>
      <c r="G2151" s="24">
        <f>IF(OR($B2151="",$D2151=""),"",$D2151*IFERROR(INDEX(ProdCusto,MATCH($B2151,ProdCod,0)),0))</f>
        <v>0</v>
      </c>
      <c r="H2151" s="25">
        <f>IF($A2151="","",IF(OR($B2151="",$C2151="",$D2151=""),"Preencher tudo",IF($F2151="Código não cadastrado","Código inválido","OK")))</f>
        <v>0</v>
      </c>
    </row>
    <row r="2152" spans="1:8">
      <c r="A2152" s="16"/>
      <c r="B2152" s="15"/>
      <c r="C2152" s="20"/>
      <c r="D2152" s="22"/>
      <c r="E2152" s="15"/>
      <c r="F2152" s="23">
        <f>IF($B2152="","",IFERROR(INDEX(ProdNome,MATCH($B2152,ProdCod,0)),"Código não cadastrado"))</f>
        <v>0</v>
      </c>
      <c r="G2152" s="24">
        <f>IF(OR($B2152="",$D2152=""),"",$D2152*IFERROR(INDEX(ProdCusto,MATCH($B2152,ProdCod,0)),0))</f>
        <v>0</v>
      </c>
      <c r="H2152" s="25">
        <f>IF($A2152="","",IF(OR($B2152="",$C2152="",$D2152=""),"Preencher tudo",IF($F2152="Código não cadastrado","Código inválido","OK")))</f>
        <v>0</v>
      </c>
    </row>
    <row r="2153" spans="1:8">
      <c r="A2153" s="16"/>
      <c r="B2153" s="15"/>
      <c r="C2153" s="20"/>
      <c r="D2153" s="22"/>
      <c r="E2153" s="15"/>
      <c r="F2153" s="23">
        <f>IF($B2153="","",IFERROR(INDEX(ProdNome,MATCH($B2153,ProdCod,0)),"Código não cadastrado"))</f>
        <v>0</v>
      </c>
      <c r="G2153" s="24">
        <f>IF(OR($B2153="",$D2153=""),"",$D2153*IFERROR(INDEX(ProdCusto,MATCH($B2153,ProdCod,0)),0))</f>
        <v>0</v>
      </c>
      <c r="H2153" s="25">
        <f>IF($A2153="","",IF(OR($B2153="",$C2153="",$D2153=""),"Preencher tudo",IF($F2153="Código não cadastrado","Código inválido","OK")))</f>
        <v>0</v>
      </c>
    </row>
    <row r="2154" spans="1:8">
      <c r="A2154" s="16"/>
      <c r="B2154" s="15"/>
      <c r="C2154" s="20"/>
      <c r="D2154" s="22"/>
      <c r="E2154" s="15"/>
      <c r="F2154" s="23">
        <f>IF($B2154="","",IFERROR(INDEX(ProdNome,MATCH($B2154,ProdCod,0)),"Código não cadastrado"))</f>
        <v>0</v>
      </c>
      <c r="G2154" s="24">
        <f>IF(OR($B2154="",$D2154=""),"",$D2154*IFERROR(INDEX(ProdCusto,MATCH($B2154,ProdCod,0)),0))</f>
        <v>0</v>
      </c>
      <c r="H2154" s="25">
        <f>IF($A2154="","",IF(OR($B2154="",$C2154="",$D2154=""),"Preencher tudo",IF($F2154="Código não cadastrado","Código inválido","OK")))</f>
        <v>0</v>
      </c>
    </row>
    <row r="2155" spans="1:8">
      <c r="A2155" s="16"/>
      <c r="B2155" s="15"/>
      <c r="C2155" s="20"/>
      <c r="D2155" s="22"/>
      <c r="E2155" s="15"/>
      <c r="F2155" s="23">
        <f>IF($B2155="","",IFERROR(INDEX(ProdNome,MATCH($B2155,ProdCod,0)),"Código não cadastrado"))</f>
        <v>0</v>
      </c>
      <c r="G2155" s="24">
        <f>IF(OR($B2155="",$D2155=""),"",$D2155*IFERROR(INDEX(ProdCusto,MATCH($B2155,ProdCod,0)),0))</f>
        <v>0</v>
      </c>
      <c r="H2155" s="25">
        <f>IF($A2155="","",IF(OR($B2155="",$C2155="",$D2155=""),"Preencher tudo",IF($F2155="Código não cadastrado","Código inválido","OK")))</f>
        <v>0</v>
      </c>
    </row>
    <row r="2156" spans="1:8">
      <c r="A2156" s="16"/>
      <c r="B2156" s="15"/>
      <c r="C2156" s="20"/>
      <c r="D2156" s="22"/>
      <c r="E2156" s="15"/>
      <c r="F2156" s="23">
        <f>IF($B2156="","",IFERROR(INDEX(ProdNome,MATCH($B2156,ProdCod,0)),"Código não cadastrado"))</f>
        <v>0</v>
      </c>
      <c r="G2156" s="24">
        <f>IF(OR($B2156="",$D2156=""),"",$D2156*IFERROR(INDEX(ProdCusto,MATCH($B2156,ProdCod,0)),0))</f>
        <v>0</v>
      </c>
      <c r="H2156" s="25">
        <f>IF($A2156="","",IF(OR($B2156="",$C2156="",$D2156=""),"Preencher tudo",IF($F2156="Código não cadastrado","Código inválido","OK")))</f>
        <v>0</v>
      </c>
    </row>
    <row r="2157" spans="1:8">
      <c r="A2157" s="16"/>
      <c r="B2157" s="15"/>
      <c r="C2157" s="20"/>
      <c r="D2157" s="22"/>
      <c r="E2157" s="15"/>
      <c r="F2157" s="23">
        <f>IF($B2157="","",IFERROR(INDEX(ProdNome,MATCH($B2157,ProdCod,0)),"Código não cadastrado"))</f>
        <v>0</v>
      </c>
      <c r="G2157" s="24">
        <f>IF(OR($B2157="",$D2157=""),"",$D2157*IFERROR(INDEX(ProdCusto,MATCH($B2157,ProdCod,0)),0))</f>
        <v>0</v>
      </c>
      <c r="H2157" s="25">
        <f>IF($A2157="","",IF(OR($B2157="",$C2157="",$D2157=""),"Preencher tudo",IF($F2157="Código não cadastrado","Código inválido","OK")))</f>
        <v>0</v>
      </c>
    </row>
    <row r="2158" spans="1:8">
      <c r="A2158" s="16"/>
      <c r="B2158" s="15"/>
      <c r="C2158" s="20"/>
      <c r="D2158" s="22"/>
      <c r="E2158" s="15"/>
      <c r="F2158" s="23">
        <f>IF($B2158="","",IFERROR(INDEX(ProdNome,MATCH($B2158,ProdCod,0)),"Código não cadastrado"))</f>
        <v>0</v>
      </c>
      <c r="G2158" s="24">
        <f>IF(OR($B2158="",$D2158=""),"",$D2158*IFERROR(INDEX(ProdCusto,MATCH($B2158,ProdCod,0)),0))</f>
        <v>0</v>
      </c>
      <c r="H2158" s="25">
        <f>IF($A2158="","",IF(OR($B2158="",$C2158="",$D2158=""),"Preencher tudo",IF($F2158="Código não cadastrado","Código inválido","OK")))</f>
        <v>0</v>
      </c>
    </row>
    <row r="2159" spans="1:8">
      <c r="A2159" s="16"/>
      <c r="B2159" s="15"/>
      <c r="C2159" s="20"/>
      <c r="D2159" s="22"/>
      <c r="E2159" s="15"/>
      <c r="F2159" s="23">
        <f>IF($B2159="","",IFERROR(INDEX(ProdNome,MATCH($B2159,ProdCod,0)),"Código não cadastrado"))</f>
        <v>0</v>
      </c>
      <c r="G2159" s="24">
        <f>IF(OR($B2159="",$D2159=""),"",$D2159*IFERROR(INDEX(ProdCusto,MATCH($B2159,ProdCod,0)),0))</f>
        <v>0</v>
      </c>
      <c r="H2159" s="25">
        <f>IF($A2159="","",IF(OR($B2159="",$C2159="",$D2159=""),"Preencher tudo",IF($F2159="Código não cadastrado","Código inválido","OK")))</f>
        <v>0</v>
      </c>
    </row>
    <row r="2160" spans="1:8">
      <c r="A2160" s="16"/>
      <c r="B2160" s="15"/>
      <c r="C2160" s="20"/>
      <c r="D2160" s="22"/>
      <c r="E2160" s="15"/>
      <c r="F2160" s="23">
        <f>IF($B2160="","",IFERROR(INDEX(ProdNome,MATCH($B2160,ProdCod,0)),"Código não cadastrado"))</f>
        <v>0</v>
      </c>
      <c r="G2160" s="24">
        <f>IF(OR($B2160="",$D2160=""),"",$D2160*IFERROR(INDEX(ProdCusto,MATCH($B2160,ProdCod,0)),0))</f>
        <v>0</v>
      </c>
      <c r="H2160" s="25">
        <f>IF($A2160="","",IF(OR($B2160="",$C2160="",$D2160=""),"Preencher tudo",IF($F2160="Código não cadastrado","Código inválido","OK")))</f>
        <v>0</v>
      </c>
    </row>
    <row r="2161" spans="1:8">
      <c r="A2161" s="16"/>
      <c r="B2161" s="15"/>
      <c r="C2161" s="20"/>
      <c r="D2161" s="22"/>
      <c r="E2161" s="15"/>
      <c r="F2161" s="23">
        <f>IF($B2161="","",IFERROR(INDEX(ProdNome,MATCH($B2161,ProdCod,0)),"Código não cadastrado"))</f>
        <v>0</v>
      </c>
      <c r="G2161" s="24">
        <f>IF(OR($B2161="",$D2161=""),"",$D2161*IFERROR(INDEX(ProdCusto,MATCH($B2161,ProdCod,0)),0))</f>
        <v>0</v>
      </c>
      <c r="H2161" s="25">
        <f>IF($A2161="","",IF(OR($B2161="",$C2161="",$D2161=""),"Preencher tudo",IF($F2161="Código não cadastrado","Código inválido","OK")))</f>
        <v>0</v>
      </c>
    </row>
    <row r="2162" spans="1:8">
      <c r="A2162" s="16"/>
      <c r="B2162" s="15"/>
      <c r="C2162" s="20"/>
      <c r="D2162" s="22"/>
      <c r="E2162" s="15"/>
      <c r="F2162" s="23">
        <f>IF($B2162="","",IFERROR(INDEX(ProdNome,MATCH($B2162,ProdCod,0)),"Código não cadastrado"))</f>
        <v>0</v>
      </c>
      <c r="G2162" s="24">
        <f>IF(OR($B2162="",$D2162=""),"",$D2162*IFERROR(INDEX(ProdCusto,MATCH($B2162,ProdCod,0)),0))</f>
        <v>0</v>
      </c>
      <c r="H2162" s="25">
        <f>IF($A2162="","",IF(OR($B2162="",$C2162="",$D2162=""),"Preencher tudo",IF($F2162="Código não cadastrado","Código inválido","OK")))</f>
        <v>0</v>
      </c>
    </row>
    <row r="2163" spans="1:8">
      <c r="A2163" s="16"/>
      <c r="B2163" s="15"/>
      <c r="C2163" s="20"/>
      <c r="D2163" s="22"/>
      <c r="E2163" s="15"/>
      <c r="F2163" s="23">
        <f>IF($B2163="","",IFERROR(INDEX(ProdNome,MATCH($B2163,ProdCod,0)),"Código não cadastrado"))</f>
        <v>0</v>
      </c>
      <c r="G2163" s="24">
        <f>IF(OR($B2163="",$D2163=""),"",$D2163*IFERROR(INDEX(ProdCusto,MATCH($B2163,ProdCod,0)),0))</f>
        <v>0</v>
      </c>
      <c r="H2163" s="25">
        <f>IF($A2163="","",IF(OR($B2163="",$C2163="",$D2163=""),"Preencher tudo",IF($F2163="Código não cadastrado","Código inválido","OK")))</f>
        <v>0</v>
      </c>
    </row>
    <row r="2164" spans="1:8">
      <c r="A2164" s="16"/>
      <c r="B2164" s="15"/>
      <c r="C2164" s="20"/>
      <c r="D2164" s="22"/>
      <c r="E2164" s="15"/>
      <c r="F2164" s="23">
        <f>IF($B2164="","",IFERROR(INDEX(ProdNome,MATCH($B2164,ProdCod,0)),"Código não cadastrado"))</f>
        <v>0</v>
      </c>
      <c r="G2164" s="24">
        <f>IF(OR($B2164="",$D2164=""),"",$D2164*IFERROR(INDEX(ProdCusto,MATCH($B2164,ProdCod,0)),0))</f>
        <v>0</v>
      </c>
      <c r="H2164" s="25">
        <f>IF($A2164="","",IF(OR($B2164="",$C2164="",$D2164=""),"Preencher tudo",IF($F2164="Código não cadastrado","Código inválido","OK")))</f>
        <v>0</v>
      </c>
    </row>
    <row r="2165" spans="1:8">
      <c r="A2165" s="16"/>
      <c r="B2165" s="15"/>
      <c r="C2165" s="20"/>
      <c r="D2165" s="22"/>
      <c r="E2165" s="15"/>
      <c r="F2165" s="23">
        <f>IF($B2165="","",IFERROR(INDEX(ProdNome,MATCH($B2165,ProdCod,0)),"Código não cadastrado"))</f>
        <v>0</v>
      </c>
      <c r="G2165" s="24">
        <f>IF(OR($B2165="",$D2165=""),"",$D2165*IFERROR(INDEX(ProdCusto,MATCH($B2165,ProdCod,0)),0))</f>
        <v>0</v>
      </c>
      <c r="H2165" s="25">
        <f>IF($A2165="","",IF(OR($B2165="",$C2165="",$D2165=""),"Preencher tudo",IF($F2165="Código não cadastrado","Código inválido","OK")))</f>
        <v>0</v>
      </c>
    </row>
    <row r="2166" spans="1:8">
      <c r="A2166" s="16"/>
      <c r="B2166" s="15"/>
      <c r="C2166" s="20"/>
      <c r="D2166" s="22"/>
      <c r="E2166" s="15"/>
      <c r="F2166" s="23">
        <f>IF($B2166="","",IFERROR(INDEX(ProdNome,MATCH($B2166,ProdCod,0)),"Código não cadastrado"))</f>
        <v>0</v>
      </c>
      <c r="G2166" s="24">
        <f>IF(OR($B2166="",$D2166=""),"",$D2166*IFERROR(INDEX(ProdCusto,MATCH($B2166,ProdCod,0)),0))</f>
        <v>0</v>
      </c>
      <c r="H2166" s="25">
        <f>IF($A2166="","",IF(OR($B2166="",$C2166="",$D2166=""),"Preencher tudo",IF($F2166="Código não cadastrado","Código inválido","OK")))</f>
        <v>0</v>
      </c>
    </row>
    <row r="2167" spans="1:8">
      <c r="A2167" s="16"/>
      <c r="B2167" s="15"/>
      <c r="C2167" s="20"/>
      <c r="D2167" s="22"/>
      <c r="E2167" s="15"/>
      <c r="F2167" s="23">
        <f>IF($B2167="","",IFERROR(INDEX(ProdNome,MATCH($B2167,ProdCod,0)),"Código não cadastrado"))</f>
        <v>0</v>
      </c>
      <c r="G2167" s="24">
        <f>IF(OR($B2167="",$D2167=""),"",$D2167*IFERROR(INDEX(ProdCusto,MATCH($B2167,ProdCod,0)),0))</f>
        <v>0</v>
      </c>
      <c r="H2167" s="25">
        <f>IF($A2167="","",IF(OR($B2167="",$C2167="",$D2167=""),"Preencher tudo",IF($F2167="Código não cadastrado","Código inválido","OK")))</f>
        <v>0</v>
      </c>
    </row>
    <row r="2168" spans="1:8">
      <c r="A2168" s="16"/>
      <c r="B2168" s="15"/>
      <c r="C2168" s="20"/>
      <c r="D2168" s="22"/>
      <c r="E2168" s="15"/>
      <c r="F2168" s="23">
        <f>IF($B2168="","",IFERROR(INDEX(ProdNome,MATCH($B2168,ProdCod,0)),"Código não cadastrado"))</f>
        <v>0</v>
      </c>
      <c r="G2168" s="24">
        <f>IF(OR($B2168="",$D2168=""),"",$D2168*IFERROR(INDEX(ProdCusto,MATCH($B2168,ProdCod,0)),0))</f>
        <v>0</v>
      </c>
      <c r="H2168" s="25">
        <f>IF($A2168="","",IF(OR($B2168="",$C2168="",$D2168=""),"Preencher tudo",IF($F2168="Código não cadastrado","Código inválido","OK")))</f>
        <v>0</v>
      </c>
    </row>
    <row r="2169" spans="1:8">
      <c r="A2169" s="16"/>
      <c r="B2169" s="15"/>
      <c r="C2169" s="20"/>
      <c r="D2169" s="22"/>
      <c r="E2169" s="15"/>
      <c r="F2169" s="23">
        <f>IF($B2169="","",IFERROR(INDEX(ProdNome,MATCH($B2169,ProdCod,0)),"Código não cadastrado"))</f>
        <v>0</v>
      </c>
      <c r="G2169" s="24">
        <f>IF(OR($B2169="",$D2169=""),"",$D2169*IFERROR(INDEX(ProdCusto,MATCH($B2169,ProdCod,0)),0))</f>
        <v>0</v>
      </c>
      <c r="H2169" s="25">
        <f>IF($A2169="","",IF(OR($B2169="",$C2169="",$D2169=""),"Preencher tudo",IF($F2169="Código não cadastrado","Código inválido","OK")))</f>
        <v>0</v>
      </c>
    </row>
    <row r="2170" spans="1:8">
      <c r="A2170" s="16"/>
      <c r="B2170" s="15"/>
      <c r="C2170" s="20"/>
      <c r="D2170" s="22"/>
      <c r="E2170" s="15"/>
      <c r="F2170" s="23">
        <f>IF($B2170="","",IFERROR(INDEX(ProdNome,MATCH($B2170,ProdCod,0)),"Código não cadastrado"))</f>
        <v>0</v>
      </c>
      <c r="G2170" s="24">
        <f>IF(OR($B2170="",$D2170=""),"",$D2170*IFERROR(INDEX(ProdCusto,MATCH($B2170,ProdCod,0)),0))</f>
        <v>0</v>
      </c>
      <c r="H2170" s="25">
        <f>IF($A2170="","",IF(OR($B2170="",$C2170="",$D2170=""),"Preencher tudo",IF($F2170="Código não cadastrado","Código inválido","OK")))</f>
        <v>0</v>
      </c>
    </row>
    <row r="2171" spans="1:8">
      <c r="A2171" s="16"/>
      <c r="B2171" s="15"/>
      <c r="C2171" s="20"/>
      <c r="D2171" s="22"/>
      <c r="E2171" s="15"/>
      <c r="F2171" s="23">
        <f>IF($B2171="","",IFERROR(INDEX(ProdNome,MATCH($B2171,ProdCod,0)),"Código não cadastrado"))</f>
        <v>0</v>
      </c>
      <c r="G2171" s="24">
        <f>IF(OR($B2171="",$D2171=""),"",$D2171*IFERROR(INDEX(ProdCusto,MATCH($B2171,ProdCod,0)),0))</f>
        <v>0</v>
      </c>
      <c r="H2171" s="25">
        <f>IF($A2171="","",IF(OR($B2171="",$C2171="",$D2171=""),"Preencher tudo",IF($F2171="Código não cadastrado","Código inválido","OK")))</f>
        <v>0</v>
      </c>
    </row>
    <row r="2172" spans="1:8">
      <c r="A2172" s="16"/>
      <c r="B2172" s="15"/>
      <c r="C2172" s="20"/>
      <c r="D2172" s="22"/>
      <c r="E2172" s="15"/>
      <c r="F2172" s="23">
        <f>IF($B2172="","",IFERROR(INDEX(ProdNome,MATCH($B2172,ProdCod,0)),"Código não cadastrado"))</f>
        <v>0</v>
      </c>
      <c r="G2172" s="24">
        <f>IF(OR($B2172="",$D2172=""),"",$D2172*IFERROR(INDEX(ProdCusto,MATCH($B2172,ProdCod,0)),0))</f>
        <v>0</v>
      </c>
      <c r="H2172" s="25">
        <f>IF($A2172="","",IF(OR($B2172="",$C2172="",$D2172=""),"Preencher tudo",IF($F2172="Código não cadastrado","Código inválido","OK")))</f>
        <v>0</v>
      </c>
    </row>
    <row r="2173" spans="1:8">
      <c r="A2173" s="16"/>
      <c r="B2173" s="15"/>
      <c r="C2173" s="20"/>
      <c r="D2173" s="22"/>
      <c r="E2173" s="15"/>
      <c r="F2173" s="23">
        <f>IF($B2173="","",IFERROR(INDEX(ProdNome,MATCH($B2173,ProdCod,0)),"Código não cadastrado"))</f>
        <v>0</v>
      </c>
      <c r="G2173" s="24">
        <f>IF(OR($B2173="",$D2173=""),"",$D2173*IFERROR(INDEX(ProdCusto,MATCH($B2173,ProdCod,0)),0))</f>
        <v>0</v>
      </c>
      <c r="H2173" s="25">
        <f>IF($A2173="","",IF(OR($B2173="",$C2173="",$D2173=""),"Preencher tudo",IF($F2173="Código não cadastrado","Código inválido","OK")))</f>
        <v>0</v>
      </c>
    </row>
    <row r="2174" spans="1:8">
      <c r="A2174" s="16"/>
      <c r="B2174" s="15"/>
      <c r="C2174" s="20"/>
      <c r="D2174" s="22"/>
      <c r="E2174" s="15"/>
      <c r="F2174" s="23">
        <f>IF($B2174="","",IFERROR(INDEX(ProdNome,MATCH($B2174,ProdCod,0)),"Código não cadastrado"))</f>
        <v>0</v>
      </c>
      <c r="G2174" s="24">
        <f>IF(OR($B2174="",$D2174=""),"",$D2174*IFERROR(INDEX(ProdCusto,MATCH($B2174,ProdCod,0)),0))</f>
        <v>0</v>
      </c>
      <c r="H2174" s="25">
        <f>IF($A2174="","",IF(OR($B2174="",$C2174="",$D2174=""),"Preencher tudo",IF($F2174="Código não cadastrado","Código inválido","OK")))</f>
        <v>0</v>
      </c>
    </row>
    <row r="2175" spans="1:8">
      <c r="A2175" s="16"/>
      <c r="B2175" s="15"/>
      <c r="C2175" s="20"/>
      <c r="D2175" s="22"/>
      <c r="E2175" s="15"/>
      <c r="F2175" s="23">
        <f>IF($B2175="","",IFERROR(INDEX(ProdNome,MATCH($B2175,ProdCod,0)),"Código não cadastrado"))</f>
        <v>0</v>
      </c>
      <c r="G2175" s="24">
        <f>IF(OR($B2175="",$D2175=""),"",$D2175*IFERROR(INDEX(ProdCusto,MATCH($B2175,ProdCod,0)),0))</f>
        <v>0</v>
      </c>
      <c r="H2175" s="25">
        <f>IF($A2175="","",IF(OR($B2175="",$C2175="",$D2175=""),"Preencher tudo",IF($F2175="Código não cadastrado","Código inválido","OK")))</f>
        <v>0</v>
      </c>
    </row>
    <row r="2176" spans="1:8">
      <c r="A2176" s="16"/>
      <c r="B2176" s="15"/>
      <c r="C2176" s="20"/>
      <c r="D2176" s="22"/>
      <c r="E2176" s="15"/>
      <c r="F2176" s="23">
        <f>IF($B2176="","",IFERROR(INDEX(ProdNome,MATCH($B2176,ProdCod,0)),"Código não cadastrado"))</f>
        <v>0</v>
      </c>
      <c r="G2176" s="24">
        <f>IF(OR($B2176="",$D2176=""),"",$D2176*IFERROR(INDEX(ProdCusto,MATCH($B2176,ProdCod,0)),0))</f>
        <v>0</v>
      </c>
      <c r="H2176" s="25">
        <f>IF($A2176="","",IF(OR($B2176="",$C2176="",$D2176=""),"Preencher tudo",IF($F2176="Código não cadastrado","Código inválido","OK")))</f>
        <v>0</v>
      </c>
    </row>
    <row r="2177" spans="1:8">
      <c r="A2177" s="16"/>
      <c r="B2177" s="15"/>
      <c r="C2177" s="20"/>
      <c r="D2177" s="22"/>
      <c r="E2177" s="15"/>
      <c r="F2177" s="23">
        <f>IF($B2177="","",IFERROR(INDEX(ProdNome,MATCH($B2177,ProdCod,0)),"Código não cadastrado"))</f>
        <v>0</v>
      </c>
      <c r="G2177" s="24">
        <f>IF(OR($B2177="",$D2177=""),"",$D2177*IFERROR(INDEX(ProdCusto,MATCH($B2177,ProdCod,0)),0))</f>
        <v>0</v>
      </c>
      <c r="H2177" s="25">
        <f>IF($A2177="","",IF(OR($B2177="",$C2177="",$D2177=""),"Preencher tudo",IF($F2177="Código não cadastrado","Código inválido","OK")))</f>
        <v>0</v>
      </c>
    </row>
    <row r="2178" spans="1:8">
      <c r="A2178" s="16"/>
      <c r="B2178" s="15"/>
      <c r="C2178" s="20"/>
      <c r="D2178" s="22"/>
      <c r="E2178" s="15"/>
      <c r="F2178" s="23">
        <f>IF($B2178="","",IFERROR(INDEX(ProdNome,MATCH($B2178,ProdCod,0)),"Código não cadastrado"))</f>
        <v>0</v>
      </c>
      <c r="G2178" s="24">
        <f>IF(OR($B2178="",$D2178=""),"",$D2178*IFERROR(INDEX(ProdCusto,MATCH($B2178,ProdCod,0)),0))</f>
        <v>0</v>
      </c>
      <c r="H2178" s="25">
        <f>IF($A2178="","",IF(OR($B2178="",$C2178="",$D2178=""),"Preencher tudo",IF($F2178="Código não cadastrado","Código inválido","OK")))</f>
        <v>0</v>
      </c>
    </row>
    <row r="2179" spans="1:8">
      <c r="A2179" s="16"/>
      <c r="B2179" s="15"/>
      <c r="C2179" s="20"/>
      <c r="D2179" s="22"/>
      <c r="E2179" s="15"/>
      <c r="F2179" s="23">
        <f>IF($B2179="","",IFERROR(INDEX(ProdNome,MATCH($B2179,ProdCod,0)),"Código não cadastrado"))</f>
        <v>0</v>
      </c>
      <c r="G2179" s="24">
        <f>IF(OR($B2179="",$D2179=""),"",$D2179*IFERROR(INDEX(ProdCusto,MATCH($B2179,ProdCod,0)),0))</f>
        <v>0</v>
      </c>
      <c r="H2179" s="25">
        <f>IF($A2179="","",IF(OR($B2179="",$C2179="",$D2179=""),"Preencher tudo",IF($F2179="Código não cadastrado","Código inválido","OK")))</f>
        <v>0</v>
      </c>
    </row>
    <row r="2180" spans="1:8">
      <c r="A2180" s="16"/>
      <c r="B2180" s="15"/>
      <c r="C2180" s="20"/>
      <c r="D2180" s="22"/>
      <c r="E2180" s="15"/>
      <c r="F2180" s="23">
        <f>IF($B2180="","",IFERROR(INDEX(ProdNome,MATCH($B2180,ProdCod,0)),"Código não cadastrado"))</f>
        <v>0</v>
      </c>
      <c r="G2180" s="24">
        <f>IF(OR($B2180="",$D2180=""),"",$D2180*IFERROR(INDEX(ProdCusto,MATCH($B2180,ProdCod,0)),0))</f>
        <v>0</v>
      </c>
      <c r="H2180" s="25">
        <f>IF($A2180="","",IF(OR($B2180="",$C2180="",$D2180=""),"Preencher tudo",IF($F2180="Código não cadastrado","Código inválido","OK")))</f>
        <v>0</v>
      </c>
    </row>
    <row r="2181" spans="1:8">
      <c r="A2181" s="16"/>
      <c r="B2181" s="15"/>
      <c r="C2181" s="20"/>
      <c r="D2181" s="22"/>
      <c r="E2181" s="15"/>
      <c r="F2181" s="23">
        <f>IF($B2181="","",IFERROR(INDEX(ProdNome,MATCH($B2181,ProdCod,0)),"Código não cadastrado"))</f>
        <v>0</v>
      </c>
      <c r="G2181" s="24">
        <f>IF(OR($B2181="",$D2181=""),"",$D2181*IFERROR(INDEX(ProdCusto,MATCH($B2181,ProdCod,0)),0))</f>
        <v>0</v>
      </c>
      <c r="H2181" s="25">
        <f>IF($A2181="","",IF(OR($B2181="",$C2181="",$D2181=""),"Preencher tudo",IF($F2181="Código não cadastrado","Código inválido","OK")))</f>
        <v>0</v>
      </c>
    </row>
    <row r="2182" spans="1:8">
      <c r="A2182" s="16"/>
      <c r="B2182" s="15"/>
      <c r="C2182" s="20"/>
      <c r="D2182" s="22"/>
      <c r="E2182" s="15"/>
      <c r="F2182" s="23">
        <f>IF($B2182="","",IFERROR(INDEX(ProdNome,MATCH($B2182,ProdCod,0)),"Código não cadastrado"))</f>
        <v>0</v>
      </c>
      <c r="G2182" s="24">
        <f>IF(OR($B2182="",$D2182=""),"",$D2182*IFERROR(INDEX(ProdCusto,MATCH($B2182,ProdCod,0)),0))</f>
        <v>0</v>
      </c>
      <c r="H2182" s="25">
        <f>IF($A2182="","",IF(OR($B2182="",$C2182="",$D2182=""),"Preencher tudo",IF($F2182="Código não cadastrado","Código inválido","OK")))</f>
        <v>0</v>
      </c>
    </row>
    <row r="2183" spans="1:8">
      <c r="A2183" s="16"/>
      <c r="B2183" s="15"/>
      <c r="C2183" s="20"/>
      <c r="D2183" s="22"/>
      <c r="E2183" s="15"/>
      <c r="F2183" s="23">
        <f>IF($B2183="","",IFERROR(INDEX(ProdNome,MATCH($B2183,ProdCod,0)),"Código não cadastrado"))</f>
        <v>0</v>
      </c>
      <c r="G2183" s="24">
        <f>IF(OR($B2183="",$D2183=""),"",$D2183*IFERROR(INDEX(ProdCusto,MATCH($B2183,ProdCod,0)),0))</f>
        <v>0</v>
      </c>
      <c r="H2183" s="25">
        <f>IF($A2183="","",IF(OR($B2183="",$C2183="",$D2183=""),"Preencher tudo",IF($F2183="Código não cadastrado","Código inválido","OK")))</f>
        <v>0</v>
      </c>
    </row>
    <row r="2184" spans="1:8">
      <c r="A2184" s="16"/>
      <c r="B2184" s="15"/>
      <c r="C2184" s="20"/>
      <c r="D2184" s="22"/>
      <c r="E2184" s="15"/>
      <c r="F2184" s="23">
        <f>IF($B2184="","",IFERROR(INDEX(ProdNome,MATCH($B2184,ProdCod,0)),"Código não cadastrado"))</f>
        <v>0</v>
      </c>
      <c r="G2184" s="24">
        <f>IF(OR($B2184="",$D2184=""),"",$D2184*IFERROR(INDEX(ProdCusto,MATCH($B2184,ProdCod,0)),0))</f>
        <v>0</v>
      </c>
      <c r="H2184" s="25">
        <f>IF($A2184="","",IF(OR($B2184="",$C2184="",$D2184=""),"Preencher tudo",IF($F2184="Código não cadastrado","Código inválido","OK")))</f>
        <v>0</v>
      </c>
    </row>
    <row r="2185" spans="1:8">
      <c r="A2185" s="16"/>
      <c r="B2185" s="15"/>
      <c r="C2185" s="20"/>
      <c r="D2185" s="22"/>
      <c r="E2185" s="15"/>
      <c r="F2185" s="23">
        <f>IF($B2185="","",IFERROR(INDEX(ProdNome,MATCH($B2185,ProdCod,0)),"Código não cadastrado"))</f>
        <v>0</v>
      </c>
      <c r="G2185" s="24">
        <f>IF(OR($B2185="",$D2185=""),"",$D2185*IFERROR(INDEX(ProdCusto,MATCH($B2185,ProdCod,0)),0))</f>
        <v>0</v>
      </c>
      <c r="H2185" s="25">
        <f>IF($A2185="","",IF(OR($B2185="",$C2185="",$D2185=""),"Preencher tudo",IF($F2185="Código não cadastrado","Código inválido","OK")))</f>
        <v>0</v>
      </c>
    </row>
    <row r="2186" spans="1:8">
      <c r="A2186" s="16"/>
      <c r="B2186" s="15"/>
      <c r="C2186" s="20"/>
      <c r="D2186" s="22"/>
      <c r="E2186" s="15"/>
      <c r="F2186" s="23">
        <f>IF($B2186="","",IFERROR(INDEX(ProdNome,MATCH($B2186,ProdCod,0)),"Código não cadastrado"))</f>
        <v>0</v>
      </c>
      <c r="G2186" s="24">
        <f>IF(OR($B2186="",$D2186=""),"",$D2186*IFERROR(INDEX(ProdCusto,MATCH($B2186,ProdCod,0)),0))</f>
        <v>0</v>
      </c>
      <c r="H2186" s="25">
        <f>IF($A2186="","",IF(OR($B2186="",$C2186="",$D2186=""),"Preencher tudo",IF($F2186="Código não cadastrado","Código inválido","OK")))</f>
        <v>0</v>
      </c>
    </row>
    <row r="2187" spans="1:8">
      <c r="A2187" s="16"/>
      <c r="B2187" s="15"/>
      <c r="C2187" s="20"/>
      <c r="D2187" s="22"/>
      <c r="E2187" s="15"/>
      <c r="F2187" s="23">
        <f>IF($B2187="","",IFERROR(INDEX(ProdNome,MATCH($B2187,ProdCod,0)),"Código não cadastrado"))</f>
        <v>0</v>
      </c>
      <c r="G2187" s="24">
        <f>IF(OR($B2187="",$D2187=""),"",$D2187*IFERROR(INDEX(ProdCusto,MATCH($B2187,ProdCod,0)),0))</f>
        <v>0</v>
      </c>
      <c r="H2187" s="25">
        <f>IF($A2187="","",IF(OR($B2187="",$C2187="",$D2187=""),"Preencher tudo",IF($F2187="Código não cadastrado","Código inválido","OK")))</f>
        <v>0</v>
      </c>
    </row>
    <row r="2188" spans="1:8">
      <c r="A2188" s="16"/>
      <c r="B2188" s="15"/>
      <c r="C2188" s="20"/>
      <c r="D2188" s="22"/>
      <c r="E2188" s="15"/>
      <c r="F2188" s="23">
        <f>IF($B2188="","",IFERROR(INDEX(ProdNome,MATCH($B2188,ProdCod,0)),"Código não cadastrado"))</f>
        <v>0</v>
      </c>
      <c r="G2188" s="24">
        <f>IF(OR($B2188="",$D2188=""),"",$D2188*IFERROR(INDEX(ProdCusto,MATCH($B2188,ProdCod,0)),0))</f>
        <v>0</v>
      </c>
      <c r="H2188" s="25">
        <f>IF($A2188="","",IF(OR($B2188="",$C2188="",$D2188=""),"Preencher tudo",IF($F2188="Código não cadastrado","Código inválido","OK")))</f>
        <v>0</v>
      </c>
    </row>
    <row r="2189" spans="1:8">
      <c r="A2189" s="16"/>
      <c r="B2189" s="15"/>
      <c r="C2189" s="20"/>
      <c r="D2189" s="22"/>
      <c r="E2189" s="15"/>
      <c r="F2189" s="23">
        <f>IF($B2189="","",IFERROR(INDEX(ProdNome,MATCH($B2189,ProdCod,0)),"Código não cadastrado"))</f>
        <v>0</v>
      </c>
      <c r="G2189" s="24">
        <f>IF(OR($B2189="",$D2189=""),"",$D2189*IFERROR(INDEX(ProdCusto,MATCH($B2189,ProdCod,0)),0))</f>
        <v>0</v>
      </c>
      <c r="H2189" s="25">
        <f>IF($A2189="","",IF(OR($B2189="",$C2189="",$D2189=""),"Preencher tudo",IF($F2189="Código não cadastrado","Código inválido","OK")))</f>
        <v>0</v>
      </c>
    </row>
    <row r="2190" spans="1:8">
      <c r="A2190" s="16"/>
      <c r="B2190" s="15"/>
      <c r="C2190" s="20"/>
      <c r="D2190" s="22"/>
      <c r="E2190" s="15"/>
      <c r="F2190" s="23">
        <f>IF($B2190="","",IFERROR(INDEX(ProdNome,MATCH($B2190,ProdCod,0)),"Código não cadastrado"))</f>
        <v>0</v>
      </c>
      <c r="G2190" s="24">
        <f>IF(OR($B2190="",$D2190=""),"",$D2190*IFERROR(INDEX(ProdCusto,MATCH($B2190,ProdCod,0)),0))</f>
        <v>0</v>
      </c>
      <c r="H2190" s="25">
        <f>IF($A2190="","",IF(OR($B2190="",$C2190="",$D2190=""),"Preencher tudo",IF($F2190="Código não cadastrado","Código inválido","OK")))</f>
        <v>0</v>
      </c>
    </row>
    <row r="2191" spans="1:8">
      <c r="A2191" s="16"/>
      <c r="B2191" s="15"/>
      <c r="C2191" s="20"/>
      <c r="D2191" s="22"/>
      <c r="E2191" s="15"/>
      <c r="F2191" s="23">
        <f>IF($B2191="","",IFERROR(INDEX(ProdNome,MATCH($B2191,ProdCod,0)),"Código não cadastrado"))</f>
        <v>0</v>
      </c>
      <c r="G2191" s="24">
        <f>IF(OR($B2191="",$D2191=""),"",$D2191*IFERROR(INDEX(ProdCusto,MATCH($B2191,ProdCod,0)),0))</f>
        <v>0</v>
      </c>
      <c r="H2191" s="25">
        <f>IF($A2191="","",IF(OR($B2191="",$C2191="",$D2191=""),"Preencher tudo",IF($F2191="Código não cadastrado","Código inválido","OK")))</f>
        <v>0</v>
      </c>
    </row>
    <row r="2192" spans="1:8">
      <c r="A2192" s="16"/>
      <c r="B2192" s="15"/>
      <c r="C2192" s="20"/>
      <c r="D2192" s="22"/>
      <c r="E2192" s="15"/>
      <c r="F2192" s="23">
        <f>IF($B2192="","",IFERROR(INDEX(ProdNome,MATCH($B2192,ProdCod,0)),"Código não cadastrado"))</f>
        <v>0</v>
      </c>
      <c r="G2192" s="24">
        <f>IF(OR($B2192="",$D2192=""),"",$D2192*IFERROR(INDEX(ProdCusto,MATCH($B2192,ProdCod,0)),0))</f>
        <v>0</v>
      </c>
      <c r="H2192" s="25">
        <f>IF($A2192="","",IF(OR($B2192="",$C2192="",$D2192=""),"Preencher tudo",IF($F2192="Código não cadastrado","Código inválido","OK")))</f>
        <v>0</v>
      </c>
    </row>
    <row r="2193" spans="1:8">
      <c r="A2193" s="16"/>
      <c r="B2193" s="15"/>
      <c r="C2193" s="20"/>
      <c r="D2193" s="22"/>
      <c r="E2193" s="15"/>
      <c r="F2193" s="23">
        <f>IF($B2193="","",IFERROR(INDEX(ProdNome,MATCH($B2193,ProdCod,0)),"Código não cadastrado"))</f>
        <v>0</v>
      </c>
      <c r="G2193" s="24">
        <f>IF(OR($B2193="",$D2193=""),"",$D2193*IFERROR(INDEX(ProdCusto,MATCH($B2193,ProdCod,0)),0))</f>
        <v>0</v>
      </c>
      <c r="H2193" s="25">
        <f>IF($A2193="","",IF(OR($B2193="",$C2193="",$D2193=""),"Preencher tudo",IF($F2193="Código não cadastrado","Código inválido","OK")))</f>
        <v>0</v>
      </c>
    </row>
    <row r="2194" spans="1:8">
      <c r="A2194" s="16"/>
      <c r="B2194" s="15"/>
      <c r="C2194" s="20"/>
      <c r="D2194" s="22"/>
      <c r="E2194" s="15"/>
      <c r="F2194" s="23">
        <f>IF($B2194="","",IFERROR(INDEX(ProdNome,MATCH($B2194,ProdCod,0)),"Código não cadastrado"))</f>
        <v>0</v>
      </c>
      <c r="G2194" s="24">
        <f>IF(OR($B2194="",$D2194=""),"",$D2194*IFERROR(INDEX(ProdCusto,MATCH($B2194,ProdCod,0)),0))</f>
        <v>0</v>
      </c>
      <c r="H2194" s="25">
        <f>IF($A2194="","",IF(OR($B2194="",$C2194="",$D2194=""),"Preencher tudo",IF($F2194="Código não cadastrado","Código inválido","OK")))</f>
        <v>0</v>
      </c>
    </row>
    <row r="2195" spans="1:8">
      <c r="A2195" s="16"/>
      <c r="B2195" s="15"/>
      <c r="C2195" s="20"/>
      <c r="D2195" s="22"/>
      <c r="E2195" s="15"/>
      <c r="F2195" s="23">
        <f>IF($B2195="","",IFERROR(INDEX(ProdNome,MATCH($B2195,ProdCod,0)),"Código não cadastrado"))</f>
        <v>0</v>
      </c>
      <c r="G2195" s="24">
        <f>IF(OR($B2195="",$D2195=""),"",$D2195*IFERROR(INDEX(ProdCusto,MATCH($B2195,ProdCod,0)),0))</f>
        <v>0</v>
      </c>
      <c r="H2195" s="25">
        <f>IF($A2195="","",IF(OR($B2195="",$C2195="",$D2195=""),"Preencher tudo",IF($F2195="Código não cadastrado","Código inválido","OK")))</f>
        <v>0</v>
      </c>
    </row>
    <row r="2196" spans="1:8">
      <c r="A2196" s="16"/>
      <c r="B2196" s="15"/>
      <c r="C2196" s="20"/>
      <c r="D2196" s="22"/>
      <c r="E2196" s="15"/>
      <c r="F2196" s="23">
        <f>IF($B2196="","",IFERROR(INDEX(ProdNome,MATCH($B2196,ProdCod,0)),"Código não cadastrado"))</f>
        <v>0</v>
      </c>
      <c r="G2196" s="24">
        <f>IF(OR($B2196="",$D2196=""),"",$D2196*IFERROR(INDEX(ProdCusto,MATCH($B2196,ProdCod,0)),0))</f>
        <v>0</v>
      </c>
      <c r="H2196" s="25">
        <f>IF($A2196="","",IF(OR($B2196="",$C2196="",$D2196=""),"Preencher tudo",IF($F2196="Código não cadastrado","Código inválido","OK")))</f>
        <v>0</v>
      </c>
    </row>
    <row r="2197" spans="1:8">
      <c r="A2197" s="16"/>
      <c r="B2197" s="15"/>
      <c r="C2197" s="20"/>
      <c r="D2197" s="22"/>
      <c r="E2197" s="15"/>
      <c r="F2197" s="23">
        <f>IF($B2197="","",IFERROR(INDEX(ProdNome,MATCH($B2197,ProdCod,0)),"Código não cadastrado"))</f>
        <v>0</v>
      </c>
      <c r="G2197" s="24">
        <f>IF(OR($B2197="",$D2197=""),"",$D2197*IFERROR(INDEX(ProdCusto,MATCH($B2197,ProdCod,0)),0))</f>
        <v>0</v>
      </c>
      <c r="H2197" s="25">
        <f>IF($A2197="","",IF(OR($B2197="",$C2197="",$D2197=""),"Preencher tudo",IF($F2197="Código não cadastrado","Código inválido","OK")))</f>
        <v>0</v>
      </c>
    </row>
    <row r="2198" spans="1:8">
      <c r="A2198" s="16"/>
      <c r="B2198" s="15"/>
      <c r="C2198" s="20"/>
      <c r="D2198" s="22"/>
      <c r="E2198" s="15"/>
      <c r="F2198" s="23">
        <f>IF($B2198="","",IFERROR(INDEX(ProdNome,MATCH($B2198,ProdCod,0)),"Código não cadastrado"))</f>
        <v>0</v>
      </c>
      <c r="G2198" s="24">
        <f>IF(OR($B2198="",$D2198=""),"",$D2198*IFERROR(INDEX(ProdCusto,MATCH($B2198,ProdCod,0)),0))</f>
        <v>0</v>
      </c>
      <c r="H2198" s="25">
        <f>IF($A2198="","",IF(OR($B2198="",$C2198="",$D2198=""),"Preencher tudo",IF($F2198="Código não cadastrado","Código inválido","OK")))</f>
        <v>0</v>
      </c>
    </row>
    <row r="2199" spans="1:8">
      <c r="A2199" s="16"/>
      <c r="B2199" s="15"/>
      <c r="C2199" s="20"/>
      <c r="D2199" s="22"/>
      <c r="E2199" s="15"/>
      <c r="F2199" s="23">
        <f>IF($B2199="","",IFERROR(INDEX(ProdNome,MATCH($B2199,ProdCod,0)),"Código não cadastrado"))</f>
        <v>0</v>
      </c>
      <c r="G2199" s="24">
        <f>IF(OR($B2199="",$D2199=""),"",$D2199*IFERROR(INDEX(ProdCusto,MATCH($B2199,ProdCod,0)),0))</f>
        <v>0</v>
      </c>
      <c r="H2199" s="25">
        <f>IF($A2199="","",IF(OR($B2199="",$C2199="",$D2199=""),"Preencher tudo",IF($F2199="Código não cadastrado","Código inválido","OK")))</f>
        <v>0</v>
      </c>
    </row>
    <row r="2200" spans="1:8">
      <c r="A2200" s="16"/>
      <c r="B2200" s="15"/>
      <c r="C2200" s="20"/>
      <c r="D2200" s="22"/>
      <c r="E2200" s="15"/>
      <c r="F2200" s="23">
        <f>IF($B2200="","",IFERROR(INDEX(ProdNome,MATCH($B2200,ProdCod,0)),"Código não cadastrado"))</f>
        <v>0</v>
      </c>
      <c r="G2200" s="24">
        <f>IF(OR($B2200="",$D2200=""),"",$D2200*IFERROR(INDEX(ProdCusto,MATCH($B2200,ProdCod,0)),0))</f>
        <v>0</v>
      </c>
      <c r="H2200" s="25">
        <f>IF($A2200="","",IF(OR($B2200="",$C2200="",$D2200=""),"Preencher tudo",IF($F2200="Código não cadastrado","Código inválido","OK")))</f>
        <v>0</v>
      </c>
    </row>
    <row r="2201" spans="1:8">
      <c r="A2201" s="16"/>
      <c r="B2201" s="15"/>
      <c r="C2201" s="20"/>
      <c r="D2201" s="22"/>
      <c r="E2201" s="15"/>
      <c r="F2201" s="23">
        <f>IF($B2201="","",IFERROR(INDEX(ProdNome,MATCH($B2201,ProdCod,0)),"Código não cadastrado"))</f>
        <v>0</v>
      </c>
      <c r="G2201" s="24">
        <f>IF(OR($B2201="",$D2201=""),"",$D2201*IFERROR(INDEX(ProdCusto,MATCH($B2201,ProdCod,0)),0))</f>
        <v>0</v>
      </c>
      <c r="H2201" s="25">
        <f>IF($A2201="","",IF(OR($B2201="",$C2201="",$D2201=""),"Preencher tudo",IF($F2201="Código não cadastrado","Código inválido","OK")))</f>
        <v>0</v>
      </c>
    </row>
    <row r="2202" spans="1:8">
      <c r="A2202" s="16"/>
      <c r="B2202" s="15"/>
      <c r="C2202" s="20"/>
      <c r="D2202" s="22"/>
      <c r="E2202" s="15"/>
      <c r="F2202" s="23">
        <f>IF($B2202="","",IFERROR(INDEX(ProdNome,MATCH($B2202,ProdCod,0)),"Código não cadastrado"))</f>
        <v>0</v>
      </c>
      <c r="G2202" s="24">
        <f>IF(OR($B2202="",$D2202=""),"",$D2202*IFERROR(INDEX(ProdCusto,MATCH($B2202,ProdCod,0)),0))</f>
        <v>0</v>
      </c>
      <c r="H2202" s="25">
        <f>IF($A2202="","",IF(OR($B2202="",$C2202="",$D2202=""),"Preencher tudo",IF($F2202="Código não cadastrado","Código inválido","OK")))</f>
        <v>0</v>
      </c>
    </row>
    <row r="2203" spans="1:8">
      <c r="A2203" s="16"/>
      <c r="B2203" s="15"/>
      <c r="C2203" s="20"/>
      <c r="D2203" s="22"/>
      <c r="E2203" s="15"/>
      <c r="F2203" s="23">
        <f>IF($B2203="","",IFERROR(INDEX(ProdNome,MATCH($B2203,ProdCod,0)),"Código não cadastrado"))</f>
        <v>0</v>
      </c>
      <c r="G2203" s="24">
        <f>IF(OR($B2203="",$D2203=""),"",$D2203*IFERROR(INDEX(ProdCusto,MATCH($B2203,ProdCod,0)),0))</f>
        <v>0</v>
      </c>
      <c r="H2203" s="25">
        <f>IF($A2203="","",IF(OR($B2203="",$C2203="",$D2203=""),"Preencher tudo",IF($F2203="Código não cadastrado","Código inválido","OK")))</f>
        <v>0</v>
      </c>
    </row>
    <row r="2204" spans="1:8">
      <c r="A2204" s="16"/>
      <c r="B2204" s="15"/>
      <c r="C2204" s="20"/>
      <c r="D2204" s="22"/>
      <c r="E2204" s="15"/>
      <c r="F2204" s="23">
        <f>IF($B2204="","",IFERROR(INDEX(ProdNome,MATCH($B2204,ProdCod,0)),"Código não cadastrado"))</f>
        <v>0</v>
      </c>
      <c r="G2204" s="24">
        <f>IF(OR($B2204="",$D2204=""),"",$D2204*IFERROR(INDEX(ProdCusto,MATCH($B2204,ProdCod,0)),0))</f>
        <v>0</v>
      </c>
      <c r="H2204" s="25">
        <f>IF($A2204="","",IF(OR($B2204="",$C2204="",$D2204=""),"Preencher tudo",IF($F2204="Código não cadastrado","Código inválido","OK")))</f>
        <v>0</v>
      </c>
    </row>
    <row r="2205" spans="1:8">
      <c r="A2205" s="16"/>
      <c r="B2205" s="15"/>
      <c r="C2205" s="20"/>
      <c r="D2205" s="22"/>
      <c r="E2205" s="15"/>
      <c r="F2205" s="23">
        <f>IF($B2205="","",IFERROR(INDEX(ProdNome,MATCH($B2205,ProdCod,0)),"Código não cadastrado"))</f>
        <v>0</v>
      </c>
      <c r="G2205" s="24">
        <f>IF(OR($B2205="",$D2205=""),"",$D2205*IFERROR(INDEX(ProdCusto,MATCH($B2205,ProdCod,0)),0))</f>
        <v>0</v>
      </c>
      <c r="H2205" s="25">
        <f>IF($A2205="","",IF(OR($B2205="",$C2205="",$D2205=""),"Preencher tudo",IF($F2205="Código não cadastrado","Código inválido","OK")))</f>
        <v>0</v>
      </c>
    </row>
    <row r="2206" spans="1:8">
      <c r="A2206" s="16"/>
      <c r="B2206" s="15"/>
      <c r="C2206" s="20"/>
      <c r="D2206" s="22"/>
      <c r="E2206" s="15"/>
      <c r="F2206" s="23">
        <f>IF($B2206="","",IFERROR(INDEX(ProdNome,MATCH($B2206,ProdCod,0)),"Código não cadastrado"))</f>
        <v>0</v>
      </c>
      <c r="G2206" s="24">
        <f>IF(OR($B2206="",$D2206=""),"",$D2206*IFERROR(INDEX(ProdCusto,MATCH($B2206,ProdCod,0)),0))</f>
        <v>0</v>
      </c>
      <c r="H2206" s="25">
        <f>IF($A2206="","",IF(OR($B2206="",$C2206="",$D2206=""),"Preencher tudo",IF($F2206="Código não cadastrado","Código inválido","OK")))</f>
        <v>0</v>
      </c>
    </row>
    <row r="2207" spans="1:8">
      <c r="A2207" s="16"/>
      <c r="B2207" s="15"/>
      <c r="C2207" s="20"/>
      <c r="D2207" s="22"/>
      <c r="E2207" s="15"/>
      <c r="F2207" s="23">
        <f>IF($B2207="","",IFERROR(INDEX(ProdNome,MATCH($B2207,ProdCod,0)),"Código não cadastrado"))</f>
        <v>0</v>
      </c>
      <c r="G2207" s="24">
        <f>IF(OR($B2207="",$D2207=""),"",$D2207*IFERROR(INDEX(ProdCusto,MATCH($B2207,ProdCod,0)),0))</f>
        <v>0</v>
      </c>
      <c r="H2207" s="25">
        <f>IF($A2207="","",IF(OR($B2207="",$C2207="",$D2207=""),"Preencher tudo",IF($F2207="Código não cadastrado","Código inválido","OK")))</f>
        <v>0</v>
      </c>
    </row>
    <row r="2208" spans="1:8">
      <c r="A2208" s="16"/>
      <c r="B2208" s="15"/>
      <c r="C2208" s="20"/>
      <c r="D2208" s="22"/>
      <c r="E2208" s="15"/>
      <c r="F2208" s="23">
        <f>IF($B2208="","",IFERROR(INDEX(ProdNome,MATCH($B2208,ProdCod,0)),"Código não cadastrado"))</f>
        <v>0</v>
      </c>
      <c r="G2208" s="24">
        <f>IF(OR($B2208="",$D2208=""),"",$D2208*IFERROR(INDEX(ProdCusto,MATCH($B2208,ProdCod,0)),0))</f>
        <v>0</v>
      </c>
      <c r="H2208" s="25">
        <f>IF($A2208="","",IF(OR($B2208="",$C2208="",$D2208=""),"Preencher tudo",IF($F2208="Código não cadastrado","Código inválido","OK")))</f>
        <v>0</v>
      </c>
    </row>
    <row r="2209" spans="1:8">
      <c r="A2209" s="16"/>
      <c r="B2209" s="15"/>
      <c r="C2209" s="20"/>
      <c r="D2209" s="22"/>
      <c r="E2209" s="15"/>
      <c r="F2209" s="23">
        <f>IF($B2209="","",IFERROR(INDEX(ProdNome,MATCH($B2209,ProdCod,0)),"Código não cadastrado"))</f>
        <v>0</v>
      </c>
      <c r="G2209" s="24">
        <f>IF(OR($B2209="",$D2209=""),"",$D2209*IFERROR(INDEX(ProdCusto,MATCH($B2209,ProdCod,0)),0))</f>
        <v>0</v>
      </c>
      <c r="H2209" s="25">
        <f>IF($A2209="","",IF(OR($B2209="",$C2209="",$D2209=""),"Preencher tudo",IF($F2209="Código não cadastrado","Código inválido","OK")))</f>
        <v>0</v>
      </c>
    </row>
    <row r="2210" spans="1:8">
      <c r="A2210" s="16"/>
      <c r="B2210" s="15"/>
      <c r="C2210" s="20"/>
      <c r="D2210" s="22"/>
      <c r="E2210" s="15"/>
      <c r="F2210" s="23">
        <f>IF($B2210="","",IFERROR(INDEX(ProdNome,MATCH($B2210,ProdCod,0)),"Código não cadastrado"))</f>
        <v>0</v>
      </c>
      <c r="G2210" s="24">
        <f>IF(OR($B2210="",$D2210=""),"",$D2210*IFERROR(INDEX(ProdCusto,MATCH($B2210,ProdCod,0)),0))</f>
        <v>0</v>
      </c>
      <c r="H2210" s="25">
        <f>IF($A2210="","",IF(OR($B2210="",$C2210="",$D2210=""),"Preencher tudo",IF($F2210="Código não cadastrado","Código inválido","OK")))</f>
        <v>0</v>
      </c>
    </row>
    <row r="2211" spans="1:8">
      <c r="A2211" s="16"/>
      <c r="B2211" s="15"/>
      <c r="C2211" s="20"/>
      <c r="D2211" s="22"/>
      <c r="E2211" s="15"/>
      <c r="F2211" s="23">
        <f>IF($B2211="","",IFERROR(INDEX(ProdNome,MATCH($B2211,ProdCod,0)),"Código não cadastrado"))</f>
        <v>0</v>
      </c>
      <c r="G2211" s="24">
        <f>IF(OR($B2211="",$D2211=""),"",$D2211*IFERROR(INDEX(ProdCusto,MATCH($B2211,ProdCod,0)),0))</f>
        <v>0</v>
      </c>
      <c r="H2211" s="25">
        <f>IF($A2211="","",IF(OR($B2211="",$C2211="",$D2211=""),"Preencher tudo",IF($F2211="Código não cadastrado","Código inválido","OK")))</f>
        <v>0</v>
      </c>
    </row>
    <row r="2212" spans="1:8">
      <c r="A2212" s="16"/>
      <c r="B2212" s="15"/>
      <c r="C2212" s="20"/>
      <c r="D2212" s="22"/>
      <c r="E2212" s="15"/>
      <c r="F2212" s="23">
        <f>IF($B2212="","",IFERROR(INDEX(ProdNome,MATCH($B2212,ProdCod,0)),"Código não cadastrado"))</f>
        <v>0</v>
      </c>
      <c r="G2212" s="24">
        <f>IF(OR($B2212="",$D2212=""),"",$D2212*IFERROR(INDEX(ProdCusto,MATCH($B2212,ProdCod,0)),0))</f>
        <v>0</v>
      </c>
      <c r="H2212" s="25">
        <f>IF($A2212="","",IF(OR($B2212="",$C2212="",$D2212=""),"Preencher tudo",IF($F2212="Código não cadastrado","Código inválido","OK")))</f>
        <v>0</v>
      </c>
    </row>
    <row r="2213" spans="1:8">
      <c r="A2213" s="16"/>
      <c r="B2213" s="15"/>
      <c r="C2213" s="20"/>
      <c r="D2213" s="22"/>
      <c r="E2213" s="15"/>
      <c r="F2213" s="23">
        <f>IF($B2213="","",IFERROR(INDEX(ProdNome,MATCH($B2213,ProdCod,0)),"Código não cadastrado"))</f>
        <v>0</v>
      </c>
      <c r="G2213" s="24">
        <f>IF(OR($B2213="",$D2213=""),"",$D2213*IFERROR(INDEX(ProdCusto,MATCH($B2213,ProdCod,0)),0))</f>
        <v>0</v>
      </c>
      <c r="H2213" s="25">
        <f>IF($A2213="","",IF(OR($B2213="",$C2213="",$D2213=""),"Preencher tudo",IF($F2213="Código não cadastrado","Código inválido","OK")))</f>
        <v>0</v>
      </c>
    </row>
    <row r="2214" spans="1:8">
      <c r="A2214" s="16"/>
      <c r="B2214" s="15"/>
      <c r="C2214" s="20"/>
      <c r="D2214" s="22"/>
      <c r="E2214" s="15"/>
      <c r="F2214" s="23">
        <f>IF($B2214="","",IFERROR(INDEX(ProdNome,MATCH($B2214,ProdCod,0)),"Código não cadastrado"))</f>
        <v>0</v>
      </c>
      <c r="G2214" s="24">
        <f>IF(OR($B2214="",$D2214=""),"",$D2214*IFERROR(INDEX(ProdCusto,MATCH($B2214,ProdCod,0)),0))</f>
        <v>0</v>
      </c>
      <c r="H2214" s="25">
        <f>IF($A2214="","",IF(OR($B2214="",$C2214="",$D2214=""),"Preencher tudo",IF($F2214="Código não cadastrado","Código inválido","OK")))</f>
        <v>0</v>
      </c>
    </row>
    <row r="2215" spans="1:8">
      <c r="A2215" s="16"/>
      <c r="B2215" s="15"/>
      <c r="C2215" s="20"/>
      <c r="D2215" s="22"/>
      <c r="E2215" s="15"/>
      <c r="F2215" s="23">
        <f>IF($B2215="","",IFERROR(INDEX(ProdNome,MATCH($B2215,ProdCod,0)),"Código não cadastrado"))</f>
        <v>0</v>
      </c>
      <c r="G2215" s="24">
        <f>IF(OR($B2215="",$D2215=""),"",$D2215*IFERROR(INDEX(ProdCusto,MATCH($B2215,ProdCod,0)),0))</f>
        <v>0</v>
      </c>
      <c r="H2215" s="25">
        <f>IF($A2215="","",IF(OR($B2215="",$C2215="",$D2215=""),"Preencher tudo",IF($F2215="Código não cadastrado","Código inválido","OK")))</f>
        <v>0</v>
      </c>
    </row>
    <row r="2216" spans="1:8">
      <c r="A2216" s="16"/>
      <c r="B2216" s="15"/>
      <c r="C2216" s="20"/>
      <c r="D2216" s="22"/>
      <c r="E2216" s="15"/>
      <c r="F2216" s="23">
        <f>IF($B2216="","",IFERROR(INDEX(ProdNome,MATCH($B2216,ProdCod,0)),"Código não cadastrado"))</f>
        <v>0</v>
      </c>
      <c r="G2216" s="24">
        <f>IF(OR($B2216="",$D2216=""),"",$D2216*IFERROR(INDEX(ProdCusto,MATCH($B2216,ProdCod,0)),0))</f>
        <v>0</v>
      </c>
      <c r="H2216" s="25">
        <f>IF($A2216="","",IF(OR($B2216="",$C2216="",$D2216=""),"Preencher tudo",IF($F2216="Código não cadastrado","Código inválido","OK")))</f>
        <v>0</v>
      </c>
    </row>
    <row r="2217" spans="1:8">
      <c r="A2217" s="16"/>
      <c r="B2217" s="15"/>
      <c r="C2217" s="20"/>
      <c r="D2217" s="22"/>
      <c r="E2217" s="15"/>
      <c r="F2217" s="23">
        <f>IF($B2217="","",IFERROR(INDEX(ProdNome,MATCH($B2217,ProdCod,0)),"Código não cadastrado"))</f>
        <v>0</v>
      </c>
      <c r="G2217" s="24">
        <f>IF(OR($B2217="",$D2217=""),"",$D2217*IFERROR(INDEX(ProdCusto,MATCH($B2217,ProdCod,0)),0))</f>
        <v>0</v>
      </c>
      <c r="H2217" s="25">
        <f>IF($A2217="","",IF(OR($B2217="",$C2217="",$D2217=""),"Preencher tudo",IF($F2217="Código não cadastrado","Código inválido","OK")))</f>
        <v>0</v>
      </c>
    </row>
    <row r="2218" spans="1:8">
      <c r="A2218" s="16"/>
      <c r="B2218" s="15"/>
      <c r="C2218" s="20"/>
      <c r="D2218" s="22"/>
      <c r="E2218" s="15"/>
      <c r="F2218" s="23">
        <f>IF($B2218="","",IFERROR(INDEX(ProdNome,MATCH($B2218,ProdCod,0)),"Código não cadastrado"))</f>
        <v>0</v>
      </c>
      <c r="G2218" s="24">
        <f>IF(OR($B2218="",$D2218=""),"",$D2218*IFERROR(INDEX(ProdCusto,MATCH($B2218,ProdCod,0)),0))</f>
        <v>0</v>
      </c>
      <c r="H2218" s="25">
        <f>IF($A2218="","",IF(OR($B2218="",$C2218="",$D2218=""),"Preencher tudo",IF($F2218="Código não cadastrado","Código inválido","OK")))</f>
        <v>0</v>
      </c>
    </row>
    <row r="2219" spans="1:8">
      <c r="A2219" s="16"/>
      <c r="B2219" s="15"/>
      <c r="C2219" s="20"/>
      <c r="D2219" s="22"/>
      <c r="E2219" s="15"/>
      <c r="F2219" s="23">
        <f>IF($B2219="","",IFERROR(INDEX(ProdNome,MATCH($B2219,ProdCod,0)),"Código não cadastrado"))</f>
        <v>0</v>
      </c>
      <c r="G2219" s="24">
        <f>IF(OR($B2219="",$D2219=""),"",$D2219*IFERROR(INDEX(ProdCusto,MATCH($B2219,ProdCod,0)),0))</f>
        <v>0</v>
      </c>
      <c r="H2219" s="25">
        <f>IF($A2219="","",IF(OR($B2219="",$C2219="",$D2219=""),"Preencher tudo",IF($F2219="Código não cadastrado","Código inválido","OK")))</f>
        <v>0</v>
      </c>
    </row>
    <row r="2220" spans="1:8">
      <c r="A2220" s="16"/>
      <c r="B2220" s="15"/>
      <c r="C2220" s="20"/>
      <c r="D2220" s="22"/>
      <c r="E2220" s="15"/>
      <c r="F2220" s="23">
        <f>IF($B2220="","",IFERROR(INDEX(ProdNome,MATCH($B2220,ProdCod,0)),"Código não cadastrado"))</f>
        <v>0</v>
      </c>
      <c r="G2220" s="24">
        <f>IF(OR($B2220="",$D2220=""),"",$D2220*IFERROR(INDEX(ProdCusto,MATCH($B2220,ProdCod,0)),0))</f>
        <v>0</v>
      </c>
      <c r="H2220" s="25">
        <f>IF($A2220="","",IF(OR($B2220="",$C2220="",$D2220=""),"Preencher tudo",IF($F2220="Código não cadastrado","Código inválido","OK")))</f>
        <v>0</v>
      </c>
    </row>
    <row r="2221" spans="1:8">
      <c r="A2221" s="16"/>
      <c r="B2221" s="15"/>
      <c r="C2221" s="20"/>
      <c r="D2221" s="22"/>
      <c r="E2221" s="15"/>
      <c r="F2221" s="23">
        <f>IF($B2221="","",IFERROR(INDEX(ProdNome,MATCH($B2221,ProdCod,0)),"Código não cadastrado"))</f>
        <v>0</v>
      </c>
      <c r="G2221" s="24">
        <f>IF(OR($B2221="",$D2221=""),"",$D2221*IFERROR(INDEX(ProdCusto,MATCH($B2221,ProdCod,0)),0))</f>
        <v>0</v>
      </c>
      <c r="H2221" s="25">
        <f>IF($A2221="","",IF(OR($B2221="",$C2221="",$D2221=""),"Preencher tudo",IF($F2221="Código não cadastrado","Código inválido","OK")))</f>
        <v>0</v>
      </c>
    </row>
    <row r="2222" spans="1:8">
      <c r="A2222" s="16"/>
      <c r="B2222" s="15"/>
      <c r="C2222" s="20"/>
      <c r="D2222" s="22"/>
      <c r="E2222" s="15"/>
      <c r="F2222" s="23">
        <f>IF($B2222="","",IFERROR(INDEX(ProdNome,MATCH($B2222,ProdCod,0)),"Código não cadastrado"))</f>
        <v>0</v>
      </c>
      <c r="G2222" s="24">
        <f>IF(OR($B2222="",$D2222=""),"",$D2222*IFERROR(INDEX(ProdCusto,MATCH($B2222,ProdCod,0)),0))</f>
        <v>0</v>
      </c>
      <c r="H2222" s="25">
        <f>IF($A2222="","",IF(OR($B2222="",$C2222="",$D2222=""),"Preencher tudo",IF($F2222="Código não cadastrado","Código inválido","OK")))</f>
        <v>0</v>
      </c>
    </row>
    <row r="2223" spans="1:8">
      <c r="A2223" s="16"/>
      <c r="B2223" s="15"/>
      <c r="C2223" s="20"/>
      <c r="D2223" s="22"/>
      <c r="E2223" s="15"/>
      <c r="F2223" s="23">
        <f>IF($B2223="","",IFERROR(INDEX(ProdNome,MATCH($B2223,ProdCod,0)),"Código não cadastrado"))</f>
        <v>0</v>
      </c>
      <c r="G2223" s="24">
        <f>IF(OR($B2223="",$D2223=""),"",$D2223*IFERROR(INDEX(ProdCusto,MATCH($B2223,ProdCod,0)),0))</f>
        <v>0</v>
      </c>
      <c r="H2223" s="25">
        <f>IF($A2223="","",IF(OR($B2223="",$C2223="",$D2223=""),"Preencher tudo",IF($F2223="Código não cadastrado","Código inválido","OK")))</f>
        <v>0</v>
      </c>
    </row>
    <row r="2224" spans="1:8">
      <c r="A2224" s="16"/>
      <c r="B2224" s="15"/>
      <c r="C2224" s="20"/>
      <c r="D2224" s="22"/>
      <c r="E2224" s="15"/>
      <c r="F2224" s="23">
        <f>IF($B2224="","",IFERROR(INDEX(ProdNome,MATCH($B2224,ProdCod,0)),"Código não cadastrado"))</f>
        <v>0</v>
      </c>
      <c r="G2224" s="24">
        <f>IF(OR($B2224="",$D2224=""),"",$D2224*IFERROR(INDEX(ProdCusto,MATCH($B2224,ProdCod,0)),0))</f>
        <v>0</v>
      </c>
      <c r="H2224" s="25">
        <f>IF($A2224="","",IF(OR($B2224="",$C2224="",$D2224=""),"Preencher tudo",IF($F2224="Código não cadastrado","Código inválido","OK")))</f>
        <v>0</v>
      </c>
    </row>
    <row r="2225" spans="1:8">
      <c r="A2225" s="16"/>
      <c r="B2225" s="15"/>
      <c r="C2225" s="20"/>
      <c r="D2225" s="22"/>
      <c r="E2225" s="15"/>
      <c r="F2225" s="23">
        <f>IF($B2225="","",IFERROR(INDEX(ProdNome,MATCH($B2225,ProdCod,0)),"Código não cadastrado"))</f>
        <v>0</v>
      </c>
      <c r="G2225" s="24">
        <f>IF(OR($B2225="",$D2225=""),"",$D2225*IFERROR(INDEX(ProdCusto,MATCH($B2225,ProdCod,0)),0))</f>
        <v>0</v>
      </c>
      <c r="H2225" s="25">
        <f>IF($A2225="","",IF(OR($B2225="",$C2225="",$D2225=""),"Preencher tudo",IF($F2225="Código não cadastrado","Código inválido","OK")))</f>
        <v>0</v>
      </c>
    </row>
    <row r="2226" spans="1:8">
      <c r="A2226" s="16"/>
      <c r="B2226" s="15"/>
      <c r="C2226" s="20"/>
      <c r="D2226" s="22"/>
      <c r="E2226" s="15"/>
      <c r="F2226" s="23">
        <f>IF($B2226="","",IFERROR(INDEX(ProdNome,MATCH($B2226,ProdCod,0)),"Código não cadastrado"))</f>
        <v>0</v>
      </c>
      <c r="G2226" s="24">
        <f>IF(OR($B2226="",$D2226=""),"",$D2226*IFERROR(INDEX(ProdCusto,MATCH($B2226,ProdCod,0)),0))</f>
        <v>0</v>
      </c>
      <c r="H2226" s="25">
        <f>IF($A2226="","",IF(OR($B2226="",$C2226="",$D2226=""),"Preencher tudo",IF($F2226="Código não cadastrado","Código inválido","OK")))</f>
        <v>0</v>
      </c>
    </row>
    <row r="2227" spans="1:8">
      <c r="A2227" s="16"/>
      <c r="B2227" s="15"/>
      <c r="C2227" s="20"/>
      <c r="D2227" s="22"/>
      <c r="E2227" s="15"/>
      <c r="F2227" s="23">
        <f>IF($B2227="","",IFERROR(INDEX(ProdNome,MATCH($B2227,ProdCod,0)),"Código não cadastrado"))</f>
        <v>0</v>
      </c>
      <c r="G2227" s="24">
        <f>IF(OR($B2227="",$D2227=""),"",$D2227*IFERROR(INDEX(ProdCusto,MATCH($B2227,ProdCod,0)),0))</f>
        <v>0</v>
      </c>
      <c r="H2227" s="25">
        <f>IF($A2227="","",IF(OR($B2227="",$C2227="",$D2227=""),"Preencher tudo",IF($F2227="Código não cadastrado","Código inválido","OK")))</f>
        <v>0</v>
      </c>
    </row>
    <row r="2228" spans="1:8">
      <c r="A2228" s="16"/>
      <c r="B2228" s="15"/>
      <c r="C2228" s="20"/>
      <c r="D2228" s="22"/>
      <c r="E2228" s="15"/>
      <c r="F2228" s="23">
        <f>IF($B2228="","",IFERROR(INDEX(ProdNome,MATCH($B2228,ProdCod,0)),"Código não cadastrado"))</f>
        <v>0</v>
      </c>
      <c r="G2228" s="24">
        <f>IF(OR($B2228="",$D2228=""),"",$D2228*IFERROR(INDEX(ProdCusto,MATCH($B2228,ProdCod,0)),0))</f>
        <v>0</v>
      </c>
      <c r="H2228" s="25">
        <f>IF($A2228="","",IF(OR($B2228="",$C2228="",$D2228=""),"Preencher tudo",IF($F2228="Código não cadastrado","Código inválido","OK")))</f>
        <v>0</v>
      </c>
    </row>
    <row r="2229" spans="1:8">
      <c r="A2229" s="16"/>
      <c r="B2229" s="15"/>
      <c r="C2229" s="20"/>
      <c r="D2229" s="22"/>
      <c r="E2229" s="15"/>
      <c r="F2229" s="23">
        <f>IF($B2229="","",IFERROR(INDEX(ProdNome,MATCH($B2229,ProdCod,0)),"Código não cadastrado"))</f>
        <v>0</v>
      </c>
      <c r="G2229" s="24">
        <f>IF(OR($B2229="",$D2229=""),"",$D2229*IFERROR(INDEX(ProdCusto,MATCH($B2229,ProdCod,0)),0))</f>
        <v>0</v>
      </c>
      <c r="H2229" s="25">
        <f>IF($A2229="","",IF(OR($B2229="",$C2229="",$D2229=""),"Preencher tudo",IF($F2229="Código não cadastrado","Código inválido","OK")))</f>
        <v>0</v>
      </c>
    </row>
    <row r="2230" spans="1:8">
      <c r="A2230" s="16"/>
      <c r="B2230" s="15"/>
      <c r="C2230" s="20"/>
      <c r="D2230" s="22"/>
      <c r="E2230" s="15"/>
      <c r="F2230" s="23">
        <f>IF($B2230="","",IFERROR(INDEX(ProdNome,MATCH($B2230,ProdCod,0)),"Código não cadastrado"))</f>
        <v>0</v>
      </c>
      <c r="G2230" s="24">
        <f>IF(OR($B2230="",$D2230=""),"",$D2230*IFERROR(INDEX(ProdCusto,MATCH($B2230,ProdCod,0)),0))</f>
        <v>0</v>
      </c>
      <c r="H2230" s="25">
        <f>IF($A2230="","",IF(OR($B2230="",$C2230="",$D2230=""),"Preencher tudo",IF($F2230="Código não cadastrado","Código inválido","OK")))</f>
        <v>0</v>
      </c>
    </row>
    <row r="2231" spans="1:8">
      <c r="A2231" s="16"/>
      <c r="B2231" s="15"/>
      <c r="C2231" s="20"/>
      <c r="D2231" s="22"/>
      <c r="E2231" s="15"/>
      <c r="F2231" s="23">
        <f>IF($B2231="","",IFERROR(INDEX(ProdNome,MATCH($B2231,ProdCod,0)),"Código não cadastrado"))</f>
        <v>0</v>
      </c>
      <c r="G2231" s="24">
        <f>IF(OR($B2231="",$D2231=""),"",$D2231*IFERROR(INDEX(ProdCusto,MATCH($B2231,ProdCod,0)),0))</f>
        <v>0</v>
      </c>
      <c r="H2231" s="25">
        <f>IF($A2231="","",IF(OR($B2231="",$C2231="",$D2231=""),"Preencher tudo",IF($F2231="Código não cadastrado","Código inválido","OK")))</f>
        <v>0</v>
      </c>
    </row>
    <row r="2232" spans="1:8">
      <c r="A2232" s="16"/>
      <c r="B2232" s="15"/>
      <c r="C2232" s="20"/>
      <c r="D2232" s="22"/>
      <c r="E2232" s="15"/>
      <c r="F2232" s="23">
        <f>IF($B2232="","",IFERROR(INDEX(ProdNome,MATCH($B2232,ProdCod,0)),"Código não cadastrado"))</f>
        <v>0</v>
      </c>
      <c r="G2232" s="24">
        <f>IF(OR($B2232="",$D2232=""),"",$D2232*IFERROR(INDEX(ProdCusto,MATCH($B2232,ProdCod,0)),0))</f>
        <v>0</v>
      </c>
      <c r="H2232" s="25">
        <f>IF($A2232="","",IF(OR($B2232="",$C2232="",$D2232=""),"Preencher tudo",IF($F2232="Código não cadastrado","Código inválido","OK")))</f>
        <v>0</v>
      </c>
    </row>
    <row r="2233" spans="1:8">
      <c r="A2233" s="16"/>
      <c r="B2233" s="15"/>
      <c r="C2233" s="20"/>
      <c r="D2233" s="22"/>
      <c r="E2233" s="15"/>
      <c r="F2233" s="23">
        <f>IF($B2233="","",IFERROR(INDEX(ProdNome,MATCH($B2233,ProdCod,0)),"Código não cadastrado"))</f>
        <v>0</v>
      </c>
      <c r="G2233" s="24">
        <f>IF(OR($B2233="",$D2233=""),"",$D2233*IFERROR(INDEX(ProdCusto,MATCH($B2233,ProdCod,0)),0))</f>
        <v>0</v>
      </c>
      <c r="H2233" s="25">
        <f>IF($A2233="","",IF(OR($B2233="",$C2233="",$D2233=""),"Preencher tudo",IF($F2233="Código não cadastrado","Código inválido","OK")))</f>
        <v>0</v>
      </c>
    </row>
    <row r="2234" spans="1:8">
      <c r="A2234" s="16"/>
      <c r="B2234" s="15"/>
      <c r="C2234" s="20"/>
      <c r="D2234" s="22"/>
      <c r="E2234" s="15"/>
      <c r="F2234" s="23">
        <f>IF($B2234="","",IFERROR(INDEX(ProdNome,MATCH($B2234,ProdCod,0)),"Código não cadastrado"))</f>
        <v>0</v>
      </c>
      <c r="G2234" s="24">
        <f>IF(OR($B2234="",$D2234=""),"",$D2234*IFERROR(INDEX(ProdCusto,MATCH($B2234,ProdCod,0)),0))</f>
        <v>0</v>
      </c>
      <c r="H2234" s="25">
        <f>IF($A2234="","",IF(OR($B2234="",$C2234="",$D2234=""),"Preencher tudo",IF($F2234="Código não cadastrado","Código inválido","OK")))</f>
        <v>0</v>
      </c>
    </row>
    <row r="2235" spans="1:8">
      <c r="A2235" s="16"/>
      <c r="B2235" s="15"/>
      <c r="C2235" s="20"/>
      <c r="D2235" s="22"/>
      <c r="E2235" s="15"/>
      <c r="F2235" s="23">
        <f>IF($B2235="","",IFERROR(INDEX(ProdNome,MATCH($B2235,ProdCod,0)),"Código não cadastrado"))</f>
        <v>0</v>
      </c>
      <c r="G2235" s="24">
        <f>IF(OR($B2235="",$D2235=""),"",$D2235*IFERROR(INDEX(ProdCusto,MATCH($B2235,ProdCod,0)),0))</f>
        <v>0</v>
      </c>
      <c r="H2235" s="25">
        <f>IF($A2235="","",IF(OR($B2235="",$C2235="",$D2235=""),"Preencher tudo",IF($F2235="Código não cadastrado","Código inválido","OK")))</f>
        <v>0</v>
      </c>
    </row>
    <row r="2236" spans="1:8">
      <c r="A2236" s="16"/>
      <c r="B2236" s="15"/>
      <c r="C2236" s="20"/>
      <c r="D2236" s="22"/>
      <c r="E2236" s="15"/>
      <c r="F2236" s="23">
        <f>IF($B2236="","",IFERROR(INDEX(ProdNome,MATCH($B2236,ProdCod,0)),"Código não cadastrado"))</f>
        <v>0</v>
      </c>
      <c r="G2236" s="24">
        <f>IF(OR($B2236="",$D2236=""),"",$D2236*IFERROR(INDEX(ProdCusto,MATCH($B2236,ProdCod,0)),0))</f>
        <v>0</v>
      </c>
      <c r="H2236" s="25">
        <f>IF($A2236="","",IF(OR($B2236="",$C2236="",$D2236=""),"Preencher tudo",IF($F2236="Código não cadastrado","Código inválido","OK")))</f>
        <v>0</v>
      </c>
    </row>
    <row r="2237" spans="1:8">
      <c r="A2237" s="16"/>
      <c r="B2237" s="15"/>
      <c r="C2237" s="20"/>
      <c r="D2237" s="22"/>
      <c r="E2237" s="15"/>
      <c r="F2237" s="23">
        <f>IF($B2237="","",IFERROR(INDEX(ProdNome,MATCH($B2237,ProdCod,0)),"Código não cadastrado"))</f>
        <v>0</v>
      </c>
      <c r="G2237" s="24">
        <f>IF(OR($B2237="",$D2237=""),"",$D2237*IFERROR(INDEX(ProdCusto,MATCH($B2237,ProdCod,0)),0))</f>
        <v>0</v>
      </c>
      <c r="H2237" s="25">
        <f>IF($A2237="","",IF(OR($B2237="",$C2237="",$D2237=""),"Preencher tudo",IF($F2237="Código não cadastrado","Código inválido","OK")))</f>
        <v>0</v>
      </c>
    </row>
    <row r="2238" spans="1:8">
      <c r="A2238" s="16"/>
      <c r="B2238" s="15"/>
      <c r="C2238" s="20"/>
      <c r="D2238" s="22"/>
      <c r="E2238" s="15"/>
      <c r="F2238" s="23">
        <f>IF($B2238="","",IFERROR(INDEX(ProdNome,MATCH($B2238,ProdCod,0)),"Código não cadastrado"))</f>
        <v>0</v>
      </c>
      <c r="G2238" s="24">
        <f>IF(OR($B2238="",$D2238=""),"",$D2238*IFERROR(INDEX(ProdCusto,MATCH($B2238,ProdCod,0)),0))</f>
        <v>0</v>
      </c>
      <c r="H2238" s="25">
        <f>IF($A2238="","",IF(OR($B2238="",$C2238="",$D2238=""),"Preencher tudo",IF($F2238="Código não cadastrado","Código inválido","OK")))</f>
        <v>0</v>
      </c>
    </row>
    <row r="2239" spans="1:8">
      <c r="A2239" s="16"/>
      <c r="B2239" s="15"/>
      <c r="C2239" s="20"/>
      <c r="D2239" s="22"/>
      <c r="E2239" s="15"/>
      <c r="F2239" s="23">
        <f>IF($B2239="","",IFERROR(INDEX(ProdNome,MATCH($B2239,ProdCod,0)),"Código não cadastrado"))</f>
        <v>0</v>
      </c>
      <c r="G2239" s="24">
        <f>IF(OR($B2239="",$D2239=""),"",$D2239*IFERROR(INDEX(ProdCusto,MATCH($B2239,ProdCod,0)),0))</f>
        <v>0</v>
      </c>
      <c r="H2239" s="25">
        <f>IF($A2239="","",IF(OR($B2239="",$C2239="",$D2239=""),"Preencher tudo",IF($F2239="Código não cadastrado","Código inválido","OK")))</f>
        <v>0</v>
      </c>
    </row>
    <row r="2240" spans="1:8">
      <c r="A2240" s="16"/>
      <c r="B2240" s="15"/>
      <c r="C2240" s="20"/>
      <c r="D2240" s="22"/>
      <c r="E2240" s="15"/>
      <c r="F2240" s="23">
        <f>IF($B2240="","",IFERROR(INDEX(ProdNome,MATCH($B2240,ProdCod,0)),"Código não cadastrado"))</f>
        <v>0</v>
      </c>
      <c r="G2240" s="24">
        <f>IF(OR($B2240="",$D2240=""),"",$D2240*IFERROR(INDEX(ProdCusto,MATCH($B2240,ProdCod,0)),0))</f>
        <v>0</v>
      </c>
      <c r="H2240" s="25">
        <f>IF($A2240="","",IF(OR($B2240="",$C2240="",$D2240=""),"Preencher tudo",IF($F2240="Código não cadastrado","Código inválido","OK")))</f>
        <v>0</v>
      </c>
    </row>
    <row r="2241" spans="1:8">
      <c r="A2241" s="16"/>
      <c r="B2241" s="15"/>
      <c r="C2241" s="20"/>
      <c r="D2241" s="22"/>
      <c r="E2241" s="15"/>
      <c r="F2241" s="23">
        <f>IF($B2241="","",IFERROR(INDEX(ProdNome,MATCH($B2241,ProdCod,0)),"Código não cadastrado"))</f>
        <v>0</v>
      </c>
      <c r="G2241" s="24">
        <f>IF(OR($B2241="",$D2241=""),"",$D2241*IFERROR(INDEX(ProdCusto,MATCH($B2241,ProdCod,0)),0))</f>
        <v>0</v>
      </c>
      <c r="H2241" s="25">
        <f>IF($A2241="","",IF(OR($B2241="",$C2241="",$D2241=""),"Preencher tudo",IF($F2241="Código não cadastrado","Código inválido","OK")))</f>
        <v>0</v>
      </c>
    </row>
    <row r="2242" spans="1:8">
      <c r="A2242" s="16"/>
      <c r="B2242" s="15"/>
      <c r="C2242" s="20"/>
      <c r="D2242" s="22"/>
      <c r="E2242" s="15"/>
      <c r="F2242" s="23">
        <f>IF($B2242="","",IFERROR(INDEX(ProdNome,MATCH($B2242,ProdCod,0)),"Código não cadastrado"))</f>
        <v>0</v>
      </c>
      <c r="G2242" s="24">
        <f>IF(OR($B2242="",$D2242=""),"",$D2242*IFERROR(INDEX(ProdCusto,MATCH($B2242,ProdCod,0)),0))</f>
        <v>0</v>
      </c>
      <c r="H2242" s="25">
        <f>IF($A2242="","",IF(OR($B2242="",$C2242="",$D2242=""),"Preencher tudo",IF($F2242="Código não cadastrado","Código inválido","OK")))</f>
        <v>0</v>
      </c>
    </row>
    <row r="2243" spans="1:8">
      <c r="A2243" s="16"/>
      <c r="B2243" s="15"/>
      <c r="C2243" s="20"/>
      <c r="D2243" s="22"/>
      <c r="E2243" s="15"/>
      <c r="F2243" s="23">
        <f>IF($B2243="","",IFERROR(INDEX(ProdNome,MATCH($B2243,ProdCod,0)),"Código não cadastrado"))</f>
        <v>0</v>
      </c>
      <c r="G2243" s="24">
        <f>IF(OR($B2243="",$D2243=""),"",$D2243*IFERROR(INDEX(ProdCusto,MATCH($B2243,ProdCod,0)),0))</f>
        <v>0</v>
      </c>
      <c r="H2243" s="25">
        <f>IF($A2243="","",IF(OR($B2243="",$C2243="",$D2243=""),"Preencher tudo",IF($F2243="Código não cadastrado","Código inválido","OK")))</f>
        <v>0</v>
      </c>
    </row>
    <row r="2244" spans="1:8">
      <c r="A2244" s="16"/>
      <c r="B2244" s="15"/>
      <c r="C2244" s="20"/>
      <c r="D2244" s="22"/>
      <c r="E2244" s="15"/>
      <c r="F2244" s="23">
        <f>IF($B2244="","",IFERROR(INDEX(ProdNome,MATCH($B2244,ProdCod,0)),"Código não cadastrado"))</f>
        <v>0</v>
      </c>
      <c r="G2244" s="24">
        <f>IF(OR($B2244="",$D2244=""),"",$D2244*IFERROR(INDEX(ProdCusto,MATCH($B2244,ProdCod,0)),0))</f>
        <v>0</v>
      </c>
      <c r="H2244" s="25">
        <f>IF($A2244="","",IF(OR($B2244="",$C2244="",$D2244=""),"Preencher tudo",IF($F2244="Código não cadastrado","Código inválido","OK")))</f>
        <v>0</v>
      </c>
    </row>
    <row r="2245" spans="1:8">
      <c r="A2245" s="16"/>
      <c r="B2245" s="15"/>
      <c r="C2245" s="20"/>
      <c r="D2245" s="22"/>
      <c r="E2245" s="15"/>
      <c r="F2245" s="23">
        <f>IF($B2245="","",IFERROR(INDEX(ProdNome,MATCH($B2245,ProdCod,0)),"Código não cadastrado"))</f>
        <v>0</v>
      </c>
      <c r="G2245" s="24">
        <f>IF(OR($B2245="",$D2245=""),"",$D2245*IFERROR(INDEX(ProdCusto,MATCH($B2245,ProdCod,0)),0))</f>
        <v>0</v>
      </c>
      <c r="H2245" s="25">
        <f>IF($A2245="","",IF(OR($B2245="",$C2245="",$D2245=""),"Preencher tudo",IF($F2245="Código não cadastrado","Código inválido","OK")))</f>
        <v>0</v>
      </c>
    </row>
    <row r="2246" spans="1:8">
      <c r="A2246" s="16"/>
      <c r="B2246" s="15"/>
      <c r="C2246" s="20"/>
      <c r="D2246" s="22"/>
      <c r="E2246" s="15"/>
      <c r="F2246" s="23">
        <f>IF($B2246="","",IFERROR(INDEX(ProdNome,MATCH($B2246,ProdCod,0)),"Código não cadastrado"))</f>
        <v>0</v>
      </c>
      <c r="G2246" s="24">
        <f>IF(OR($B2246="",$D2246=""),"",$D2246*IFERROR(INDEX(ProdCusto,MATCH($B2246,ProdCod,0)),0))</f>
        <v>0</v>
      </c>
      <c r="H2246" s="25">
        <f>IF($A2246="","",IF(OR($B2246="",$C2246="",$D2246=""),"Preencher tudo",IF($F2246="Código não cadastrado","Código inválido","OK")))</f>
        <v>0</v>
      </c>
    </row>
    <row r="2247" spans="1:8">
      <c r="A2247" s="16"/>
      <c r="B2247" s="15"/>
      <c r="C2247" s="20"/>
      <c r="D2247" s="22"/>
      <c r="E2247" s="15"/>
      <c r="F2247" s="23">
        <f>IF($B2247="","",IFERROR(INDEX(ProdNome,MATCH($B2247,ProdCod,0)),"Código não cadastrado"))</f>
        <v>0</v>
      </c>
      <c r="G2247" s="24">
        <f>IF(OR($B2247="",$D2247=""),"",$D2247*IFERROR(INDEX(ProdCusto,MATCH($B2247,ProdCod,0)),0))</f>
        <v>0</v>
      </c>
      <c r="H2247" s="25">
        <f>IF($A2247="","",IF(OR($B2247="",$C2247="",$D2247=""),"Preencher tudo",IF($F2247="Código não cadastrado","Código inválido","OK")))</f>
        <v>0</v>
      </c>
    </row>
    <row r="2248" spans="1:8">
      <c r="A2248" s="16"/>
      <c r="B2248" s="15"/>
      <c r="C2248" s="20"/>
      <c r="D2248" s="22"/>
      <c r="E2248" s="15"/>
      <c r="F2248" s="23">
        <f>IF($B2248="","",IFERROR(INDEX(ProdNome,MATCH($B2248,ProdCod,0)),"Código não cadastrado"))</f>
        <v>0</v>
      </c>
      <c r="G2248" s="24">
        <f>IF(OR($B2248="",$D2248=""),"",$D2248*IFERROR(INDEX(ProdCusto,MATCH($B2248,ProdCod,0)),0))</f>
        <v>0</v>
      </c>
      <c r="H2248" s="25">
        <f>IF($A2248="","",IF(OR($B2248="",$C2248="",$D2248=""),"Preencher tudo",IF($F2248="Código não cadastrado","Código inválido","OK")))</f>
        <v>0</v>
      </c>
    </row>
    <row r="2249" spans="1:8">
      <c r="A2249" s="16"/>
      <c r="B2249" s="15"/>
      <c r="C2249" s="20"/>
      <c r="D2249" s="22"/>
      <c r="E2249" s="15"/>
      <c r="F2249" s="23">
        <f>IF($B2249="","",IFERROR(INDEX(ProdNome,MATCH($B2249,ProdCod,0)),"Código não cadastrado"))</f>
        <v>0</v>
      </c>
      <c r="G2249" s="24">
        <f>IF(OR($B2249="",$D2249=""),"",$D2249*IFERROR(INDEX(ProdCusto,MATCH($B2249,ProdCod,0)),0))</f>
        <v>0</v>
      </c>
      <c r="H2249" s="25">
        <f>IF($A2249="","",IF(OR($B2249="",$C2249="",$D2249=""),"Preencher tudo",IF($F2249="Código não cadastrado","Código inválido","OK")))</f>
        <v>0</v>
      </c>
    </row>
    <row r="2250" spans="1:8">
      <c r="A2250" s="16"/>
      <c r="B2250" s="15"/>
      <c r="C2250" s="20"/>
      <c r="D2250" s="22"/>
      <c r="E2250" s="15"/>
      <c r="F2250" s="23">
        <f>IF($B2250="","",IFERROR(INDEX(ProdNome,MATCH($B2250,ProdCod,0)),"Código não cadastrado"))</f>
        <v>0</v>
      </c>
      <c r="G2250" s="24">
        <f>IF(OR($B2250="",$D2250=""),"",$D2250*IFERROR(INDEX(ProdCusto,MATCH($B2250,ProdCod,0)),0))</f>
        <v>0</v>
      </c>
      <c r="H2250" s="25">
        <f>IF($A2250="","",IF(OR($B2250="",$C2250="",$D2250=""),"Preencher tudo",IF($F2250="Código não cadastrado","Código inválido","OK")))</f>
        <v>0</v>
      </c>
    </row>
    <row r="2251" spans="1:8">
      <c r="A2251" s="16"/>
      <c r="B2251" s="15"/>
      <c r="C2251" s="20"/>
      <c r="D2251" s="22"/>
      <c r="E2251" s="15"/>
      <c r="F2251" s="23">
        <f>IF($B2251="","",IFERROR(INDEX(ProdNome,MATCH($B2251,ProdCod,0)),"Código não cadastrado"))</f>
        <v>0</v>
      </c>
      <c r="G2251" s="24">
        <f>IF(OR($B2251="",$D2251=""),"",$D2251*IFERROR(INDEX(ProdCusto,MATCH($B2251,ProdCod,0)),0))</f>
        <v>0</v>
      </c>
      <c r="H2251" s="25">
        <f>IF($A2251="","",IF(OR($B2251="",$C2251="",$D2251=""),"Preencher tudo",IF($F2251="Código não cadastrado","Código inválido","OK")))</f>
        <v>0</v>
      </c>
    </row>
    <row r="2252" spans="1:8">
      <c r="A2252" s="16"/>
      <c r="B2252" s="15"/>
      <c r="C2252" s="20"/>
      <c r="D2252" s="22"/>
      <c r="E2252" s="15"/>
      <c r="F2252" s="23">
        <f>IF($B2252="","",IFERROR(INDEX(ProdNome,MATCH($B2252,ProdCod,0)),"Código não cadastrado"))</f>
        <v>0</v>
      </c>
      <c r="G2252" s="24">
        <f>IF(OR($B2252="",$D2252=""),"",$D2252*IFERROR(INDEX(ProdCusto,MATCH($B2252,ProdCod,0)),0))</f>
        <v>0</v>
      </c>
      <c r="H2252" s="25">
        <f>IF($A2252="","",IF(OR($B2252="",$C2252="",$D2252=""),"Preencher tudo",IF($F2252="Código não cadastrado","Código inválido","OK")))</f>
        <v>0</v>
      </c>
    </row>
    <row r="2253" spans="1:8">
      <c r="A2253" s="16"/>
      <c r="B2253" s="15"/>
      <c r="C2253" s="20"/>
      <c r="D2253" s="22"/>
      <c r="E2253" s="15"/>
      <c r="F2253" s="23">
        <f>IF($B2253="","",IFERROR(INDEX(ProdNome,MATCH($B2253,ProdCod,0)),"Código não cadastrado"))</f>
        <v>0</v>
      </c>
      <c r="G2253" s="24">
        <f>IF(OR($B2253="",$D2253=""),"",$D2253*IFERROR(INDEX(ProdCusto,MATCH($B2253,ProdCod,0)),0))</f>
        <v>0</v>
      </c>
      <c r="H2253" s="25">
        <f>IF($A2253="","",IF(OR($B2253="",$C2253="",$D2253=""),"Preencher tudo",IF($F2253="Código não cadastrado","Código inválido","OK")))</f>
        <v>0</v>
      </c>
    </row>
    <row r="2254" spans="1:8">
      <c r="A2254" s="16"/>
      <c r="B2254" s="15"/>
      <c r="C2254" s="20"/>
      <c r="D2254" s="22"/>
      <c r="E2254" s="15"/>
      <c r="F2254" s="23">
        <f>IF($B2254="","",IFERROR(INDEX(ProdNome,MATCH($B2254,ProdCod,0)),"Código não cadastrado"))</f>
        <v>0</v>
      </c>
      <c r="G2254" s="24">
        <f>IF(OR($B2254="",$D2254=""),"",$D2254*IFERROR(INDEX(ProdCusto,MATCH($B2254,ProdCod,0)),0))</f>
        <v>0</v>
      </c>
      <c r="H2254" s="25">
        <f>IF($A2254="","",IF(OR($B2254="",$C2254="",$D2254=""),"Preencher tudo",IF($F2254="Código não cadastrado","Código inválido","OK")))</f>
        <v>0</v>
      </c>
    </row>
    <row r="2255" spans="1:8">
      <c r="A2255" s="16"/>
      <c r="B2255" s="15"/>
      <c r="C2255" s="20"/>
      <c r="D2255" s="22"/>
      <c r="E2255" s="15"/>
      <c r="F2255" s="23">
        <f>IF($B2255="","",IFERROR(INDEX(ProdNome,MATCH($B2255,ProdCod,0)),"Código não cadastrado"))</f>
        <v>0</v>
      </c>
      <c r="G2255" s="24">
        <f>IF(OR($B2255="",$D2255=""),"",$D2255*IFERROR(INDEX(ProdCusto,MATCH($B2255,ProdCod,0)),0))</f>
        <v>0</v>
      </c>
      <c r="H2255" s="25">
        <f>IF($A2255="","",IF(OR($B2255="",$C2255="",$D2255=""),"Preencher tudo",IF($F2255="Código não cadastrado","Código inválido","OK")))</f>
        <v>0</v>
      </c>
    </row>
    <row r="2256" spans="1:8">
      <c r="A2256" s="16"/>
      <c r="B2256" s="15"/>
      <c r="C2256" s="20"/>
      <c r="D2256" s="22"/>
      <c r="E2256" s="15"/>
      <c r="F2256" s="23">
        <f>IF($B2256="","",IFERROR(INDEX(ProdNome,MATCH($B2256,ProdCod,0)),"Código não cadastrado"))</f>
        <v>0</v>
      </c>
      <c r="G2256" s="24">
        <f>IF(OR($B2256="",$D2256=""),"",$D2256*IFERROR(INDEX(ProdCusto,MATCH($B2256,ProdCod,0)),0))</f>
        <v>0</v>
      </c>
      <c r="H2256" s="25">
        <f>IF($A2256="","",IF(OR($B2256="",$C2256="",$D2256=""),"Preencher tudo",IF($F2256="Código não cadastrado","Código inválido","OK")))</f>
        <v>0</v>
      </c>
    </row>
    <row r="2257" spans="1:8">
      <c r="A2257" s="16"/>
      <c r="B2257" s="15"/>
      <c r="C2257" s="20"/>
      <c r="D2257" s="22"/>
      <c r="E2257" s="15"/>
      <c r="F2257" s="23">
        <f>IF($B2257="","",IFERROR(INDEX(ProdNome,MATCH($B2257,ProdCod,0)),"Código não cadastrado"))</f>
        <v>0</v>
      </c>
      <c r="G2257" s="24">
        <f>IF(OR($B2257="",$D2257=""),"",$D2257*IFERROR(INDEX(ProdCusto,MATCH($B2257,ProdCod,0)),0))</f>
        <v>0</v>
      </c>
      <c r="H2257" s="25">
        <f>IF($A2257="","",IF(OR($B2257="",$C2257="",$D2257=""),"Preencher tudo",IF($F2257="Código não cadastrado","Código inválido","OK")))</f>
        <v>0</v>
      </c>
    </row>
    <row r="2258" spans="1:8">
      <c r="A2258" s="16"/>
      <c r="B2258" s="15"/>
      <c r="C2258" s="20"/>
      <c r="D2258" s="22"/>
      <c r="E2258" s="15"/>
      <c r="F2258" s="23">
        <f>IF($B2258="","",IFERROR(INDEX(ProdNome,MATCH($B2258,ProdCod,0)),"Código não cadastrado"))</f>
        <v>0</v>
      </c>
      <c r="G2258" s="24">
        <f>IF(OR($B2258="",$D2258=""),"",$D2258*IFERROR(INDEX(ProdCusto,MATCH($B2258,ProdCod,0)),0))</f>
        <v>0</v>
      </c>
      <c r="H2258" s="25">
        <f>IF($A2258="","",IF(OR($B2258="",$C2258="",$D2258=""),"Preencher tudo",IF($F2258="Código não cadastrado","Código inválido","OK")))</f>
        <v>0</v>
      </c>
    </row>
    <row r="2259" spans="1:8">
      <c r="A2259" s="16"/>
      <c r="B2259" s="15"/>
      <c r="C2259" s="20"/>
      <c r="D2259" s="22"/>
      <c r="E2259" s="15"/>
      <c r="F2259" s="23">
        <f>IF($B2259="","",IFERROR(INDEX(ProdNome,MATCH($B2259,ProdCod,0)),"Código não cadastrado"))</f>
        <v>0</v>
      </c>
      <c r="G2259" s="24">
        <f>IF(OR($B2259="",$D2259=""),"",$D2259*IFERROR(INDEX(ProdCusto,MATCH($B2259,ProdCod,0)),0))</f>
        <v>0</v>
      </c>
      <c r="H2259" s="25">
        <f>IF($A2259="","",IF(OR($B2259="",$C2259="",$D2259=""),"Preencher tudo",IF($F2259="Código não cadastrado","Código inválido","OK")))</f>
        <v>0</v>
      </c>
    </row>
    <row r="2260" spans="1:8">
      <c r="A2260" s="16"/>
      <c r="B2260" s="15"/>
      <c r="C2260" s="20"/>
      <c r="D2260" s="22"/>
      <c r="E2260" s="15"/>
      <c r="F2260" s="23">
        <f>IF($B2260="","",IFERROR(INDEX(ProdNome,MATCH($B2260,ProdCod,0)),"Código não cadastrado"))</f>
        <v>0</v>
      </c>
      <c r="G2260" s="24">
        <f>IF(OR($B2260="",$D2260=""),"",$D2260*IFERROR(INDEX(ProdCusto,MATCH($B2260,ProdCod,0)),0))</f>
        <v>0</v>
      </c>
      <c r="H2260" s="25">
        <f>IF($A2260="","",IF(OR($B2260="",$C2260="",$D2260=""),"Preencher tudo",IF($F2260="Código não cadastrado","Código inválido","OK")))</f>
        <v>0</v>
      </c>
    </row>
    <row r="2261" spans="1:8">
      <c r="A2261" s="16"/>
      <c r="B2261" s="15"/>
      <c r="C2261" s="20"/>
      <c r="D2261" s="22"/>
      <c r="E2261" s="15"/>
      <c r="F2261" s="23">
        <f>IF($B2261="","",IFERROR(INDEX(ProdNome,MATCH($B2261,ProdCod,0)),"Código não cadastrado"))</f>
        <v>0</v>
      </c>
      <c r="G2261" s="24">
        <f>IF(OR($B2261="",$D2261=""),"",$D2261*IFERROR(INDEX(ProdCusto,MATCH($B2261,ProdCod,0)),0))</f>
        <v>0</v>
      </c>
      <c r="H2261" s="25">
        <f>IF($A2261="","",IF(OR($B2261="",$C2261="",$D2261=""),"Preencher tudo",IF($F2261="Código não cadastrado","Código inválido","OK")))</f>
        <v>0</v>
      </c>
    </row>
    <row r="2262" spans="1:8">
      <c r="A2262" s="16"/>
      <c r="B2262" s="15"/>
      <c r="C2262" s="20"/>
      <c r="D2262" s="22"/>
      <c r="E2262" s="15"/>
      <c r="F2262" s="23">
        <f>IF($B2262="","",IFERROR(INDEX(ProdNome,MATCH($B2262,ProdCod,0)),"Código não cadastrado"))</f>
        <v>0</v>
      </c>
      <c r="G2262" s="24">
        <f>IF(OR($B2262="",$D2262=""),"",$D2262*IFERROR(INDEX(ProdCusto,MATCH($B2262,ProdCod,0)),0))</f>
        <v>0</v>
      </c>
      <c r="H2262" s="25">
        <f>IF($A2262="","",IF(OR($B2262="",$C2262="",$D2262=""),"Preencher tudo",IF($F2262="Código não cadastrado","Código inválido","OK")))</f>
        <v>0</v>
      </c>
    </row>
    <row r="2263" spans="1:8">
      <c r="A2263" s="16"/>
      <c r="B2263" s="15"/>
      <c r="C2263" s="20"/>
      <c r="D2263" s="22"/>
      <c r="E2263" s="15"/>
      <c r="F2263" s="23">
        <f>IF($B2263="","",IFERROR(INDEX(ProdNome,MATCH($B2263,ProdCod,0)),"Código não cadastrado"))</f>
        <v>0</v>
      </c>
      <c r="G2263" s="24">
        <f>IF(OR($B2263="",$D2263=""),"",$D2263*IFERROR(INDEX(ProdCusto,MATCH($B2263,ProdCod,0)),0))</f>
        <v>0</v>
      </c>
      <c r="H2263" s="25">
        <f>IF($A2263="","",IF(OR($B2263="",$C2263="",$D2263=""),"Preencher tudo",IF($F2263="Código não cadastrado","Código inválido","OK")))</f>
        <v>0</v>
      </c>
    </row>
    <row r="2264" spans="1:8">
      <c r="A2264" s="16"/>
      <c r="B2264" s="15"/>
      <c r="C2264" s="20"/>
      <c r="D2264" s="22"/>
      <c r="E2264" s="15"/>
      <c r="F2264" s="23">
        <f>IF($B2264="","",IFERROR(INDEX(ProdNome,MATCH($B2264,ProdCod,0)),"Código não cadastrado"))</f>
        <v>0</v>
      </c>
      <c r="G2264" s="24">
        <f>IF(OR($B2264="",$D2264=""),"",$D2264*IFERROR(INDEX(ProdCusto,MATCH($B2264,ProdCod,0)),0))</f>
        <v>0</v>
      </c>
      <c r="H2264" s="25">
        <f>IF($A2264="","",IF(OR($B2264="",$C2264="",$D2264=""),"Preencher tudo",IF($F2264="Código não cadastrado","Código inválido","OK")))</f>
        <v>0</v>
      </c>
    </row>
    <row r="2265" spans="1:8">
      <c r="A2265" s="16"/>
      <c r="B2265" s="15"/>
      <c r="C2265" s="20"/>
      <c r="D2265" s="22"/>
      <c r="E2265" s="15"/>
      <c r="F2265" s="23">
        <f>IF($B2265="","",IFERROR(INDEX(ProdNome,MATCH($B2265,ProdCod,0)),"Código não cadastrado"))</f>
        <v>0</v>
      </c>
      <c r="G2265" s="24">
        <f>IF(OR($B2265="",$D2265=""),"",$D2265*IFERROR(INDEX(ProdCusto,MATCH($B2265,ProdCod,0)),0))</f>
        <v>0</v>
      </c>
      <c r="H2265" s="25">
        <f>IF($A2265="","",IF(OR($B2265="",$C2265="",$D2265=""),"Preencher tudo",IF($F2265="Código não cadastrado","Código inválido","OK")))</f>
        <v>0</v>
      </c>
    </row>
    <row r="2266" spans="1:8">
      <c r="A2266" s="16"/>
      <c r="B2266" s="15"/>
      <c r="C2266" s="20"/>
      <c r="D2266" s="22"/>
      <c r="E2266" s="15"/>
      <c r="F2266" s="23">
        <f>IF($B2266="","",IFERROR(INDEX(ProdNome,MATCH($B2266,ProdCod,0)),"Código não cadastrado"))</f>
        <v>0</v>
      </c>
      <c r="G2266" s="24">
        <f>IF(OR($B2266="",$D2266=""),"",$D2266*IFERROR(INDEX(ProdCusto,MATCH($B2266,ProdCod,0)),0))</f>
        <v>0</v>
      </c>
      <c r="H2266" s="25">
        <f>IF($A2266="","",IF(OR($B2266="",$C2266="",$D2266=""),"Preencher tudo",IF($F2266="Código não cadastrado","Código inválido","OK")))</f>
        <v>0</v>
      </c>
    </row>
    <row r="2267" spans="1:8">
      <c r="A2267" s="16"/>
      <c r="B2267" s="15"/>
      <c r="C2267" s="20"/>
      <c r="D2267" s="22"/>
      <c r="E2267" s="15"/>
      <c r="F2267" s="23">
        <f>IF($B2267="","",IFERROR(INDEX(ProdNome,MATCH($B2267,ProdCod,0)),"Código não cadastrado"))</f>
        <v>0</v>
      </c>
      <c r="G2267" s="24">
        <f>IF(OR($B2267="",$D2267=""),"",$D2267*IFERROR(INDEX(ProdCusto,MATCH($B2267,ProdCod,0)),0))</f>
        <v>0</v>
      </c>
      <c r="H2267" s="25">
        <f>IF($A2267="","",IF(OR($B2267="",$C2267="",$D2267=""),"Preencher tudo",IF($F2267="Código não cadastrado","Código inválido","OK")))</f>
        <v>0</v>
      </c>
    </row>
    <row r="2268" spans="1:8">
      <c r="A2268" s="16"/>
      <c r="B2268" s="15"/>
      <c r="C2268" s="20"/>
      <c r="D2268" s="22"/>
      <c r="E2268" s="15"/>
      <c r="F2268" s="23">
        <f>IF($B2268="","",IFERROR(INDEX(ProdNome,MATCH($B2268,ProdCod,0)),"Código não cadastrado"))</f>
        <v>0</v>
      </c>
      <c r="G2268" s="24">
        <f>IF(OR($B2268="",$D2268=""),"",$D2268*IFERROR(INDEX(ProdCusto,MATCH($B2268,ProdCod,0)),0))</f>
        <v>0</v>
      </c>
      <c r="H2268" s="25">
        <f>IF($A2268="","",IF(OR($B2268="",$C2268="",$D2268=""),"Preencher tudo",IF($F2268="Código não cadastrado","Código inválido","OK")))</f>
        <v>0</v>
      </c>
    </row>
    <row r="2269" spans="1:8">
      <c r="A2269" s="16"/>
      <c r="B2269" s="15"/>
      <c r="C2269" s="20"/>
      <c r="D2269" s="22"/>
      <c r="E2269" s="15"/>
      <c r="F2269" s="23">
        <f>IF($B2269="","",IFERROR(INDEX(ProdNome,MATCH($B2269,ProdCod,0)),"Código não cadastrado"))</f>
        <v>0</v>
      </c>
      <c r="G2269" s="24">
        <f>IF(OR($B2269="",$D2269=""),"",$D2269*IFERROR(INDEX(ProdCusto,MATCH($B2269,ProdCod,0)),0))</f>
        <v>0</v>
      </c>
      <c r="H2269" s="25">
        <f>IF($A2269="","",IF(OR($B2269="",$C2269="",$D2269=""),"Preencher tudo",IF($F2269="Código não cadastrado","Código inválido","OK")))</f>
        <v>0</v>
      </c>
    </row>
    <row r="2270" spans="1:8">
      <c r="A2270" s="16"/>
      <c r="B2270" s="15"/>
      <c r="C2270" s="20"/>
      <c r="D2270" s="22"/>
      <c r="E2270" s="15"/>
      <c r="F2270" s="23">
        <f>IF($B2270="","",IFERROR(INDEX(ProdNome,MATCH($B2270,ProdCod,0)),"Código não cadastrado"))</f>
        <v>0</v>
      </c>
      <c r="G2270" s="24">
        <f>IF(OR($B2270="",$D2270=""),"",$D2270*IFERROR(INDEX(ProdCusto,MATCH($B2270,ProdCod,0)),0))</f>
        <v>0</v>
      </c>
      <c r="H2270" s="25">
        <f>IF($A2270="","",IF(OR($B2270="",$C2270="",$D2270=""),"Preencher tudo",IF($F2270="Código não cadastrado","Código inválido","OK")))</f>
        <v>0</v>
      </c>
    </row>
    <row r="2271" spans="1:8">
      <c r="A2271" s="16"/>
      <c r="B2271" s="15"/>
      <c r="C2271" s="20"/>
      <c r="D2271" s="22"/>
      <c r="E2271" s="15"/>
      <c r="F2271" s="23">
        <f>IF($B2271="","",IFERROR(INDEX(ProdNome,MATCH($B2271,ProdCod,0)),"Código não cadastrado"))</f>
        <v>0</v>
      </c>
      <c r="G2271" s="24">
        <f>IF(OR($B2271="",$D2271=""),"",$D2271*IFERROR(INDEX(ProdCusto,MATCH($B2271,ProdCod,0)),0))</f>
        <v>0</v>
      </c>
      <c r="H2271" s="25">
        <f>IF($A2271="","",IF(OR($B2271="",$C2271="",$D2271=""),"Preencher tudo",IF($F2271="Código não cadastrado","Código inválido","OK")))</f>
        <v>0</v>
      </c>
    </row>
    <row r="2272" spans="1:8">
      <c r="A2272" s="16"/>
      <c r="B2272" s="15"/>
      <c r="C2272" s="20"/>
      <c r="D2272" s="22"/>
      <c r="E2272" s="15"/>
      <c r="F2272" s="23">
        <f>IF($B2272="","",IFERROR(INDEX(ProdNome,MATCH($B2272,ProdCod,0)),"Código não cadastrado"))</f>
        <v>0</v>
      </c>
      <c r="G2272" s="24">
        <f>IF(OR($B2272="",$D2272=""),"",$D2272*IFERROR(INDEX(ProdCusto,MATCH($B2272,ProdCod,0)),0))</f>
        <v>0</v>
      </c>
      <c r="H2272" s="25">
        <f>IF($A2272="","",IF(OR($B2272="",$C2272="",$D2272=""),"Preencher tudo",IF($F2272="Código não cadastrado","Código inválido","OK")))</f>
        <v>0</v>
      </c>
    </row>
    <row r="2273" spans="1:8">
      <c r="A2273" s="16"/>
      <c r="B2273" s="15"/>
      <c r="C2273" s="20"/>
      <c r="D2273" s="22"/>
      <c r="E2273" s="15"/>
      <c r="F2273" s="23">
        <f>IF($B2273="","",IFERROR(INDEX(ProdNome,MATCH($B2273,ProdCod,0)),"Código não cadastrado"))</f>
        <v>0</v>
      </c>
      <c r="G2273" s="24">
        <f>IF(OR($B2273="",$D2273=""),"",$D2273*IFERROR(INDEX(ProdCusto,MATCH($B2273,ProdCod,0)),0))</f>
        <v>0</v>
      </c>
      <c r="H2273" s="25">
        <f>IF($A2273="","",IF(OR($B2273="",$C2273="",$D2273=""),"Preencher tudo",IF($F2273="Código não cadastrado","Código inválido","OK")))</f>
        <v>0</v>
      </c>
    </row>
    <row r="2274" spans="1:8">
      <c r="A2274" s="16"/>
      <c r="B2274" s="15"/>
      <c r="C2274" s="20"/>
      <c r="D2274" s="22"/>
      <c r="E2274" s="15"/>
      <c r="F2274" s="23">
        <f>IF($B2274="","",IFERROR(INDEX(ProdNome,MATCH($B2274,ProdCod,0)),"Código não cadastrado"))</f>
        <v>0</v>
      </c>
      <c r="G2274" s="24">
        <f>IF(OR($B2274="",$D2274=""),"",$D2274*IFERROR(INDEX(ProdCusto,MATCH($B2274,ProdCod,0)),0))</f>
        <v>0</v>
      </c>
      <c r="H2274" s="25">
        <f>IF($A2274="","",IF(OR($B2274="",$C2274="",$D2274=""),"Preencher tudo",IF($F2274="Código não cadastrado","Código inválido","OK")))</f>
        <v>0</v>
      </c>
    </row>
    <row r="2275" spans="1:8">
      <c r="A2275" s="16"/>
      <c r="B2275" s="15"/>
      <c r="C2275" s="20"/>
      <c r="D2275" s="22"/>
      <c r="E2275" s="15"/>
      <c r="F2275" s="23">
        <f>IF($B2275="","",IFERROR(INDEX(ProdNome,MATCH($B2275,ProdCod,0)),"Código não cadastrado"))</f>
        <v>0</v>
      </c>
      <c r="G2275" s="24">
        <f>IF(OR($B2275="",$D2275=""),"",$D2275*IFERROR(INDEX(ProdCusto,MATCH($B2275,ProdCod,0)),0))</f>
        <v>0</v>
      </c>
      <c r="H2275" s="25">
        <f>IF($A2275="","",IF(OR($B2275="",$C2275="",$D2275=""),"Preencher tudo",IF($F2275="Código não cadastrado","Código inválido","OK")))</f>
        <v>0</v>
      </c>
    </row>
    <row r="2276" spans="1:8">
      <c r="A2276" s="16"/>
      <c r="B2276" s="15"/>
      <c r="C2276" s="20"/>
      <c r="D2276" s="22"/>
      <c r="E2276" s="15"/>
      <c r="F2276" s="23">
        <f>IF($B2276="","",IFERROR(INDEX(ProdNome,MATCH($B2276,ProdCod,0)),"Código não cadastrado"))</f>
        <v>0</v>
      </c>
      <c r="G2276" s="24">
        <f>IF(OR($B2276="",$D2276=""),"",$D2276*IFERROR(INDEX(ProdCusto,MATCH($B2276,ProdCod,0)),0))</f>
        <v>0</v>
      </c>
      <c r="H2276" s="25">
        <f>IF($A2276="","",IF(OR($B2276="",$C2276="",$D2276=""),"Preencher tudo",IF($F2276="Código não cadastrado","Código inválido","OK")))</f>
        <v>0</v>
      </c>
    </row>
    <row r="2277" spans="1:8">
      <c r="A2277" s="16"/>
      <c r="B2277" s="15"/>
      <c r="C2277" s="20"/>
      <c r="D2277" s="22"/>
      <c r="E2277" s="15"/>
      <c r="F2277" s="23">
        <f>IF($B2277="","",IFERROR(INDEX(ProdNome,MATCH($B2277,ProdCod,0)),"Código não cadastrado"))</f>
        <v>0</v>
      </c>
      <c r="G2277" s="24">
        <f>IF(OR($B2277="",$D2277=""),"",$D2277*IFERROR(INDEX(ProdCusto,MATCH($B2277,ProdCod,0)),0))</f>
        <v>0</v>
      </c>
      <c r="H2277" s="25">
        <f>IF($A2277="","",IF(OR($B2277="",$C2277="",$D2277=""),"Preencher tudo",IF($F2277="Código não cadastrado","Código inválido","OK")))</f>
        <v>0</v>
      </c>
    </row>
    <row r="2278" spans="1:8">
      <c r="A2278" s="16"/>
      <c r="B2278" s="15"/>
      <c r="C2278" s="20"/>
      <c r="D2278" s="22"/>
      <c r="E2278" s="15"/>
      <c r="F2278" s="23">
        <f>IF($B2278="","",IFERROR(INDEX(ProdNome,MATCH($B2278,ProdCod,0)),"Código não cadastrado"))</f>
        <v>0</v>
      </c>
      <c r="G2278" s="24">
        <f>IF(OR($B2278="",$D2278=""),"",$D2278*IFERROR(INDEX(ProdCusto,MATCH($B2278,ProdCod,0)),0))</f>
        <v>0</v>
      </c>
      <c r="H2278" s="25">
        <f>IF($A2278="","",IF(OR($B2278="",$C2278="",$D2278=""),"Preencher tudo",IF($F2278="Código não cadastrado","Código inválido","OK")))</f>
        <v>0</v>
      </c>
    </row>
    <row r="2279" spans="1:8">
      <c r="A2279" s="16"/>
      <c r="B2279" s="15"/>
      <c r="C2279" s="20"/>
      <c r="D2279" s="22"/>
      <c r="E2279" s="15"/>
      <c r="F2279" s="23">
        <f>IF($B2279="","",IFERROR(INDEX(ProdNome,MATCH($B2279,ProdCod,0)),"Código não cadastrado"))</f>
        <v>0</v>
      </c>
      <c r="G2279" s="24">
        <f>IF(OR($B2279="",$D2279=""),"",$D2279*IFERROR(INDEX(ProdCusto,MATCH($B2279,ProdCod,0)),0))</f>
        <v>0</v>
      </c>
      <c r="H2279" s="25">
        <f>IF($A2279="","",IF(OR($B2279="",$C2279="",$D2279=""),"Preencher tudo",IF($F2279="Código não cadastrado","Código inválido","OK")))</f>
        <v>0</v>
      </c>
    </row>
    <row r="2280" spans="1:8">
      <c r="A2280" s="16"/>
      <c r="B2280" s="15"/>
      <c r="C2280" s="20"/>
      <c r="D2280" s="22"/>
      <c r="E2280" s="15"/>
      <c r="F2280" s="23">
        <f>IF($B2280="","",IFERROR(INDEX(ProdNome,MATCH($B2280,ProdCod,0)),"Código não cadastrado"))</f>
        <v>0</v>
      </c>
      <c r="G2280" s="24">
        <f>IF(OR($B2280="",$D2280=""),"",$D2280*IFERROR(INDEX(ProdCusto,MATCH($B2280,ProdCod,0)),0))</f>
        <v>0</v>
      </c>
      <c r="H2280" s="25">
        <f>IF($A2280="","",IF(OR($B2280="",$C2280="",$D2280=""),"Preencher tudo",IF($F2280="Código não cadastrado","Código inválido","OK")))</f>
        <v>0</v>
      </c>
    </row>
    <row r="2281" spans="1:8">
      <c r="A2281" s="16"/>
      <c r="B2281" s="15"/>
      <c r="C2281" s="20"/>
      <c r="D2281" s="22"/>
      <c r="E2281" s="15"/>
      <c r="F2281" s="23">
        <f>IF($B2281="","",IFERROR(INDEX(ProdNome,MATCH($B2281,ProdCod,0)),"Código não cadastrado"))</f>
        <v>0</v>
      </c>
      <c r="G2281" s="24">
        <f>IF(OR($B2281="",$D2281=""),"",$D2281*IFERROR(INDEX(ProdCusto,MATCH($B2281,ProdCod,0)),0))</f>
        <v>0</v>
      </c>
      <c r="H2281" s="25">
        <f>IF($A2281="","",IF(OR($B2281="",$C2281="",$D2281=""),"Preencher tudo",IF($F2281="Código não cadastrado","Código inválido","OK")))</f>
        <v>0</v>
      </c>
    </row>
    <row r="2282" spans="1:8">
      <c r="A2282" s="16"/>
      <c r="B2282" s="15"/>
      <c r="C2282" s="20"/>
      <c r="D2282" s="22"/>
      <c r="E2282" s="15"/>
      <c r="F2282" s="23">
        <f>IF($B2282="","",IFERROR(INDEX(ProdNome,MATCH($B2282,ProdCod,0)),"Código não cadastrado"))</f>
        <v>0</v>
      </c>
      <c r="G2282" s="24">
        <f>IF(OR($B2282="",$D2282=""),"",$D2282*IFERROR(INDEX(ProdCusto,MATCH($B2282,ProdCod,0)),0))</f>
        <v>0</v>
      </c>
      <c r="H2282" s="25">
        <f>IF($A2282="","",IF(OR($B2282="",$C2282="",$D2282=""),"Preencher tudo",IF($F2282="Código não cadastrado","Código inválido","OK")))</f>
        <v>0</v>
      </c>
    </row>
    <row r="2283" spans="1:8">
      <c r="A2283" s="16"/>
      <c r="B2283" s="15"/>
      <c r="C2283" s="20"/>
      <c r="D2283" s="22"/>
      <c r="E2283" s="15"/>
      <c r="F2283" s="23">
        <f>IF($B2283="","",IFERROR(INDEX(ProdNome,MATCH($B2283,ProdCod,0)),"Código não cadastrado"))</f>
        <v>0</v>
      </c>
      <c r="G2283" s="24">
        <f>IF(OR($B2283="",$D2283=""),"",$D2283*IFERROR(INDEX(ProdCusto,MATCH($B2283,ProdCod,0)),0))</f>
        <v>0</v>
      </c>
      <c r="H2283" s="25">
        <f>IF($A2283="","",IF(OR($B2283="",$C2283="",$D2283=""),"Preencher tudo",IF($F2283="Código não cadastrado","Código inválido","OK")))</f>
        <v>0</v>
      </c>
    </row>
    <row r="2284" spans="1:8">
      <c r="A2284" s="16"/>
      <c r="B2284" s="15"/>
      <c r="C2284" s="20"/>
      <c r="D2284" s="22"/>
      <c r="E2284" s="15"/>
      <c r="F2284" s="23">
        <f>IF($B2284="","",IFERROR(INDEX(ProdNome,MATCH($B2284,ProdCod,0)),"Código não cadastrado"))</f>
        <v>0</v>
      </c>
      <c r="G2284" s="24">
        <f>IF(OR($B2284="",$D2284=""),"",$D2284*IFERROR(INDEX(ProdCusto,MATCH($B2284,ProdCod,0)),0))</f>
        <v>0</v>
      </c>
      <c r="H2284" s="25">
        <f>IF($A2284="","",IF(OR($B2284="",$C2284="",$D2284=""),"Preencher tudo",IF($F2284="Código não cadastrado","Código inválido","OK")))</f>
        <v>0</v>
      </c>
    </row>
    <row r="2285" spans="1:8">
      <c r="A2285" s="16"/>
      <c r="B2285" s="15"/>
      <c r="C2285" s="20"/>
      <c r="D2285" s="22"/>
      <c r="E2285" s="15"/>
      <c r="F2285" s="23">
        <f>IF($B2285="","",IFERROR(INDEX(ProdNome,MATCH($B2285,ProdCod,0)),"Código não cadastrado"))</f>
        <v>0</v>
      </c>
      <c r="G2285" s="24">
        <f>IF(OR($B2285="",$D2285=""),"",$D2285*IFERROR(INDEX(ProdCusto,MATCH($B2285,ProdCod,0)),0))</f>
        <v>0</v>
      </c>
      <c r="H2285" s="25">
        <f>IF($A2285="","",IF(OR($B2285="",$C2285="",$D2285=""),"Preencher tudo",IF($F2285="Código não cadastrado","Código inválido","OK")))</f>
        <v>0</v>
      </c>
    </row>
    <row r="2286" spans="1:8">
      <c r="A2286" s="16"/>
      <c r="B2286" s="15"/>
      <c r="C2286" s="20"/>
      <c r="D2286" s="22"/>
      <c r="E2286" s="15"/>
      <c r="F2286" s="23">
        <f>IF($B2286="","",IFERROR(INDEX(ProdNome,MATCH($B2286,ProdCod,0)),"Código não cadastrado"))</f>
        <v>0</v>
      </c>
      <c r="G2286" s="24">
        <f>IF(OR($B2286="",$D2286=""),"",$D2286*IFERROR(INDEX(ProdCusto,MATCH($B2286,ProdCod,0)),0))</f>
        <v>0</v>
      </c>
      <c r="H2286" s="25">
        <f>IF($A2286="","",IF(OR($B2286="",$C2286="",$D2286=""),"Preencher tudo",IF($F2286="Código não cadastrado","Código inválido","OK")))</f>
        <v>0</v>
      </c>
    </row>
    <row r="2287" spans="1:8">
      <c r="A2287" s="16"/>
      <c r="B2287" s="15"/>
      <c r="C2287" s="20"/>
      <c r="D2287" s="22"/>
      <c r="E2287" s="15"/>
      <c r="F2287" s="23">
        <f>IF($B2287="","",IFERROR(INDEX(ProdNome,MATCH($B2287,ProdCod,0)),"Código não cadastrado"))</f>
        <v>0</v>
      </c>
      <c r="G2287" s="24">
        <f>IF(OR($B2287="",$D2287=""),"",$D2287*IFERROR(INDEX(ProdCusto,MATCH($B2287,ProdCod,0)),0))</f>
        <v>0</v>
      </c>
      <c r="H2287" s="25">
        <f>IF($A2287="","",IF(OR($B2287="",$C2287="",$D2287=""),"Preencher tudo",IF($F2287="Código não cadastrado","Código inválido","OK")))</f>
        <v>0</v>
      </c>
    </row>
    <row r="2288" spans="1:8">
      <c r="A2288" s="16"/>
      <c r="B2288" s="15"/>
      <c r="C2288" s="20"/>
      <c r="D2288" s="22"/>
      <c r="E2288" s="15"/>
      <c r="F2288" s="23">
        <f>IF($B2288="","",IFERROR(INDEX(ProdNome,MATCH($B2288,ProdCod,0)),"Código não cadastrado"))</f>
        <v>0</v>
      </c>
      <c r="G2288" s="24">
        <f>IF(OR($B2288="",$D2288=""),"",$D2288*IFERROR(INDEX(ProdCusto,MATCH($B2288,ProdCod,0)),0))</f>
        <v>0</v>
      </c>
      <c r="H2288" s="25">
        <f>IF($A2288="","",IF(OR($B2288="",$C2288="",$D2288=""),"Preencher tudo",IF($F2288="Código não cadastrado","Código inválido","OK")))</f>
        <v>0</v>
      </c>
    </row>
    <row r="2289" spans="1:8">
      <c r="A2289" s="16"/>
      <c r="B2289" s="15"/>
      <c r="C2289" s="20"/>
      <c r="D2289" s="22"/>
      <c r="E2289" s="15"/>
      <c r="F2289" s="23">
        <f>IF($B2289="","",IFERROR(INDEX(ProdNome,MATCH($B2289,ProdCod,0)),"Código não cadastrado"))</f>
        <v>0</v>
      </c>
      <c r="G2289" s="24">
        <f>IF(OR($B2289="",$D2289=""),"",$D2289*IFERROR(INDEX(ProdCusto,MATCH($B2289,ProdCod,0)),0))</f>
        <v>0</v>
      </c>
      <c r="H2289" s="25">
        <f>IF($A2289="","",IF(OR($B2289="",$C2289="",$D2289=""),"Preencher tudo",IF($F2289="Código não cadastrado","Código inválido","OK")))</f>
        <v>0</v>
      </c>
    </row>
    <row r="2290" spans="1:8">
      <c r="A2290" s="16"/>
      <c r="B2290" s="15"/>
      <c r="C2290" s="20"/>
      <c r="D2290" s="22"/>
      <c r="E2290" s="15"/>
      <c r="F2290" s="23">
        <f>IF($B2290="","",IFERROR(INDEX(ProdNome,MATCH($B2290,ProdCod,0)),"Código não cadastrado"))</f>
        <v>0</v>
      </c>
      <c r="G2290" s="24">
        <f>IF(OR($B2290="",$D2290=""),"",$D2290*IFERROR(INDEX(ProdCusto,MATCH($B2290,ProdCod,0)),0))</f>
        <v>0</v>
      </c>
      <c r="H2290" s="25">
        <f>IF($A2290="","",IF(OR($B2290="",$C2290="",$D2290=""),"Preencher tudo",IF($F2290="Código não cadastrado","Código inválido","OK")))</f>
        <v>0</v>
      </c>
    </row>
    <row r="2291" spans="1:8">
      <c r="A2291" s="16"/>
      <c r="B2291" s="15"/>
      <c r="C2291" s="20"/>
      <c r="D2291" s="22"/>
      <c r="E2291" s="15"/>
      <c r="F2291" s="23">
        <f>IF($B2291="","",IFERROR(INDEX(ProdNome,MATCH($B2291,ProdCod,0)),"Código não cadastrado"))</f>
        <v>0</v>
      </c>
      <c r="G2291" s="24">
        <f>IF(OR($B2291="",$D2291=""),"",$D2291*IFERROR(INDEX(ProdCusto,MATCH($B2291,ProdCod,0)),0))</f>
        <v>0</v>
      </c>
      <c r="H2291" s="25">
        <f>IF($A2291="","",IF(OR($B2291="",$C2291="",$D2291=""),"Preencher tudo",IF($F2291="Código não cadastrado","Código inválido","OK")))</f>
        <v>0</v>
      </c>
    </row>
    <row r="2292" spans="1:8">
      <c r="A2292" s="16"/>
      <c r="B2292" s="15"/>
      <c r="C2292" s="20"/>
      <c r="D2292" s="22"/>
      <c r="E2292" s="15"/>
      <c r="F2292" s="23">
        <f>IF($B2292="","",IFERROR(INDEX(ProdNome,MATCH($B2292,ProdCod,0)),"Código não cadastrado"))</f>
        <v>0</v>
      </c>
      <c r="G2292" s="24">
        <f>IF(OR($B2292="",$D2292=""),"",$D2292*IFERROR(INDEX(ProdCusto,MATCH($B2292,ProdCod,0)),0))</f>
        <v>0</v>
      </c>
      <c r="H2292" s="25">
        <f>IF($A2292="","",IF(OR($B2292="",$C2292="",$D2292=""),"Preencher tudo",IF($F2292="Código não cadastrado","Código inválido","OK")))</f>
        <v>0</v>
      </c>
    </row>
    <row r="2293" spans="1:8">
      <c r="A2293" s="16"/>
      <c r="B2293" s="15"/>
      <c r="C2293" s="20"/>
      <c r="D2293" s="22"/>
      <c r="E2293" s="15"/>
      <c r="F2293" s="23">
        <f>IF($B2293="","",IFERROR(INDEX(ProdNome,MATCH($B2293,ProdCod,0)),"Código não cadastrado"))</f>
        <v>0</v>
      </c>
      <c r="G2293" s="24">
        <f>IF(OR($B2293="",$D2293=""),"",$D2293*IFERROR(INDEX(ProdCusto,MATCH($B2293,ProdCod,0)),0))</f>
        <v>0</v>
      </c>
      <c r="H2293" s="25">
        <f>IF($A2293="","",IF(OR($B2293="",$C2293="",$D2293=""),"Preencher tudo",IF($F2293="Código não cadastrado","Código inválido","OK")))</f>
        <v>0</v>
      </c>
    </row>
    <row r="2294" spans="1:8">
      <c r="A2294" s="16"/>
      <c r="B2294" s="15"/>
      <c r="C2294" s="20"/>
      <c r="D2294" s="22"/>
      <c r="E2294" s="15"/>
      <c r="F2294" s="23">
        <f>IF($B2294="","",IFERROR(INDEX(ProdNome,MATCH($B2294,ProdCod,0)),"Código não cadastrado"))</f>
        <v>0</v>
      </c>
      <c r="G2294" s="24">
        <f>IF(OR($B2294="",$D2294=""),"",$D2294*IFERROR(INDEX(ProdCusto,MATCH($B2294,ProdCod,0)),0))</f>
        <v>0</v>
      </c>
      <c r="H2294" s="25">
        <f>IF($A2294="","",IF(OR($B2294="",$C2294="",$D2294=""),"Preencher tudo",IF($F2294="Código não cadastrado","Código inválido","OK")))</f>
        <v>0</v>
      </c>
    </row>
    <row r="2295" spans="1:8">
      <c r="A2295" s="16"/>
      <c r="B2295" s="15"/>
      <c r="C2295" s="20"/>
      <c r="D2295" s="22"/>
      <c r="E2295" s="15"/>
      <c r="F2295" s="23">
        <f>IF($B2295="","",IFERROR(INDEX(ProdNome,MATCH($B2295,ProdCod,0)),"Código não cadastrado"))</f>
        <v>0</v>
      </c>
      <c r="G2295" s="24">
        <f>IF(OR($B2295="",$D2295=""),"",$D2295*IFERROR(INDEX(ProdCusto,MATCH($B2295,ProdCod,0)),0))</f>
        <v>0</v>
      </c>
      <c r="H2295" s="25">
        <f>IF($A2295="","",IF(OR($B2295="",$C2295="",$D2295=""),"Preencher tudo",IF($F2295="Código não cadastrado","Código inválido","OK")))</f>
        <v>0</v>
      </c>
    </row>
    <row r="2296" spans="1:8">
      <c r="A2296" s="16"/>
      <c r="B2296" s="15"/>
      <c r="C2296" s="20"/>
      <c r="D2296" s="22"/>
      <c r="E2296" s="15"/>
      <c r="F2296" s="23">
        <f>IF($B2296="","",IFERROR(INDEX(ProdNome,MATCH($B2296,ProdCod,0)),"Código não cadastrado"))</f>
        <v>0</v>
      </c>
      <c r="G2296" s="24">
        <f>IF(OR($B2296="",$D2296=""),"",$D2296*IFERROR(INDEX(ProdCusto,MATCH($B2296,ProdCod,0)),0))</f>
        <v>0</v>
      </c>
      <c r="H2296" s="25">
        <f>IF($A2296="","",IF(OR($B2296="",$C2296="",$D2296=""),"Preencher tudo",IF($F2296="Código não cadastrado","Código inválido","OK")))</f>
        <v>0</v>
      </c>
    </row>
    <row r="2297" spans="1:8">
      <c r="A2297" s="16"/>
      <c r="B2297" s="15"/>
      <c r="C2297" s="20"/>
      <c r="D2297" s="22"/>
      <c r="E2297" s="15"/>
      <c r="F2297" s="23">
        <f>IF($B2297="","",IFERROR(INDEX(ProdNome,MATCH($B2297,ProdCod,0)),"Código não cadastrado"))</f>
        <v>0</v>
      </c>
      <c r="G2297" s="24">
        <f>IF(OR($B2297="",$D2297=""),"",$D2297*IFERROR(INDEX(ProdCusto,MATCH($B2297,ProdCod,0)),0))</f>
        <v>0</v>
      </c>
      <c r="H2297" s="25">
        <f>IF($A2297="","",IF(OR($B2297="",$C2297="",$D2297=""),"Preencher tudo",IF($F2297="Código não cadastrado","Código inválido","OK")))</f>
        <v>0</v>
      </c>
    </row>
    <row r="2298" spans="1:8">
      <c r="A2298" s="16"/>
      <c r="B2298" s="15"/>
      <c r="C2298" s="20"/>
      <c r="D2298" s="22"/>
      <c r="E2298" s="15"/>
      <c r="F2298" s="23">
        <f>IF($B2298="","",IFERROR(INDEX(ProdNome,MATCH($B2298,ProdCod,0)),"Código não cadastrado"))</f>
        <v>0</v>
      </c>
      <c r="G2298" s="24">
        <f>IF(OR($B2298="",$D2298=""),"",$D2298*IFERROR(INDEX(ProdCusto,MATCH($B2298,ProdCod,0)),0))</f>
        <v>0</v>
      </c>
      <c r="H2298" s="25">
        <f>IF($A2298="","",IF(OR($B2298="",$C2298="",$D2298=""),"Preencher tudo",IF($F2298="Código não cadastrado","Código inválido","OK")))</f>
        <v>0</v>
      </c>
    </row>
    <row r="2299" spans="1:8">
      <c r="A2299" s="16"/>
      <c r="B2299" s="15"/>
      <c r="C2299" s="20"/>
      <c r="D2299" s="22"/>
      <c r="E2299" s="15"/>
      <c r="F2299" s="23">
        <f>IF($B2299="","",IFERROR(INDEX(ProdNome,MATCH($B2299,ProdCod,0)),"Código não cadastrado"))</f>
        <v>0</v>
      </c>
      <c r="G2299" s="24">
        <f>IF(OR($B2299="",$D2299=""),"",$D2299*IFERROR(INDEX(ProdCusto,MATCH($B2299,ProdCod,0)),0))</f>
        <v>0</v>
      </c>
      <c r="H2299" s="25">
        <f>IF($A2299="","",IF(OR($B2299="",$C2299="",$D2299=""),"Preencher tudo",IF($F2299="Código não cadastrado","Código inválido","OK")))</f>
        <v>0</v>
      </c>
    </row>
    <row r="2300" spans="1:8">
      <c r="A2300" s="16"/>
      <c r="B2300" s="15"/>
      <c r="C2300" s="20"/>
      <c r="D2300" s="22"/>
      <c r="E2300" s="15"/>
      <c r="F2300" s="23">
        <f>IF($B2300="","",IFERROR(INDEX(ProdNome,MATCH($B2300,ProdCod,0)),"Código não cadastrado"))</f>
        <v>0</v>
      </c>
      <c r="G2300" s="24">
        <f>IF(OR($B2300="",$D2300=""),"",$D2300*IFERROR(INDEX(ProdCusto,MATCH($B2300,ProdCod,0)),0))</f>
        <v>0</v>
      </c>
      <c r="H2300" s="25">
        <f>IF($A2300="","",IF(OR($B2300="",$C2300="",$D2300=""),"Preencher tudo",IF($F2300="Código não cadastrado","Código inválido","OK")))</f>
        <v>0</v>
      </c>
    </row>
    <row r="2301" spans="1:8">
      <c r="A2301" s="16"/>
      <c r="B2301" s="15"/>
      <c r="C2301" s="20"/>
      <c r="D2301" s="22"/>
      <c r="E2301" s="15"/>
      <c r="F2301" s="23">
        <f>IF($B2301="","",IFERROR(INDEX(ProdNome,MATCH($B2301,ProdCod,0)),"Código não cadastrado"))</f>
        <v>0</v>
      </c>
      <c r="G2301" s="24">
        <f>IF(OR($B2301="",$D2301=""),"",$D2301*IFERROR(INDEX(ProdCusto,MATCH($B2301,ProdCod,0)),0))</f>
        <v>0</v>
      </c>
      <c r="H2301" s="25">
        <f>IF($A2301="","",IF(OR($B2301="",$C2301="",$D2301=""),"Preencher tudo",IF($F2301="Código não cadastrado","Código inválido","OK")))</f>
        <v>0</v>
      </c>
    </row>
    <row r="2302" spans="1:8">
      <c r="A2302" s="16"/>
      <c r="B2302" s="15"/>
      <c r="C2302" s="20"/>
      <c r="D2302" s="22"/>
      <c r="E2302" s="15"/>
      <c r="F2302" s="23">
        <f>IF($B2302="","",IFERROR(INDEX(ProdNome,MATCH($B2302,ProdCod,0)),"Código não cadastrado"))</f>
        <v>0</v>
      </c>
      <c r="G2302" s="24">
        <f>IF(OR($B2302="",$D2302=""),"",$D2302*IFERROR(INDEX(ProdCusto,MATCH($B2302,ProdCod,0)),0))</f>
        <v>0</v>
      </c>
      <c r="H2302" s="25">
        <f>IF($A2302="","",IF(OR($B2302="",$C2302="",$D2302=""),"Preencher tudo",IF($F2302="Código não cadastrado","Código inválido","OK")))</f>
        <v>0</v>
      </c>
    </row>
    <row r="2303" spans="1:8">
      <c r="A2303" s="16"/>
      <c r="B2303" s="15"/>
      <c r="C2303" s="20"/>
      <c r="D2303" s="22"/>
      <c r="E2303" s="15"/>
      <c r="F2303" s="23">
        <f>IF($B2303="","",IFERROR(INDEX(ProdNome,MATCH($B2303,ProdCod,0)),"Código não cadastrado"))</f>
        <v>0</v>
      </c>
      <c r="G2303" s="24">
        <f>IF(OR($B2303="",$D2303=""),"",$D2303*IFERROR(INDEX(ProdCusto,MATCH($B2303,ProdCod,0)),0))</f>
        <v>0</v>
      </c>
      <c r="H2303" s="25">
        <f>IF($A2303="","",IF(OR($B2303="",$C2303="",$D2303=""),"Preencher tudo",IF($F2303="Código não cadastrado","Código inválido","OK")))</f>
        <v>0</v>
      </c>
    </row>
    <row r="2304" spans="1:8">
      <c r="A2304" s="16"/>
      <c r="B2304" s="15"/>
      <c r="C2304" s="20"/>
      <c r="D2304" s="22"/>
      <c r="E2304" s="15"/>
      <c r="F2304" s="23">
        <f>IF($B2304="","",IFERROR(INDEX(ProdNome,MATCH($B2304,ProdCod,0)),"Código não cadastrado"))</f>
        <v>0</v>
      </c>
      <c r="G2304" s="24">
        <f>IF(OR($B2304="",$D2304=""),"",$D2304*IFERROR(INDEX(ProdCusto,MATCH($B2304,ProdCod,0)),0))</f>
        <v>0</v>
      </c>
      <c r="H2304" s="25">
        <f>IF($A2304="","",IF(OR($B2304="",$C2304="",$D2304=""),"Preencher tudo",IF($F2304="Código não cadastrado","Código inválido","OK")))</f>
        <v>0</v>
      </c>
    </row>
    <row r="2305" spans="1:8">
      <c r="A2305" s="16"/>
      <c r="B2305" s="15"/>
      <c r="C2305" s="20"/>
      <c r="D2305" s="22"/>
      <c r="E2305" s="15"/>
      <c r="F2305" s="23">
        <f>IF($B2305="","",IFERROR(INDEX(ProdNome,MATCH($B2305,ProdCod,0)),"Código não cadastrado"))</f>
        <v>0</v>
      </c>
      <c r="G2305" s="24">
        <f>IF(OR($B2305="",$D2305=""),"",$D2305*IFERROR(INDEX(ProdCusto,MATCH($B2305,ProdCod,0)),0))</f>
        <v>0</v>
      </c>
      <c r="H2305" s="25">
        <f>IF($A2305="","",IF(OR($B2305="",$C2305="",$D2305=""),"Preencher tudo",IF($F2305="Código não cadastrado","Código inválido","OK")))</f>
        <v>0</v>
      </c>
    </row>
    <row r="2306" spans="1:8">
      <c r="A2306" s="16"/>
      <c r="B2306" s="15"/>
      <c r="C2306" s="20"/>
      <c r="D2306" s="22"/>
      <c r="E2306" s="15"/>
      <c r="F2306" s="23">
        <f>IF($B2306="","",IFERROR(INDEX(ProdNome,MATCH($B2306,ProdCod,0)),"Código não cadastrado"))</f>
        <v>0</v>
      </c>
      <c r="G2306" s="24">
        <f>IF(OR($B2306="",$D2306=""),"",$D2306*IFERROR(INDEX(ProdCusto,MATCH($B2306,ProdCod,0)),0))</f>
        <v>0</v>
      </c>
      <c r="H2306" s="25">
        <f>IF($A2306="","",IF(OR($B2306="",$C2306="",$D2306=""),"Preencher tudo",IF($F2306="Código não cadastrado","Código inválido","OK")))</f>
        <v>0</v>
      </c>
    </row>
    <row r="2307" spans="1:8">
      <c r="A2307" s="16"/>
      <c r="B2307" s="15"/>
      <c r="C2307" s="20"/>
      <c r="D2307" s="22"/>
      <c r="E2307" s="15"/>
      <c r="F2307" s="23">
        <f>IF($B2307="","",IFERROR(INDEX(ProdNome,MATCH($B2307,ProdCod,0)),"Código não cadastrado"))</f>
        <v>0</v>
      </c>
      <c r="G2307" s="24">
        <f>IF(OR($B2307="",$D2307=""),"",$D2307*IFERROR(INDEX(ProdCusto,MATCH($B2307,ProdCod,0)),0))</f>
        <v>0</v>
      </c>
      <c r="H2307" s="25">
        <f>IF($A2307="","",IF(OR($B2307="",$C2307="",$D2307=""),"Preencher tudo",IF($F2307="Código não cadastrado","Código inválido","OK")))</f>
        <v>0</v>
      </c>
    </row>
    <row r="2308" spans="1:8">
      <c r="A2308" s="16"/>
      <c r="B2308" s="15"/>
      <c r="C2308" s="20"/>
      <c r="D2308" s="22"/>
      <c r="E2308" s="15"/>
      <c r="F2308" s="23">
        <f>IF($B2308="","",IFERROR(INDEX(ProdNome,MATCH($B2308,ProdCod,0)),"Código não cadastrado"))</f>
        <v>0</v>
      </c>
      <c r="G2308" s="24">
        <f>IF(OR($B2308="",$D2308=""),"",$D2308*IFERROR(INDEX(ProdCusto,MATCH($B2308,ProdCod,0)),0))</f>
        <v>0</v>
      </c>
      <c r="H2308" s="25">
        <f>IF($A2308="","",IF(OR($B2308="",$C2308="",$D2308=""),"Preencher tudo",IF($F2308="Código não cadastrado","Código inválido","OK")))</f>
        <v>0</v>
      </c>
    </row>
    <row r="2309" spans="1:8">
      <c r="A2309" s="16"/>
      <c r="B2309" s="15"/>
      <c r="C2309" s="20"/>
      <c r="D2309" s="22"/>
      <c r="E2309" s="15"/>
      <c r="F2309" s="23">
        <f>IF($B2309="","",IFERROR(INDEX(ProdNome,MATCH($B2309,ProdCod,0)),"Código não cadastrado"))</f>
        <v>0</v>
      </c>
      <c r="G2309" s="24">
        <f>IF(OR($B2309="",$D2309=""),"",$D2309*IFERROR(INDEX(ProdCusto,MATCH($B2309,ProdCod,0)),0))</f>
        <v>0</v>
      </c>
      <c r="H2309" s="25">
        <f>IF($A2309="","",IF(OR($B2309="",$C2309="",$D2309=""),"Preencher tudo",IF($F2309="Código não cadastrado","Código inválido","OK")))</f>
        <v>0</v>
      </c>
    </row>
    <row r="2310" spans="1:8">
      <c r="A2310" s="16"/>
      <c r="B2310" s="15"/>
      <c r="C2310" s="20"/>
      <c r="D2310" s="22"/>
      <c r="E2310" s="15"/>
      <c r="F2310" s="23">
        <f>IF($B2310="","",IFERROR(INDEX(ProdNome,MATCH($B2310,ProdCod,0)),"Código não cadastrado"))</f>
        <v>0</v>
      </c>
      <c r="G2310" s="24">
        <f>IF(OR($B2310="",$D2310=""),"",$D2310*IFERROR(INDEX(ProdCusto,MATCH($B2310,ProdCod,0)),0))</f>
        <v>0</v>
      </c>
      <c r="H2310" s="25">
        <f>IF($A2310="","",IF(OR($B2310="",$C2310="",$D2310=""),"Preencher tudo",IF($F2310="Código não cadastrado","Código inválido","OK")))</f>
        <v>0</v>
      </c>
    </row>
    <row r="2311" spans="1:8">
      <c r="A2311" s="16"/>
      <c r="B2311" s="15"/>
      <c r="C2311" s="20"/>
      <c r="D2311" s="22"/>
      <c r="E2311" s="15"/>
      <c r="F2311" s="23">
        <f>IF($B2311="","",IFERROR(INDEX(ProdNome,MATCH($B2311,ProdCod,0)),"Código não cadastrado"))</f>
        <v>0</v>
      </c>
      <c r="G2311" s="24">
        <f>IF(OR($B2311="",$D2311=""),"",$D2311*IFERROR(INDEX(ProdCusto,MATCH($B2311,ProdCod,0)),0))</f>
        <v>0</v>
      </c>
      <c r="H2311" s="25">
        <f>IF($A2311="","",IF(OR($B2311="",$C2311="",$D2311=""),"Preencher tudo",IF($F2311="Código não cadastrado","Código inválido","OK")))</f>
        <v>0</v>
      </c>
    </row>
    <row r="2312" spans="1:8">
      <c r="A2312" s="16"/>
      <c r="B2312" s="15"/>
      <c r="C2312" s="20"/>
      <c r="D2312" s="22"/>
      <c r="E2312" s="15"/>
      <c r="F2312" s="23">
        <f>IF($B2312="","",IFERROR(INDEX(ProdNome,MATCH($B2312,ProdCod,0)),"Código não cadastrado"))</f>
        <v>0</v>
      </c>
      <c r="G2312" s="24">
        <f>IF(OR($B2312="",$D2312=""),"",$D2312*IFERROR(INDEX(ProdCusto,MATCH($B2312,ProdCod,0)),0))</f>
        <v>0</v>
      </c>
      <c r="H2312" s="25">
        <f>IF($A2312="","",IF(OR($B2312="",$C2312="",$D2312=""),"Preencher tudo",IF($F2312="Código não cadastrado","Código inválido","OK")))</f>
        <v>0</v>
      </c>
    </row>
    <row r="2313" spans="1:8">
      <c r="A2313" s="16"/>
      <c r="B2313" s="15"/>
      <c r="C2313" s="20"/>
      <c r="D2313" s="22"/>
      <c r="E2313" s="15"/>
      <c r="F2313" s="23">
        <f>IF($B2313="","",IFERROR(INDEX(ProdNome,MATCH($B2313,ProdCod,0)),"Código não cadastrado"))</f>
        <v>0</v>
      </c>
      <c r="G2313" s="24">
        <f>IF(OR($B2313="",$D2313=""),"",$D2313*IFERROR(INDEX(ProdCusto,MATCH($B2313,ProdCod,0)),0))</f>
        <v>0</v>
      </c>
      <c r="H2313" s="25">
        <f>IF($A2313="","",IF(OR($B2313="",$C2313="",$D2313=""),"Preencher tudo",IF($F2313="Código não cadastrado","Código inválido","OK")))</f>
        <v>0</v>
      </c>
    </row>
    <row r="2314" spans="1:8">
      <c r="A2314" s="16"/>
      <c r="B2314" s="15"/>
      <c r="C2314" s="20"/>
      <c r="D2314" s="22"/>
      <c r="E2314" s="15"/>
      <c r="F2314" s="23">
        <f>IF($B2314="","",IFERROR(INDEX(ProdNome,MATCH($B2314,ProdCod,0)),"Código não cadastrado"))</f>
        <v>0</v>
      </c>
      <c r="G2314" s="24">
        <f>IF(OR($B2314="",$D2314=""),"",$D2314*IFERROR(INDEX(ProdCusto,MATCH($B2314,ProdCod,0)),0))</f>
        <v>0</v>
      </c>
      <c r="H2314" s="25">
        <f>IF($A2314="","",IF(OR($B2314="",$C2314="",$D2314=""),"Preencher tudo",IF($F2314="Código não cadastrado","Código inválido","OK")))</f>
        <v>0</v>
      </c>
    </row>
    <row r="2315" spans="1:8">
      <c r="A2315" s="16"/>
      <c r="B2315" s="15"/>
      <c r="C2315" s="20"/>
      <c r="D2315" s="22"/>
      <c r="E2315" s="15"/>
      <c r="F2315" s="23">
        <f>IF($B2315="","",IFERROR(INDEX(ProdNome,MATCH($B2315,ProdCod,0)),"Código não cadastrado"))</f>
        <v>0</v>
      </c>
      <c r="G2315" s="24">
        <f>IF(OR($B2315="",$D2315=""),"",$D2315*IFERROR(INDEX(ProdCusto,MATCH($B2315,ProdCod,0)),0))</f>
        <v>0</v>
      </c>
      <c r="H2315" s="25">
        <f>IF($A2315="","",IF(OR($B2315="",$C2315="",$D2315=""),"Preencher tudo",IF($F2315="Código não cadastrado","Código inválido","OK")))</f>
        <v>0</v>
      </c>
    </row>
    <row r="2316" spans="1:8">
      <c r="A2316" s="16"/>
      <c r="B2316" s="15"/>
      <c r="C2316" s="20"/>
      <c r="D2316" s="22"/>
      <c r="E2316" s="15"/>
      <c r="F2316" s="23">
        <f>IF($B2316="","",IFERROR(INDEX(ProdNome,MATCH($B2316,ProdCod,0)),"Código não cadastrado"))</f>
        <v>0</v>
      </c>
      <c r="G2316" s="24">
        <f>IF(OR($B2316="",$D2316=""),"",$D2316*IFERROR(INDEX(ProdCusto,MATCH($B2316,ProdCod,0)),0))</f>
        <v>0</v>
      </c>
      <c r="H2316" s="25">
        <f>IF($A2316="","",IF(OR($B2316="",$C2316="",$D2316=""),"Preencher tudo",IF($F2316="Código não cadastrado","Código inválido","OK")))</f>
        <v>0</v>
      </c>
    </row>
    <row r="2317" spans="1:8">
      <c r="A2317" s="16"/>
      <c r="B2317" s="15"/>
      <c r="C2317" s="20"/>
      <c r="D2317" s="22"/>
      <c r="E2317" s="15"/>
      <c r="F2317" s="23">
        <f>IF($B2317="","",IFERROR(INDEX(ProdNome,MATCH($B2317,ProdCod,0)),"Código não cadastrado"))</f>
        <v>0</v>
      </c>
      <c r="G2317" s="24">
        <f>IF(OR($B2317="",$D2317=""),"",$D2317*IFERROR(INDEX(ProdCusto,MATCH($B2317,ProdCod,0)),0))</f>
        <v>0</v>
      </c>
      <c r="H2317" s="25">
        <f>IF($A2317="","",IF(OR($B2317="",$C2317="",$D2317=""),"Preencher tudo",IF($F2317="Código não cadastrado","Código inválido","OK")))</f>
        <v>0</v>
      </c>
    </row>
    <row r="2318" spans="1:8">
      <c r="A2318" s="16"/>
      <c r="B2318" s="15"/>
      <c r="C2318" s="20"/>
      <c r="D2318" s="22"/>
      <c r="E2318" s="15"/>
      <c r="F2318" s="23">
        <f>IF($B2318="","",IFERROR(INDEX(ProdNome,MATCH($B2318,ProdCod,0)),"Código não cadastrado"))</f>
        <v>0</v>
      </c>
      <c r="G2318" s="24">
        <f>IF(OR($B2318="",$D2318=""),"",$D2318*IFERROR(INDEX(ProdCusto,MATCH($B2318,ProdCod,0)),0))</f>
        <v>0</v>
      </c>
      <c r="H2318" s="25">
        <f>IF($A2318="","",IF(OR($B2318="",$C2318="",$D2318=""),"Preencher tudo",IF($F2318="Código não cadastrado","Código inválido","OK")))</f>
        <v>0</v>
      </c>
    </row>
    <row r="2319" spans="1:8">
      <c r="A2319" s="16"/>
      <c r="B2319" s="15"/>
      <c r="C2319" s="20"/>
      <c r="D2319" s="22"/>
      <c r="E2319" s="15"/>
      <c r="F2319" s="23">
        <f>IF($B2319="","",IFERROR(INDEX(ProdNome,MATCH($B2319,ProdCod,0)),"Código não cadastrado"))</f>
        <v>0</v>
      </c>
      <c r="G2319" s="24">
        <f>IF(OR($B2319="",$D2319=""),"",$D2319*IFERROR(INDEX(ProdCusto,MATCH($B2319,ProdCod,0)),0))</f>
        <v>0</v>
      </c>
      <c r="H2319" s="25">
        <f>IF($A2319="","",IF(OR($B2319="",$C2319="",$D2319=""),"Preencher tudo",IF($F2319="Código não cadastrado","Código inválido","OK")))</f>
        <v>0</v>
      </c>
    </row>
    <row r="2320" spans="1:8">
      <c r="A2320" s="16"/>
      <c r="B2320" s="15"/>
      <c r="C2320" s="20"/>
      <c r="D2320" s="22"/>
      <c r="E2320" s="15"/>
      <c r="F2320" s="23">
        <f>IF($B2320="","",IFERROR(INDEX(ProdNome,MATCH($B2320,ProdCod,0)),"Código não cadastrado"))</f>
        <v>0</v>
      </c>
      <c r="G2320" s="24">
        <f>IF(OR($B2320="",$D2320=""),"",$D2320*IFERROR(INDEX(ProdCusto,MATCH($B2320,ProdCod,0)),0))</f>
        <v>0</v>
      </c>
      <c r="H2320" s="25">
        <f>IF($A2320="","",IF(OR($B2320="",$C2320="",$D2320=""),"Preencher tudo",IF($F2320="Código não cadastrado","Código inválido","OK")))</f>
        <v>0</v>
      </c>
    </row>
    <row r="2321" spans="1:8">
      <c r="A2321" s="16"/>
      <c r="B2321" s="15"/>
      <c r="C2321" s="20"/>
      <c r="D2321" s="22"/>
      <c r="E2321" s="15"/>
      <c r="F2321" s="23">
        <f>IF($B2321="","",IFERROR(INDEX(ProdNome,MATCH($B2321,ProdCod,0)),"Código não cadastrado"))</f>
        <v>0</v>
      </c>
      <c r="G2321" s="24">
        <f>IF(OR($B2321="",$D2321=""),"",$D2321*IFERROR(INDEX(ProdCusto,MATCH($B2321,ProdCod,0)),0))</f>
        <v>0</v>
      </c>
      <c r="H2321" s="25">
        <f>IF($A2321="","",IF(OR($B2321="",$C2321="",$D2321=""),"Preencher tudo",IF($F2321="Código não cadastrado","Código inválido","OK")))</f>
        <v>0</v>
      </c>
    </row>
    <row r="2322" spans="1:8">
      <c r="A2322" s="16"/>
      <c r="B2322" s="15"/>
      <c r="C2322" s="20"/>
      <c r="D2322" s="22"/>
      <c r="E2322" s="15"/>
      <c r="F2322" s="23">
        <f>IF($B2322="","",IFERROR(INDEX(ProdNome,MATCH($B2322,ProdCod,0)),"Código não cadastrado"))</f>
        <v>0</v>
      </c>
      <c r="G2322" s="24">
        <f>IF(OR($B2322="",$D2322=""),"",$D2322*IFERROR(INDEX(ProdCusto,MATCH($B2322,ProdCod,0)),0))</f>
        <v>0</v>
      </c>
      <c r="H2322" s="25">
        <f>IF($A2322="","",IF(OR($B2322="",$C2322="",$D2322=""),"Preencher tudo",IF($F2322="Código não cadastrado","Código inválido","OK")))</f>
        <v>0</v>
      </c>
    </row>
    <row r="2323" spans="1:8">
      <c r="A2323" s="16"/>
      <c r="B2323" s="15"/>
      <c r="C2323" s="20"/>
      <c r="D2323" s="22"/>
      <c r="E2323" s="15"/>
      <c r="F2323" s="23">
        <f>IF($B2323="","",IFERROR(INDEX(ProdNome,MATCH($B2323,ProdCod,0)),"Código não cadastrado"))</f>
        <v>0</v>
      </c>
      <c r="G2323" s="24">
        <f>IF(OR($B2323="",$D2323=""),"",$D2323*IFERROR(INDEX(ProdCusto,MATCH($B2323,ProdCod,0)),0))</f>
        <v>0</v>
      </c>
      <c r="H2323" s="25">
        <f>IF($A2323="","",IF(OR($B2323="",$C2323="",$D2323=""),"Preencher tudo",IF($F2323="Código não cadastrado","Código inválido","OK")))</f>
        <v>0</v>
      </c>
    </row>
    <row r="2324" spans="1:8">
      <c r="A2324" s="16"/>
      <c r="B2324" s="15"/>
      <c r="C2324" s="20"/>
      <c r="D2324" s="22"/>
      <c r="E2324" s="15"/>
      <c r="F2324" s="23">
        <f>IF($B2324="","",IFERROR(INDEX(ProdNome,MATCH($B2324,ProdCod,0)),"Código não cadastrado"))</f>
        <v>0</v>
      </c>
      <c r="G2324" s="24">
        <f>IF(OR($B2324="",$D2324=""),"",$D2324*IFERROR(INDEX(ProdCusto,MATCH($B2324,ProdCod,0)),0))</f>
        <v>0</v>
      </c>
      <c r="H2324" s="25">
        <f>IF($A2324="","",IF(OR($B2324="",$C2324="",$D2324=""),"Preencher tudo",IF($F2324="Código não cadastrado","Código inválido","OK")))</f>
        <v>0</v>
      </c>
    </row>
    <row r="2325" spans="1:8">
      <c r="A2325" s="16"/>
      <c r="B2325" s="15"/>
      <c r="C2325" s="20"/>
      <c r="D2325" s="22"/>
      <c r="E2325" s="15"/>
      <c r="F2325" s="23">
        <f>IF($B2325="","",IFERROR(INDEX(ProdNome,MATCH($B2325,ProdCod,0)),"Código não cadastrado"))</f>
        <v>0</v>
      </c>
      <c r="G2325" s="24">
        <f>IF(OR($B2325="",$D2325=""),"",$D2325*IFERROR(INDEX(ProdCusto,MATCH($B2325,ProdCod,0)),0))</f>
        <v>0</v>
      </c>
      <c r="H2325" s="25">
        <f>IF($A2325="","",IF(OR($B2325="",$C2325="",$D2325=""),"Preencher tudo",IF($F2325="Código não cadastrado","Código inválido","OK")))</f>
        <v>0</v>
      </c>
    </row>
    <row r="2326" spans="1:8">
      <c r="A2326" s="16"/>
      <c r="B2326" s="15"/>
      <c r="C2326" s="20"/>
      <c r="D2326" s="22"/>
      <c r="E2326" s="15"/>
      <c r="F2326" s="23">
        <f>IF($B2326="","",IFERROR(INDEX(ProdNome,MATCH($B2326,ProdCod,0)),"Código não cadastrado"))</f>
        <v>0</v>
      </c>
      <c r="G2326" s="24">
        <f>IF(OR($B2326="",$D2326=""),"",$D2326*IFERROR(INDEX(ProdCusto,MATCH($B2326,ProdCod,0)),0))</f>
        <v>0</v>
      </c>
      <c r="H2326" s="25">
        <f>IF($A2326="","",IF(OR($B2326="",$C2326="",$D2326=""),"Preencher tudo",IF($F2326="Código não cadastrado","Código inválido","OK")))</f>
        <v>0</v>
      </c>
    </row>
    <row r="2327" spans="1:8">
      <c r="A2327" s="16"/>
      <c r="B2327" s="15"/>
      <c r="C2327" s="20"/>
      <c r="D2327" s="22"/>
      <c r="E2327" s="15"/>
      <c r="F2327" s="23">
        <f>IF($B2327="","",IFERROR(INDEX(ProdNome,MATCH($B2327,ProdCod,0)),"Código não cadastrado"))</f>
        <v>0</v>
      </c>
      <c r="G2327" s="24">
        <f>IF(OR($B2327="",$D2327=""),"",$D2327*IFERROR(INDEX(ProdCusto,MATCH($B2327,ProdCod,0)),0))</f>
        <v>0</v>
      </c>
      <c r="H2327" s="25">
        <f>IF($A2327="","",IF(OR($B2327="",$C2327="",$D2327=""),"Preencher tudo",IF($F2327="Código não cadastrado","Código inválido","OK")))</f>
        <v>0</v>
      </c>
    </row>
    <row r="2328" spans="1:8">
      <c r="A2328" s="16"/>
      <c r="B2328" s="15"/>
      <c r="C2328" s="20"/>
      <c r="D2328" s="22"/>
      <c r="E2328" s="15"/>
      <c r="F2328" s="23">
        <f>IF($B2328="","",IFERROR(INDEX(ProdNome,MATCH($B2328,ProdCod,0)),"Código não cadastrado"))</f>
        <v>0</v>
      </c>
      <c r="G2328" s="24">
        <f>IF(OR($B2328="",$D2328=""),"",$D2328*IFERROR(INDEX(ProdCusto,MATCH($B2328,ProdCod,0)),0))</f>
        <v>0</v>
      </c>
      <c r="H2328" s="25">
        <f>IF($A2328="","",IF(OR($B2328="",$C2328="",$D2328=""),"Preencher tudo",IF($F2328="Código não cadastrado","Código inválido","OK")))</f>
        <v>0</v>
      </c>
    </row>
    <row r="2329" spans="1:8">
      <c r="A2329" s="16"/>
      <c r="B2329" s="15"/>
      <c r="C2329" s="20"/>
      <c r="D2329" s="22"/>
      <c r="E2329" s="15"/>
      <c r="F2329" s="23">
        <f>IF($B2329="","",IFERROR(INDEX(ProdNome,MATCH($B2329,ProdCod,0)),"Código não cadastrado"))</f>
        <v>0</v>
      </c>
      <c r="G2329" s="24">
        <f>IF(OR($B2329="",$D2329=""),"",$D2329*IFERROR(INDEX(ProdCusto,MATCH($B2329,ProdCod,0)),0))</f>
        <v>0</v>
      </c>
      <c r="H2329" s="25">
        <f>IF($A2329="","",IF(OR($B2329="",$C2329="",$D2329=""),"Preencher tudo",IF($F2329="Código não cadastrado","Código inválido","OK")))</f>
        <v>0</v>
      </c>
    </row>
    <row r="2330" spans="1:8">
      <c r="A2330" s="16"/>
      <c r="B2330" s="15"/>
      <c r="C2330" s="20"/>
      <c r="D2330" s="22"/>
      <c r="E2330" s="15"/>
      <c r="F2330" s="23">
        <f>IF($B2330="","",IFERROR(INDEX(ProdNome,MATCH($B2330,ProdCod,0)),"Código não cadastrado"))</f>
        <v>0</v>
      </c>
      <c r="G2330" s="24">
        <f>IF(OR($B2330="",$D2330=""),"",$D2330*IFERROR(INDEX(ProdCusto,MATCH($B2330,ProdCod,0)),0))</f>
        <v>0</v>
      </c>
      <c r="H2330" s="25">
        <f>IF($A2330="","",IF(OR($B2330="",$C2330="",$D2330=""),"Preencher tudo",IF($F2330="Código não cadastrado","Código inválido","OK")))</f>
        <v>0</v>
      </c>
    </row>
    <row r="2331" spans="1:8">
      <c r="A2331" s="16"/>
      <c r="B2331" s="15"/>
      <c r="C2331" s="20"/>
      <c r="D2331" s="22"/>
      <c r="E2331" s="15"/>
      <c r="F2331" s="23">
        <f>IF($B2331="","",IFERROR(INDEX(ProdNome,MATCH($B2331,ProdCod,0)),"Código não cadastrado"))</f>
        <v>0</v>
      </c>
      <c r="G2331" s="24">
        <f>IF(OR($B2331="",$D2331=""),"",$D2331*IFERROR(INDEX(ProdCusto,MATCH($B2331,ProdCod,0)),0))</f>
        <v>0</v>
      </c>
      <c r="H2331" s="25">
        <f>IF($A2331="","",IF(OR($B2331="",$C2331="",$D2331=""),"Preencher tudo",IF($F2331="Código não cadastrado","Código inválido","OK")))</f>
        <v>0</v>
      </c>
    </row>
    <row r="2332" spans="1:8">
      <c r="A2332" s="16"/>
      <c r="B2332" s="15"/>
      <c r="C2332" s="20"/>
      <c r="D2332" s="22"/>
      <c r="E2332" s="15"/>
      <c r="F2332" s="23">
        <f>IF($B2332="","",IFERROR(INDEX(ProdNome,MATCH($B2332,ProdCod,0)),"Código não cadastrado"))</f>
        <v>0</v>
      </c>
      <c r="G2332" s="24">
        <f>IF(OR($B2332="",$D2332=""),"",$D2332*IFERROR(INDEX(ProdCusto,MATCH($B2332,ProdCod,0)),0))</f>
        <v>0</v>
      </c>
      <c r="H2332" s="25">
        <f>IF($A2332="","",IF(OR($B2332="",$C2332="",$D2332=""),"Preencher tudo",IF($F2332="Código não cadastrado","Código inválido","OK")))</f>
        <v>0</v>
      </c>
    </row>
    <row r="2333" spans="1:8">
      <c r="A2333" s="16"/>
      <c r="B2333" s="15"/>
      <c r="C2333" s="20"/>
      <c r="D2333" s="22"/>
      <c r="E2333" s="15"/>
      <c r="F2333" s="23">
        <f>IF($B2333="","",IFERROR(INDEX(ProdNome,MATCH($B2333,ProdCod,0)),"Código não cadastrado"))</f>
        <v>0</v>
      </c>
      <c r="G2333" s="24">
        <f>IF(OR($B2333="",$D2333=""),"",$D2333*IFERROR(INDEX(ProdCusto,MATCH($B2333,ProdCod,0)),0))</f>
        <v>0</v>
      </c>
      <c r="H2333" s="25">
        <f>IF($A2333="","",IF(OR($B2333="",$C2333="",$D2333=""),"Preencher tudo",IF($F2333="Código não cadastrado","Código inválido","OK")))</f>
        <v>0</v>
      </c>
    </row>
    <row r="2334" spans="1:8">
      <c r="A2334" s="16"/>
      <c r="B2334" s="15"/>
      <c r="C2334" s="20"/>
      <c r="D2334" s="22"/>
      <c r="E2334" s="15"/>
      <c r="F2334" s="23">
        <f>IF($B2334="","",IFERROR(INDEX(ProdNome,MATCH($B2334,ProdCod,0)),"Código não cadastrado"))</f>
        <v>0</v>
      </c>
      <c r="G2334" s="24">
        <f>IF(OR($B2334="",$D2334=""),"",$D2334*IFERROR(INDEX(ProdCusto,MATCH($B2334,ProdCod,0)),0))</f>
        <v>0</v>
      </c>
      <c r="H2334" s="25">
        <f>IF($A2334="","",IF(OR($B2334="",$C2334="",$D2334=""),"Preencher tudo",IF($F2334="Código não cadastrado","Código inválido","OK")))</f>
        <v>0</v>
      </c>
    </row>
    <row r="2335" spans="1:8">
      <c r="A2335" s="16"/>
      <c r="B2335" s="15"/>
      <c r="C2335" s="20"/>
      <c r="D2335" s="22"/>
      <c r="E2335" s="15"/>
      <c r="F2335" s="23">
        <f>IF($B2335="","",IFERROR(INDEX(ProdNome,MATCH($B2335,ProdCod,0)),"Código não cadastrado"))</f>
        <v>0</v>
      </c>
      <c r="G2335" s="24">
        <f>IF(OR($B2335="",$D2335=""),"",$D2335*IFERROR(INDEX(ProdCusto,MATCH($B2335,ProdCod,0)),0))</f>
        <v>0</v>
      </c>
      <c r="H2335" s="25">
        <f>IF($A2335="","",IF(OR($B2335="",$C2335="",$D2335=""),"Preencher tudo",IF($F2335="Código não cadastrado","Código inválido","OK")))</f>
        <v>0</v>
      </c>
    </row>
    <row r="2336" spans="1:8">
      <c r="A2336" s="16"/>
      <c r="B2336" s="15"/>
      <c r="C2336" s="20"/>
      <c r="D2336" s="22"/>
      <c r="E2336" s="15"/>
      <c r="F2336" s="23">
        <f>IF($B2336="","",IFERROR(INDEX(ProdNome,MATCH($B2336,ProdCod,0)),"Código não cadastrado"))</f>
        <v>0</v>
      </c>
      <c r="G2336" s="24">
        <f>IF(OR($B2336="",$D2336=""),"",$D2336*IFERROR(INDEX(ProdCusto,MATCH($B2336,ProdCod,0)),0))</f>
        <v>0</v>
      </c>
      <c r="H2336" s="25">
        <f>IF($A2336="","",IF(OR($B2336="",$C2336="",$D2336=""),"Preencher tudo",IF($F2336="Código não cadastrado","Código inválido","OK")))</f>
        <v>0</v>
      </c>
    </row>
    <row r="2337" spans="1:8">
      <c r="A2337" s="16"/>
      <c r="B2337" s="15"/>
      <c r="C2337" s="20"/>
      <c r="D2337" s="22"/>
      <c r="E2337" s="15"/>
      <c r="F2337" s="23">
        <f>IF($B2337="","",IFERROR(INDEX(ProdNome,MATCH($B2337,ProdCod,0)),"Código não cadastrado"))</f>
        <v>0</v>
      </c>
      <c r="G2337" s="24">
        <f>IF(OR($B2337="",$D2337=""),"",$D2337*IFERROR(INDEX(ProdCusto,MATCH($B2337,ProdCod,0)),0))</f>
        <v>0</v>
      </c>
      <c r="H2337" s="25">
        <f>IF($A2337="","",IF(OR($B2337="",$C2337="",$D2337=""),"Preencher tudo",IF($F2337="Código não cadastrado","Código inválido","OK")))</f>
        <v>0</v>
      </c>
    </row>
    <row r="2338" spans="1:8">
      <c r="A2338" s="16"/>
      <c r="B2338" s="15"/>
      <c r="C2338" s="20"/>
      <c r="D2338" s="22"/>
      <c r="E2338" s="15"/>
      <c r="F2338" s="23">
        <f>IF($B2338="","",IFERROR(INDEX(ProdNome,MATCH($B2338,ProdCod,0)),"Código não cadastrado"))</f>
        <v>0</v>
      </c>
      <c r="G2338" s="24">
        <f>IF(OR($B2338="",$D2338=""),"",$D2338*IFERROR(INDEX(ProdCusto,MATCH($B2338,ProdCod,0)),0))</f>
        <v>0</v>
      </c>
      <c r="H2338" s="25">
        <f>IF($A2338="","",IF(OR($B2338="",$C2338="",$D2338=""),"Preencher tudo",IF($F2338="Código não cadastrado","Código inválido","OK")))</f>
        <v>0</v>
      </c>
    </row>
    <row r="2339" spans="1:8">
      <c r="A2339" s="16"/>
      <c r="B2339" s="15"/>
      <c r="C2339" s="20"/>
      <c r="D2339" s="22"/>
      <c r="E2339" s="15"/>
      <c r="F2339" s="23">
        <f>IF($B2339="","",IFERROR(INDEX(ProdNome,MATCH($B2339,ProdCod,0)),"Código não cadastrado"))</f>
        <v>0</v>
      </c>
      <c r="G2339" s="24">
        <f>IF(OR($B2339="",$D2339=""),"",$D2339*IFERROR(INDEX(ProdCusto,MATCH($B2339,ProdCod,0)),0))</f>
        <v>0</v>
      </c>
      <c r="H2339" s="25">
        <f>IF($A2339="","",IF(OR($B2339="",$C2339="",$D2339=""),"Preencher tudo",IF($F2339="Código não cadastrado","Código inválido","OK")))</f>
        <v>0</v>
      </c>
    </row>
    <row r="2340" spans="1:8">
      <c r="A2340" s="16"/>
      <c r="B2340" s="15"/>
      <c r="C2340" s="20"/>
      <c r="D2340" s="22"/>
      <c r="E2340" s="15"/>
      <c r="F2340" s="23">
        <f>IF($B2340="","",IFERROR(INDEX(ProdNome,MATCH($B2340,ProdCod,0)),"Código não cadastrado"))</f>
        <v>0</v>
      </c>
      <c r="G2340" s="24">
        <f>IF(OR($B2340="",$D2340=""),"",$D2340*IFERROR(INDEX(ProdCusto,MATCH($B2340,ProdCod,0)),0))</f>
        <v>0</v>
      </c>
      <c r="H2340" s="25">
        <f>IF($A2340="","",IF(OR($B2340="",$C2340="",$D2340=""),"Preencher tudo",IF($F2340="Código não cadastrado","Código inválido","OK")))</f>
        <v>0</v>
      </c>
    </row>
    <row r="2341" spans="1:8">
      <c r="A2341" s="16"/>
      <c r="B2341" s="15"/>
      <c r="C2341" s="20"/>
      <c r="D2341" s="22"/>
      <c r="E2341" s="15"/>
      <c r="F2341" s="23">
        <f>IF($B2341="","",IFERROR(INDEX(ProdNome,MATCH($B2341,ProdCod,0)),"Código não cadastrado"))</f>
        <v>0</v>
      </c>
      <c r="G2341" s="24">
        <f>IF(OR($B2341="",$D2341=""),"",$D2341*IFERROR(INDEX(ProdCusto,MATCH($B2341,ProdCod,0)),0))</f>
        <v>0</v>
      </c>
      <c r="H2341" s="25">
        <f>IF($A2341="","",IF(OR($B2341="",$C2341="",$D2341=""),"Preencher tudo",IF($F2341="Código não cadastrado","Código inválido","OK")))</f>
        <v>0</v>
      </c>
    </row>
    <row r="2342" spans="1:8">
      <c r="A2342" s="16"/>
      <c r="B2342" s="15"/>
      <c r="C2342" s="20"/>
      <c r="D2342" s="22"/>
      <c r="E2342" s="15"/>
      <c r="F2342" s="23">
        <f>IF($B2342="","",IFERROR(INDEX(ProdNome,MATCH($B2342,ProdCod,0)),"Código não cadastrado"))</f>
        <v>0</v>
      </c>
      <c r="G2342" s="24">
        <f>IF(OR($B2342="",$D2342=""),"",$D2342*IFERROR(INDEX(ProdCusto,MATCH($B2342,ProdCod,0)),0))</f>
        <v>0</v>
      </c>
      <c r="H2342" s="25">
        <f>IF($A2342="","",IF(OR($B2342="",$C2342="",$D2342=""),"Preencher tudo",IF($F2342="Código não cadastrado","Código inválido","OK")))</f>
        <v>0</v>
      </c>
    </row>
    <row r="2343" spans="1:8">
      <c r="A2343" s="16"/>
      <c r="B2343" s="15"/>
      <c r="C2343" s="20"/>
      <c r="D2343" s="22"/>
      <c r="E2343" s="15"/>
      <c r="F2343" s="23">
        <f>IF($B2343="","",IFERROR(INDEX(ProdNome,MATCH($B2343,ProdCod,0)),"Código não cadastrado"))</f>
        <v>0</v>
      </c>
      <c r="G2343" s="24">
        <f>IF(OR($B2343="",$D2343=""),"",$D2343*IFERROR(INDEX(ProdCusto,MATCH($B2343,ProdCod,0)),0))</f>
        <v>0</v>
      </c>
      <c r="H2343" s="25">
        <f>IF($A2343="","",IF(OR($B2343="",$C2343="",$D2343=""),"Preencher tudo",IF($F2343="Código não cadastrado","Código inválido","OK")))</f>
        <v>0</v>
      </c>
    </row>
    <row r="2344" spans="1:8">
      <c r="A2344" s="16"/>
      <c r="B2344" s="15"/>
      <c r="C2344" s="20"/>
      <c r="D2344" s="22"/>
      <c r="E2344" s="15"/>
      <c r="F2344" s="23">
        <f>IF($B2344="","",IFERROR(INDEX(ProdNome,MATCH($B2344,ProdCod,0)),"Código não cadastrado"))</f>
        <v>0</v>
      </c>
      <c r="G2344" s="24">
        <f>IF(OR($B2344="",$D2344=""),"",$D2344*IFERROR(INDEX(ProdCusto,MATCH($B2344,ProdCod,0)),0))</f>
        <v>0</v>
      </c>
      <c r="H2344" s="25">
        <f>IF($A2344="","",IF(OR($B2344="",$C2344="",$D2344=""),"Preencher tudo",IF($F2344="Código não cadastrado","Código inválido","OK")))</f>
        <v>0</v>
      </c>
    </row>
    <row r="2345" spans="1:8">
      <c r="A2345" s="16"/>
      <c r="B2345" s="15"/>
      <c r="C2345" s="20"/>
      <c r="D2345" s="22"/>
      <c r="E2345" s="15"/>
      <c r="F2345" s="23">
        <f>IF($B2345="","",IFERROR(INDEX(ProdNome,MATCH($B2345,ProdCod,0)),"Código não cadastrado"))</f>
        <v>0</v>
      </c>
      <c r="G2345" s="24">
        <f>IF(OR($B2345="",$D2345=""),"",$D2345*IFERROR(INDEX(ProdCusto,MATCH($B2345,ProdCod,0)),0))</f>
        <v>0</v>
      </c>
      <c r="H2345" s="25">
        <f>IF($A2345="","",IF(OR($B2345="",$C2345="",$D2345=""),"Preencher tudo",IF($F2345="Código não cadastrado","Código inválido","OK")))</f>
        <v>0</v>
      </c>
    </row>
    <row r="2346" spans="1:8">
      <c r="A2346" s="16"/>
      <c r="B2346" s="15"/>
      <c r="C2346" s="20"/>
      <c r="D2346" s="22"/>
      <c r="E2346" s="15"/>
      <c r="F2346" s="23">
        <f>IF($B2346="","",IFERROR(INDEX(ProdNome,MATCH($B2346,ProdCod,0)),"Código não cadastrado"))</f>
        <v>0</v>
      </c>
      <c r="G2346" s="24">
        <f>IF(OR($B2346="",$D2346=""),"",$D2346*IFERROR(INDEX(ProdCusto,MATCH($B2346,ProdCod,0)),0))</f>
        <v>0</v>
      </c>
      <c r="H2346" s="25">
        <f>IF($A2346="","",IF(OR($B2346="",$C2346="",$D2346=""),"Preencher tudo",IF($F2346="Código não cadastrado","Código inválido","OK")))</f>
        <v>0</v>
      </c>
    </row>
    <row r="2347" spans="1:8">
      <c r="A2347" s="16"/>
      <c r="B2347" s="15"/>
      <c r="C2347" s="20"/>
      <c r="D2347" s="22"/>
      <c r="E2347" s="15"/>
      <c r="F2347" s="23">
        <f>IF($B2347="","",IFERROR(INDEX(ProdNome,MATCH($B2347,ProdCod,0)),"Código não cadastrado"))</f>
        <v>0</v>
      </c>
      <c r="G2347" s="24">
        <f>IF(OR($B2347="",$D2347=""),"",$D2347*IFERROR(INDEX(ProdCusto,MATCH($B2347,ProdCod,0)),0))</f>
        <v>0</v>
      </c>
      <c r="H2347" s="25">
        <f>IF($A2347="","",IF(OR($B2347="",$C2347="",$D2347=""),"Preencher tudo",IF($F2347="Código não cadastrado","Código inválido","OK")))</f>
        <v>0</v>
      </c>
    </row>
    <row r="2348" spans="1:8">
      <c r="A2348" s="16"/>
      <c r="B2348" s="15"/>
      <c r="C2348" s="20"/>
      <c r="D2348" s="22"/>
      <c r="E2348" s="15"/>
      <c r="F2348" s="23">
        <f>IF($B2348="","",IFERROR(INDEX(ProdNome,MATCH($B2348,ProdCod,0)),"Código não cadastrado"))</f>
        <v>0</v>
      </c>
      <c r="G2348" s="24">
        <f>IF(OR($B2348="",$D2348=""),"",$D2348*IFERROR(INDEX(ProdCusto,MATCH($B2348,ProdCod,0)),0))</f>
        <v>0</v>
      </c>
      <c r="H2348" s="25">
        <f>IF($A2348="","",IF(OR($B2348="",$C2348="",$D2348=""),"Preencher tudo",IF($F2348="Código não cadastrado","Código inválido","OK")))</f>
        <v>0</v>
      </c>
    </row>
    <row r="2349" spans="1:8">
      <c r="A2349" s="16"/>
      <c r="B2349" s="15"/>
      <c r="C2349" s="20"/>
      <c r="D2349" s="22"/>
      <c r="E2349" s="15"/>
      <c r="F2349" s="23">
        <f>IF($B2349="","",IFERROR(INDEX(ProdNome,MATCH($B2349,ProdCod,0)),"Código não cadastrado"))</f>
        <v>0</v>
      </c>
      <c r="G2349" s="24">
        <f>IF(OR($B2349="",$D2349=""),"",$D2349*IFERROR(INDEX(ProdCusto,MATCH($B2349,ProdCod,0)),0))</f>
        <v>0</v>
      </c>
      <c r="H2349" s="25">
        <f>IF($A2349="","",IF(OR($B2349="",$C2349="",$D2349=""),"Preencher tudo",IF($F2349="Código não cadastrado","Código inválido","OK")))</f>
        <v>0</v>
      </c>
    </row>
    <row r="2350" spans="1:8">
      <c r="A2350" s="16"/>
      <c r="B2350" s="15"/>
      <c r="C2350" s="20"/>
      <c r="D2350" s="22"/>
      <c r="E2350" s="15"/>
      <c r="F2350" s="23">
        <f>IF($B2350="","",IFERROR(INDEX(ProdNome,MATCH($B2350,ProdCod,0)),"Código não cadastrado"))</f>
        <v>0</v>
      </c>
      <c r="G2350" s="24">
        <f>IF(OR($B2350="",$D2350=""),"",$D2350*IFERROR(INDEX(ProdCusto,MATCH($B2350,ProdCod,0)),0))</f>
        <v>0</v>
      </c>
      <c r="H2350" s="25">
        <f>IF($A2350="","",IF(OR($B2350="",$C2350="",$D2350=""),"Preencher tudo",IF($F2350="Código não cadastrado","Código inválido","OK")))</f>
        <v>0</v>
      </c>
    </row>
    <row r="2351" spans="1:8">
      <c r="A2351" s="16"/>
      <c r="B2351" s="15"/>
      <c r="C2351" s="20"/>
      <c r="D2351" s="22"/>
      <c r="E2351" s="15"/>
      <c r="F2351" s="23">
        <f>IF($B2351="","",IFERROR(INDEX(ProdNome,MATCH($B2351,ProdCod,0)),"Código não cadastrado"))</f>
        <v>0</v>
      </c>
      <c r="G2351" s="24">
        <f>IF(OR($B2351="",$D2351=""),"",$D2351*IFERROR(INDEX(ProdCusto,MATCH($B2351,ProdCod,0)),0))</f>
        <v>0</v>
      </c>
      <c r="H2351" s="25">
        <f>IF($A2351="","",IF(OR($B2351="",$C2351="",$D2351=""),"Preencher tudo",IF($F2351="Código não cadastrado","Código inválido","OK")))</f>
        <v>0</v>
      </c>
    </row>
    <row r="2352" spans="1:8">
      <c r="A2352" s="16"/>
      <c r="B2352" s="15"/>
      <c r="C2352" s="20"/>
      <c r="D2352" s="22"/>
      <c r="E2352" s="15"/>
      <c r="F2352" s="23">
        <f>IF($B2352="","",IFERROR(INDEX(ProdNome,MATCH($B2352,ProdCod,0)),"Código não cadastrado"))</f>
        <v>0</v>
      </c>
      <c r="G2352" s="24">
        <f>IF(OR($B2352="",$D2352=""),"",$D2352*IFERROR(INDEX(ProdCusto,MATCH($B2352,ProdCod,0)),0))</f>
        <v>0</v>
      </c>
      <c r="H2352" s="25">
        <f>IF($A2352="","",IF(OR($B2352="",$C2352="",$D2352=""),"Preencher tudo",IF($F2352="Código não cadastrado","Código inválido","OK")))</f>
        <v>0</v>
      </c>
    </row>
    <row r="2353" spans="1:8">
      <c r="A2353" s="16"/>
      <c r="B2353" s="15"/>
      <c r="C2353" s="20"/>
      <c r="D2353" s="22"/>
      <c r="E2353" s="15"/>
      <c r="F2353" s="23">
        <f>IF($B2353="","",IFERROR(INDEX(ProdNome,MATCH($B2353,ProdCod,0)),"Código não cadastrado"))</f>
        <v>0</v>
      </c>
      <c r="G2353" s="24">
        <f>IF(OR($B2353="",$D2353=""),"",$D2353*IFERROR(INDEX(ProdCusto,MATCH($B2353,ProdCod,0)),0))</f>
        <v>0</v>
      </c>
      <c r="H2353" s="25">
        <f>IF($A2353="","",IF(OR($B2353="",$C2353="",$D2353=""),"Preencher tudo",IF($F2353="Código não cadastrado","Código inválido","OK")))</f>
        <v>0</v>
      </c>
    </row>
    <row r="2354" spans="1:8">
      <c r="A2354" s="16"/>
      <c r="B2354" s="15"/>
      <c r="C2354" s="20"/>
      <c r="D2354" s="22"/>
      <c r="E2354" s="15"/>
      <c r="F2354" s="23">
        <f>IF($B2354="","",IFERROR(INDEX(ProdNome,MATCH($B2354,ProdCod,0)),"Código não cadastrado"))</f>
        <v>0</v>
      </c>
      <c r="G2354" s="24">
        <f>IF(OR($B2354="",$D2354=""),"",$D2354*IFERROR(INDEX(ProdCusto,MATCH($B2354,ProdCod,0)),0))</f>
        <v>0</v>
      </c>
      <c r="H2354" s="25">
        <f>IF($A2354="","",IF(OR($B2354="",$C2354="",$D2354=""),"Preencher tudo",IF($F2354="Código não cadastrado","Código inválido","OK")))</f>
        <v>0</v>
      </c>
    </row>
    <row r="2355" spans="1:8">
      <c r="A2355" s="16"/>
      <c r="B2355" s="15"/>
      <c r="C2355" s="20"/>
      <c r="D2355" s="22"/>
      <c r="E2355" s="15"/>
      <c r="F2355" s="23">
        <f>IF($B2355="","",IFERROR(INDEX(ProdNome,MATCH($B2355,ProdCod,0)),"Código não cadastrado"))</f>
        <v>0</v>
      </c>
      <c r="G2355" s="24">
        <f>IF(OR($B2355="",$D2355=""),"",$D2355*IFERROR(INDEX(ProdCusto,MATCH($B2355,ProdCod,0)),0))</f>
        <v>0</v>
      </c>
      <c r="H2355" s="25">
        <f>IF($A2355="","",IF(OR($B2355="",$C2355="",$D2355=""),"Preencher tudo",IF($F2355="Código não cadastrado","Código inválido","OK")))</f>
        <v>0</v>
      </c>
    </row>
    <row r="2356" spans="1:8">
      <c r="A2356" s="16"/>
      <c r="B2356" s="15"/>
      <c r="C2356" s="20"/>
      <c r="D2356" s="22"/>
      <c r="E2356" s="15"/>
      <c r="F2356" s="23">
        <f>IF($B2356="","",IFERROR(INDEX(ProdNome,MATCH($B2356,ProdCod,0)),"Código não cadastrado"))</f>
        <v>0</v>
      </c>
      <c r="G2356" s="24">
        <f>IF(OR($B2356="",$D2356=""),"",$D2356*IFERROR(INDEX(ProdCusto,MATCH($B2356,ProdCod,0)),0))</f>
        <v>0</v>
      </c>
      <c r="H2356" s="25">
        <f>IF($A2356="","",IF(OR($B2356="",$C2356="",$D2356=""),"Preencher tudo",IF($F2356="Código não cadastrado","Código inválido","OK")))</f>
        <v>0</v>
      </c>
    </row>
    <row r="2357" spans="1:8">
      <c r="A2357" s="16"/>
      <c r="B2357" s="15"/>
      <c r="C2357" s="20"/>
      <c r="D2357" s="22"/>
      <c r="E2357" s="15"/>
      <c r="F2357" s="23">
        <f>IF($B2357="","",IFERROR(INDEX(ProdNome,MATCH($B2357,ProdCod,0)),"Código não cadastrado"))</f>
        <v>0</v>
      </c>
      <c r="G2357" s="24">
        <f>IF(OR($B2357="",$D2357=""),"",$D2357*IFERROR(INDEX(ProdCusto,MATCH($B2357,ProdCod,0)),0))</f>
        <v>0</v>
      </c>
      <c r="H2357" s="25">
        <f>IF($A2357="","",IF(OR($B2357="",$C2357="",$D2357=""),"Preencher tudo",IF($F2357="Código não cadastrado","Código inválido","OK")))</f>
        <v>0</v>
      </c>
    </row>
    <row r="2358" spans="1:8">
      <c r="A2358" s="16"/>
      <c r="B2358" s="15"/>
      <c r="C2358" s="20"/>
      <c r="D2358" s="22"/>
      <c r="E2358" s="15"/>
      <c r="F2358" s="23">
        <f>IF($B2358="","",IFERROR(INDEX(ProdNome,MATCH($B2358,ProdCod,0)),"Código não cadastrado"))</f>
        <v>0</v>
      </c>
      <c r="G2358" s="24">
        <f>IF(OR($B2358="",$D2358=""),"",$D2358*IFERROR(INDEX(ProdCusto,MATCH($B2358,ProdCod,0)),0))</f>
        <v>0</v>
      </c>
      <c r="H2358" s="25">
        <f>IF($A2358="","",IF(OR($B2358="",$C2358="",$D2358=""),"Preencher tudo",IF($F2358="Código não cadastrado","Código inválido","OK")))</f>
        <v>0</v>
      </c>
    </row>
    <row r="2359" spans="1:8">
      <c r="A2359" s="16"/>
      <c r="B2359" s="15"/>
      <c r="C2359" s="20"/>
      <c r="D2359" s="22"/>
      <c r="E2359" s="15"/>
      <c r="F2359" s="23">
        <f>IF($B2359="","",IFERROR(INDEX(ProdNome,MATCH($B2359,ProdCod,0)),"Código não cadastrado"))</f>
        <v>0</v>
      </c>
      <c r="G2359" s="24">
        <f>IF(OR($B2359="",$D2359=""),"",$D2359*IFERROR(INDEX(ProdCusto,MATCH($B2359,ProdCod,0)),0))</f>
        <v>0</v>
      </c>
      <c r="H2359" s="25">
        <f>IF($A2359="","",IF(OR($B2359="",$C2359="",$D2359=""),"Preencher tudo",IF($F2359="Código não cadastrado","Código inválido","OK")))</f>
        <v>0</v>
      </c>
    </row>
    <row r="2360" spans="1:8">
      <c r="A2360" s="16"/>
      <c r="B2360" s="15"/>
      <c r="C2360" s="20"/>
      <c r="D2360" s="22"/>
      <c r="E2360" s="15"/>
      <c r="F2360" s="23">
        <f>IF($B2360="","",IFERROR(INDEX(ProdNome,MATCH($B2360,ProdCod,0)),"Código não cadastrado"))</f>
        <v>0</v>
      </c>
      <c r="G2360" s="24">
        <f>IF(OR($B2360="",$D2360=""),"",$D2360*IFERROR(INDEX(ProdCusto,MATCH($B2360,ProdCod,0)),0))</f>
        <v>0</v>
      </c>
      <c r="H2360" s="25">
        <f>IF($A2360="","",IF(OR($B2360="",$C2360="",$D2360=""),"Preencher tudo",IF($F2360="Código não cadastrado","Código inválido","OK")))</f>
        <v>0</v>
      </c>
    </row>
    <row r="2361" spans="1:8">
      <c r="A2361" s="16"/>
      <c r="B2361" s="15"/>
      <c r="C2361" s="20"/>
      <c r="D2361" s="22"/>
      <c r="E2361" s="15"/>
      <c r="F2361" s="23">
        <f>IF($B2361="","",IFERROR(INDEX(ProdNome,MATCH($B2361,ProdCod,0)),"Código não cadastrado"))</f>
        <v>0</v>
      </c>
      <c r="G2361" s="24">
        <f>IF(OR($B2361="",$D2361=""),"",$D2361*IFERROR(INDEX(ProdCusto,MATCH($B2361,ProdCod,0)),0))</f>
        <v>0</v>
      </c>
      <c r="H2361" s="25">
        <f>IF($A2361="","",IF(OR($B2361="",$C2361="",$D2361=""),"Preencher tudo",IF($F2361="Código não cadastrado","Código inválido","OK")))</f>
        <v>0</v>
      </c>
    </row>
    <row r="2362" spans="1:8">
      <c r="A2362" s="16"/>
      <c r="B2362" s="15"/>
      <c r="C2362" s="20"/>
      <c r="D2362" s="22"/>
      <c r="E2362" s="15"/>
      <c r="F2362" s="23">
        <f>IF($B2362="","",IFERROR(INDEX(ProdNome,MATCH($B2362,ProdCod,0)),"Código não cadastrado"))</f>
        <v>0</v>
      </c>
      <c r="G2362" s="24">
        <f>IF(OR($B2362="",$D2362=""),"",$D2362*IFERROR(INDEX(ProdCusto,MATCH($B2362,ProdCod,0)),0))</f>
        <v>0</v>
      </c>
      <c r="H2362" s="25">
        <f>IF($A2362="","",IF(OR($B2362="",$C2362="",$D2362=""),"Preencher tudo",IF($F2362="Código não cadastrado","Código inválido","OK")))</f>
        <v>0</v>
      </c>
    </row>
    <row r="2363" spans="1:8">
      <c r="A2363" s="16"/>
      <c r="B2363" s="15"/>
      <c r="C2363" s="20"/>
      <c r="D2363" s="22"/>
      <c r="E2363" s="15"/>
      <c r="F2363" s="23">
        <f>IF($B2363="","",IFERROR(INDEX(ProdNome,MATCH($B2363,ProdCod,0)),"Código não cadastrado"))</f>
        <v>0</v>
      </c>
      <c r="G2363" s="24">
        <f>IF(OR($B2363="",$D2363=""),"",$D2363*IFERROR(INDEX(ProdCusto,MATCH($B2363,ProdCod,0)),0))</f>
        <v>0</v>
      </c>
      <c r="H2363" s="25">
        <f>IF($A2363="","",IF(OR($B2363="",$C2363="",$D2363=""),"Preencher tudo",IF($F2363="Código não cadastrado","Código inválido","OK")))</f>
        <v>0</v>
      </c>
    </row>
    <row r="2364" spans="1:8">
      <c r="A2364" s="16"/>
      <c r="B2364" s="15"/>
      <c r="C2364" s="20"/>
      <c r="D2364" s="22"/>
      <c r="E2364" s="15"/>
      <c r="F2364" s="23">
        <f>IF($B2364="","",IFERROR(INDEX(ProdNome,MATCH($B2364,ProdCod,0)),"Código não cadastrado"))</f>
        <v>0</v>
      </c>
      <c r="G2364" s="24">
        <f>IF(OR($B2364="",$D2364=""),"",$D2364*IFERROR(INDEX(ProdCusto,MATCH($B2364,ProdCod,0)),0))</f>
        <v>0</v>
      </c>
      <c r="H2364" s="25">
        <f>IF($A2364="","",IF(OR($B2364="",$C2364="",$D2364=""),"Preencher tudo",IF($F2364="Código não cadastrado","Código inválido","OK")))</f>
        <v>0</v>
      </c>
    </row>
    <row r="2365" spans="1:8">
      <c r="A2365" s="16"/>
      <c r="B2365" s="15"/>
      <c r="C2365" s="20"/>
      <c r="D2365" s="22"/>
      <c r="E2365" s="15"/>
      <c r="F2365" s="23">
        <f>IF($B2365="","",IFERROR(INDEX(ProdNome,MATCH($B2365,ProdCod,0)),"Código não cadastrado"))</f>
        <v>0</v>
      </c>
      <c r="G2365" s="24">
        <f>IF(OR($B2365="",$D2365=""),"",$D2365*IFERROR(INDEX(ProdCusto,MATCH($B2365,ProdCod,0)),0))</f>
        <v>0</v>
      </c>
      <c r="H2365" s="25">
        <f>IF($A2365="","",IF(OR($B2365="",$C2365="",$D2365=""),"Preencher tudo",IF($F2365="Código não cadastrado","Código inválido","OK")))</f>
        <v>0</v>
      </c>
    </row>
    <row r="2366" spans="1:8">
      <c r="A2366" s="16"/>
      <c r="B2366" s="15"/>
      <c r="C2366" s="20"/>
      <c r="D2366" s="22"/>
      <c r="E2366" s="15"/>
      <c r="F2366" s="23">
        <f>IF($B2366="","",IFERROR(INDEX(ProdNome,MATCH($B2366,ProdCod,0)),"Código não cadastrado"))</f>
        <v>0</v>
      </c>
      <c r="G2366" s="24">
        <f>IF(OR($B2366="",$D2366=""),"",$D2366*IFERROR(INDEX(ProdCusto,MATCH($B2366,ProdCod,0)),0))</f>
        <v>0</v>
      </c>
      <c r="H2366" s="25">
        <f>IF($A2366="","",IF(OR($B2366="",$C2366="",$D2366=""),"Preencher tudo",IF($F2366="Código não cadastrado","Código inválido","OK")))</f>
        <v>0</v>
      </c>
    </row>
    <row r="2367" spans="1:8">
      <c r="A2367" s="16"/>
      <c r="B2367" s="15"/>
      <c r="C2367" s="20"/>
      <c r="D2367" s="22"/>
      <c r="E2367" s="15"/>
      <c r="F2367" s="23">
        <f>IF($B2367="","",IFERROR(INDEX(ProdNome,MATCH($B2367,ProdCod,0)),"Código não cadastrado"))</f>
        <v>0</v>
      </c>
      <c r="G2367" s="24">
        <f>IF(OR($B2367="",$D2367=""),"",$D2367*IFERROR(INDEX(ProdCusto,MATCH($B2367,ProdCod,0)),0))</f>
        <v>0</v>
      </c>
      <c r="H2367" s="25">
        <f>IF($A2367="","",IF(OR($B2367="",$C2367="",$D2367=""),"Preencher tudo",IF($F2367="Código não cadastrado","Código inválido","OK")))</f>
        <v>0</v>
      </c>
    </row>
    <row r="2368" spans="1:8">
      <c r="A2368" s="16"/>
      <c r="B2368" s="15"/>
      <c r="C2368" s="20"/>
      <c r="D2368" s="22"/>
      <c r="E2368" s="15"/>
      <c r="F2368" s="23">
        <f>IF($B2368="","",IFERROR(INDEX(ProdNome,MATCH($B2368,ProdCod,0)),"Código não cadastrado"))</f>
        <v>0</v>
      </c>
      <c r="G2368" s="24">
        <f>IF(OR($B2368="",$D2368=""),"",$D2368*IFERROR(INDEX(ProdCusto,MATCH($B2368,ProdCod,0)),0))</f>
        <v>0</v>
      </c>
      <c r="H2368" s="25">
        <f>IF($A2368="","",IF(OR($B2368="",$C2368="",$D2368=""),"Preencher tudo",IF($F2368="Código não cadastrado","Código inválido","OK")))</f>
        <v>0</v>
      </c>
    </row>
    <row r="2369" spans="1:8">
      <c r="A2369" s="16"/>
      <c r="B2369" s="15"/>
      <c r="C2369" s="20"/>
      <c r="D2369" s="22"/>
      <c r="E2369" s="15"/>
      <c r="F2369" s="23">
        <f>IF($B2369="","",IFERROR(INDEX(ProdNome,MATCH($B2369,ProdCod,0)),"Código não cadastrado"))</f>
        <v>0</v>
      </c>
      <c r="G2369" s="24">
        <f>IF(OR($B2369="",$D2369=""),"",$D2369*IFERROR(INDEX(ProdCusto,MATCH($B2369,ProdCod,0)),0))</f>
        <v>0</v>
      </c>
      <c r="H2369" s="25">
        <f>IF($A2369="","",IF(OR($B2369="",$C2369="",$D2369=""),"Preencher tudo",IF($F2369="Código não cadastrado","Código inválido","OK")))</f>
        <v>0</v>
      </c>
    </row>
    <row r="2370" spans="1:8">
      <c r="A2370" s="16"/>
      <c r="B2370" s="15"/>
      <c r="C2370" s="20"/>
      <c r="D2370" s="22"/>
      <c r="E2370" s="15"/>
      <c r="F2370" s="23">
        <f>IF($B2370="","",IFERROR(INDEX(ProdNome,MATCH($B2370,ProdCod,0)),"Código não cadastrado"))</f>
        <v>0</v>
      </c>
      <c r="G2370" s="24">
        <f>IF(OR($B2370="",$D2370=""),"",$D2370*IFERROR(INDEX(ProdCusto,MATCH($B2370,ProdCod,0)),0))</f>
        <v>0</v>
      </c>
      <c r="H2370" s="25">
        <f>IF($A2370="","",IF(OR($B2370="",$C2370="",$D2370=""),"Preencher tudo",IF($F2370="Código não cadastrado","Código inválido","OK")))</f>
        <v>0</v>
      </c>
    </row>
    <row r="2371" spans="1:8">
      <c r="A2371" s="16"/>
      <c r="B2371" s="15"/>
      <c r="C2371" s="20"/>
      <c r="D2371" s="22"/>
      <c r="E2371" s="15"/>
      <c r="F2371" s="23">
        <f>IF($B2371="","",IFERROR(INDEX(ProdNome,MATCH($B2371,ProdCod,0)),"Código não cadastrado"))</f>
        <v>0</v>
      </c>
      <c r="G2371" s="24">
        <f>IF(OR($B2371="",$D2371=""),"",$D2371*IFERROR(INDEX(ProdCusto,MATCH($B2371,ProdCod,0)),0))</f>
        <v>0</v>
      </c>
      <c r="H2371" s="25">
        <f>IF($A2371="","",IF(OR($B2371="",$C2371="",$D2371=""),"Preencher tudo",IF($F2371="Código não cadastrado","Código inválido","OK")))</f>
        <v>0</v>
      </c>
    </row>
    <row r="2372" spans="1:8">
      <c r="A2372" s="16"/>
      <c r="B2372" s="15"/>
      <c r="C2372" s="20"/>
      <c r="D2372" s="22"/>
      <c r="E2372" s="15"/>
      <c r="F2372" s="23">
        <f>IF($B2372="","",IFERROR(INDEX(ProdNome,MATCH($B2372,ProdCod,0)),"Código não cadastrado"))</f>
        <v>0</v>
      </c>
      <c r="G2372" s="24">
        <f>IF(OR($B2372="",$D2372=""),"",$D2372*IFERROR(INDEX(ProdCusto,MATCH($B2372,ProdCod,0)),0))</f>
        <v>0</v>
      </c>
      <c r="H2372" s="25">
        <f>IF($A2372="","",IF(OR($B2372="",$C2372="",$D2372=""),"Preencher tudo",IF($F2372="Código não cadastrado","Código inválido","OK")))</f>
        <v>0</v>
      </c>
    </row>
    <row r="2373" spans="1:8">
      <c r="A2373" s="16"/>
      <c r="B2373" s="15"/>
      <c r="C2373" s="20"/>
      <c r="D2373" s="22"/>
      <c r="E2373" s="15"/>
      <c r="F2373" s="23">
        <f>IF($B2373="","",IFERROR(INDEX(ProdNome,MATCH($B2373,ProdCod,0)),"Código não cadastrado"))</f>
        <v>0</v>
      </c>
      <c r="G2373" s="24">
        <f>IF(OR($B2373="",$D2373=""),"",$D2373*IFERROR(INDEX(ProdCusto,MATCH($B2373,ProdCod,0)),0))</f>
        <v>0</v>
      </c>
      <c r="H2373" s="25">
        <f>IF($A2373="","",IF(OR($B2373="",$C2373="",$D2373=""),"Preencher tudo",IF($F2373="Código não cadastrado","Código inválido","OK")))</f>
        <v>0</v>
      </c>
    </row>
    <row r="2374" spans="1:8">
      <c r="A2374" s="16"/>
      <c r="B2374" s="15"/>
      <c r="C2374" s="20"/>
      <c r="D2374" s="22"/>
      <c r="E2374" s="15"/>
      <c r="F2374" s="23">
        <f>IF($B2374="","",IFERROR(INDEX(ProdNome,MATCH($B2374,ProdCod,0)),"Código não cadastrado"))</f>
        <v>0</v>
      </c>
      <c r="G2374" s="24">
        <f>IF(OR($B2374="",$D2374=""),"",$D2374*IFERROR(INDEX(ProdCusto,MATCH($B2374,ProdCod,0)),0))</f>
        <v>0</v>
      </c>
      <c r="H2374" s="25">
        <f>IF($A2374="","",IF(OR($B2374="",$C2374="",$D2374=""),"Preencher tudo",IF($F2374="Código não cadastrado","Código inválido","OK")))</f>
        <v>0</v>
      </c>
    </row>
    <row r="2375" spans="1:8">
      <c r="A2375" s="16"/>
      <c r="B2375" s="15"/>
      <c r="C2375" s="20"/>
      <c r="D2375" s="22"/>
      <c r="E2375" s="15"/>
      <c r="F2375" s="23">
        <f>IF($B2375="","",IFERROR(INDEX(ProdNome,MATCH($B2375,ProdCod,0)),"Código não cadastrado"))</f>
        <v>0</v>
      </c>
      <c r="G2375" s="24">
        <f>IF(OR($B2375="",$D2375=""),"",$D2375*IFERROR(INDEX(ProdCusto,MATCH($B2375,ProdCod,0)),0))</f>
        <v>0</v>
      </c>
      <c r="H2375" s="25">
        <f>IF($A2375="","",IF(OR($B2375="",$C2375="",$D2375=""),"Preencher tudo",IF($F2375="Código não cadastrado","Código inválido","OK")))</f>
        <v>0</v>
      </c>
    </row>
    <row r="2376" spans="1:8">
      <c r="A2376" s="16"/>
      <c r="B2376" s="15"/>
      <c r="C2376" s="20"/>
      <c r="D2376" s="22"/>
      <c r="E2376" s="15"/>
      <c r="F2376" s="23">
        <f>IF($B2376="","",IFERROR(INDEX(ProdNome,MATCH($B2376,ProdCod,0)),"Código não cadastrado"))</f>
        <v>0</v>
      </c>
      <c r="G2376" s="24">
        <f>IF(OR($B2376="",$D2376=""),"",$D2376*IFERROR(INDEX(ProdCusto,MATCH($B2376,ProdCod,0)),0))</f>
        <v>0</v>
      </c>
      <c r="H2376" s="25">
        <f>IF($A2376="","",IF(OR($B2376="",$C2376="",$D2376=""),"Preencher tudo",IF($F2376="Código não cadastrado","Código inválido","OK")))</f>
        <v>0</v>
      </c>
    </row>
    <row r="2377" spans="1:8">
      <c r="A2377" s="16"/>
      <c r="B2377" s="15"/>
      <c r="C2377" s="20"/>
      <c r="D2377" s="22"/>
      <c r="E2377" s="15"/>
      <c r="F2377" s="23">
        <f>IF($B2377="","",IFERROR(INDEX(ProdNome,MATCH($B2377,ProdCod,0)),"Código não cadastrado"))</f>
        <v>0</v>
      </c>
      <c r="G2377" s="24">
        <f>IF(OR($B2377="",$D2377=""),"",$D2377*IFERROR(INDEX(ProdCusto,MATCH($B2377,ProdCod,0)),0))</f>
        <v>0</v>
      </c>
      <c r="H2377" s="25">
        <f>IF($A2377="","",IF(OR($B2377="",$C2377="",$D2377=""),"Preencher tudo",IF($F2377="Código não cadastrado","Código inválido","OK")))</f>
        <v>0</v>
      </c>
    </row>
    <row r="2378" spans="1:8">
      <c r="A2378" s="16"/>
      <c r="B2378" s="15"/>
      <c r="C2378" s="20"/>
      <c r="D2378" s="22"/>
      <c r="E2378" s="15"/>
      <c r="F2378" s="23">
        <f>IF($B2378="","",IFERROR(INDEX(ProdNome,MATCH($B2378,ProdCod,0)),"Código não cadastrado"))</f>
        <v>0</v>
      </c>
      <c r="G2378" s="24">
        <f>IF(OR($B2378="",$D2378=""),"",$D2378*IFERROR(INDEX(ProdCusto,MATCH($B2378,ProdCod,0)),0))</f>
        <v>0</v>
      </c>
      <c r="H2378" s="25">
        <f>IF($A2378="","",IF(OR($B2378="",$C2378="",$D2378=""),"Preencher tudo",IF($F2378="Código não cadastrado","Código inválido","OK")))</f>
        <v>0</v>
      </c>
    </row>
    <row r="2379" spans="1:8">
      <c r="A2379" s="16"/>
      <c r="B2379" s="15"/>
      <c r="C2379" s="20"/>
      <c r="D2379" s="22"/>
      <c r="E2379" s="15"/>
      <c r="F2379" s="23">
        <f>IF($B2379="","",IFERROR(INDEX(ProdNome,MATCH($B2379,ProdCod,0)),"Código não cadastrado"))</f>
        <v>0</v>
      </c>
      <c r="G2379" s="24">
        <f>IF(OR($B2379="",$D2379=""),"",$D2379*IFERROR(INDEX(ProdCusto,MATCH($B2379,ProdCod,0)),0))</f>
        <v>0</v>
      </c>
      <c r="H2379" s="25">
        <f>IF($A2379="","",IF(OR($B2379="",$C2379="",$D2379=""),"Preencher tudo",IF($F2379="Código não cadastrado","Código inválido","OK")))</f>
        <v>0</v>
      </c>
    </row>
    <row r="2380" spans="1:8">
      <c r="A2380" s="16"/>
      <c r="B2380" s="15"/>
      <c r="C2380" s="20"/>
      <c r="D2380" s="22"/>
      <c r="E2380" s="15"/>
      <c r="F2380" s="23">
        <f>IF($B2380="","",IFERROR(INDEX(ProdNome,MATCH($B2380,ProdCod,0)),"Código não cadastrado"))</f>
        <v>0</v>
      </c>
      <c r="G2380" s="24">
        <f>IF(OR($B2380="",$D2380=""),"",$D2380*IFERROR(INDEX(ProdCusto,MATCH($B2380,ProdCod,0)),0))</f>
        <v>0</v>
      </c>
      <c r="H2380" s="25">
        <f>IF($A2380="","",IF(OR($B2380="",$C2380="",$D2380=""),"Preencher tudo",IF($F2380="Código não cadastrado","Código inválido","OK")))</f>
        <v>0</v>
      </c>
    </row>
    <row r="2381" spans="1:8">
      <c r="A2381" s="16"/>
      <c r="B2381" s="15"/>
      <c r="C2381" s="20"/>
      <c r="D2381" s="22"/>
      <c r="E2381" s="15"/>
      <c r="F2381" s="23">
        <f>IF($B2381="","",IFERROR(INDEX(ProdNome,MATCH($B2381,ProdCod,0)),"Código não cadastrado"))</f>
        <v>0</v>
      </c>
      <c r="G2381" s="24">
        <f>IF(OR($B2381="",$D2381=""),"",$D2381*IFERROR(INDEX(ProdCusto,MATCH($B2381,ProdCod,0)),0))</f>
        <v>0</v>
      </c>
      <c r="H2381" s="25">
        <f>IF($A2381="","",IF(OR($B2381="",$C2381="",$D2381=""),"Preencher tudo",IF($F2381="Código não cadastrado","Código inválido","OK")))</f>
        <v>0</v>
      </c>
    </row>
    <row r="2382" spans="1:8">
      <c r="A2382" s="16"/>
      <c r="B2382" s="15"/>
      <c r="C2382" s="20"/>
      <c r="D2382" s="22"/>
      <c r="E2382" s="15"/>
      <c r="F2382" s="23">
        <f>IF($B2382="","",IFERROR(INDEX(ProdNome,MATCH($B2382,ProdCod,0)),"Código não cadastrado"))</f>
        <v>0</v>
      </c>
      <c r="G2382" s="24">
        <f>IF(OR($B2382="",$D2382=""),"",$D2382*IFERROR(INDEX(ProdCusto,MATCH($B2382,ProdCod,0)),0))</f>
        <v>0</v>
      </c>
      <c r="H2382" s="25">
        <f>IF($A2382="","",IF(OR($B2382="",$C2382="",$D2382=""),"Preencher tudo",IF($F2382="Código não cadastrado","Código inválido","OK")))</f>
        <v>0</v>
      </c>
    </row>
    <row r="2383" spans="1:8">
      <c r="A2383" s="16"/>
      <c r="B2383" s="15"/>
      <c r="C2383" s="20"/>
      <c r="D2383" s="22"/>
      <c r="E2383" s="15"/>
      <c r="F2383" s="23">
        <f>IF($B2383="","",IFERROR(INDEX(ProdNome,MATCH($B2383,ProdCod,0)),"Código não cadastrado"))</f>
        <v>0</v>
      </c>
      <c r="G2383" s="24">
        <f>IF(OR($B2383="",$D2383=""),"",$D2383*IFERROR(INDEX(ProdCusto,MATCH($B2383,ProdCod,0)),0))</f>
        <v>0</v>
      </c>
      <c r="H2383" s="25">
        <f>IF($A2383="","",IF(OR($B2383="",$C2383="",$D2383=""),"Preencher tudo",IF($F2383="Código não cadastrado","Código inválido","OK")))</f>
        <v>0</v>
      </c>
    </row>
    <row r="2384" spans="1:8">
      <c r="A2384" s="16"/>
      <c r="B2384" s="15"/>
      <c r="C2384" s="20"/>
      <c r="D2384" s="22"/>
      <c r="E2384" s="15"/>
      <c r="F2384" s="23">
        <f>IF($B2384="","",IFERROR(INDEX(ProdNome,MATCH($B2384,ProdCod,0)),"Código não cadastrado"))</f>
        <v>0</v>
      </c>
      <c r="G2384" s="24">
        <f>IF(OR($B2384="",$D2384=""),"",$D2384*IFERROR(INDEX(ProdCusto,MATCH($B2384,ProdCod,0)),0))</f>
        <v>0</v>
      </c>
      <c r="H2384" s="25">
        <f>IF($A2384="","",IF(OR($B2384="",$C2384="",$D2384=""),"Preencher tudo",IF($F2384="Código não cadastrado","Código inválido","OK")))</f>
        <v>0</v>
      </c>
    </row>
    <row r="2385" spans="1:8">
      <c r="A2385" s="16"/>
      <c r="B2385" s="15"/>
      <c r="C2385" s="20"/>
      <c r="D2385" s="22"/>
      <c r="E2385" s="15"/>
      <c r="F2385" s="23">
        <f>IF($B2385="","",IFERROR(INDEX(ProdNome,MATCH($B2385,ProdCod,0)),"Código não cadastrado"))</f>
        <v>0</v>
      </c>
      <c r="G2385" s="24">
        <f>IF(OR($B2385="",$D2385=""),"",$D2385*IFERROR(INDEX(ProdCusto,MATCH($B2385,ProdCod,0)),0))</f>
        <v>0</v>
      </c>
      <c r="H2385" s="25">
        <f>IF($A2385="","",IF(OR($B2385="",$C2385="",$D2385=""),"Preencher tudo",IF($F2385="Código não cadastrado","Código inválido","OK")))</f>
        <v>0</v>
      </c>
    </row>
    <row r="2386" spans="1:8">
      <c r="A2386" s="16"/>
      <c r="B2386" s="15"/>
      <c r="C2386" s="20"/>
      <c r="D2386" s="22"/>
      <c r="E2386" s="15"/>
      <c r="F2386" s="23">
        <f>IF($B2386="","",IFERROR(INDEX(ProdNome,MATCH($B2386,ProdCod,0)),"Código não cadastrado"))</f>
        <v>0</v>
      </c>
      <c r="G2386" s="24">
        <f>IF(OR($B2386="",$D2386=""),"",$D2386*IFERROR(INDEX(ProdCusto,MATCH($B2386,ProdCod,0)),0))</f>
        <v>0</v>
      </c>
      <c r="H2386" s="25">
        <f>IF($A2386="","",IF(OR($B2386="",$C2386="",$D2386=""),"Preencher tudo",IF($F2386="Código não cadastrado","Código inválido","OK")))</f>
        <v>0</v>
      </c>
    </row>
    <row r="2387" spans="1:8">
      <c r="A2387" s="16"/>
      <c r="B2387" s="15"/>
      <c r="C2387" s="20"/>
      <c r="D2387" s="22"/>
      <c r="E2387" s="15"/>
      <c r="F2387" s="23">
        <f>IF($B2387="","",IFERROR(INDEX(ProdNome,MATCH($B2387,ProdCod,0)),"Código não cadastrado"))</f>
        <v>0</v>
      </c>
      <c r="G2387" s="24">
        <f>IF(OR($B2387="",$D2387=""),"",$D2387*IFERROR(INDEX(ProdCusto,MATCH($B2387,ProdCod,0)),0))</f>
        <v>0</v>
      </c>
      <c r="H2387" s="25">
        <f>IF($A2387="","",IF(OR($B2387="",$C2387="",$D2387=""),"Preencher tudo",IF($F2387="Código não cadastrado","Código inválido","OK")))</f>
        <v>0</v>
      </c>
    </row>
    <row r="2388" spans="1:8">
      <c r="A2388" s="16"/>
      <c r="B2388" s="15"/>
      <c r="C2388" s="20"/>
      <c r="D2388" s="22"/>
      <c r="E2388" s="15"/>
      <c r="F2388" s="23">
        <f>IF($B2388="","",IFERROR(INDEX(ProdNome,MATCH($B2388,ProdCod,0)),"Código não cadastrado"))</f>
        <v>0</v>
      </c>
      <c r="G2388" s="24">
        <f>IF(OR($B2388="",$D2388=""),"",$D2388*IFERROR(INDEX(ProdCusto,MATCH($B2388,ProdCod,0)),0))</f>
        <v>0</v>
      </c>
      <c r="H2388" s="25">
        <f>IF($A2388="","",IF(OR($B2388="",$C2388="",$D2388=""),"Preencher tudo",IF($F2388="Código não cadastrado","Código inválido","OK")))</f>
        <v>0</v>
      </c>
    </row>
    <row r="2389" spans="1:8">
      <c r="A2389" s="16"/>
      <c r="B2389" s="15"/>
      <c r="C2389" s="20"/>
      <c r="D2389" s="22"/>
      <c r="E2389" s="15"/>
      <c r="F2389" s="23">
        <f>IF($B2389="","",IFERROR(INDEX(ProdNome,MATCH($B2389,ProdCod,0)),"Código não cadastrado"))</f>
        <v>0</v>
      </c>
      <c r="G2389" s="24">
        <f>IF(OR($B2389="",$D2389=""),"",$D2389*IFERROR(INDEX(ProdCusto,MATCH($B2389,ProdCod,0)),0))</f>
        <v>0</v>
      </c>
      <c r="H2389" s="25">
        <f>IF($A2389="","",IF(OR($B2389="",$C2389="",$D2389=""),"Preencher tudo",IF($F2389="Código não cadastrado","Código inválido","OK")))</f>
        <v>0</v>
      </c>
    </row>
    <row r="2390" spans="1:8">
      <c r="A2390" s="16"/>
      <c r="B2390" s="15"/>
      <c r="C2390" s="20"/>
      <c r="D2390" s="22"/>
      <c r="E2390" s="15"/>
      <c r="F2390" s="23">
        <f>IF($B2390="","",IFERROR(INDEX(ProdNome,MATCH($B2390,ProdCod,0)),"Código não cadastrado"))</f>
        <v>0</v>
      </c>
      <c r="G2390" s="24">
        <f>IF(OR($B2390="",$D2390=""),"",$D2390*IFERROR(INDEX(ProdCusto,MATCH($B2390,ProdCod,0)),0))</f>
        <v>0</v>
      </c>
      <c r="H2390" s="25">
        <f>IF($A2390="","",IF(OR($B2390="",$C2390="",$D2390=""),"Preencher tudo",IF($F2390="Código não cadastrado","Código inválido","OK")))</f>
        <v>0</v>
      </c>
    </row>
    <row r="2391" spans="1:8">
      <c r="A2391" s="16"/>
      <c r="B2391" s="15"/>
      <c r="C2391" s="20"/>
      <c r="D2391" s="22"/>
      <c r="E2391" s="15"/>
      <c r="F2391" s="23">
        <f>IF($B2391="","",IFERROR(INDEX(ProdNome,MATCH($B2391,ProdCod,0)),"Código não cadastrado"))</f>
        <v>0</v>
      </c>
      <c r="G2391" s="24">
        <f>IF(OR($B2391="",$D2391=""),"",$D2391*IFERROR(INDEX(ProdCusto,MATCH($B2391,ProdCod,0)),0))</f>
        <v>0</v>
      </c>
      <c r="H2391" s="25">
        <f>IF($A2391="","",IF(OR($B2391="",$C2391="",$D2391=""),"Preencher tudo",IF($F2391="Código não cadastrado","Código inválido","OK")))</f>
        <v>0</v>
      </c>
    </row>
    <row r="2392" spans="1:8">
      <c r="A2392" s="16"/>
      <c r="B2392" s="15"/>
      <c r="C2392" s="20"/>
      <c r="D2392" s="22"/>
      <c r="E2392" s="15"/>
      <c r="F2392" s="23">
        <f>IF($B2392="","",IFERROR(INDEX(ProdNome,MATCH($B2392,ProdCod,0)),"Código não cadastrado"))</f>
        <v>0</v>
      </c>
      <c r="G2392" s="24">
        <f>IF(OR($B2392="",$D2392=""),"",$D2392*IFERROR(INDEX(ProdCusto,MATCH($B2392,ProdCod,0)),0))</f>
        <v>0</v>
      </c>
      <c r="H2392" s="25">
        <f>IF($A2392="","",IF(OR($B2392="",$C2392="",$D2392=""),"Preencher tudo",IF($F2392="Código não cadastrado","Código inválido","OK")))</f>
        <v>0</v>
      </c>
    </row>
    <row r="2393" spans="1:8">
      <c r="A2393" s="16"/>
      <c r="B2393" s="15"/>
      <c r="C2393" s="20"/>
      <c r="D2393" s="22"/>
      <c r="E2393" s="15"/>
      <c r="F2393" s="23">
        <f>IF($B2393="","",IFERROR(INDEX(ProdNome,MATCH($B2393,ProdCod,0)),"Código não cadastrado"))</f>
        <v>0</v>
      </c>
      <c r="G2393" s="24">
        <f>IF(OR($B2393="",$D2393=""),"",$D2393*IFERROR(INDEX(ProdCusto,MATCH($B2393,ProdCod,0)),0))</f>
        <v>0</v>
      </c>
      <c r="H2393" s="25">
        <f>IF($A2393="","",IF(OR($B2393="",$C2393="",$D2393=""),"Preencher tudo",IF($F2393="Código não cadastrado","Código inválido","OK")))</f>
        <v>0</v>
      </c>
    </row>
    <row r="2394" spans="1:8">
      <c r="A2394" s="16"/>
      <c r="B2394" s="15"/>
      <c r="C2394" s="20"/>
      <c r="D2394" s="22"/>
      <c r="E2394" s="15"/>
      <c r="F2394" s="23">
        <f>IF($B2394="","",IFERROR(INDEX(ProdNome,MATCH($B2394,ProdCod,0)),"Código não cadastrado"))</f>
        <v>0</v>
      </c>
      <c r="G2394" s="24">
        <f>IF(OR($B2394="",$D2394=""),"",$D2394*IFERROR(INDEX(ProdCusto,MATCH($B2394,ProdCod,0)),0))</f>
        <v>0</v>
      </c>
      <c r="H2394" s="25">
        <f>IF($A2394="","",IF(OR($B2394="",$C2394="",$D2394=""),"Preencher tudo",IF($F2394="Código não cadastrado","Código inválido","OK")))</f>
        <v>0</v>
      </c>
    </row>
    <row r="2395" spans="1:8">
      <c r="A2395" s="16"/>
      <c r="B2395" s="15"/>
      <c r="C2395" s="20"/>
      <c r="D2395" s="22"/>
      <c r="E2395" s="15"/>
      <c r="F2395" s="23">
        <f>IF($B2395="","",IFERROR(INDEX(ProdNome,MATCH($B2395,ProdCod,0)),"Código não cadastrado"))</f>
        <v>0</v>
      </c>
      <c r="G2395" s="24">
        <f>IF(OR($B2395="",$D2395=""),"",$D2395*IFERROR(INDEX(ProdCusto,MATCH($B2395,ProdCod,0)),0))</f>
        <v>0</v>
      </c>
      <c r="H2395" s="25">
        <f>IF($A2395="","",IF(OR($B2395="",$C2395="",$D2395=""),"Preencher tudo",IF($F2395="Código não cadastrado","Código inválido","OK")))</f>
        <v>0</v>
      </c>
    </row>
    <row r="2396" spans="1:8">
      <c r="A2396" s="16"/>
      <c r="B2396" s="15"/>
      <c r="C2396" s="20"/>
      <c r="D2396" s="22"/>
      <c r="E2396" s="15"/>
      <c r="F2396" s="23">
        <f>IF($B2396="","",IFERROR(INDEX(ProdNome,MATCH($B2396,ProdCod,0)),"Código não cadastrado"))</f>
        <v>0</v>
      </c>
      <c r="G2396" s="24">
        <f>IF(OR($B2396="",$D2396=""),"",$D2396*IFERROR(INDEX(ProdCusto,MATCH($B2396,ProdCod,0)),0))</f>
        <v>0</v>
      </c>
      <c r="H2396" s="25">
        <f>IF($A2396="","",IF(OR($B2396="",$C2396="",$D2396=""),"Preencher tudo",IF($F2396="Código não cadastrado","Código inválido","OK")))</f>
        <v>0</v>
      </c>
    </row>
    <row r="2397" spans="1:8">
      <c r="A2397" s="16"/>
      <c r="B2397" s="15"/>
      <c r="C2397" s="20"/>
      <c r="D2397" s="22"/>
      <c r="E2397" s="15"/>
      <c r="F2397" s="23">
        <f>IF($B2397="","",IFERROR(INDEX(ProdNome,MATCH($B2397,ProdCod,0)),"Código não cadastrado"))</f>
        <v>0</v>
      </c>
      <c r="G2397" s="24">
        <f>IF(OR($B2397="",$D2397=""),"",$D2397*IFERROR(INDEX(ProdCusto,MATCH($B2397,ProdCod,0)),0))</f>
        <v>0</v>
      </c>
      <c r="H2397" s="25">
        <f>IF($A2397="","",IF(OR($B2397="",$C2397="",$D2397=""),"Preencher tudo",IF($F2397="Código não cadastrado","Código inválido","OK")))</f>
        <v>0</v>
      </c>
    </row>
    <row r="2398" spans="1:8">
      <c r="A2398" s="16"/>
      <c r="B2398" s="15"/>
      <c r="C2398" s="20"/>
      <c r="D2398" s="22"/>
      <c r="E2398" s="15"/>
      <c r="F2398" s="23">
        <f>IF($B2398="","",IFERROR(INDEX(ProdNome,MATCH($B2398,ProdCod,0)),"Código não cadastrado"))</f>
        <v>0</v>
      </c>
      <c r="G2398" s="24">
        <f>IF(OR($B2398="",$D2398=""),"",$D2398*IFERROR(INDEX(ProdCusto,MATCH($B2398,ProdCod,0)),0))</f>
        <v>0</v>
      </c>
      <c r="H2398" s="25">
        <f>IF($A2398="","",IF(OR($B2398="",$C2398="",$D2398=""),"Preencher tudo",IF($F2398="Código não cadastrado","Código inválido","OK")))</f>
        <v>0</v>
      </c>
    </row>
    <row r="2399" spans="1:8">
      <c r="A2399" s="16"/>
      <c r="B2399" s="15"/>
      <c r="C2399" s="20"/>
      <c r="D2399" s="22"/>
      <c r="E2399" s="15"/>
      <c r="F2399" s="23">
        <f>IF($B2399="","",IFERROR(INDEX(ProdNome,MATCH($B2399,ProdCod,0)),"Código não cadastrado"))</f>
        <v>0</v>
      </c>
      <c r="G2399" s="24">
        <f>IF(OR($B2399="",$D2399=""),"",$D2399*IFERROR(INDEX(ProdCusto,MATCH($B2399,ProdCod,0)),0))</f>
        <v>0</v>
      </c>
      <c r="H2399" s="25">
        <f>IF($A2399="","",IF(OR($B2399="",$C2399="",$D2399=""),"Preencher tudo",IF($F2399="Código não cadastrado","Código inválido","OK")))</f>
        <v>0</v>
      </c>
    </row>
    <row r="2400" spans="1:8">
      <c r="A2400" s="16"/>
      <c r="B2400" s="15"/>
      <c r="C2400" s="20"/>
      <c r="D2400" s="22"/>
      <c r="E2400" s="15"/>
      <c r="F2400" s="23">
        <f>IF($B2400="","",IFERROR(INDEX(ProdNome,MATCH($B2400,ProdCod,0)),"Código não cadastrado"))</f>
        <v>0</v>
      </c>
      <c r="G2400" s="24">
        <f>IF(OR($B2400="",$D2400=""),"",$D2400*IFERROR(INDEX(ProdCusto,MATCH($B2400,ProdCod,0)),0))</f>
        <v>0</v>
      </c>
      <c r="H2400" s="25">
        <f>IF($A2400="","",IF(OR($B2400="",$C2400="",$D2400=""),"Preencher tudo",IF($F2400="Código não cadastrado","Código inválido","OK")))</f>
        <v>0</v>
      </c>
    </row>
    <row r="2401" spans="1:8">
      <c r="A2401" s="16"/>
      <c r="B2401" s="15"/>
      <c r="C2401" s="20"/>
      <c r="D2401" s="22"/>
      <c r="E2401" s="15"/>
      <c r="F2401" s="23">
        <f>IF($B2401="","",IFERROR(INDEX(ProdNome,MATCH($B2401,ProdCod,0)),"Código não cadastrado"))</f>
        <v>0</v>
      </c>
      <c r="G2401" s="24">
        <f>IF(OR($B2401="",$D2401=""),"",$D2401*IFERROR(INDEX(ProdCusto,MATCH($B2401,ProdCod,0)),0))</f>
        <v>0</v>
      </c>
      <c r="H2401" s="25">
        <f>IF($A2401="","",IF(OR($B2401="",$C2401="",$D2401=""),"Preencher tudo",IF($F2401="Código não cadastrado","Código inválido","OK")))</f>
        <v>0</v>
      </c>
    </row>
    <row r="2402" spans="1:8">
      <c r="A2402" s="16"/>
      <c r="B2402" s="15"/>
      <c r="C2402" s="20"/>
      <c r="D2402" s="22"/>
      <c r="E2402" s="15"/>
      <c r="F2402" s="23">
        <f>IF($B2402="","",IFERROR(INDEX(ProdNome,MATCH($B2402,ProdCod,0)),"Código não cadastrado"))</f>
        <v>0</v>
      </c>
      <c r="G2402" s="24">
        <f>IF(OR($B2402="",$D2402=""),"",$D2402*IFERROR(INDEX(ProdCusto,MATCH($B2402,ProdCod,0)),0))</f>
        <v>0</v>
      </c>
      <c r="H2402" s="25">
        <f>IF($A2402="","",IF(OR($B2402="",$C2402="",$D2402=""),"Preencher tudo",IF($F2402="Código não cadastrado","Código inválido","OK")))</f>
        <v>0</v>
      </c>
    </row>
    <row r="2403" spans="1:8">
      <c r="A2403" s="16"/>
      <c r="B2403" s="15"/>
      <c r="C2403" s="20"/>
      <c r="D2403" s="22"/>
      <c r="E2403" s="15"/>
      <c r="F2403" s="23">
        <f>IF($B2403="","",IFERROR(INDEX(ProdNome,MATCH($B2403,ProdCod,0)),"Código não cadastrado"))</f>
        <v>0</v>
      </c>
      <c r="G2403" s="24">
        <f>IF(OR($B2403="",$D2403=""),"",$D2403*IFERROR(INDEX(ProdCusto,MATCH($B2403,ProdCod,0)),0))</f>
        <v>0</v>
      </c>
      <c r="H2403" s="25">
        <f>IF($A2403="","",IF(OR($B2403="",$C2403="",$D2403=""),"Preencher tudo",IF($F2403="Código não cadastrado","Código inválido","OK")))</f>
        <v>0</v>
      </c>
    </row>
    <row r="2404" spans="1:8">
      <c r="A2404" s="16"/>
      <c r="B2404" s="15"/>
      <c r="C2404" s="20"/>
      <c r="D2404" s="22"/>
      <c r="E2404" s="15"/>
      <c r="F2404" s="23">
        <f>IF($B2404="","",IFERROR(INDEX(ProdNome,MATCH($B2404,ProdCod,0)),"Código não cadastrado"))</f>
        <v>0</v>
      </c>
      <c r="G2404" s="24">
        <f>IF(OR($B2404="",$D2404=""),"",$D2404*IFERROR(INDEX(ProdCusto,MATCH($B2404,ProdCod,0)),0))</f>
        <v>0</v>
      </c>
      <c r="H2404" s="25">
        <f>IF($A2404="","",IF(OR($B2404="",$C2404="",$D2404=""),"Preencher tudo",IF($F2404="Código não cadastrado","Código inválido","OK")))</f>
        <v>0</v>
      </c>
    </row>
    <row r="2405" spans="1:8">
      <c r="A2405" s="16"/>
      <c r="B2405" s="15"/>
      <c r="C2405" s="20"/>
      <c r="D2405" s="22"/>
      <c r="E2405" s="15"/>
      <c r="F2405" s="23">
        <f>IF($B2405="","",IFERROR(INDEX(ProdNome,MATCH($B2405,ProdCod,0)),"Código não cadastrado"))</f>
        <v>0</v>
      </c>
      <c r="G2405" s="24">
        <f>IF(OR($B2405="",$D2405=""),"",$D2405*IFERROR(INDEX(ProdCusto,MATCH($B2405,ProdCod,0)),0))</f>
        <v>0</v>
      </c>
      <c r="H2405" s="25">
        <f>IF($A2405="","",IF(OR($B2405="",$C2405="",$D2405=""),"Preencher tudo",IF($F2405="Código não cadastrado","Código inválido","OK")))</f>
        <v>0</v>
      </c>
    </row>
    <row r="2406" spans="1:8">
      <c r="A2406" s="16"/>
      <c r="B2406" s="15"/>
      <c r="C2406" s="20"/>
      <c r="D2406" s="22"/>
      <c r="E2406" s="15"/>
      <c r="F2406" s="23">
        <f>IF($B2406="","",IFERROR(INDEX(ProdNome,MATCH($B2406,ProdCod,0)),"Código não cadastrado"))</f>
        <v>0</v>
      </c>
      <c r="G2406" s="24">
        <f>IF(OR($B2406="",$D2406=""),"",$D2406*IFERROR(INDEX(ProdCusto,MATCH($B2406,ProdCod,0)),0))</f>
        <v>0</v>
      </c>
      <c r="H2406" s="25">
        <f>IF($A2406="","",IF(OR($B2406="",$C2406="",$D2406=""),"Preencher tudo",IF($F2406="Código não cadastrado","Código inválido","OK")))</f>
        <v>0</v>
      </c>
    </row>
    <row r="2407" spans="1:8">
      <c r="A2407" s="16"/>
      <c r="B2407" s="15"/>
      <c r="C2407" s="20"/>
      <c r="D2407" s="22"/>
      <c r="E2407" s="15"/>
      <c r="F2407" s="23">
        <f>IF($B2407="","",IFERROR(INDEX(ProdNome,MATCH($B2407,ProdCod,0)),"Código não cadastrado"))</f>
        <v>0</v>
      </c>
      <c r="G2407" s="24">
        <f>IF(OR($B2407="",$D2407=""),"",$D2407*IFERROR(INDEX(ProdCusto,MATCH($B2407,ProdCod,0)),0))</f>
        <v>0</v>
      </c>
      <c r="H2407" s="25">
        <f>IF($A2407="","",IF(OR($B2407="",$C2407="",$D2407=""),"Preencher tudo",IF($F2407="Código não cadastrado","Código inválido","OK")))</f>
        <v>0</v>
      </c>
    </row>
    <row r="2408" spans="1:8">
      <c r="A2408" s="16"/>
      <c r="B2408" s="15"/>
      <c r="C2408" s="20"/>
      <c r="D2408" s="22"/>
      <c r="E2408" s="15"/>
      <c r="F2408" s="23">
        <f>IF($B2408="","",IFERROR(INDEX(ProdNome,MATCH($B2408,ProdCod,0)),"Código não cadastrado"))</f>
        <v>0</v>
      </c>
      <c r="G2408" s="24">
        <f>IF(OR($B2408="",$D2408=""),"",$D2408*IFERROR(INDEX(ProdCusto,MATCH($B2408,ProdCod,0)),0))</f>
        <v>0</v>
      </c>
      <c r="H2408" s="25">
        <f>IF($A2408="","",IF(OR($B2408="",$C2408="",$D2408=""),"Preencher tudo",IF($F2408="Código não cadastrado","Código inválido","OK")))</f>
        <v>0</v>
      </c>
    </row>
    <row r="2409" spans="1:8">
      <c r="A2409" s="16"/>
      <c r="B2409" s="15"/>
      <c r="C2409" s="20"/>
      <c r="D2409" s="22"/>
      <c r="E2409" s="15"/>
      <c r="F2409" s="23">
        <f>IF($B2409="","",IFERROR(INDEX(ProdNome,MATCH($B2409,ProdCod,0)),"Código não cadastrado"))</f>
        <v>0</v>
      </c>
      <c r="G2409" s="24">
        <f>IF(OR($B2409="",$D2409=""),"",$D2409*IFERROR(INDEX(ProdCusto,MATCH($B2409,ProdCod,0)),0))</f>
        <v>0</v>
      </c>
      <c r="H2409" s="25">
        <f>IF($A2409="","",IF(OR($B2409="",$C2409="",$D2409=""),"Preencher tudo",IF($F2409="Código não cadastrado","Código inválido","OK")))</f>
        <v>0</v>
      </c>
    </row>
    <row r="2410" spans="1:8">
      <c r="A2410" s="16"/>
      <c r="B2410" s="15"/>
      <c r="C2410" s="20"/>
      <c r="D2410" s="22"/>
      <c r="E2410" s="15"/>
      <c r="F2410" s="23">
        <f>IF($B2410="","",IFERROR(INDEX(ProdNome,MATCH($B2410,ProdCod,0)),"Código não cadastrado"))</f>
        <v>0</v>
      </c>
      <c r="G2410" s="24">
        <f>IF(OR($B2410="",$D2410=""),"",$D2410*IFERROR(INDEX(ProdCusto,MATCH($B2410,ProdCod,0)),0))</f>
        <v>0</v>
      </c>
      <c r="H2410" s="25">
        <f>IF($A2410="","",IF(OR($B2410="",$C2410="",$D2410=""),"Preencher tudo",IF($F2410="Código não cadastrado","Código inválido","OK")))</f>
        <v>0</v>
      </c>
    </row>
    <row r="2411" spans="1:8">
      <c r="A2411" s="16"/>
      <c r="B2411" s="15"/>
      <c r="C2411" s="20"/>
      <c r="D2411" s="22"/>
      <c r="E2411" s="15"/>
      <c r="F2411" s="23">
        <f>IF($B2411="","",IFERROR(INDEX(ProdNome,MATCH($B2411,ProdCod,0)),"Código não cadastrado"))</f>
        <v>0</v>
      </c>
      <c r="G2411" s="24">
        <f>IF(OR($B2411="",$D2411=""),"",$D2411*IFERROR(INDEX(ProdCusto,MATCH($B2411,ProdCod,0)),0))</f>
        <v>0</v>
      </c>
      <c r="H2411" s="25">
        <f>IF($A2411="","",IF(OR($B2411="",$C2411="",$D2411=""),"Preencher tudo",IF($F2411="Código não cadastrado","Código inválido","OK")))</f>
        <v>0</v>
      </c>
    </row>
    <row r="2412" spans="1:8">
      <c r="A2412" s="16"/>
      <c r="B2412" s="15"/>
      <c r="C2412" s="20"/>
      <c r="D2412" s="22"/>
      <c r="E2412" s="15"/>
      <c r="F2412" s="23">
        <f>IF($B2412="","",IFERROR(INDEX(ProdNome,MATCH($B2412,ProdCod,0)),"Código não cadastrado"))</f>
        <v>0</v>
      </c>
      <c r="G2412" s="24">
        <f>IF(OR($B2412="",$D2412=""),"",$D2412*IFERROR(INDEX(ProdCusto,MATCH($B2412,ProdCod,0)),0))</f>
        <v>0</v>
      </c>
      <c r="H2412" s="25">
        <f>IF($A2412="","",IF(OR($B2412="",$C2412="",$D2412=""),"Preencher tudo",IF($F2412="Código não cadastrado","Código inválido","OK")))</f>
        <v>0</v>
      </c>
    </row>
    <row r="2413" spans="1:8">
      <c r="A2413" s="16"/>
      <c r="B2413" s="15"/>
      <c r="C2413" s="20"/>
      <c r="D2413" s="22"/>
      <c r="E2413" s="15"/>
      <c r="F2413" s="23">
        <f>IF($B2413="","",IFERROR(INDEX(ProdNome,MATCH($B2413,ProdCod,0)),"Código não cadastrado"))</f>
        <v>0</v>
      </c>
      <c r="G2413" s="24">
        <f>IF(OR($B2413="",$D2413=""),"",$D2413*IFERROR(INDEX(ProdCusto,MATCH($B2413,ProdCod,0)),0))</f>
        <v>0</v>
      </c>
      <c r="H2413" s="25">
        <f>IF($A2413="","",IF(OR($B2413="",$C2413="",$D2413=""),"Preencher tudo",IF($F2413="Código não cadastrado","Código inválido","OK")))</f>
        <v>0</v>
      </c>
    </row>
    <row r="2414" spans="1:8">
      <c r="A2414" s="16"/>
      <c r="B2414" s="15"/>
      <c r="C2414" s="20"/>
      <c r="D2414" s="22"/>
      <c r="E2414" s="15"/>
      <c r="F2414" s="23">
        <f>IF($B2414="","",IFERROR(INDEX(ProdNome,MATCH($B2414,ProdCod,0)),"Código não cadastrado"))</f>
        <v>0</v>
      </c>
      <c r="G2414" s="24">
        <f>IF(OR($B2414="",$D2414=""),"",$D2414*IFERROR(INDEX(ProdCusto,MATCH($B2414,ProdCod,0)),0))</f>
        <v>0</v>
      </c>
      <c r="H2414" s="25">
        <f>IF($A2414="","",IF(OR($B2414="",$C2414="",$D2414=""),"Preencher tudo",IF($F2414="Código não cadastrado","Código inválido","OK")))</f>
        <v>0</v>
      </c>
    </row>
    <row r="2415" spans="1:8">
      <c r="A2415" s="16"/>
      <c r="B2415" s="15"/>
      <c r="C2415" s="20"/>
      <c r="D2415" s="22"/>
      <c r="E2415" s="15"/>
      <c r="F2415" s="23">
        <f>IF($B2415="","",IFERROR(INDEX(ProdNome,MATCH($B2415,ProdCod,0)),"Código não cadastrado"))</f>
        <v>0</v>
      </c>
      <c r="G2415" s="24">
        <f>IF(OR($B2415="",$D2415=""),"",$D2415*IFERROR(INDEX(ProdCusto,MATCH($B2415,ProdCod,0)),0))</f>
        <v>0</v>
      </c>
      <c r="H2415" s="25">
        <f>IF($A2415="","",IF(OR($B2415="",$C2415="",$D2415=""),"Preencher tudo",IF($F2415="Código não cadastrado","Código inválido","OK")))</f>
        <v>0</v>
      </c>
    </row>
    <row r="2416" spans="1:8">
      <c r="A2416" s="16"/>
      <c r="B2416" s="15"/>
      <c r="C2416" s="20"/>
      <c r="D2416" s="22"/>
      <c r="E2416" s="15"/>
      <c r="F2416" s="23">
        <f>IF($B2416="","",IFERROR(INDEX(ProdNome,MATCH($B2416,ProdCod,0)),"Código não cadastrado"))</f>
        <v>0</v>
      </c>
      <c r="G2416" s="24">
        <f>IF(OR($B2416="",$D2416=""),"",$D2416*IFERROR(INDEX(ProdCusto,MATCH($B2416,ProdCod,0)),0))</f>
        <v>0</v>
      </c>
      <c r="H2416" s="25">
        <f>IF($A2416="","",IF(OR($B2416="",$C2416="",$D2416=""),"Preencher tudo",IF($F2416="Código não cadastrado","Código inválido","OK")))</f>
        <v>0</v>
      </c>
    </row>
    <row r="2417" spans="1:8">
      <c r="A2417" s="16"/>
      <c r="B2417" s="15"/>
      <c r="C2417" s="20"/>
      <c r="D2417" s="22"/>
      <c r="E2417" s="15"/>
      <c r="F2417" s="23">
        <f>IF($B2417="","",IFERROR(INDEX(ProdNome,MATCH($B2417,ProdCod,0)),"Código não cadastrado"))</f>
        <v>0</v>
      </c>
      <c r="G2417" s="24">
        <f>IF(OR($B2417="",$D2417=""),"",$D2417*IFERROR(INDEX(ProdCusto,MATCH($B2417,ProdCod,0)),0))</f>
        <v>0</v>
      </c>
      <c r="H2417" s="25">
        <f>IF($A2417="","",IF(OR($B2417="",$C2417="",$D2417=""),"Preencher tudo",IF($F2417="Código não cadastrado","Código inválido","OK")))</f>
        <v>0</v>
      </c>
    </row>
    <row r="2418" spans="1:8">
      <c r="A2418" s="16"/>
      <c r="B2418" s="15"/>
      <c r="C2418" s="20"/>
      <c r="D2418" s="22"/>
      <c r="E2418" s="15"/>
      <c r="F2418" s="23">
        <f>IF($B2418="","",IFERROR(INDEX(ProdNome,MATCH($B2418,ProdCod,0)),"Código não cadastrado"))</f>
        <v>0</v>
      </c>
      <c r="G2418" s="24">
        <f>IF(OR($B2418="",$D2418=""),"",$D2418*IFERROR(INDEX(ProdCusto,MATCH($B2418,ProdCod,0)),0))</f>
        <v>0</v>
      </c>
      <c r="H2418" s="25">
        <f>IF($A2418="","",IF(OR($B2418="",$C2418="",$D2418=""),"Preencher tudo",IF($F2418="Código não cadastrado","Código inválido","OK")))</f>
        <v>0</v>
      </c>
    </row>
    <row r="2419" spans="1:8">
      <c r="A2419" s="16"/>
      <c r="B2419" s="15"/>
      <c r="C2419" s="20"/>
      <c r="D2419" s="22"/>
      <c r="E2419" s="15"/>
      <c r="F2419" s="23">
        <f>IF($B2419="","",IFERROR(INDEX(ProdNome,MATCH($B2419,ProdCod,0)),"Código não cadastrado"))</f>
        <v>0</v>
      </c>
      <c r="G2419" s="24">
        <f>IF(OR($B2419="",$D2419=""),"",$D2419*IFERROR(INDEX(ProdCusto,MATCH($B2419,ProdCod,0)),0))</f>
        <v>0</v>
      </c>
      <c r="H2419" s="25">
        <f>IF($A2419="","",IF(OR($B2419="",$C2419="",$D2419=""),"Preencher tudo",IF($F2419="Código não cadastrado","Código inválido","OK")))</f>
        <v>0</v>
      </c>
    </row>
    <row r="2420" spans="1:8">
      <c r="A2420" s="16"/>
      <c r="B2420" s="15"/>
      <c r="C2420" s="20"/>
      <c r="D2420" s="22"/>
      <c r="E2420" s="15"/>
      <c r="F2420" s="23">
        <f>IF($B2420="","",IFERROR(INDEX(ProdNome,MATCH($B2420,ProdCod,0)),"Código não cadastrado"))</f>
        <v>0</v>
      </c>
      <c r="G2420" s="24">
        <f>IF(OR($B2420="",$D2420=""),"",$D2420*IFERROR(INDEX(ProdCusto,MATCH($B2420,ProdCod,0)),0))</f>
        <v>0</v>
      </c>
      <c r="H2420" s="25">
        <f>IF($A2420="","",IF(OR($B2420="",$C2420="",$D2420=""),"Preencher tudo",IF($F2420="Código não cadastrado","Código inválido","OK")))</f>
        <v>0</v>
      </c>
    </row>
    <row r="2421" spans="1:8">
      <c r="A2421" s="16"/>
      <c r="B2421" s="15"/>
      <c r="C2421" s="20"/>
      <c r="D2421" s="22"/>
      <c r="E2421" s="15"/>
      <c r="F2421" s="23">
        <f>IF($B2421="","",IFERROR(INDEX(ProdNome,MATCH($B2421,ProdCod,0)),"Código não cadastrado"))</f>
        <v>0</v>
      </c>
      <c r="G2421" s="24">
        <f>IF(OR($B2421="",$D2421=""),"",$D2421*IFERROR(INDEX(ProdCusto,MATCH($B2421,ProdCod,0)),0))</f>
        <v>0</v>
      </c>
      <c r="H2421" s="25">
        <f>IF($A2421="","",IF(OR($B2421="",$C2421="",$D2421=""),"Preencher tudo",IF($F2421="Código não cadastrado","Código inválido","OK")))</f>
        <v>0</v>
      </c>
    </row>
    <row r="2422" spans="1:8">
      <c r="A2422" s="16"/>
      <c r="B2422" s="15"/>
      <c r="C2422" s="20"/>
      <c r="D2422" s="22"/>
      <c r="E2422" s="15"/>
      <c r="F2422" s="23">
        <f>IF($B2422="","",IFERROR(INDEX(ProdNome,MATCH($B2422,ProdCod,0)),"Código não cadastrado"))</f>
        <v>0</v>
      </c>
      <c r="G2422" s="24">
        <f>IF(OR($B2422="",$D2422=""),"",$D2422*IFERROR(INDEX(ProdCusto,MATCH($B2422,ProdCod,0)),0))</f>
        <v>0</v>
      </c>
      <c r="H2422" s="25">
        <f>IF($A2422="","",IF(OR($B2422="",$C2422="",$D2422=""),"Preencher tudo",IF($F2422="Código não cadastrado","Código inválido","OK")))</f>
        <v>0</v>
      </c>
    </row>
    <row r="2423" spans="1:8">
      <c r="A2423" s="16"/>
      <c r="B2423" s="15"/>
      <c r="C2423" s="20"/>
      <c r="D2423" s="22"/>
      <c r="E2423" s="15"/>
      <c r="F2423" s="23">
        <f>IF($B2423="","",IFERROR(INDEX(ProdNome,MATCH($B2423,ProdCod,0)),"Código não cadastrado"))</f>
        <v>0</v>
      </c>
      <c r="G2423" s="24">
        <f>IF(OR($B2423="",$D2423=""),"",$D2423*IFERROR(INDEX(ProdCusto,MATCH($B2423,ProdCod,0)),0))</f>
        <v>0</v>
      </c>
      <c r="H2423" s="25">
        <f>IF($A2423="","",IF(OR($B2423="",$C2423="",$D2423=""),"Preencher tudo",IF($F2423="Código não cadastrado","Código inválido","OK")))</f>
        <v>0</v>
      </c>
    </row>
    <row r="2424" spans="1:8">
      <c r="A2424" s="16"/>
      <c r="B2424" s="15"/>
      <c r="C2424" s="20"/>
      <c r="D2424" s="22"/>
      <c r="E2424" s="15"/>
      <c r="F2424" s="23">
        <f>IF($B2424="","",IFERROR(INDEX(ProdNome,MATCH($B2424,ProdCod,0)),"Código não cadastrado"))</f>
        <v>0</v>
      </c>
      <c r="G2424" s="24">
        <f>IF(OR($B2424="",$D2424=""),"",$D2424*IFERROR(INDEX(ProdCusto,MATCH($B2424,ProdCod,0)),0))</f>
        <v>0</v>
      </c>
      <c r="H2424" s="25">
        <f>IF($A2424="","",IF(OR($B2424="",$C2424="",$D2424=""),"Preencher tudo",IF($F2424="Código não cadastrado","Código inválido","OK")))</f>
        <v>0</v>
      </c>
    </row>
    <row r="2425" spans="1:8">
      <c r="A2425" s="16"/>
      <c r="B2425" s="15"/>
      <c r="C2425" s="20"/>
      <c r="D2425" s="22"/>
      <c r="E2425" s="15"/>
      <c r="F2425" s="23">
        <f>IF($B2425="","",IFERROR(INDEX(ProdNome,MATCH($B2425,ProdCod,0)),"Código não cadastrado"))</f>
        <v>0</v>
      </c>
      <c r="G2425" s="24">
        <f>IF(OR($B2425="",$D2425=""),"",$D2425*IFERROR(INDEX(ProdCusto,MATCH($B2425,ProdCod,0)),0))</f>
        <v>0</v>
      </c>
      <c r="H2425" s="25">
        <f>IF($A2425="","",IF(OR($B2425="",$C2425="",$D2425=""),"Preencher tudo",IF($F2425="Código não cadastrado","Código inválido","OK")))</f>
        <v>0</v>
      </c>
    </row>
    <row r="2426" spans="1:8">
      <c r="A2426" s="16"/>
      <c r="B2426" s="15"/>
      <c r="C2426" s="20"/>
      <c r="D2426" s="22"/>
      <c r="E2426" s="15"/>
      <c r="F2426" s="23">
        <f>IF($B2426="","",IFERROR(INDEX(ProdNome,MATCH($B2426,ProdCod,0)),"Código não cadastrado"))</f>
        <v>0</v>
      </c>
      <c r="G2426" s="24">
        <f>IF(OR($B2426="",$D2426=""),"",$D2426*IFERROR(INDEX(ProdCusto,MATCH($B2426,ProdCod,0)),0))</f>
        <v>0</v>
      </c>
      <c r="H2426" s="25">
        <f>IF($A2426="","",IF(OR($B2426="",$C2426="",$D2426=""),"Preencher tudo",IF($F2426="Código não cadastrado","Código inválido","OK")))</f>
        <v>0</v>
      </c>
    </row>
    <row r="2427" spans="1:8">
      <c r="A2427" s="16"/>
      <c r="B2427" s="15"/>
      <c r="C2427" s="20"/>
      <c r="D2427" s="22"/>
      <c r="E2427" s="15"/>
      <c r="F2427" s="23">
        <f>IF($B2427="","",IFERROR(INDEX(ProdNome,MATCH($B2427,ProdCod,0)),"Código não cadastrado"))</f>
        <v>0</v>
      </c>
      <c r="G2427" s="24">
        <f>IF(OR($B2427="",$D2427=""),"",$D2427*IFERROR(INDEX(ProdCusto,MATCH($B2427,ProdCod,0)),0))</f>
        <v>0</v>
      </c>
      <c r="H2427" s="25">
        <f>IF($A2427="","",IF(OR($B2427="",$C2427="",$D2427=""),"Preencher tudo",IF($F2427="Código não cadastrado","Código inválido","OK")))</f>
        <v>0</v>
      </c>
    </row>
    <row r="2428" spans="1:8">
      <c r="A2428" s="16"/>
      <c r="B2428" s="15"/>
      <c r="C2428" s="20"/>
      <c r="D2428" s="22"/>
      <c r="E2428" s="15"/>
      <c r="F2428" s="23">
        <f>IF($B2428="","",IFERROR(INDEX(ProdNome,MATCH($B2428,ProdCod,0)),"Código não cadastrado"))</f>
        <v>0</v>
      </c>
      <c r="G2428" s="24">
        <f>IF(OR($B2428="",$D2428=""),"",$D2428*IFERROR(INDEX(ProdCusto,MATCH($B2428,ProdCod,0)),0))</f>
        <v>0</v>
      </c>
      <c r="H2428" s="25">
        <f>IF($A2428="","",IF(OR($B2428="",$C2428="",$D2428=""),"Preencher tudo",IF($F2428="Código não cadastrado","Código inválido","OK")))</f>
        <v>0</v>
      </c>
    </row>
    <row r="2429" spans="1:8">
      <c r="A2429" s="16"/>
      <c r="B2429" s="15"/>
      <c r="C2429" s="20"/>
      <c r="D2429" s="22"/>
      <c r="E2429" s="15"/>
      <c r="F2429" s="23">
        <f>IF($B2429="","",IFERROR(INDEX(ProdNome,MATCH($B2429,ProdCod,0)),"Código não cadastrado"))</f>
        <v>0</v>
      </c>
      <c r="G2429" s="24">
        <f>IF(OR($B2429="",$D2429=""),"",$D2429*IFERROR(INDEX(ProdCusto,MATCH($B2429,ProdCod,0)),0))</f>
        <v>0</v>
      </c>
      <c r="H2429" s="25">
        <f>IF($A2429="","",IF(OR($B2429="",$C2429="",$D2429=""),"Preencher tudo",IF($F2429="Código não cadastrado","Código inválido","OK")))</f>
        <v>0</v>
      </c>
    </row>
    <row r="2430" spans="1:8">
      <c r="A2430" s="16"/>
      <c r="B2430" s="15"/>
      <c r="C2430" s="20"/>
      <c r="D2430" s="22"/>
      <c r="E2430" s="15"/>
      <c r="F2430" s="23">
        <f>IF($B2430="","",IFERROR(INDEX(ProdNome,MATCH($B2430,ProdCod,0)),"Código não cadastrado"))</f>
        <v>0</v>
      </c>
      <c r="G2430" s="24">
        <f>IF(OR($B2430="",$D2430=""),"",$D2430*IFERROR(INDEX(ProdCusto,MATCH($B2430,ProdCod,0)),0))</f>
        <v>0</v>
      </c>
      <c r="H2430" s="25">
        <f>IF($A2430="","",IF(OR($B2430="",$C2430="",$D2430=""),"Preencher tudo",IF($F2430="Código não cadastrado","Código inválido","OK")))</f>
        <v>0</v>
      </c>
    </row>
    <row r="2431" spans="1:8">
      <c r="A2431" s="16"/>
      <c r="B2431" s="15"/>
      <c r="C2431" s="20"/>
      <c r="D2431" s="22"/>
      <c r="E2431" s="15"/>
      <c r="F2431" s="23">
        <f>IF($B2431="","",IFERROR(INDEX(ProdNome,MATCH($B2431,ProdCod,0)),"Código não cadastrado"))</f>
        <v>0</v>
      </c>
      <c r="G2431" s="24">
        <f>IF(OR($B2431="",$D2431=""),"",$D2431*IFERROR(INDEX(ProdCusto,MATCH($B2431,ProdCod,0)),0))</f>
        <v>0</v>
      </c>
      <c r="H2431" s="25">
        <f>IF($A2431="","",IF(OR($B2431="",$C2431="",$D2431=""),"Preencher tudo",IF($F2431="Código não cadastrado","Código inválido","OK")))</f>
        <v>0</v>
      </c>
    </row>
    <row r="2432" spans="1:8">
      <c r="A2432" s="16"/>
      <c r="B2432" s="15"/>
      <c r="C2432" s="20"/>
      <c r="D2432" s="22"/>
      <c r="E2432" s="15"/>
      <c r="F2432" s="23">
        <f>IF($B2432="","",IFERROR(INDEX(ProdNome,MATCH($B2432,ProdCod,0)),"Código não cadastrado"))</f>
        <v>0</v>
      </c>
      <c r="G2432" s="24">
        <f>IF(OR($B2432="",$D2432=""),"",$D2432*IFERROR(INDEX(ProdCusto,MATCH($B2432,ProdCod,0)),0))</f>
        <v>0</v>
      </c>
      <c r="H2432" s="25">
        <f>IF($A2432="","",IF(OR($B2432="",$C2432="",$D2432=""),"Preencher tudo",IF($F2432="Código não cadastrado","Código inválido","OK")))</f>
        <v>0</v>
      </c>
    </row>
    <row r="2433" spans="1:8">
      <c r="A2433" s="16"/>
      <c r="B2433" s="15"/>
      <c r="C2433" s="20"/>
      <c r="D2433" s="22"/>
      <c r="E2433" s="15"/>
      <c r="F2433" s="23">
        <f>IF($B2433="","",IFERROR(INDEX(ProdNome,MATCH($B2433,ProdCod,0)),"Código não cadastrado"))</f>
        <v>0</v>
      </c>
      <c r="G2433" s="24">
        <f>IF(OR($B2433="",$D2433=""),"",$D2433*IFERROR(INDEX(ProdCusto,MATCH($B2433,ProdCod,0)),0))</f>
        <v>0</v>
      </c>
      <c r="H2433" s="25">
        <f>IF($A2433="","",IF(OR($B2433="",$C2433="",$D2433=""),"Preencher tudo",IF($F2433="Código não cadastrado","Código inválido","OK")))</f>
        <v>0</v>
      </c>
    </row>
    <row r="2434" spans="1:8">
      <c r="A2434" s="16"/>
      <c r="B2434" s="15"/>
      <c r="C2434" s="20"/>
      <c r="D2434" s="22"/>
      <c r="E2434" s="15"/>
      <c r="F2434" s="23">
        <f>IF($B2434="","",IFERROR(INDEX(ProdNome,MATCH($B2434,ProdCod,0)),"Código não cadastrado"))</f>
        <v>0</v>
      </c>
      <c r="G2434" s="24">
        <f>IF(OR($B2434="",$D2434=""),"",$D2434*IFERROR(INDEX(ProdCusto,MATCH($B2434,ProdCod,0)),0))</f>
        <v>0</v>
      </c>
      <c r="H2434" s="25">
        <f>IF($A2434="","",IF(OR($B2434="",$C2434="",$D2434=""),"Preencher tudo",IF($F2434="Código não cadastrado","Código inválido","OK")))</f>
        <v>0</v>
      </c>
    </row>
    <row r="2435" spans="1:8">
      <c r="A2435" s="16"/>
      <c r="B2435" s="15"/>
      <c r="C2435" s="20"/>
      <c r="D2435" s="22"/>
      <c r="E2435" s="15"/>
      <c r="F2435" s="23">
        <f>IF($B2435="","",IFERROR(INDEX(ProdNome,MATCH($B2435,ProdCod,0)),"Código não cadastrado"))</f>
        <v>0</v>
      </c>
      <c r="G2435" s="24">
        <f>IF(OR($B2435="",$D2435=""),"",$D2435*IFERROR(INDEX(ProdCusto,MATCH($B2435,ProdCod,0)),0))</f>
        <v>0</v>
      </c>
      <c r="H2435" s="25">
        <f>IF($A2435="","",IF(OR($B2435="",$C2435="",$D2435=""),"Preencher tudo",IF($F2435="Código não cadastrado","Código inválido","OK")))</f>
        <v>0</v>
      </c>
    </row>
    <row r="2436" spans="1:8">
      <c r="A2436" s="16"/>
      <c r="B2436" s="15"/>
      <c r="C2436" s="20"/>
      <c r="D2436" s="22"/>
      <c r="E2436" s="15"/>
      <c r="F2436" s="23">
        <f>IF($B2436="","",IFERROR(INDEX(ProdNome,MATCH($B2436,ProdCod,0)),"Código não cadastrado"))</f>
        <v>0</v>
      </c>
      <c r="G2436" s="24">
        <f>IF(OR($B2436="",$D2436=""),"",$D2436*IFERROR(INDEX(ProdCusto,MATCH($B2436,ProdCod,0)),0))</f>
        <v>0</v>
      </c>
      <c r="H2436" s="25">
        <f>IF($A2436="","",IF(OR($B2436="",$C2436="",$D2436=""),"Preencher tudo",IF($F2436="Código não cadastrado","Código inválido","OK")))</f>
        <v>0</v>
      </c>
    </row>
    <row r="2437" spans="1:8">
      <c r="A2437" s="16"/>
      <c r="B2437" s="15"/>
      <c r="C2437" s="20"/>
      <c r="D2437" s="22"/>
      <c r="E2437" s="15"/>
      <c r="F2437" s="23">
        <f>IF($B2437="","",IFERROR(INDEX(ProdNome,MATCH($B2437,ProdCod,0)),"Código não cadastrado"))</f>
        <v>0</v>
      </c>
      <c r="G2437" s="24">
        <f>IF(OR($B2437="",$D2437=""),"",$D2437*IFERROR(INDEX(ProdCusto,MATCH($B2437,ProdCod,0)),0))</f>
        <v>0</v>
      </c>
      <c r="H2437" s="25">
        <f>IF($A2437="","",IF(OR($B2437="",$C2437="",$D2437=""),"Preencher tudo",IF($F2437="Código não cadastrado","Código inválido","OK")))</f>
        <v>0</v>
      </c>
    </row>
    <row r="2438" spans="1:8">
      <c r="A2438" s="16"/>
      <c r="B2438" s="15"/>
      <c r="C2438" s="20"/>
      <c r="D2438" s="22"/>
      <c r="E2438" s="15"/>
      <c r="F2438" s="23">
        <f>IF($B2438="","",IFERROR(INDEX(ProdNome,MATCH($B2438,ProdCod,0)),"Código não cadastrado"))</f>
        <v>0</v>
      </c>
      <c r="G2438" s="24">
        <f>IF(OR($B2438="",$D2438=""),"",$D2438*IFERROR(INDEX(ProdCusto,MATCH($B2438,ProdCod,0)),0))</f>
        <v>0</v>
      </c>
      <c r="H2438" s="25">
        <f>IF($A2438="","",IF(OR($B2438="",$C2438="",$D2438=""),"Preencher tudo",IF($F2438="Código não cadastrado","Código inválido","OK")))</f>
        <v>0</v>
      </c>
    </row>
    <row r="2439" spans="1:8">
      <c r="A2439" s="16"/>
      <c r="B2439" s="15"/>
      <c r="C2439" s="20"/>
      <c r="D2439" s="22"/>
      <c r="E2439" s="15"/>
      <c r="F2439" s="23">
        <f>IF($B2439="","",IFERROR(INDEX(ProdNome,MATCH($B2439,ProdCod,0)),"Código não cadastrado"))</f>
        <v>0</v>
      </c>
      <c r="G2439" s="24">
        <f>IF(OR($B2439="",$D2439=""),"",$D2439*IFERROR(INDEX(ProdCusto,MATCH($B2439,ProdCod,0)),0))</f>
        <v>0</v>
      </c>
      <c r="H2439" s="25">
        <f>IF($A2439="","",IF(OR($B2439="",$C2439="",$D2439=""),"Preencher tudo",IF($F2439="Código não cadastrado","Código inválido","OK")))</f>
        <v>0</v>
      </c>
    </row>
    <row r="2440" spans="1:8">
      <c r="A2440" s="16"/>
      <c r="B2440" s="15"/>
      <c r="C2440" s="20"/>
      <c r="D2440" s="22"/>
      <c r="E2440" s="15"/>
      <c r="F2440" s="23">
        <f>IF($B2440="","",IFERROR(INDEX(ProdNome,MATCH($B2440,ProdCod,0)),"Código não cadastrado"))</f>
        <v>0</v>
      </c>
      <c r="G2440" s="24">
        <f>IF(OR($B2440="",$D2440=""),"",$D2440*IFERROR(INDEX(ProdCusto,MATCH($B2440,ProdCod,0)),0))</f>
        <v>0</v>
      </c>
      <c r="H2440" s="25">
        <f>IF($A2440="","",IF(OR($B2440="",$C2440="",$D2440=""),"Preencher tudo",IF($F2440="Código não cadastrado","Código inválido","OK")))</f>
        <v>0</v>
      </c>
    </row>
    <row r="2441" spans="1:8">
      <c r="A2441" s="16"/>
      <c r="B2441" s="15"/>
      <c r="C2441" s="20"/>
      <c r="D2441" s="22"/>
      <c r="E2441" s="15"/>
      <c r="F2441" s="23">
        <f>IF($B2441="","",IFERROR(INDEX(ProdNome,MATCH($B2441,ProdCod,0)),"Código não cadastrado"))</f>
        <v>0</v>
      </c>
      <c r="G2441" s="24">
        <f>IF(OR($B2441="",$D2441=""),"",$D2441*IFERROR(INDEX(ProdCusto,MATCH($B2441,ProdCod,0)),0))</f>
        <v>0</v>
      </c>
      <c r="H2441" s="25">
        <f>IF($A2441="","",IF(OR($B2441="",$C2441="",$D2441=""),"Preencher tudo",IF($F2441="Código não cadastrado","Código inválido","OK")))</f>
        <v>0</v>
      </c>
    </row>
    <row r="2442" spans="1:8">
      <c r="A2442" s="16"/>
      <c r="B2442" s="15"/>
      <c r="C2442" s="20"/>
      <c r="D2442" s="22"/>
      <c r="E2442" s="15"/>
      <c r="F2442" s="23">
        <f>IF($B2442="","",IFERROR(INDEX(ProdNome,MATCH($B2442,ProdCod,0)),"Código não cadastrado"))</f>
        <v>0</v>
      </c>
      <c r="G2442" s="24">
        <f>IF(OR($B2442="",$D2442=""),"",$D2442*IFERROR(INDEX(ProdCusto,MATCH($B2442,ProdCod,0)),0))</f>
        <v>0</v>
      </c>
      <c r="H2442" s="25">
        <f>IF($A2442="","",IF(OR($B2442="",$C2442="",$D2442=""),"Preencher tudo",IF($F2442="Código não cadastrado","Código inválido","OK")))</f>
        <v>0</v>
      </c>
    </row>
    <row r="2443" spans="1:8">
      <c r="A2443" s="16"/>
      <c r="B2443" s="15"/>
      <c r="C2443" s="20"/>
      <c r="D2443" s="22"/>
      <c r="E2443" s="15"/>
      <c r="F2443" s="23">
        <f>IF($B2443="","",IFERROR(INDEX(ProdNome,MATCH($B2443,ProdCod,0)),"Código não cadastrado"))</f>
        <v>0</v>
      </c>
      <c r="G2443" s="24">
        <f>IF(OR($B2443="",$D2443=""),"",$D2443*IFERROR(INDEX(ProdCusto,MATCH($B2443,ProdCod,0)),0))</f>
        <v>0</v>
      </c>
      <c r="H2443" s="25">
        <f>IF($A2443="","",IF(OR($B2443="",$C2443="",$D2443=""),"Preencher tudo",IF($F2443="Código não cadastrado","Código inválido","OK")))</f>
        <v>0</v>
      </c>
    </row>
    <row r="2444" spans="1:8">
      <c r="A2444" s="16"/>
      <c r="B2444" s="15"/>
      <c r="C2444" s="20"/>
      <c r="D2444" s="22"/>
      <c r="E2444" s="15"/>
      <c r="F2444" s="23">
        <f>IF($B2444="","",IFERROR(INDEX(ProdNome,MATCH($B2444,ProdCod,0)),"Código não cadastrado"))</f>
        <v>0</v>
      </c>
      <c r="G2444" s="24">
        <f>IF(OR($B2444="",$D2444=""),"",$D2444*IFERROR(INDEX(ProdCusto,MATCH($B2444,ProdCod,0)),0))</f>
        <v>0</v>
      </c>
      <c r="H2444" s="25">
        <f>IF($A2444="","",IF(OR($B2444="",$C2444="",$D2444=""),"Preencher tudo",IF($F2444="Código não cadastrado","Código inválido","OK")))</f>
        <v>0</v>
      </c>
    </row>
    <row r="2445" spans="1:8">
      <c r="A2445" s="16"/>
      <c r="B2445" s="15"/>
      <c r="C2445" s="20"/>
      <c r="D2445" s="22"/>
      <c r="E2445" s="15"/>
      <c r="F2445" s="23">
        <f>IF($B2445="","",IFERROR(INDEX(ProdNome,MATCH($B2445,ProdCod,0)),"Código não cadastrado"))</f>
        <v>0</v>
      </c>
      <c r="G2445" s="24">
        <f>IF(OR($B2445="",$D2445=""),"",$D2445*IFERROR(INDEX(ProdCusto,MATCH($B2445,ProdCod,0)),0))</f>
        <v>0</v>
      </c>
      <c r="H2445" s="25">
        <f>IF($A2445="","",IF(OR($B2445="",$C2445="",$D2445=""),"Preencher tudo",IF($F2445="Código não cadastrado","Código inválido","OK")))</f>
        <v>0</v>
      </c>
    </row>
    <row r="2446" spans="1:8">
      <c r="A2446" s="16"/>
      <c r="B2446" s="15"/>
      <c r="C2446" s="20"/>
      <c r="D2446" s="22"/>
      <c r="E2446" s="15"/>
      <c r="F2446" s="23">
        <f>IF($B2446="","",IFERROR(INDEX(ProdNome,MATCH($B2446,ProdCod,0)),"Código não cadastrado"))</f>
        <v>0</v>
      </c>
      <c r="G2446" s="24">
        <f>IF(OR($B2446="",$D2446=""),"",$D2446*IFERROR(INDEX(ProdCusto,MATCH($B2446,ProdCod,0)),0))</f>
        <v>0</v>
      </c>
      <c r="H2446" s="25">
        <f>IF($A2446="","",IF(OR($B2446="",$C2446="",$D2446=""),"Preencher tudo",IF($F2446="Código não cadastrado","Código inválido","OK")))</f>
        <v>0</v>
      </c>
    </row>
    <row r="2447" spans="1:8">
      <c r="A2447" s="16"/>
      <c r="B2447" s="15"/>
      <c r="C2447" s="20"/>
      <c r="D2447" s="22"/>
      <c r="E2447" s="15"/>
      <c r="F2447" s="23">
        <f>IF($B2447="","",IFERROR(INDEX(ProdNome,MATCH($B2447,ProdCod,0)),"Código não cadastrado"))</f>
        <v>0</v>
      </c>
      <c r="G2447" s="24">
        <f>IF(OR($B2447="",$D2447=""),"",$D2447*IFERROR(INDEX(ProdCusto,MATCH($B2447,ProdCod,0)),0))</f>
        <v>0</v>
      </c>
      <c r="H2447" s="25">
        <f>IF($A2447="","",IF(OR($B2447="",$C2447="",$D2447=""),"Preencher tudo",IF($F2447="Código não cadastrado","Código inválido","OK")))</f>
        <v>0</v>
      </c>
    </row>
    <row r="2448" spans="1:8">
      <c r="A2448" s="16"/>
      <c r="B2448" s="15"/>
      <c r="C2448" s="20"/>
      <c r="D2448" s="22"/>
      <c r="E2448" s="15"/>
      <c r="F2448" s="23">
        <f>IF($B2448="","",IFERROR(INDEX(ProdNome,MATCH($B2448,ProdCod,0)),"Código não cadastrado"))</f>
        <v>0</v>
      </c>
      <c r="G2448" s="24">
        <f>IF(OR($B2448="",$D2448=""),"",$D2448*IFERROR(INDEX(ProdCusto,MATCH($B2448,ProdCod,0)),0))</f>
        <v>0</v>
      </c>
      <c r="H2448" s="25">
        <f>IF($A2448="","",IF(OR($B2448="",$C2448="",$D2448=""),"Preencher tudo",IF($F2448="Código não cadastrado","Código inválido","OK")))</f>
        <v>0</v>
      </c>
    </row>
    <row r="2449" spans="1:8">
      <c r="A2449" s="16"/>
      <c r="B2449" s="15"/>
      <c r="C2449" s="20"/>
      <c r="D2449" s="22"/>
      <c r="E2449" s="15"/>
      <c r="F2449" s="23">
        <f>IF($B2449="","",IFERROR(INDEX(ProdNome,MATCH($B2449,ProdCod,0)),"Código não cadastrado"))</f>
        <v>0</v>
      </c>
      <c r="G2449" s="24">
        <f>IF(OR($B2449="",$D2449=""),"",$D2449*IFERROR(INDEX(ProdCusto,MATCH($B2449,ProdCod,0)),0))</f>
        <v>0</v>
      </c>
      <c r="H2449" s="25">
        <f>IF($A2449="","",IF(OR($B2449="",$C2449="",$D2449=""),"Preencher tudo",IF($F2449="Código não cadastrado","Código inválido","OK")))</f>
        <v>0</v>
      </c>
    </row>
    <row r="2450" spans="1:8">
      <c r="A2450" s="16"/>
      <c r="B2450" s="15"/>
      <c r="C2450" s="20"/>
      <c r="D2450" s="22"/>
      <c r="E2450" s="15"/>
      <c r="F2450" s="23">
        <f>IF($B2450="","",IFERROR(INDEX(ProdNome,MATCH($B2450,ProdCod,0)),"Código não cadastrado"))</f>
        <v>0</v>
      </c>
      <c r="G2450" s="24">
        <f>IF(OR($B2450="",$D2450=""),"",$D2450*IFERROR(INDEX(ProdCusto,MATCH($B2450,ProdCod,0)),0))</f>
        <v>0</v>
      </c>
      <c r="H2450" s="25">
        <f>IF($A2450="","",IF(OR($B2450="",$C2450="",$D2450=""),"Preencher tudo",IF($F2450="Código não cadastrado","Código inválido","OK")))</f>
        <v>0</v>
      </c>
    </row>
    <row r="2451" spans="1:8">
      <c r="A2451" s="16"/>
      <c r="B2451" s="15"/>
      <c r="C2451" s="20"/>
      <c r="D2451" s="22"/>
      <c r="E2451" s="15"/>
      <c r="F2451" s="23">
        <f>IF($B2451="","",IFERROR(INDEX(ProdNome,MATCH($B2451,ProdCod,0)),"Código não cadastrado"))</f>
        <v>0</v>
      </c>
      <c r="G2451" s="24">
        <f>IF(OR($B2451="",$D2451=""),"",$D2451*IFERROR(INDEX(ProdCusto,MATCH($B2451,ProdCod,0)),0))</f>
        <v>0</v>
      </c>
      <c r="H2451" s="25">
        <f>IF($A2451="","",IF(OR($B2451="",$C2451="",$D2451=""),"Preencher tudo",IF($F2451="Código não cadastrado","Código inválido","OK")))</f>
        <v>0</v>
      </c>
    </row>
    <row r="2452" spans="1:8">
      <c r="A2452" s="16"/>
      <c r="B2452" s="15"/>
      <c r="C2452" s="20"/>
      <c r="D2452" s="22"/>
      <c r="E2452" s="15"/>
      <c r="F2452" s="23">
        <f>IF($B2452="","",IFERROR(INDEX(ProdNome,MATCH($B2452,ProdCod,0)),"Código não cadastrado"))</f>
        <v>0</v>
      </c>
      <c r="G2452" s="24">
        <f>IF(OR($B2452="",$D2452=""),"",$D2452*IFERROR(INDEX(ProdCusto,MATCH($B2452,ProdCod,0)),0))</f>
        <v>0</v>
      </c>
      <c r="H2452" s="25">
        <f>IF($A2452="","",IF(OR($B2452="",$C2452="",$D2452=""),"Preencher tudo",IF($F2452="Código não cadastrado","Código inválido","OK")))</f>
        <v>0</v>
      </c>
    </row>
    <row r="2453" spans="1:8">
      <c r="A2453" s="16"/>
      <c r="B2453" s="15"/>
      <c r="C2453" s="20"/>
      <c r="D2453" s="22"/>
      <c r="E2453" s="15"/>
      <c r="F2453" s="23">
        <f>IF($B2453="","",IFERROR(INDEX(ProdNome,MATCH($B2453,ProdCod,0)),"Código não cadastrado"))</f>
        <v>0</v>
      </c>
      <c r="G2453" s="24">
        <f>IF(OR($B2453="",$D2453=""),"",$D2453*IFERROR(INDEX(ProdCusto,MATCH($B2453,ProdCod,0)),0))</f>
        <v>0</v>
      </c>
      <c r="H2453" s="25">
        <f>IF($A2453="","",IF(OR($B2453="",$C2453="",$D2453=""),"Preencher tudo",IF($F2453="Código não cadastrado","Código inválido","OK")))</f>
        <v>0</v>
      </c>
    </row>
    <row r="2454" spans="1:8">
      <c r="A2454" s="16"/>
      <c r="B2454" s="15"/>
      <c r="C2454" s="20"/>
      <c r="D2454" s="22"/>
      <c r="E2454" s="15"/>
      <c r="F2454" s="23">
        <f>IF($B2454="","",IFERROR(INDEX(ProdNome,MATCH($B2454,ProdCod,0)),"Código não cadastrado"))</f>
        <v>0</v>
      </c>
      <c r="G2454" s="24">
        <f>IF(OR($B2454="",$D2454=""),"",$D2454*IFERROR(INDEX(ProdCusto,MATCH($B2454,ProdCod,0)),0))</f>
        <v>0</v>
      </c>
      <c r="H2454" s="25">
        <f>IF($A2454="","",IF(OR($B2454="",$C2454="",$D2454=""),"Preencher tudo",IF($F2454="Código não cadastrado","Código inválido","OK")))</f>
        <v>0</v>
      </c>
    </row>
    <row r="2455" spans="1:8">
      <c r="A2455" s="16"/>
      <c r="B2455" s="15"/>
      <c r="C2455" s="20"/>
      <c r="D2455" s="22"/>
      <c r="E2455" s="15"/>
      <c r="F2455" s="23">
        <f>IF($B2455="","",IFERROR(INDEX(ProdNome,MATCH($B2455,ProdCod,0)),"Código não cadastrado"))</f>
        <v>0</v>
      </c>
      <c r="G2455" s="24">
        <f>IF(OR($B2455="",$D2455=""),"",$D2455*IFERROR(INDEX(ProdCusto,MATCH($B2455,ProdCod,0)),0))</f>
        <v>0</v>
      </c>
      <c r="H2455" s="25">
        <f>IF($A2455="","",IF(OR($B2455="",$C2455="",$D2455=""),"Preencher tudo",IF($F2455="Código não cadastrado","Código inválido","OK")))</f>
        <v>0</v>
      </c>
    </row>
    <row r="2456" spans="1:8">
      <c r="A2456" s="16"/>
      <c r="B2456" s="15"/>
      <c r="C2456" s="20"/>
      <c r="D2456" s="22"/>
      <c r="E2456" s="15"/>
      <c r="F2456" s="23">
        <f>IF($B2456="","",IFERROR(INDEX(ProdNome,MATCH($B2456,ProdCod,0)),"Código não cadastrado"))</f>
        <v>0</v>
      </c>
      <c r="G2456" s="24">
        <f>IF(OR($B2456="",$D2456=""),"",$D2456*IFERROR(INDEX(ProdCusto,MATCH($B2456,ProdCod,0)),0))</f>
        <v>0</v>
      </c>
      <c r="H2456" s="25">
        <f>IF($A2456="","",IF(OR($B2456="",$C2456="",$D2456=""),"Preencher tudo",IF($F2456="Código não cadastrado","Código inválido","OK")))</f>
        <v>0</v>
      </c>
    </row>
    <row r="2457" spans="1:8">
      <c r="A2457" s="16"/>
      <c r="B2457" s="15"/>
      <c r="C2457" s="20"/>
      <c r="D2457" s="22"/>
      <c r="E2457" s="15"/>
      <c r="F2457" s="23">
        <f>IF($B2457="","",IFERROR(INDEX(ProdNome,MATCH($B2457,ProdCod,0)),"Código não cadastrado"))</f>
        <v>0</v>
      </c>
      <c r="G2457" s="24">
        <f>IF(OR($B2457="",$D2457=""),"",$D2457*IFERROR(INDEX(ProdCusto,MATCH($B2457,ProdCod,0)),0))</f>
        <v>0</v>
      </c>
      <c r="H2457" s="25">
        <f>IF($A2457="","",IF(OR($B2457="",$C2457="",$D2457=""),"Preencher tudo",IF($F2457="Código não cadastrado","Código inválido","OK")))</f>
        <v>0</v>
      </c>
    </row>
    <row r="2458" spans="1:8">
      <c r="A2458" s="16"/>
      <c r="B2458" s="15"/>
      <c r="C2458" s="20"/>
      <c r="D2458" s="22"/>
      <c r="E2458" s="15"/>
      <c r="F2458" s="23">
        <f>IF($B2458="","",IFERROR(INDEX(ProdNome,MATCH($B2458,ProdCod,0)),"Código não cadastrado"))</f>
        <v>0</v>
      </c>
      <c r="G2458" s="24">
        <f>IF(OR($B2458="",$D2458=""),"",$D2458*IFERROR(INDEX(ProdCusto,MATCH($B2458,ProdCod,0)),0))</f>
        <v>0</v>
      </c>
      <c r="H2458" s="25">
        <f>IF($A2458="","",IF(OR($B2458="",$C2458="",$D2458=""),"Preencher tudo",IF($F2458="Código não cadastrado","Código inválido","OK")))</f>
        <v>0</v>
      </c>
    </row>
    <row r="2459" spans="1:8">
      <c r="A2459" s="16"/>
      <c r="B2459" s="15"/>
      <c r="C2459" s="20"/>
      <c r="D2459" s="22"/>
      <c r="E2459" s="15"/>
      <c r="F2459" s="23">
        <f>IF($B2459="","",IFERROR(INDEX(ProdNome,MATCH($B2459,ProdCod,0)),"Código não cadastrado"))</f>
        <v>0</v>
      </c>
      <c r="G2459" s="24">
        <f>IF(OR($B2459="",$D2459=""),"",$D2459*IFERROR(INDEX(ProdCusto,MATCH($B2459,ProdCod,0)),0))</f>
        <v>0</v>
      </c>
      <c r="H2459" s="25">
        <f>IF($A2459="","",IF(OR($B2459="",$C2459="",$D2459=""),"Preencher tudo",IF($F2459="Código não cadastrado","Código inválido","OK")))</f>
        <v>0</v>
      </c>
    </row>
    <row r="2460" spans="1:8">
      <c r="A2460" s="16"/>
      <c r="B2460" s="15"/>
      <c r="C2460" s="20"/>
      <c r="D2460" s="22"/>
      <c r="E2460" s="15"/>
      <c r="F2460" s="23">
        <f>IF($B2460="","",IFERROR(INDEX(ProdNome,MATCH($B2460,ProdCod,0)),"Código não cadastrado"))</f>
        <v>0</v>
      </c>
      <c r="G2460" s="24">
        <f>IF(OR($B2460="",$D2460=""),"",$D2460*IFERROR(INDEX(ProdCusto,MATCH($B2460,ProdCod,0)),0))</f>
        <v>0</v>
      </c>
      <c r="H2460" s="25">
        <f>IF($A2460="","",IF(OR($B2460="",$C2460="",$D2460=""),"Preencher tudo",IF($F2460="Código não cadastrado","Código inválido","OK")))</f>
        <v>0</v>
      </c>
    </row>
    <row r="2461" spans="1:8">
      <c r="A2461" s="16"/>
      <c r="B2461" s="15"/>
      <c r="C2461" s="20"/>
      <c r="D2461" s="22"/>
      <c r="E2461" s="15"/>
      <c r="F2461" s="23">
        <f>IF($B2461="","",IFERROR(INDEX(ProdNome,MATCH($B2461,ProdCod,0)),"Código não cadastrado"))</f>
        <v>0</v>
      </c>
      <c r="G2461" s="24">
        <f>IF(OR($B2461="",$D2461=""),"",$D2461*IFERROR(INDEX(ProdCusto,MATCH($B2461,ProdCod,0)),0))</f>
        <v>0</v>
      </c>
      <c r="H2461" s="25">
        <f>IF($A2461="","",IF(OR($B2461="",$C2461="",$D2461=""),"Preencher tudo",IF($F2461="Código não cadastrado","Código inválido","OK")))</f>
        <v>0</v>
      </c>
    </row>
    <row r="2462" spans="1:8">
      <c r="A2462" s="16"/>
      <c r="B2462" s="15"/>
      <c r="C2462" s="20"/>
      <c r="D2462" s="22"/>
      <c r="E2462" s="15"/>
      <c r="F2462" s="23">
        <f>IF($B2462="","",IFERROR(INDEX(ProdNome,MATCH($B2462,ProdCod,0)),"Código não cadastrado"))</f>
        <v>0</v>
      </c>
      <c r="G2462" s="24">
        <f>IF(OR($B2462="",$D2462=""),"",$D2462*IFERROR(INDEX(ProdCusto,MATCH($B2462,ProdCod,0)),0))</f>
        <v>0</v>
      </c>
      <c r="H2462" s="25">
        <f>IF($A2462="","",IF(OR($B2462="",$C2462="",$D2462=""),"Preencher tudo",IF($F2462="Código não cadastrado","Código inválido","OK")))</f>
        <v>0</v>
      </c>
    </row>
    <row r="2463" spans="1:8">
      <c r="A2463" s="16"/>
      <c r="B2463" s="15"/>
      <c r="C2463" s="20"/>
      <c r="D2463" s="22"/>
      <c r="E2463" s="15"/>
      <c r="F2463" s="23">
        <f>IF($B2463="","",IFERROR(INDEX(ProdNome,MATCH($B2463,ProdCod,0)),"Código não cadastrado"))</f>
        <v>0</v>
      </c>
      <c r="G2463" s="24">
        <f>IF(OR($B2463="",$D2463=""),"",$D2463*IFERROR(INDEX(ProdCusto,MATCH($B2463,ProdCod,0)),0))</f>
        <v>0</v>
      </c>
      <c r="H2463" s="25">
        <f>IF($A2463="","",IF(OR($B2463="",$C2463="",$D2463=""),"Preencher tudo",IF($F2463="Código não cadastrado","Código inválido","OK")))</f>
        <v>0</v>
      </c>
    </row>
    <row r="2464" spans="1:8">
      <c r="A2464" s="16"/>
      <c r="B2464" s="15"/>
      <c r="C2464" s="20"/>
      <c r="D2464" s="22"/>
      <c r="E2464" s="15"/>
      <c r="F2464" s="23">
        <f>IF($B2464="","",IFERROR(INDEX(ProdNome,MATCH($B2464,ProdCod,0)),"Código não cadastrado"))</f>
        <v>0</v>
      </c>
      <c r="G2464" s="24">
        <f>IF(OR($B2464="",$D2464=""),"",$D2464*IFERROR(INDEX(ProdCusto,MATCH($B2464,ProdCod,0)),0))</f>
        <v>0</v>
      </c>
      <c r="H2464" s="25">
        <f>IF($A2464="","",IF(OR($B2464="",$C2464="",$D2464=""),"Preencher tudo",IF($F2464="Código não cadastrado","Código inválido","OK")))</f>
        <v>0</v>
      </c>
    </row>
    <row r="2465" spans="1:8">
      <c r="A2465" s="16"/>
      <c r="B2465" s="15"/>
      <c r="C2465" s="20"/>
      <c r="D2465" s="22"/>
      <c r="E2465" s="15"/>
      <c r="F2465" s="23">
        <f>IF($B2465="","",IFERROR(INDEX(ProdNome,MATCH($B2465,ProdCod,0)),"Código não cadastrado"))</f>
        <v>0</v>
      </c>
      <c r="G2465" s="24">
        <f>IF(OR($B2465="",$D2465=""),"",$D2465*IFERROR(INDEX(ProdCusto,MATCH($B2465,ProdCod,0)),0))</f>
        <v>0</v>
      </c>
      <c r="H2465" s="25">
        <f>IF($A2465="","",IF(OR($B2465="",$C2465="",$D2465=""),"Preencher tudo",IF($F2465="Código não cadastrado","Código inválido","OK")))</f>
        <v>0</v>
      </c>
    </row>
    <row r="2466" spans="1:8">
      <c r="A2466" s="16"/>
      <c r="B2466" s="15"/>
      <c r="C2466" s="20"/>
      <c r="D2466" s="22"/>
      <c r="E2466" s="15"/>
      <c r="F2466" s="23">
        <f>IF($B2466="","",IFERROR(INDEX(ProdNome,MATCH($B2466,ProdCod,0)),"Código não cadastrado"))</f>
        <v>0</v>
      </c>
      <c r="G2466" s="24">
        <f>IF(OR($B2466="",$D2466=""),"",$D2466*IFERROR(INDEX(ProdCusto,MATCH($B2466,ProdCod,0)),0))</f>
        <v>0</v>
      </c>
      <c r="H2466" s="25">
        <f>IF($A2466="","",IF(OR($B2466="",$C2466="",$D2466=""),"Preencher tudo",IF($F2466="Código não cadastrado","Código inválido","OK")))</f>
        <v>0</v>
      </c>
    </row>
    <row r="2467" spans="1:8">
      <c r="A2467" s="16"/>
      <c r="B2467" s="15"/>
      <c r="C2467" s="20"/>
      <c r="D2467" s="22"/>
      <c r="E2467" s="15"/>
      <c r="F2467" s="23">
        <f>IF($B2467="","",IFERROR(INDEX(ProdNome,MATCH($B2467,ProdCod,0)),"Código não cadastrado"))</f>
        <v>0</v>
      </c>
      <c r="G2467" s="24">
        <f>IF(OR($B2467="",$D2467=""),"",$D2467*IFERROR(INDEX(ProdCusto,MATCH($B2467,ProdCod,0)),0))</f>
        <v>0</v>
      </c>
      <c r="H2467" s="25">
        <f>IF($A2467="","",IF(OR($B2467="",$C2467="",$D2467=""),"Preencher tudo",IF($F2467="Código não cadastrado","Código inválido","OK")))</f>
        <v>0</v>
      </c>
    </row>
    <row r="2468" spans="1:8">
      <c r="A2468" s="16"/>
      <c r="B2468" s="15"/>
      <c r="C2468" s="20"/>
      <c r="D2468" s="22"/>
      <c r="E2468" s="15"/>
      <c r="F2468" s="23">
        <f>IF($B2468="","",IFERROR(INDEX(ProdNome,MATCH($B2468,ProdCod,0)),"Código não cadastrado"))</f>
        <v>0</v>
      </c>
      <c r="G2468" s="24">
        <f>IF(OR($B2468="",$D2468=""),"",$D2468*IFERROR(INDEX(ProdCusto,MATCH($B2468,ProdCod,0)),0))</f>
        <v>0</v>
      </c>
      <c r="H2468" s="25">
        <f>IF($A2468="","",IF(OR($B2468="",$C2468="",$D2468=""),"Preencher tudo",IF($F2468="Código não cadastrado","Código inválido","OK")))</f>
        <v>0</v>
      </c>
    </row>
    <row r="2469" spans="1:8">
      <c r="A2469" s="16"/>
      <c r="B2469" s="15"/>
      <c r="C2469" s="20"/>
      <c r="D2469" s="22"/>
      <c r="E2469" s="15"/>
      <c r="F2469" s="23">
        <f>IF($B2469="","",IFERROR(INDEX(ProdNome,MATCH($B2469,ProdCod,0)),"Código não cadastrado"))</f>
        <v>0</v>
      </c>
      <c r="G2469" s="24">
        <f>IF(OR($B2469="",$D2469=""),"",$D2469*IFERROR(INDEX(ProdCusto,MATCH($B2469,ProdCod,0)),0))</f>
        <v>0</v>
      </c>
      <c r="H2469" s="25">
        <f>IF($A2469="","",IF(OR($B2469="",$C2469="",$D2469=""),"Preencher tudo",IF($F2469="Código não cadastrado","Código inválido","OK")))</f>
        <v>0</v>
      </c>
    </row>
    <row r="2470" spans="1:8">
      <c r="A2470" s="16"/>
      <c r="B2470" s="15"/>
      <c r="C2470" s="20"/>
      <c r="D2470" s="22"/>
      <c r="E2470" s="15"/>
      <c r="F2470" s="23">
        <f>IF($B2470="","",IFERROR(INDEX(ProdNome,MATCH($B2470,ProdCod,0)),"Código não cadastrado"))</f>
        <v>0</v>
      </c>
      <c r="G2470" s="24">
        <f>IF(OR($B2470="",$D2470=""),"",$D2470*IFERROR(INDEX(ProdCusto,MATCH($B2470,ProdCod,0)),0))</f>
        <v>0</v>
      </c>
      <c r="H2470" s="25">
        <f>IF($A2470="","",IF(OR($B2470="",$C2470="",$D2470=""),"Preencher tudo",IF($F2470="Código não cadastrado","Código inválido","OK")))</f>
        <v>0</v>
      </c>
    </row>
    <row r="2471" spans="1:8">
      <c r="A2471" s="16"/>
      <c r="B2471" s="15"/>
      <c r="C2471" s="20"/>
      <c r="D2471" s="22"/>
      <c r="E2471" s="15"/>
      <c r="F2471" s="23">
        <f>IF($B2471="","",IFERROR(INDEX(ProdNome,MATCH($B2471,ProdCod,0)),"Código não cadastrado"))</f>
        <v>0</v>
      </c>
      <c r="G2471" s="24">
        <f>IF(OR($B2471="",$D2471=""),"",$D2471*IFERROR(INDEX(ProdCusto,MATCH($B2471,ProdCod,0)),0))</f>
        <v>0</v>
      </c>
      <c r="H2471" s="25">
        <f>IF($A2471="","",IF(OR($B2471="",$C2471="",$D2471=""),"Preencher tudo",IF($F2471="Código não cadastrado","Código inválido","OK")))</f>
        <v>0</v>
      </c>
    </row>
    <row r="2472" spans="1:8">
      <c r="A2472" s="16"/>
      <c r="B2472" s="15"/>
      <c r="C2472" s="20"/>
      <c r="D2472" s="22"/>
      <c r="E2472" s="15"/>
      <c r="F2472" s="23">
        <f>IF($B2472="","",IFERROR(INDEX(ProdNome,MATCH($B2472,ProdCod,0)),"Código não cadastrado"))</f>
        <v>0</v>
      </c>
      <c r="G2472" s="24">
        <f>IF(OR($B2472="",$D2472=""),"",$D2472*IFERROR(INDEX(ProdCusto,MATCH($B2472,ProdCod,0)),0))</f>
        <v>0</v>
      </c>
      <c r="H2472" s="25">
        <f>IF($A2472="","",IF(OR($B2472="",$C2472="",$D2472=""),"Preencher tudo",IF($F2472="Código não cadastrado","Código inválido","OK")))</f>
        <v>0</v>
      </c>
    </row>
    <row r="2473" spans="1:8">
      <c r="A2473" s="16"/>
      <c r="B2473" s="15"/>
      <c r="C2473" s="20"/>
      <c r="D2473" s="22"/>
      <c r="E2473" s="15"/>
      <c r="F2473" s="23">
        <f>IF($B2473="","",IFERROR(INDEX(ProdNome,MATCH($B2473,ProdCod,0)),"Código não cadastrado"))</f>
        <v>0</v>
      </c>
      <c r="G2473" s="24">
        <f>IF(OR($B2473="",$D2473=""),"",$D2473*IFERROR(INDEX(ProdCusto,MATCH($B2473,ProdCod,0)),0))</f>
        <v>0</v>
      </c>
      <c r="H2473" s="25">
        <f>IF($A2473="","",IF(OR($B2473="",$C2473="",$D2473=""),"Preencher tudo",IF($F2473="Código não cadastrado","Código inválido","OK")))</f>
        <v>0</v>
      </c>
    </row>
    <row r="2474" spans="1:8">
      <c r="A2474" s="16"/>
      <c r="B2474" s="15"/>
      <c r="C2474" s="20"/>
      <c r="D2474" s="22"/>
      <c r="E2474" s="15"/>
      <c r="F2474" s="23">
        <f>IF($B2474="","",IFERROR(INDEX(ProdNome,MATCH($B2474,ProdCod,0)),"Código não cadastrado"))</f>
        <v>0</v>
      </c>
      <c r="G2474" s="24">
        <f>IF(OR($B2474="",$D2474=""),"",$D2474*IFERROR(INDEX(ProdCusto,MATCH($B2474,ProdCod,0)),0))</f>
        <v>0</v>
      </c>
      <c r="H2474" s="25">
        <f>IF($A2474="","",IF(OR($B2474="",$C2474="",$D2474=""),"Preencher tudo",IF($F2474="Código não cadastrado","Código inválido","OK")))</f>
        <v>0</v>
      </c>
    </row>
    <row r="2475" spans="1:8">
      <c r="A2475" s="16"/>
      <c r="B2475" s="15"/>
      <c r="C2475" s="20"/>
      <c r="D2475" s="22"/>
      <c r="E2475" s="15"/>
      <c r="F2475" s="23">
        <f>IF($B2475="","",IFERROR(INDEX(ProdNome,MATCH($B2475,ProdCod,0)),"Código não cadastrado"))</f>
        <v>0</v>
      </c>
      <c r="G2475" s="24">
        <f>IF(OR($B2475="",$D2475=""),"",$D2475*IFERROR(INDEX(ProdCusto,MATCH($B2475,ProdCod,0)),0))</f>
        <v>0</v>
      </c>
      <c r="H2475" s="25">
        <f>IF($A2475="","",IF(OR($B2475="",$C2475="",$D2475=""),"Preencher tudo",IF($F2475="Código não cadastrado","Código inválido","OK")))</f>
        <v>0</v>
      </c>
    </row>
    <row r="2476" spans="1:8">
      <c r="A2476" s="16"/>
      <c r="B2476" s="15"/>
      <c r="C2476" s="20"/>
      <c r="D2476" s="22"/>
      <c r="E2476" s="15"/>
      <c r="F2476" s="23">
        <f>IF($B2476="","",IFERROR(INDEX(ProdNome,MATCH($B2476,ProdCod,0)),"Código não cadastrado"))</f>
        <v>0</v>
      </c>
      <c r="G2476" s="24">
        <f>IF(OR($B2476="",$D2476=""),"",$D2476*IFERROR(INDEX(ProdCusto,MATCH($B2476,ProdCod,0)),0))</f>
        <v>0</v>
      </c>
      <c r="H2476" s="25">
        <f>IF($A2476="","",IF(OR($B2476="",$C2476="",$D2476=""),"Preencher tudo",IF($F2476="Código não cadastrado","Código inválido","OK")))</f>
        <v>0</v>
      </c>
    </row>
    <row r="2477" spans="1:8">
      <c r="A2477" s="16"/>
      <c r="B2477" s="15"/>
      <c r="C2477" s="20"/>
      <c r="D2477" s="22"/>
      <c r="E2477" s="15"/>
      <c r="F2477" s="23">
        <f>IF($B2477="","",IFERROR(INDEX(ProdNome,MATCH($B2477,ProdCod,0)),"Código não cadastrado"))</f>
        <v>0</v>
      </c>
      <c r="G2477" s="24">
        <f>IF(OR($B2477="",$D2477=""),"",$D2477*IFERROR(INDEX(ProdCusto,MATCH($B2477,ProdCod,0)),0))</f>
        <v>0</v>
      </c>
      <c r="H2477" s="25">
        <f>IF($A2477="","",IF(OR($B2477="",$C2477="",$D2477=""),"Preencher tudo",IF($F2477="Código não cadastrado","Código inválido","OK")))</f>
        <v>0</v>
      </c>
    </row>
    <row r="2478" spans="1:8">
      <c r="A2478" s="16"/>
      <c r="B2478" s="15"/>
      <c r="C2478" s="20"/>
      <c r="D2478" s="22"/>
      <c r="E2478" s="15"/>
      <c r="F2478" s="23">
        <f>IF($B2478="","",IFERROR(INDEX(ProdNome,MATCH($B2478,ProdCod,0)),"Código não cadastrado"))</f>
        <v>0</v>
      </c>
      <c r="G2478" s="24">
        <f>IF(OR($B2478="",$D2478=""),"",$D2478*IFERROR(INDEX(ProdCusto,MATCH($B2478,ProdCod,0)),0))</f>
        <v>0</v>
      </c>
      <c r="H2478" s="25">
        <f>IF($A2478="","",IF(OR($B2478="",$C2478="",$D2478=""),"Preencher tudo",IF($F2478="Código não cadastrado","Código inválido","OK")))</f>
        <v>0</v>
      </c>
    </row>
    <row r="2479" spans="1:8">
      <c r="A2479" s="16"/>
      <c r="B2479" s="15"/>
      <c r="C2479" s="20"/>
      <c r="D2479" s="22"/>
      <c r="E2479" s="15"/>
      <c r="F2479" s="23">
        <f>IF($B2479="","",IFERROR(INDEX(ProdNome,MATCH($B2479,ProdCod,0)),"Código não cadastrado"))</f>
        <v>0</v>
      </c>
      <c r="G2479" s="24">
        <f>IF(OR($B2479="",$D2479=""),"",$D2479*IFERROR(INDEX(ProdCusto,MATCH($B2479,ProdCod,0)),0))</f>
        <v>0</v>
      </c>
      <c r="H2479" s="25">
        <f>IF($A2479="","",IF(OR($B2479="",$C2479="",$D2479=""),"Preencher tudo",IF($F2479="Código não cadastrado","Código inválido","OK")))</f>
        <v>0</v>
      </c>
    </row>
    <row r="2480" spans="1:8">
      <c r="A2480" s="16"/>
      <c r="B2480" s="15"/>
      <c r="C2480" s="20"/>
      <c r="D2480" s="22"/>
      <c r="E2480" s="15"/>
      <c r="F2480" s="23">
        <f>IF($B2480="","",IFERROR(INDEX(ProdNome,MATCH($B2480,ProdCod,0)),"Código não cadastrado"))</f>
        <v>0</v>
      </c>
      <c r="G2480" s="24">
        <f>IF(OR($B2480="",$D2480=""),"",$D2480*IFERROR(INDEX(ProdCusto,MATCH($B2480,ProdCod,0)),0))</f>
        <v>0</v>
      </c>
      <c r="H2480" s="25">
        <f>IF($A2480="","",IF(OR($B2480="",$C2480="",$D2480=""),"Preencher tudo",IF($F2480="Código não cadastrado","Código inválido","OK")))</f>
        <v>0</v>
      </c>
    </row>
    <row r="2481" spans="1:8">
      <c r="A2481" s="16"/>
      <c r="B2481" s="15"/>
      <c r="C2481" s="20"/>
      <c r="D2481" s="22"/>
      <c r="E2481" s="15"/>
      <c r="F2481" s="23">
        <f>IF($B2481="","",IFERROR(INDEX(ProdNome,MATCH($B2481,ProdCod,0)),"Código não cadastrado"))</f>
        <v>0</v>
      </c>
      <c r="G2481" s="24">
        <f>IF(OR($B2481="",$D2481=""),"",$D2481*IFERROR(INDEX(ProdCusto,MATCH($B2481,ProdCod,0)),0))</f>
        <v>0</v>
      </c>
      <c r="H2481" s="25">
        <f>IF($A2481="","",IF(OR($B2481="",$C2481="",$D2481=""),"Preencher tudo",IF($F2481="Código não cadastrado","Código inválido","OK")))</f>
        <v>0</v>
      </c>
    </row>
    <row r="2482" spans="1:8">
      <c r="A2482" s="16"/>
      <c r="B2482" s="15"/>
      <c r="C2482" s="20"/>
      <c r="D2482" s="22"/>
      <c r="E2482" s="15"/>
      <c r="F2482" s="23">
        <f>IF($B2482="","",IFERROR(INDEX(ProdNome,MATCH($B2482,ProdCod,0)),"Código não cadastrado"))</f>
        <v>0</v>
      </c>
      <c r="G2482" s="24">
        <f>IF(OR($B2482="",$D2482=""),"",$D2482*IFERROR(INDEX(ProdCusto,MATCH($B2482,ProdCod,0)),0))</f>
        <v>0</v>
      </c>
      <c r="H2482" s="25">
        <f>IF($A2482="","",IF(OR($B2482="",$C2482="",$D2482=""),"Preencher tudo",IF($F2482="Código não cadastrado","Código inválido","OK")))</f>
        <v>0</v>
      </c>
    </row>
    <row r="2483" spans="1:8">
      <c r="A2483" s="16"/>
      <c r="B2483" s="15"/>
      <c r="C2483" s="20"/>
      <c r="D2483" s="22"/>
      <c r="E2483" s="15"/>
      <c r="F2483" s="23">
        <f>IF($B2483="","",IFERROR(INDEX(ProdNome,MATCH($B2483,ProdCod,0)),"Código não cadastrado"))</f>
        <v>0</v>
      </c>
      <c r="G2483" s="24">
        <f>IF(OR($B2483="",$D2483=""),"",$D2483*IFERROR(INDEX(ProdCusto,MATCH($B2483,ProdCod,0)),0))</f>
        <v>0</v>
      </c>
      <c r="H2483" s="25">
        <f>IF($A2483="","",IF(OR($B2483="",$C2483="",$D2483=""),"Preencher tudo",IF($F2483="Código não cadastrado","Código inválido","OK")))</f>
        <v>0</v>
      </c>
    </row>
    <row r="2484" spans="1:8">
      <c r="A2484" s="16"/>
      <c r="B2484" s="15"/>
      <c r="C2484" s="20"/>
      <c r="D2484" s="22"/>
      <c r="E2484" s="15"/>
      <c r="F2484" s="23">
        <f>IF($B2484="","",IFERROR(INDEX(ProdNome,MATCH($B2484,ProdCod,0)),"Código não cadastrado"))</f>
        <v>0</v>
      </c>
      <c r="G2484" s="24">
        <f>IF(OR($B2484="",$D2484=""),"",$D2484*IFERROR(INDEX(ProdCusto,MATCH($B2484,ProdCod,0)),0))</f>
        <v>0</v>
      </c>
      <c r="H2484" s="25">
        <f>IF($A2484="","",IF(OR($B2484="",$C2484="",$D2484=""),"Preencher tudo",IF($F2484="Código não cadastrado","Código inválido","OK")))</f>
        <v>0</v>
      </c>
    </row>
    <row r="2485" spans="1:8">
      <c r="A2485" s="16"/>
      <c r="B2485" s="15"/>
      <c r="C2485" s="20"/>
      <c r="D2485" s="22"/>
      <c r="E2485" s="15"/>
      <c r="F2485" s="23">
        <f>IF($B2485="","",IFERROR(INDEX(ProdNome,MATCH($B2485,ProdCod,0)),"Código não cadastrado"))</f>
        <v>0</v>
      </c>
      <c r="G2485" s="24">
        <f>IF(OR($B2485="",$D2485=""),"",$D2485*IFERROR(INDEX(ProdCusto,MATCH($B2485,ProdCod,0)),0))</f>
        <v>0</v>
      </c>
      <c r="H2485" s="25">
        <f>IF($A2485="","",IF(OR($B2485="",$C2485="",$D2485=""),"Preencher tudo",IF($F2485="Código não cadastrado","Código inválido","OK")))</f>
        <v>0</v>
      </c>
    </row>
    <row r="2486" spans="1:8">
      <c r="A2486" s="16"/>
      <c r="B2486" s="15"/>
      <c r="C2486" s="20"/>
      <c r="D2486" s="22"/>
      <c r="E2486" s="15"/>
      <c r="F2486" s="23">
        <f>IF($B2486="","",IFERROR(INDEX(ProdNome,MATCH($B2486,ProdCod,0)),"Código não cadastrado"))</f>
        <v>0</v>
      </c>
      <c r="G2486" s="24">
        <f>IF(OR($B2486="",$D2486=""),"",$D2486*IFERROR(INDEX(ProdCusto,MATCH($B2486,ProdCod,0)),0))</f>
        <v>0</v>
      </c>
      <c r="H2486" s="25">
        <f>IF($A2486="","",IF(OR($B2486="",$C2486="",$D2486=""),"Preencher tudo",IF($F2486="Código não cadastrado","Código inválido","OK")))</f>
        <v>0</v>
      </c>
    </row>
    <row r="2487" spans="1:8">
      <c r="A2487" s="16"/>
      <c r="B2487" s="15"/>
      <c r="C2487" s="20"/>
      <c r="D2487" s="22"/>
      <c r="E2487" s="15"/>
      <c r="F2487" s="23">
        <f>IF($B2487="","",IFERROR(INDEX(ProdNome,MATCH($B2487,ProdCod,0)),"Código não cadastrado"))</f>
        <v>0</v>
      </c>
      <c r="G2487" s="24">
        <f>IF(OR($B2487="",$D2487=""),"",$D2487*IFERROR(INDEX(ProdCusto,MATCH($B2487,ProdCod,0)),0))</f>
        <v>0</v>
      </c>
      <c r="H2487" s="25">
        <f>IF($A2487="","",IF(OR($B2487="",$C2487="",$D2487=""),"Preencher tudo",IF($F2487="Código não cadastrado","Código inválido","OK")))</f>
        <v>0</v>
      </c>
    </row>
    <row r="2488" spans="1:8">
      <c r="A2488" s="16"/>
      <c r="B2488" s="15"/>
      <c r="C2488" s="20"/>
      <c r="D2488" s="22"/>
      <c r="E2488" s="15"/>
      <c r="F2488" s="23">
        <f>IF($B2488="","",IFERROR(INDEX(ProdNome,MATCH($B2488,ProdCod,0)),"Código não cadastrado"))</f>
        <v>0</v>
      </c>
      <c r="G2488" s="24">
        <f>IF(OR($B2488="",$D2488=""),"",$D2488*IFERROR(INDEX(ProdCusto,MATCH($B2488,ProdCod,0)),0))</f>
        <v>0</v>
      </c>
      <c r="H2488" s="25">
        <f>IF($A2488="","",IF(OR($B2488="",$C2488="",$D2488=""),"Preencher tudo",IF($F2488="Código não cadastrado","Código inválido","OK")))</f>
        <v>0</v>
      </c>
    </row>
    <row r="2489" spans="1:8">
      <c r="A2489" s="16"/>
      <c r="B2489" s="15"/>
      <c r="C2489" s="20"/>
      <c r="D2489" s="22"/>
      <c r="E2489" s="15"/>
      <c r="F2489" s="23">
        <f>IF($B2489="","",IFERROR(INDEX(ProdNome,MATCH($B2489,ProdCod,0)),"Código não cadastrado"))</f>
        <v>0</v>
      </c>
      <c r="G2489" s="24">
        <f>IF(OR($B2489="",$D2489=""),"",$D2489*IFERROR(INDEX(ProdCusto,MATCH($B2489,ProdCod,0)),0))</f>
        <v>0</v>
      </c>
      <c r="H2489" s="25">
        <f>IF($A2489="","",IF(OR($B2489="",$C2489="",$D2489=""),"Preencher tudo",IF($F2489="Código não cadastrado","Código inválido","OK")))</f>
        <v>0</v>
      </c>
    </row>
    <row r="2490" spans="1:8">
      <c r="A2490" s="16"/>
      <c r="B2490" s="15"/>
      <c r="C2490" s="20"/>
      <c r="D2490" s="22"/>
      <c r="E2490" s="15"/>
      <c r="F2490" s="23">
        <f>IF($B2490="","",IFERROR(INDEX(ProdNome,MATCH($B2490,ProdCod,0)),"Código não cadastrado"))</f>
        <v>0</v>
      </c>
      <c r="G2490" s="24">
        <f>IF(OR($B2490="",$D2490=""),"",$D2490*IFERROR(INDEX(ProdCusto,MATCH($B2490,ProdCod,0)),0))</f>
        <v>0</v>
      </c>
      <c r="H2490" s="25">
        <f>IF($A2490="","",IF(OR($B2490="",$C2490="",$D2490=""),"Preencher tudo",IF($F2490="Código não cadastrado","Código inválido","OK")))</f>
        <v>0</v>
      </c>
    </row>
    <row r="2491" spans="1:8">
      <c r="A2491" s="16"/>
      <c r="B2491" s="15"/>
      <c r="C2491" s="20"/>
      <c r="D2491" s="22"/>
      <c r="E2491" s="15"/>
      <c r="F2491" s="23">
        <f>IF($B2491="","",IFERROR(INDEX(ProdNome,MATCH($B2491,ProdCod,0)),"Código não cadastrado"))</f>
        <v>0</v>
      </c>
      <c r="G2491" s="24">
        <f>IF(OR($B2491="",$D2491=""),"",$D2491*IFERROR(INDEX(ProdCusto,MATCH($B2491,ProdCod,0)),0))</f>
        <v>0</v>
      </c>
      <c r="H2491" s="25">
        <f>IF($A2491="","",IF(OR($B2491="",$C2491="",$D2491=""),"Preencher tudo",IF($F2491="Código não cadastrado","Código inválido","OK")))</f>
        <v>0</v>
      </c>
    </row>
    <row r="2492" spans="1:8">
      <c r="A2492" s="16"/>
      <c r="B2492" s="15"/>
      <c r="C2492" s="20"/>
      <c r="D2492" s="22"/>
      <c r="E2492" s="15"/>
      <c r="F2492" s="23">
        <f>IF($B2492="","",IFERROR(INDEX(ProdNome,MATCH($B2492,ProdCod,0)),"Código não cadastrado"))</f>
        <v>0</v>
      </c>
      <c r="G2492" s="24">
        <f>IF(OR($B2492="",$D2492=""),"",$D2492*IFERROR(INDEX(ProdCusto,MATCH($B2492,ProdCod,0)),0))</f>
        <v>0</v>
      </c>
      <c r="H2492" s="25">
        <f>IF($A2492="","",IF(OR($B2492="",$C2492="",$D2492=""),"Preencher tudo",IF($F2492="Código não cadastrado","Código inválido","OK")))</f>
        <v>0</v>
      </c>
    </row>
    <row r="2493" spans="1:8">
      <c r="A2493" s="16"/>
      <c r="B2493" s="15"/>
      <c r="C2493" s="20"/>
      <c r="D2493" s="22"/>
      <c r="E2493" s="15"/>
      <c r="F2493" s="23">
        <f>IF($B2493="","",IFERROR(INDEX(ProdNome,MATCH($B2493,ProdCod,0)),"Código não cadastrado"))</f>
        <v>0</v>
      </c>
      <c r="G2493" s="24">
        <f>IF(OR($B2493="",$D2493=""),"",$D2493*IFERROR(INDEX(ProdCusto,MATCH($B2493,ProdCod,0)),0))</f>
        <v>0</v>
      </c>
      <c r="H2493" s="25">
        <f>IF($A2493="","",IF(OR($B2493="",$C2493="",$D2493=""),"Preencher tudo",IF($F2493="Código não cadastrado","Código inválido","OK")))</f>
        <v>0</v>
      </c>
    </row>
    <row r="2494" spans="1:8">
      <c r="A2494" s="16"/>
      <c r="B2494" s="15"/>
      <c r="C2494" s="20"/>
      <c r="D2494" s="22"/>
      <c r="E2494" s="15"/>
      <c r="F2494" s="23">
        <f>IF($B2494="","",IFERROR(INDEX(ProdNome,MATCH($B2494,ProdCod,0)),"Código não cadastrado"))</f>
        <v>0</v>
      </c>
      <c r="G2494" s="24">
        <f>IF(OR($B2494="",$D2494=""),"",$D2494*IFERROR(INDEX(ProdCusto,MATCH($B2494,ProdCod,0)),0))</f>
        <v>0</v>
      </c>
      <c r="H2494" s="25">
        <f>IF($A2494="","",IF(OR($B2494="",$C2494="",$D2494=""),"Preencher tudo",IF($F2494="Código não cadastrado","Código inválido","OK")))</f>
        <v>0</v>
      </c>
    </row>
    <row r="2495" spans="1:8">
      <c r="A2495" s="16"/>
      <c r="B2495" s="15"/>
      <c r="C2495" s="20"/>
      <c r="D2495" s="22"/>
      <c r="E2495" s="15"/>
      <c r="F2495" s="23">
        <f>IF($B2495="","",IFERROR(INDEX(ProdNome,MATCH($B2495,ProdCod,0)),"Código não cadastrado"))</f>
        <v>0</v>
      </c>
      <c r="G2495" s="24">
        <f>IF(OR($B2495="",$D2495=""),"",$D2495*IFERROR(INDEX(ProdCusto,MATCH($B2495,ProdCod,0)),0))</f>
        <v>0</v>
      </c>
      <c r="H2495" s="25">
        <f>IF($A2495="","",IF(OR($B2495="",$C2495="",$D2495=""),"Preencher tudo",IF($F2495="Código não cadastrado","Código inválido","OK")))</f>
        <v>0</v>
      </c>
    </row>
    <row r="2496" spans="1:8">
      <c r="A2496" s="16"/>
      <c r="B2496" s="15"/>
      <c r="C2496" s="20"/>
      <c r="D2496" s="22"/>
      <c r="E2496" s="15"/>
      <c r="F2496" s="23">
        <f>IF($B2496="","",IFERROR(INDEX(ProdNome,MATCH($B2496,ProdCod,0)),"Código não cadastrado"))</f>
        <v>0</v>
      </c>
      <c r="G2496" s="24">
        <f>IF(OR($B2496="",$D2496=""),"",$D2496*IFERROR(INDEX(ProdCusto,MATCH($B2496,ProdCod,0)),0))</f>
        <v>0</v>
      </c>
      <c r="H2496" s="25">
        <f>IF($A2496="","",IF(OR($B2496="",$C2496="",$D2496=""),"Preencher tudo",IF($F2496="Código não cadastrado","Código inválido","OK")))</f>
        <v>0</v>
      </c>
    </row>
    <row r="2497" spans="1:8">
      <c r="A2497" s="16"/>
      <c r="B2497" s="15"/>
      <c r="C2497" s="20"/>
      <c r="D2497" s="22"/>
      <c r="E2497" s="15"/>
      <c r="F2497" s="23">
        <f>IF($B2497="","",IFERROR(INDEX(ProdNome,MATCH($B2497,ProdCod,0)),"Código não cadastrado"))</f>
        <v>0</v>
      </c>
      <c r="G2497" s="24">
        <f>IF(OR($B2497="",$D2497=""),"",$D2497*IFERROR(INDEX(ProdCusto,MATCH($B2497,ProdCod,0)),0))</f>
        <v>0</v>
      </c>
      <c r="H2497" s="25">
        <f>IF($A2497="","",IF(OR($B2497="",$C2497="",$D2497=""),"Preencher tudo",IF($F2497="Código não cadastrado","Código inválido","OK")))</f>
        <v>0</v>
      </c>
    </row>
    <row r="2498" spans="1:8">
      <c r="A2498" s="16"/>
      <c r="B2498" s="15"/>
      <c r="C2498" s="20"/>
      <c r="D2498" s="22"/>
      <c r="E2498" s="15"/>
      <c r="F2498" s="23">
        <f>IF($B2498="","",IFERROR(INDEX(ProdNome,MATCH($B2498,ProdCod,0)),"Código não cadastrado"))</f>
        <v>0</v>
      </c>
      <c r="G2498" s="24">
        <f>IF(OR($B2498="",$D2498=""),"",$D2498*IFERROR(INDEX(ProdCusto,MATCH($B2498,ProdCod,0)),0))</f>
        <v>0</v>
      </c>
      <c r="H2498" s="25">
        <f>IF($A2498="","",IF(OR($B2498="",$C2498="",$D2498=""),"Preencher tudo",IF($F2498="Código não cadastrado","Código inválido","OK")))</f>
        <v>0</v>
      </c>
    </row>
    <row r="2499" spans="1:8">
      <c r="A2499" s="16"/>
      <c r="B2499" s="15"/>
      <c r="C2499" s="20"/>
      <c r="D2499" s="22"/>
      <c r="E2499" s="15"/>
      <c r="F2499" s="23">
        <f>IF($B2499="","",IFERROR(INDEX(ProdNome,MATCH($B2499,ProdCod,0)),"Código não cadastrado"))</f>
        <v>0</v>
      </c>
      <c r="G2499" s="24">
        <f>IF(OR($B2499="",$D2499=""),"",$D2499*IFERROR(INDEX(ProdCusto,MATCH($B2499,ProdCod,0)),0))</f>
        <v>0</v>
      </c>
      <c r="H2499" s="25">
        <f>IF($A2499="","",IF(OR($B2499="",$C2499="",$D2499=""),"Preencher tudo",IF($F2499="Código não cadastrado","Código inválido","OK")))</f>
        <v>0</v>
      </c>
    </row>
    <row r="2500" spans="1:8">
      <c r="A2500" s="16"/>
      <c r="B2500" s="15"/>
      <c r="C2500" s="20"/>
      <c r="D2500" s="22"/>
      <c r="E2500" s="15"/>
      <c r="F2500" s="23">
        <f>IF($B2500="","",IFERROR(INDEX(ProdNome,MATCH($B2500,ProdCod,0)),"Código não cadastrado"))</f>
        <v>0</v>
      </c>
      <c r="G2500" s="24">
        <f>IF(OR($B2500="",$D2500=""),"",$D2500*IFERROR(INDEX(ProdCusto,MATCH($B2500,ProdCod,0)),0))</f>
        <v>0</v>
      </c>
      <c r="H2500" s="25">
        <f>IF($A2500="","",IF(OR($B2500="",$C2500="",$D2500=""),"Preencher tudo",IF($F2500="Código não cadastrado","Código inválido","OK")))</f>
        <v>0</v>
      </c>
    </row>
    <row r="2501" spans="1:8">
      <c r="A2501" s="16"/>
      <c r="B2501" s="15"/>
      <c r="C2501" s="20"/>
      <c r="D2501" s="22"/>
      <c r="E2501" s="15"/>
      <c r="F2501" s="23">
        <f>IF($B2501="","",IFERROR(INDEX(ProdNome,MATCH($B2501,ProdCod,0)),"Código não cadastrado"))</f>
        <v>0</v>
      </c>
      <c r="G2501" s="24">
        <f>IF(OR($B2501="",$D2501=""),"",$D2501*IFERROR(INDEX(ProdCusto,MATCH($B2501,ProdCod,0)),0))</f>
        <v>0</v>
      </c>
      <c r="H2501" s="25">
        <f>IF($A2501="","",IF(OR($B2501="",$C2501="",$D2501=""),"Preencher tudo",IF($F2501="Código não cadastrado","Código inválido","OK")))</f>
        <v>0</v>
      </c>
    </row>
    <row r="2502" spans="1:8">
      <c r="A2502" s="16"/>
      <c r="B2502" s="15"/>
      <c r="C2502" s="20"/>
      <c r="D2502" s="22"/>
      <c r="E2502" s="15"/>
      <c r="F2502" s="23">
        <f>IF($B2502="","",IFERROR(INDEX(ProdNome,MATCH($B2502,ProdCod,0)),"Código não cadastrado"))</f>
        <v>0</v>
      </c>
      <c r="G2502" s="24">
        <f>IF(OR($B2502="",$D2502=""),"",$D2502*IFERROR(INDEX(ProdCusto,MATCH($B2502,ProdCod,0)),0))</f>
        <v>0</v>
      </c>
      <c r="H2502" s="25">
        <f>IF($A2502="","",IF(OR($B2502="",$C2502="",$D2502=""),"Preencher tudo",IF($F2502="Código não cadastrado","Código inválido","OK")))</f>
        <v>0</v>
      </c>
    </row>
    <row r="2503" spans="1:8">
      <c r="A2503" s="16"/>
      <c r="B2503" s="15"/>
      <c r="C2503" s="20"/>
      <c r="D2503" s="22"/>
      <c r="E2503" s="15"/>
      <c r="F2503" s="23">
        <f>IF($B2503="","",IFERROR(INDEX(ProdNome,MATCH($B2503,ProdCod,0)),"Código não cadastrado"))</f>
        <v>0</v>
      </c>
      <c r="G2503" s="24">
        <f>IF(OR($B2503="",$D2503=""),"",$D2503*IFERROR(INDEX(ProdCusto,MATCH($B2503,ProdCod,0)),0))</f>
        <v>0</v>
      </c>
      <c r="H2503" s="25">
        <f>IF($A2503="","",IF(OR($B2503="",$C2503="",$D2503=""),"Preencher tudo",IF($F2503="Código não cadastrado","Código inválido","OK")))</f>
        <v>0</v>
      </c>
    </row>
    <row r="2504" spans="1:8">
      <c r="A2504" s="16"/>
      <c r="B2504" s="15"/>
      <c r="C2504" s="20"/>
      <c r="D2504" s="22"/>
      <c r="E2504" s="15"/>
      <c r="F2504" s="23">
        <f>IF($B2504="","",IFERROR(INDEX(ProdNome,MATCH($B2504,ProdCod,0)),"Código não cadastrado"))</f>
        <v>0</v>
      </c>
      <c r="G2504" s="24">
        <f>IF(OR($B2504="",$D2504=""),"",$D2504*IFERROR(INDEX(ProdCusto,MATCH($B2504,ProdCod,0)),0))</f>
        <v>0</v>
      </c>
      <c r="H2504" s="25">
        <f>IF($A2504="","",IF(OR($B2504="",$C2504="",$D2504=""),"Preencher tudo",IF($F2504="Código não cadastrado","Código inválido","OK")))</f>
        <v>0</v>
      </c>
    </row>
    <row r="2505" spans="1:8">
      <c r="A2505" s="16"/>
      <c r="B2505" s="15"/>
      <c r="C2505" s="20"/>
      <c r="D2505" s="22"/>
      <c r="E2505" s="15"/>
      <c r="F2505" s="23">
        <f>IF($B2505="","",IFERROR(INDEX(ProdNome,MATCH($B2505,ProdCod,0)),"Código não cadastrado"))</f>
        <v>0</v>
      </c>
      <c r="G2505" s="24">
        <f>IF(OR($B2505="",$D2505=""),"",$D2505*IFERROR(INDEX(ProdCusto,MATCH($B2505,ProdCod,0)),0))</f>
        <v>0</v>
      </c>
      <c r="H2505" s="25">
        <f>IF($A2505="","",IF(OR($B2505="",$C2505="",$D2505=""),"Preencher tudo",IF($F2505="Código não cadastrado","Código inválido","OK")))</f>
        <v>0</v>
      </c>
    </row>
    <row r="2506" spans="1:8">
      <c r="A2506" s="16"/>
      <c r="B2506" s="15"/>
      <c r="C2506" s="20"/>
      <c r="D2506" s="22"/>
      <c r="E2506" s="15"/>
      <c r="F2506" s="23">
        <f>IF($B2506="","",IFERROR(INDEX(ProdNome,MATCH($B2506,ProdCod,0)),"Código não cadastrado"))</f>
        <v>0</v>
      </c>
      <c r="G2506" s="24">
        <f>IF(OR($B2506="",$D2506=""),"",$D2506*IFERROR(INDEX(ProdCusto,MATCH($B2506,ProdCod,0)),0))</f>
        <v>0</v>
      </c>
      <c r="H2506" s="25">
        <f>IF($A2506="","",IF(OR($B2506="",$C2506="",$D2506=""),"Preencher tudo",IF($F2506="Código não cadastrado","Código inválido","OK")))</f>
        <v>0</v>
      </c>
    </row>
    <row r="2507" spans="1:8">
      <c r="A2507" s="16"/>
      <c r="B2507" s="15"/>
      <c r="C2507" s="20"/>
      <c r="D2507" s="22"/>
      <c r="E2507" s="15"/>
      <c r="F2507" s="23">
        <f>IF($B2507="","",IFERROR(INDEX(ProdNome,MATCH($B2507,ProdCod,0)),"Código não cadastrado"))</f>
        <v>0</v>
      </c>
      <c r="G2507" s="24">
        <f>IF(OR($B2507="",$D2507=""),"",$D2507*IFERROR(INDEX(ProdCusto,MATCH($B2507,ProdCod,0)),0))</f>
        <v>0</v>
      </c>
      <c r="H2507" s="25">
        <f>IF($A2507="","",IF(OR($B2507="",$C2507="",$D2507=""),"Preencher tudo",IF($F2507="Código não cadastrado","Código inválido","OK")))</f>
        <v>0</v>
      </c>
    </row>
    <row r="2508" spans="1:8">
      <c r="A2508" s="16"/>
      <c r="B2508" s="15"/>
      <c r="C2508" s="20"/>
      <c r="D2508" s="22"/>
      <c r="E2508" s="15"/>
      <c r="F2508" s="23">
        <f>IF($B2508="","",IFERROR(INDEX(ProdNome,MATCH($B2508,ProdCod,0)),"Código não cadastrado"))</f>
        <v>0</v>
      </c>
      <c r="G2508" s="24">
        <f>IF(OR($B2508="",$D2508=""),"",$D2508*IFERROR(INDEX(ProdCusto,MATCH($B2508,ProdCod,0)),0))</f>
        <v>0</v>
      </c>
      <c r="H2508" s="25">
        <f>IF($A2508="","",IF(OR($B2508="",$C2508="",$D2508=""),"Preencher tudo",IF($F2508="Código não cadastrado","Código inválido","OK")))</f>
        <v>0</v>
      </c>
    </row>
    <row r="2509" spans="1:8">
      <c r="A2509" s="16"/>
      <c r="B2509" s="15"/>
      <c r="C2509" s="20"/>
      <c r="D2509" s="22"/>
      <c r="E2509" s="15"/>
      <c r="F2509" s="23">
        <f>IF($B2509="","",IFERROR(INDEX(ProdNome,MATCH($B2509,ProdCod,0)),"Código não cadastrado"))</f>
        <v>0</v>
      </c>
      <c r="G2509" s="24">
        <f>IF(OR($B2509="",$D2509=""),"",$D2509*IFERROR(INDEX(ProdCusto,MATCH($B2509,ProdCod,0)),0))</f>
        <v>0</v>
      </c>
      <c r="H2509" s="25">
        <f>IF($A2509="","",IF(OR($B2509="",$C2509="",$D2509=""),"Preencher tudo",IF($F2509="Código não cadastrado","Código inválido","OK")))</f>
        <v>0</v>
      </c>
    </row>
    <row r="2510" spans="1:8">
      <c r="A2510" s="16"/>
      <c r="B2510" s="15"/>
      <c r="C2510" s="20"/>
      <c r="D2510" s="22"/>
      <c r="E2510" s="15"/>
      <c r="F2510" s="23">
        <f>IF($B2510="","",IFERROR(INDEX(ProdNome,MATCH($B2510,ProdCod,0)),"Código não cadastrado"))</f>
        <v>0</v>
      </c>
      <c r="G2510" s="24">
        <f>IF(OR($B2510="",$D2510=""),"",$D2510*IFERROR(INDEX(ProdCusto,MATCH($B2510,ProdCod,0)),0))</f>
        <v>0</v>
      </c>
      <c r="H2510" s="25">
        <f>IF($A2510="","",IF(OR($B2510="",$C2510="",$D2510=""),"Preencher tudo",IF($F2510="Código não cadastrado","Código inválido","OK")))</f>
        <v>0</v>
      </c>
    </row>
    <row r="2511" spans="1:8">
      <c r="A2511" s="16"/>
      <c r="B2511" s="15"/>
      <c r="C2511" s="20"/>
      <c r="D2511" s="22"/>
      <c r="E2511" s="15"/>
      <c r="F2511" s="23">
        <f>IF($B2511="","",IFERROR(INDEX(ProdNome,MATCH($B2511,ProdCod,0)),"Código não cadastrado"))</f>
        <v>0</v>
      </c>
      <c r="G2511" s="24">
        <f>IF(OR($B2511="",$D2511=""),"",$D2511*IFERROR(INDEX(ProdCusto,MATCH($B2511,ProdCod,0)),0))</f>
        <v>0</v>
      </c>
      <c r="H2511" s="25">
        <f>IF($A2511="","",IF(OR($B2511="",$C2511="",$D2511=""),"Preencher tudo",IF($F2511="Código não cadastrado","Código inválido","OK")))</f>
        <v>0</v>
      </c>
    </row>
    <row r="2512" spans="1:8">
      <c r="A2512" s="16"/>
      <c r="B2512" s="15"/>
      <c r="C2512" s="20"/>
      <c r="D2512" s="22"/>
      <c r="E2512" s="15"/>
      <c r="F2512" s="23">
        <f>IF($B2512="","",IFERROR(INDEX(ProdNome,MATCH($B2512,ProdCod,0)),"Código não cadastrado"))</f>
        <v>0</v>
      </c>
      <c r="G2512" s="24">
        <f>IF(OR($B2512="",$D2512=""),"",$D2512*IFERROR(INDEX(ProdCusto,MATCH($B2512,ProdCod,0)),0))</f>
        <v>0</v>
      </c>
      <c r="H2512" s="25">
        <f>IF($A2512="","",IF(OR($B2512="",$C2512="",$D2512=""),"Preencher tudo",IF($F2512="Código não cadastrado","Código inválido","OK")))</f>
        <v>0</v>
      </c>
    </row>
    <row r="2513" spans="1:8">
      <c r="A2513" s="16"/>
      <c r="B2513" s="15"/>
      <c r="C2513" s="20"/>
      <c r="D2513" s="22"/>
      <c r="E2513" s="15"/>
      <c r="F2513" s="23">
        <f>IF($B2513="","",IFERROR(INDEX(ProdNome,MATCH($B2513,ProdCod,0)),"Código não cadastrado"))</f>
        <v>0</v>
      </c>
      <c r="G2513" s="24">
        <f>IF(OR($B2513="",$D2513=""),"",$D2513*IFERROR(INDEX(ProdCusto,MATCH($B2513,ProdCod,0)),0))</f>
        <v>0</v>
      </c>
      <c r="H2513" s="25">
        <f>IF($A2513="","",IF(OR($B2513="",$C2513="",$D2513=""),"Preencher tudo",IF($F2513="Código não cadastrado","Código inválido","OK")))</f>
        <v>0</v>
      </c>
    </row>
    <row r="2514" spans="1:8">
      <c r="A2514" s="16"/>
      <c r="B2514" s="15"/>
      <c r="C2514" s="20"/>
      <c r="D2514" s="22"/>
      <c r="E2514" s="15"/>
      <c r="F2514" s="23">
        <f>IF($B2514="","",IFERROR(INDEX(ProdNome,MATCH($B2514,ProdCod,0)),"Código não cadastrado"))</f>
        <v>0</v>
      </c>
      <c r="G2514" s="24">
        <f>IF(OR($B2514="",$D2514=""),"",$D2514*IFERROR(INDEX(ProdCusto,MATCH($B2514,ProdCod,0)),0))</f>
        <v>0</v>
      </c>
      <c r="H2514" s="25">
        <f>IF($A2514="","",IF(OR($B2514="",$C2514="",$D2514=""),"Preencher tudo",IF($F2514="Código não cadastrado","Código inválido","OK")))</f>
        <v>0</v>
      </c>
    </row>
    <row r="2515" spans="1:8">
      <c r="A2515" s="16"/>
      <c r="B2515" s="15"/>
      <c r="C2515" s="20"/>
      <c r="D2515" s="22"/>
      <c r="E2515" s="15"/>
      <c r="F2515" s="23">
        <f>IF($B2515="","",IFERROR(INDEX(ProdNome,MATCH($B2515,ProdCod,0)),"Código não cadastrado"))</f>
        <v>0</v>
      </c>
      <c r="G2515" s="24">
        <f>IF(OR($B2515="",$D2515=""),"",$D2515*IFERROR(INDEX(ProdCusto,MATCH($B2515,ProdCod,0)),0))</f>
        <v>0</v>
      </c>
      <c r="H2515" s="25">
        <f>IF($A2515="","",IF(OR($B2515="",$C2515="",$D2515=""),"Preencher tudo",IF($F2515="Código não cadastrado","Código inválido","OK")))</f>
        <v>0</v>
      </c>
    </row>
    <row r="2516" spans="1:8">
      <c r="A2516" s="16"/>
      <c r="B2516" s="15"/>
      <c r="C2516" s="20"/>
      <c r="D2516" s="22"/>
      <c r="E2516" s="15"/>
      <c r="F2516" s="23">
        <f>IF($B2516="","",IFERROR(INDEX(ProdNome,MATCH($B2516,ProdCod,0)),"Código não cadastrado"))</f>
        <v>0</v>
      </c>
      <c r="G2516" s="24">
        <f>IF(OR($B2516="",$D2516=""),"",$D2516*IFERROR(INDEX(ProdCusto,MATCH($B2516,ProdCod,0)),0))</f>
        <v>0</v>
      </c>
      <c r="H2516" s="25">
        <f>IF($A2516="","",IF(OR($B2516="",$C2516="",$D2516=""),"Preencher tudo",IF($F2516="Código não cadastrado","Código inválido","OK")))</f>
        <v>0</v>
      </c>
    </row>
    <row r="2517" spans="1:8">
      <c r="A2517" s="16"/>
      <c r="B2517" s="15"/>
      <c r="C2517" s="20"/>
      <c r="D2517" s="22"/>
      <c r="E2517" s="15"/>
      <c r="F2517" s="23">
        <f>IF($B2517="","",IFERROR(INDEX(ProdNome,MATCH($B2517,ProdCod,0)),"Código não cadastrado"))</f>
        <v>0</v>
      </c>
      <c r="G2517" s="24">
        <f>IF(OR($B2517="",$D2517=""),"",$D2517*IFERROR(INDEX(ProdCusto,MATCH($B2517,ProdCod,0)),0))</f>
        <v>0</v>
      </c>
      <c r="H2517" s="25">
        <f>IF($A2517="","",IF(OR($B2517="",$C2517="",$D2517=""),"Preencher tudo",IF($F2517="Código não cadastrado","Código inválido","OK")))</f>
        <v>0</v>
      </c>
    </row>
    <row r="2518" spans="1:8">
      <c r="A2518" s="16"/>
      <c r="B2518" s="15"/>
      <c r="C2518" s="20"/>
      <c r="D2518" s="22"/>
      <c r="E2518" s="15"/>
      <c r="F2518" s="23">
        <f>IF($B2518="","",IFERROR(INDEX(ProdNome,MATCH($B2518,ProdCod,0)),"Código não cadastrado"))</f>
        <v>0</v>
      </c>
      <c r="G2518" s="24">
        <f>IF(OR($B2518="",$D2518=""),"",$D2518*IFERROR(INDEX(ProdCusto,MATCH($B2518,ProdCod,0)),0))</f>
        <v>0</v>
      </c>
      <c r="H2518" s="25">
        <f>IF($A2518="","",IF(OR($B2518="",$C2518="",$D2518=""),"Preencher tudo",IF($F2518="Código não cadastrado","Código inválido","OK")))</f>
        <v>0</v>
      </c>
    </row>
    <row r="2519" spans="1:8">
      <c r="A2519" s="16"/>
      <c r="B2519" s="15"/>
      <c r="C2519" s="20"/>
      <c r="D2519" s="22"/>
      <c r="E2519" s="15"/>
      <c r="F2519" s="23">
        <f>IF($B2519="","",IFERROR(INDEX(ProdNome,MATCH($B2519,ProdCod,0)),"Código não cadastrado"))</f>
        <v>0</v>
      </c>
      <c r="G2519" s="24">
        <f>IF(OR($B2519="",$D2519=""),"",$D2519*IFERROR(INDEX(ProdCusto,MATCH($B2519,ProdCod,0)),0))</f>
        <v>0</v>
      </c>
      <c r="H2519" s="25">
        <f>IF($A2519="","",IF(OR($B2519="",$C2519="",$D2519=""),"Preencher tudo",IF($F2519="Código não cadastrado","Código inválido","OK")))</f>
        <v>0</v>
      </c>
    </row>
    <row r="2520" spans="1:8">
      <c r="A2520" s="16"/>
      <c r="B2520" s="15"/>
      <c r="C2520" s="20"/>
      <c r="D2520" s="22"/>
      <c r="E2520" s="15"/>
      <c r="F2520" s="23">
        <f>IF($B2520="","",IFERROR(INDEX(ProdNome,MATCH($B2520,ProdCod,0)),"Código não cadastrado"))</f>
        <v>0</v>
      </c>
      <c r="G2520" s="24">
        <f>IF(OR($B2520="",$D2520=""),"",$D2520*IFERROR(INDEX(ProdCusto,MATCH($B2520,ProdCod,0)),0))</f>
        <v>0</v>
      </c>
      <c r="H2520" s="25">
        <f>IF($A2520="","",IF(OR($B2520="",$C2520="",$D2520=""),"Preencher tudo",IF($F2520="Código não cadastrado","Código inválido","OK")))</f>
        <v>0</v>
      </c>
    </row>
    <row r="2521" spans="1:8">
      <c r="A2521" s="16"/>
      <c r="B2521" s="15"/>
      <c r="C2521" s="20"/>
      <c r="D2521" s="22"/>
      <c r="E2521" s="15"/>
      <c r="F2521" s="23">
        <f>IF($B2521="","",IFERROR(INDEX(ProdNome,MATCH($B2521,ProdCod,0)),"Código não cadastrado"))</f>
        <v>0</v>
      </c>
      <c r="G2521" s="24">
        <f>IF(OR($B2521="",$D2521=""),"",$D2521*IFERROR(INDEX(ProdCusto,MATCH($B2521,ProdCod,0)),0))</f>
        <v>0</v>
      </c>
      <c r="H2521" s="25">
        <f>IF($A2521="","",IF(OR($B2521="",$C2521="",$D2521=""),"Preencher tudo",IF($F2521="Código não cadastrado","Código inválido","OK")))</f>
        <v>0</v>
      </c>
    </row>
    <row r="2522" spans="1:8">
      <c r="A2522" s="16"/>
      <c r="B2522" s="15"/>
      <c r="C2522" s="20"/>
      <c r="D2522" s="22"/>
      <c r="E2522" s="15"/>
      <c r="F2522" s="23">
        <f>IF($B2522="","",IFERROR(INDEX(ProdNome,MATCH($B2522,ProdCod,0)),"Código não cadastrado"))</f>
        <v>0</v>
      </c>
      <c r="G2522" s="24">
        <f>IF(OR($B2522="",$D2522=""),"",$D2522*IFERROR(INDEX(ProdCusto,MATCH($B2522,ProdCod,0)),0))</f>
        <v>0</v>
      </c>
      <c r="H2522" s="25">
        <f>IF($A2522="","",IF(OR($B2522="",$C2522="",$D2522=""),"Preencher tudo",IF($F2522="Código não cadastrado","Código inválido","OK")))</f>
        <v>0</v>
      </c>
    </row>
    <row r="2523" spans="1:8">
      <c r="A2523" s="16"/>
      <c r="B2523" s="15"/>
      <c r="C2523" s="20"/>
      <c r="D2523" s="22"/>
      <c r="E2523" s="15"/>
      <c r="F2523" s="23">
        <f>IF($B2523="","",IFERROR(INDEX(ProdNome,MATCH($B2523,ProdCod,0)),"Código não cadastrado"))</f>
        <v>0</v>
      </c>
      <c r="G2523" s="24">
        <f>IF(OR($B2523="",$D2523=""),"",$D2523*IFERROR(INDEX(ProdCusto,MATCH($B2523,ProdCod,0)),0))</f>
        <v>0</v>
      </c>
      <c r="H2523" s="25">
        <f>IF($A2523="","",IF(OR($B2523="",$C2523="",$D2523=""),"Preencher tudo",IF($F2523="Código não cadastrado","Código inválido","OK")))</f>
        <v>0</v>
      </c>
    </row>
    <row r="2524" spans="1:8">
      <c r="A2524" s="16"/>
      <c r="B2524" s="15"/>
      <c r="C2524" s="20"/>
      <c r="D2524" s="22"/>
      <c r="E2524" s="15"/>
      <c r="F2524" s="23">
        <f>IF($B2524="","",IFERROR(INDEX(ProdNome,MATCH($B2524,ProdCod,0)),"Código não cadastrado"))</f>
        <v>0</v>
      </c>
      <c r="G2524" s="24">
        <f>IF(OR($B2524="",$D2524=""),"",$D2524*IFERROR(INDEX(ProdCusto,MATCH($B2524,ProdCod,0)),0))</f>
        <v>0</v>
      </c>
      <c r="H2524" s="25">
        <f>IF($A2524="","",IF(OR($B2524="",$C2524="",$D2524=""),"Preencher tudo",IF($F2524="Código não cadastrado","Código inválido","OK")))</f>
        <v>0</v>
      </c>
    </row>
    <row r="2525" spans="1:8">
      <c r="A2525" s="16"/>
      <c r="B2525" s="15"/>
      <c r="C2525" s="20"/>
      <c r="D2525" s="22"/>
      <c r="E2525" s="15"/>
      <c r="F2525" s="23">
        <f>IF($B2525="","",IFERROR(INDEX(ProdNome,MATCH($B2525,ProdCod,0)),"Código não cadastrado"))</f>
        <v>0</v>
      </c>
      <c r="G2525" s="24">
        <f>IF(OR($B2525="",$D2525=""),"",$D2525*IFERROR(INDEX(ProdCusto,MATCH($B2525,ProdCod,0)),0))</f>
        <v>0</v>
      </c>
      <c r="H2525" s="25">
        <f>IF($A2525="","",IF(OR($B2525="",$C2525="",$D2525=""),"Preencher tudo",IF($F2525="Código não cadastrado","Código inválido","OK")))</f>
        <v>0</v>
      </c>
    </row>
    <row r="2526" spans="1:8">
      <c r="A2526" s="16"/>
      <c r="B2526" s="15"/>
      <c r="C2526" s="20"/>
      <c r="D2526" s="22"/>
      <c r="E2526" s="15"/>
      <c r="F2526" s="23">
        <f>IF($B2526="","",IFERROR(INDEX(ProdNome,MATCH($B2526,ProdCod,0)),"Código não cadastrado"))</f>
        <v>0</v>
      </c>
      <c r="G2526" s="24">
        <f>IF(OR($B2526="",$D2526=""),"",$D2526*IFERROR(INDEX(ProdCusto,MATCH($B2526,ProdCod,0)),0))</f>
        <v>0</v>
      </c>
      <c r="H2526" s="25">
        <f>IF($A2526="","",IF(OR($B2526="",$C2526="",$D2526=""),"Preencher tudo",IF($F2526="Código não cadastrado","Código inválido","OK")))</f>
        <v>0</v>
      </c>
    </row>
    <row r="2527" spans="1:8">
      <c r="A2527" s="16"/>
      <c r="B2527" s="15"/>
      <c r="C2527" s="20"/>
      <c r="D2527" s="22"/>
      <c r="E2527" s="15"/>
      <c r="F2527" s="23">
        <f>IF($B2527="","",IFERROR(INDEX(ProdNome,MATCH($B2527,ProdCod,0)),"Código não cadastrado"))</f>
        <v>0</v>
      </c>
      <c r="G2527" s="24">
        <f>IF(OR($B2527="",$D2527=""),"",$D2527*IFERROR(INDEX(ProdCusto,MATCH($B2527,ProdCod,0)),0))</f>
        <v>0</v>
      </c>
      <c r="H2527" s="25">
        <f>IF($A2527="","",IF(OR($B2527="",$C2527="",$D2527=""),"Preencher tudo",IF($F2527="Código não cadastrado","Código inválido","OK")))</f>
        <v>0</v>
      </c>
    </row>
    <row r="2528" spans="1:8">
      <c r="A2528" s="16"/>
      <c r="B2528" s="15"/>
      <c r="C2528" s="20"/>
      <c r="D2528" s="22"/>
      <c r="E2528" s="15"/>
      <c r="F2528" s="23">
        <f>IF($B2528="","",IFERROR(INDEX(ProdNome,MATCH($B2528,ProdCod,0)),"Código não cadastrado"))</f>
        <v>0</v>
      </c>
      <c r="G2528" s="24">
        <f>IF(OR($B2528="",$D2528=""),"",$D2528*IFERROR(INDEX(ProdCusto,MATCH($B2528,ProdCod,0)),0))</f>
        <v>0</v>
      </c>
      <c r="H2528" s="25">
        <f>IF($A2528="","",IF(OR($B2528="",$C2528="",$D2528=""),"Preencher tudo",IF($F2528="Código não cadastrado","Código inválido","OK")))</f>
        <v>0</v>
      </c>
    </row>
    <row r="2529" spans="1:8">
      <c r="A2529" s="16"/>
      <c r="B2529" s="15"/>
      <c r="C2529" s="20"/>
      <c r="D2529" s="22"/>
      <c r="E2529" s="15"/>
      <c r="F2529" s="23">
        <f>IF($B2529="","",IFERROR(INDEX(ProdNome,MATCH($B2529,ProdCod,0)),"Código não cadastrado"))</f>
        <v>0</v>
      </c>
      <c r="G2529" s="24">
        <f>IF(OR($B2529="",$D2529=""),"",$D2529*IFERROR(INDEX(ProdCusto,MATCH($B2529,ProdCod,0)),0))</f>
        <v>0</v>
      </c>
      <c r="H2529" s="25">
        <f>IF($A2529="","",IF(OR($B2529="",$C2529="",$D2529=""),"Preencher tudo",IF($F2529="Código não cadastrado","Código inválido","OK")))</f>
        <v>0</v>
      </c>
    </row>
    <row r="2530" spans="1:8">
      <c r="A2530" s="16"/>
      <c r="B2530" s="15"/>
      <c r="C2530" s="20"/>
      <c r="D2530" s="22"/>
      <c r="E2530" s="15"/>
      <c r="F2530" s="23">
        <f>IF($B2530="","",IFERROR(INDEX(ProdNome,MATCH($B2530,ProdCod,0)),"Código não cadastrado"))</f>
        <v>0</v>
      </c>
      <c r="G2530" s="24">
        <f>IF(OR($B2530="",$D2530=""),"",$D2530*IFERROR(INDEX(ProdCusto,MATCH($B2530,ProdCod,0)),0))</f>
        <v>0</v>
      </c>
      <c r="H2530" s="25">
        <f>IF($A2530="","",IF(OR($B2530="",$C2530="",$D2530=""),"Preencher tudo",IF($F2530="Código não cadastrado","Código inválido","OK")))</f>
        <v>0</v>
      </c>
    </row>
    <row r="2531" spans="1:8">
      <c r="A2531" s="16"/>
      <c r="B2531" s="15"/>
      <c r="C2531" s="20"/>
      <c r="D2531" s="22"/>
      <c r="E2531" s="15"/>
      <c r="F2531" s="23">
        <f>IF($B2531="","",IFERROR(INDEX(ProdNome,MATCH($B2531,ProdCod,0)),"Código não cadastrado"))</f>
        <v>0</v>
      </c>
      <c r="G2531" s="24">
        <f>IF(OR($B2531="",$D2531=""),"",$D2531*IFERROR(INDEX(ProdCusto,MATCH($B2531,ProdCod,0)),0))</f>
        <v>0</v>
      </c>
      <c r="H2531" s="25">
        <f>IF($A2531="","",IF(OR($B2531="",$C2531="",$D2531=""),"Preencher tudo",IF($F2531="Código não cadastrado","Código inválido","OK")))</f>
        <v>0</v>
      </c>
    </row>
    <row r="2532" spans="1:8">
      <c r="A2532" s="16"/>
      <c r="B2532" s="15"/>
      <c r="C2532" s="20"/>
      <c r="D2532" s="22"/>
      <c r="E2532" s="15"/>
      <c r="F2532" s="23">
        <f>IF($B2532="","",IFERROR(INDEX(ProdNome,MATCH($B2532,ProdCod,0)),"Código não cadastrado"))</f>
        <v>0</v>
      </c>
      <c r="G2532" s="24">
        <f>IF(OR($B2532="",$D2532=""),"",$D2532*IFERROR(INDEX(ProdCusto,MATCH($B2532,ProdCod,0)),0))</f>
        <v>0</v>
      </c>
      <c r="H2532" s="25">
        <f>IF($A2532="","",IF(OR($B2532="",$C2532="",$D2532=""),"Preencher tudo",IF($F2532="Código não cadastrado","Código inválido","OK")))</f>
        <v>0</v>
      </c>
    </row>
    <row r="2533" spans="1:8">
      <c r="A2533" s="16"/>
      <c r="B2533" s="15"/>
      <c r="C2533" s="20"/>
      <c r="D2533" s="22"/>
      <c r="E2533" s="15"/>
      <c r="F2533" s="23">
        <f>IF($B2533="","",IFERROR(INDEX(ProdNome,MATCH($B2533,ProdCod,0)),"Código não cadastrado"))</f>
        <v>0</v>
      </c>
      <c r="G2533" s="24">
        <f>IF(OR($B2533="",$D2533=""),"",$D2533*IFERROR(INDEX(ProdCusto,MATCH($B2533,ProdCod,0)),0))</f>
        <v>0</v>
      </c>
      <c r="H2533" s="25">
        <f>IF($A2533="","",IF(OR($B2533="",$C2533="",$D2533=""),"Preencher tudo",IF($F2533="Código não cadastrado","Código inválido","OK")))</f>
        <v>0</v>
      </c>
    </row>
    <row r="2534" spans="1:8">
      <c r="A2534" s="16"/>
      <c r="B2534" s="15"/>
      <c r="C2534" s="20"/>
      <c r="D2534" s="22"/>
      <c r="E2534" s="15"/>
      <c r="F2534" s="23">
        <f>IF($B2534="","",IFERROR(INDEX(ProdNome,MATCH($B2534,ProdCod,0)),"Código não cadastrado"))</f>
        <v>0</v>
      </c>
      <c r="G2534" s="24">
        <f>IF(OR($B2534="",$D2534=""),"",$D2534*IFERROR(INDEX(ProdCusto,MATCH($B2534,ProdCod,0)),0))</f>
        <v>0</v>
      </c>
      <c r="H2534" s="25">
        <f>IF($A2534="","",IF(OR($B2534="",$C2534="",$D2534=""),"Preencher tudo",IF($F2534="Código não cadastrado","Código inválido","OK")))</f>
        <v>0</v>
      </c>
    </row>
    <row r="2535" spans="1:8">
      <c r="A2535" s="16"/>
      <c r="B2535" s="15"/>
      <c r="C2535" s="20"/>
      <c r="D2535" s="22"/>
      <c r="E2535" s="15"/>
      <c r="F2535" s="23">
        <f>IF($B2535="","",IFERROR(INDEX(ProdNome,MATCH($B2535,ProdCod,0)),"Código não cadastrado"))</f>
        <v>0</v>
      </c>
      <c r="G2535" s="24">
        <f>IF(OR($B2535="",$D2535=""),"",$D2535*IFERROR(INDEX(ProdCusto,MATCH($B2535,ProdCod,0)),0))</f>
        <v>0</v>
      </c>
      <c r="H2535" s="25">
        <f>IF($A2535="","",IF(OR($B2535="",$C2535="",$D2535=""),"Preencher tudo",IF($F2535="Código não cadastrado","Código inválido","OK")))</f>
        <v>0</v>
      </c>
    </row>
    <row r="2536" spans="1:8">
      <c r="A2536" s="16"/>
      <c r="B2536" s="15"/>
      <c r="C2536" s="20"/>
      <c r="D2536" s="22"/>
      <c r="E2536" s="15"/>
      <c r="F2536" s="23">
        <f>IF($B2536="","",IFERROR(INDEX(ProdNome,MATCH($B2536,ProdCod,0)),"Código não cadastrado"))</f>
        <v>0</v>
      </c>
      <c r="G2536" s="24">
        <f>IF(OR($B2536="",$D2536=""),"",$D2536*IFERROR(INDEX(ProdCusto,MATCH($B2536,ProdCod,0)),0))</f>
        <v>0</v>
      </c>
      <c r="H2536" s="25">
        <f>IF($A2536="","",IF(OR($B2536="",$C2536="",$D2536=""),"Preencher tudo",IF($F2536="Código não cadastrado","Código inválido","OK")))</f>
        <v>0</v>
      </c>
    </row>
    <row r="2537" spans="1:8">
      <c r="A2537" s="16"/>
      <c r="B2537" s="15"/>
      <c r="C2537" s="20"/>
      <c r="D2537" s="22"/>
      <c r="E2537" s="15"/>
      <c r="F2537" s="23">
        <f>IF($B2537="","",IFERROR(INDEX(ProdNome,MATCH($B2537,ProdCod,0)),"Código não cadastrado"))</f>
        <v>0</v>
      </c>
      <c r="G2537" s="24">
        <f>IF(OR($B2537="",$D2537=""),"",$D2537*IFERROR(INDEX(ProdCusto,MATCH($B2537,ProdCod,0)),0))</f>
        <v>0</v>
      </c>
      <c r="H2537" s="25">
        <f>IF($A2537="","",IF(OR($B2537="",$C2537="",$D2537=""),"Preencher tudo",IF($F2537="Código não cadastrado","Código inválido","OK")))</f>
        <v>0</v>
      </c>
    </row>
    <row r="2538" spans="1:8">
      <c r="A2538" s="16"/>
      <c r="B2538" s="15"/>
      <c r="C2538" s="20"/>
      <c r="D2538" s="22"/>
      <c r="E2538" s="15"/>
      <c r="F2538" s="23">
        <f>IF($B2538="","",IFERROR(INDEX(ProdNome,MATCH($B2538,ProdCod,0)),"Código não cadastrado"))</f>
        <v>0</v>
      </c>
      <c r="G2538" s="24">
        <f>IF(OR($B2538="",$D2538=""),"",$D2538*IFERROR(INDEX(ProdCusto,MATCH($B2538,ProdCod,0)),0))</f>
        <v>0</v>
      </c>
      <c r="H2538" s="25">
        <f>IF($A2538="","",IF(OR($B2538="",$C2538="",$D2538=""),"Preencher tudo",IF($F2538="Código não cadastrado","Código inválido","OK")))</f>
        <v>0</v>
      </c>
    </row>
    <row r="2539" spans="1:8">
      <c r="A2539" s="16"/>
      <c r="B2539" s="15"/>
      <c r="C2539" s="20"/>
      <c r="D2539" s="22"/>
      <c r="E2539" s="15"/>
      <c r="F2539" s="23">
        <f>IF($B2539="","",IFERROR(INDEX(ProdNome,MATCH($B2539,ProdCod,0)),"Código não cadastrado"))</f>
        <v>0</v>
      </c>
      <c r="G2539" s="24">
        <f>IF(OR($B2539="",$D2539=""),"",$D2539*IFERROR(INDEX(ProdCusto,MATCH($B2539,ProdCod,0)),0))</f>
        <v>0</v>
      </c>
      <c r="H2539" s="25">
        <f>IF($A2539="","",IF(OR($B2539="",$C2539="",$D2539=""),"Preencher tudo",IF($F2539="Código não cadastrado","Código inválido","OK")))</f>
        <v>0</v>
      </c>
    </row>
    <row r="2540" spans="1:8">
      <c r="A2540" s="16"/>
      <c r="B2540" s="15"/>
      <c r="C2540" s="20"/>
      <c r="D2540" s="22"/>
      <c r="E2540" s="15"/>
      <c r="F2540" s="23">
        <f>IF($B2540="","",IFERROR(INDEX(ProdNome,MATCH($B2540,ProdCod,0)),"Código não cadastrado"))</f>
        <v>0</v>
      </c>
      <c r="G2540" s="24">
        <f>IF(OR($B2540="",$D2540=""),"",$D2540*IFERROR(INDEX(ProdCusto,MATCH($B2540,ProdCod,0)),0))</f>
        <v>0</v>
      </c>
      <c r="H2540" s="25">
        <f>IF($A2540="","",IF(OR($B2540="",$C2540="",$D2540=""),"Preencher tudo",IF($F2540="Código não cadastrado","Código inválido","OK")))</f>
        <v>0</v>
      </c>
    </row>
    <row r="2541" spans="1:8">
      <c r="A2541" s="16"/>
      <c r="B2541" s="15"/>
      <c r="C2541" s="20"/>
      <c r="D2541" s="22"/>
      <c r="E2541" s="15"/>
      <c r="F2541" s="23">
        <f>IF($B2541="","",IFERROR(INDEX(ProdNome,MATCH($B2541,ProdCod,0)),"Código não cadastrado"))</f>
        <v>0</v>
      </c>
      <c r="G2541" s="24">
        <f>IF(OR($B2541="",$D2541=""),"",$D2541*IFERROR(INDEX(ProdCusto,MATCH($B2541,ProdCod,0)),0))</f>
        <v>0</v>
      </c>
      <c r="H2541" s="25">
        <f>IF($A2541="","",IF(OR($B2541="",$C2541="",$D2541=""),"Preencher tudo",IF($F2541="Código não cadastrado","Código inválido","OK")))</f>
        <v>0</v>
      </c>
    </row>
    <row r="2542" spans="1:8">
      <c r="A2542" s="16"/>
      <c r="B2542" s="15"/>
      <c r="C2542" s="20"/>
      <c r="D2542" s="22"/>
      <c r="E2542" s="15"/>
      <c r="F2542" s="23">
        <f>IF($B2542="","",IFERROR(INDEX(ProdNome,MATCH($B2542,ProdCod,0)),"Código não cadastrado"))</f>
        <v>0</v>
      </c>
      <c r="G2542" s="24">
        <f>IF(OR($B2542="",$D2542=""),"",$D2542*IFERROR(INDEX(ProdCusto,MATCH($B2542,ProdCod,0)),0))</f>
        <v>0</v>
      </c>
      <c r="H2542" s="25">
        <f>IF($A2542="","",IF(OR($B2542="",$C2542="",$D2542=""),"Preencher tudo",IF($F2542="Código não cadastrado","Código inválido","OK")))</f>
        <v>0</v>
      </c>
    </row>
    <row r="2543" spans="1:8">
      <c r="A2543" s="16"/>
      <c r="B2543" s="15"/>
      <c r="C2543" s="20"/>
      <c r="D2543" s="22"/>
      <c r="E2543" s="15"/>
      <c r="F2543" s="23">
        <f>IF($B2543="","",IFERROR(INDEX(ProdNome,MATCH($B2543,ProdCod,0)),"Código não cadastrado"))</f>
        <v>0</v>
      </c>
      <c r="G2543" s="24">
        <f>IF(OR($B2543="",$D2543=""),"",$D2543*IFERROR(INDEX(ProdCusto,MATCH($B2543,ProdCod,0)),0))</f>
        <v>0</v>
      </c>
      <c r="H2543" s="25">
        <f>IF($A2543="","",IF(OR($B2543="",$C2543="",$D2543=""),"Preencher tudo",IF($F2543="Código não cadastrado","Código inválido","OK")))</f>
        <v>0</v>
      </c>
    </row>
    <row r="2544" spans="1:8">
      <c r="A2544" s="16"/>
      <c r="B2544" s="15"/>
      <c r="C2544" s="20"/>
      <c r="D2544" s="22"/>
      <c r="E2544" s="15"/>
      <c r="F2544" s="23">
        <f>IF($B2544="","",IFERROR(INDEX(ProdNome,MATCH($B2544,ProdCod,0)),"Código não cadastrado"))</f>
        <v>0</v>
      </c>
      <c r="G2544" s="24">
        <f>IF(OR($B2544="",$D2544=""),"",$D2544*IFERROR(INDEX(ProdCusto,MATCH($B2544,ProdCod,0)),0))</f>
        <v>0</v>
      </c>
      <c r="H2544" s="25">
        <f>IF($A2544="","",IF(OR($B2544="",$C2544="",$D2544=""),"Preencher tudo",IF($F2544="Código não cadastrado","Código inválido","OK")))</f>
        <v>0</v>
      </c>
    </row>
    <row r="2545" spans="1:8">
      <c r="A2545" s="16"/>
      <c r="B2545" s="15"/>
      <c r="C2545" s="20"/>
      <c r="D2545" s="22"/>
      <c r="E2545" s="15"/>
      <c r="F2545" s="23">
        <f>IF($B2545="","",IFERROR(INDEX(ProdNome,MATCH($B2545,ProdCod,0)),"Código não cadastrado"))</f>
        <v>0</v>
      </c>
      <c r="G2545" s="24">
        <f>IF(OR($B2545="",$D2545=""),"",$D2545*IFERROR(INDEX(ProdCusto,MATCH($B2545,ProdCod,0)),0))</f>
        <v>0</v>
      </c>
      <c r="H2545" s="25">
        <f>IF($A2545="","",IF(OR($B2545="",$C2545="",$D2545=""),"Preencher tudo",IF($F2545="Código não cadastrado","Código inválido","OK")))</f>
        <v>0</v>
      </c>
    </row>
    <row r="2546" spans="1:8">
      <c r="A2546" s="16"/>
      <c r="B2546" s="15"/>
      <c r="C2546" s="20"/>
      <c r="D2546" s="22"/>
      <c r="E2546" s="15"/>
      <c r="F2546" s="23">
        <f>IF($B2546="","",IFERROR(INDEX(ProdNome,MATCH($B2546,ProdCod,0)),"Código não cadastrado"))</f>
        <v>0</v>
      </c>
      <c r="G2546" s="24">
        <f>IF(OR($B2546="",$D2546=""),"",$D2546*IFERROR(INDEX(ProdCusto,MATCH($B2546,ProdCod,0)),0))</f>
        <v>0</v>
      </c>
      <c r="H2546" s="25">
        <f>IF($A2546="","",IF(OR($B2546="",$C2546="",$D2546=""),"Preencher tudo",IF($F2546="Código não cadastrado","Código inválido","OK")))</f>
        <v>0</v>
      </c>
    </row>
    <row r="2547" spans="1:8">
      <c r="A2547" s="16"/>
      <c r="B2547" s="15"/>
      <c r="C2547" s="20"/>
      <c r="D2547" s="22"/>
      <c r="E2547" s="15"/>
      <c r="F2547" s="23">
        <f>IF($B2547="","",IFERROR(INDEX(ProdNome,MATCH($B2547,ProdCod,0)),"Código não cadastrado"))</f>
        <v>0</v>
      </c>
      <c r="G2547" s="24">
        <f>IF(OR($B2547="",$D2547=""),"",$D2547*IFERROR(INDEX(ProdCusto,MATCH($B2547,ProdCod,0)),0))</f>
        <v>0</v>
      </c>
      <c r="H2547" s="25">
        <f>IF($A2547="","",IF(OR($B2547="",$C2547="",$D2547=""),"Preencher tudo",IF($F2547="Código não cadastrado","Código inválido","OK")))</f>
        <v>0</v>
      </c>
    </row>
    <row r="2548" spans="1:8">
      <c r="A2548" s="16"/>
      <c r="B2548" s="15"/>
      <c r="C2548" s="20"/>
      <c r="D2548" s="22"/>
      <c r="E2548" s="15"/>
      <c r="F2548" s="23">
        <f>IF($B2548="","",IFERROR(INDEX(ProdNome,MATCH($B2548,ProdCod,0)),"Código não cadastrado"))</f>
        <v>0</v>
      </c>
      <c r="G2548" s="24">
        <f>IF(OR($B2548="",$D2548=""),"",$D2548*IFERROR(INDEX(ProdCusto,MATCH($B2548,ProdCod,0)),0))</f>
        <v>0</v>
      </c>
      <c r="H2548" s="25">
        <f>IF($A2548="","",IF(OR($B2548="",$C2548="",$D2548=""),"Preencher tudo",IF($F2548="Código não cadastrado","Código inválido","OK")))</f>
        <v>0</v>
      </c>
    </row>
    <row r="2549" spans="1:8">
      <c r="A2549" s="16"/>
      <c r="B2549" s="15"/>
      <c r="C2549" s="20"/>
      <c r="D2549" s="22"/>
      <c r="E2549" s="15"/>
      <c r="F2549" s="23">
        <f>IF($B2549="","",IFERROR(INDEX(ProdNome,MATCH($B2549,ProdCod,0)),"Código não cadastrado"))</f>
        <v>0</v>
      </c>
      <c r="G2549" s="24">
        <f>IF(OR($B2549="",$D2549=""),"",$D2549*IFERROR(INDEX(ProdCusto,MATCH($B2549,ProdCod,0)),0))</f>
        <v>0</v>
      </c>
      <c r="H2549" s="25">
        <f>IF($A2549="","",IF(OR($B2549="",$C2549="",$D2549=""),"Preencher tudo",IF($F2549="Código não cadastrado","Código inválido","OK")))</f>
        <v>0</v>
      </c>
    </row>
    <row r="2550" spans="1:8">
      <c r="A2550" s="16"/>
      <c r="B2550" s="15"/>
      <c r="C2550" s="20"/>
      <c r="D2550" s="22"/>
      <c r="E2550" s="15"/>
      <c r="F2550" s="23">
        <f>IF($B2550="","",IFERROR(INDEX(ProdNome,MATCH($B2550,ProdCod,0)),"Código não cadastrado"))</f>
        <v>0</v>
      </c>
      <c r="G2550" s="24">
        <f>IF(OR($B2550="",$D2550=""),"",$D2550*IFERROR(INDEX(ProdCusto,MATCH($B2550,ProdCod,0)),0))</f>
        <v>0</v>
      </c>
      <c r="H2550" s="25">
        <f>IF($A2550="","",IF(OR($B2550="",$C2550="",$D2550=""),"Preencher tudo",IF($F2550="Código não cadastrado","Código inválido","OK")))</f>
        <v>0</v>
      </c>
    </row>
    <row r="2551" spans="1:8">
      <c r="A2551" s="16"/>
      <c r="B2551" s="15"/>
      <c r="C2551" s="20"/>
      <c r="D2551" s="22"/>
      <c r="E2551" s="15"/>
      <c r="F2551" s="23">
        <f>IF($B2551="","",IFERROR(INDEX(ProdNome,MATCH($B2551,ProdCod,0)),"Código não cadastrado"))</f>
        <v>0</v>
      </c>
      <c r="G2551" s="24">
        <f>IF(OR($B2551="",$D2551=""),"",$D2551*IFERROR(INDEX(ProdCusto,MATCH($B2551,ProdCod,0)),0))</f>
        <v>0</v>
      </c>
      <c r="H2551" s="25">
        <f>IF($A2551="","",IF(OR($B2551="",$C2551="",$D2551=""),"Preencher tudo",IF($F2551="Código não cadastrado","Código inválido","OK")))</f>
        <v>0</v>
      </c>
    </row>
    <row r="2552" spans="1:8">
      <c r="A2552" s="16"/>
      <c r="B2552" s="15"/>
      <c r="C2552" s="20"/>
      <c r="D2552" s="22"/>
      <c r="E2552" s="15"/>
      <c r="F2552" s="23">
        <f>IF($B2552="","",IFERROR(INDEX(ProdNome,MATCH($B2552,ProdCod,0)),"Código não cadastrado"))</f>
        <v>0</v>
      </c>
      <c r="G2552" s="24">
        <f>IF(OR($B2552="",$D2552=""),"",$D2552*IFERROR(INDEX(ProdCusto,MATCH($B2552,ProdCod,0)),0))</f>
        <v>0</v>
      </c>
      <c r="H2552" s="25">
        <f>IF($A2552="","",IF(OR($B2552="",$C2552="",$D2552=""),"Preencher tudo",IF($F2552="Código não cadastrado","Código inválido","OK")))</f>
        <v>0</v>
      </c>
    </row>
    <row r="2553" spans="1:8">
      <c r="A2553" s="16"/>
      <c r="B2553" s="15"/>
      <c r="C2553" s="20"/>
      <c r="D2553" s="22"/>
      <c r="E2553" s="15"/>
      <c r="F2553" s="23">
        <f>IF($B2553="","",IFERROR(INDEX(ProdNome,MATCH($B2553,ProdCod,0)),"Código não cadastrado"))</f>
        <v>0</v>
      </c>
      <c r="G2553" s="24">
        <f>IF(OR($B2553="",$D2553=""),"",$D2553*IFERROR(INDEX(ProdCusto,MATCH($B2553,ProdCod,0)),0))</f>
        <v>0</v>
      </c>
      <c r="H2553" s="25">
        <f>IF($A2553="","",IF(OR($B2553="",$C2553="",$D2553=""),"Preencher tudo",IF($F2553="Código não cadastrado","Código inválido","OK")))</f>
        <v>0</v>
      </c>
    </row>
    <row r="2554" spans="1:8">
      <c r="A2554" s="16"/>
      <c r="B2554" s="15"/>
      <c r="C2554" s="20"/>
      <c r="D2554" s="22"/>
      <c r="E2554" s="15"/>
      <c r="F2554" s="23">
        <f>IF($B2554="","",IFERROR(INDEX(ProdNome,MATCH($B2554,ProdCod,0)),"Código não cadastrado"))</f>
        <v>0</v>
      </c>
      <c r="G2554" s="24">
        <f>IF(OR($B2554="",$D2554=""),"",$D2554*IFERROR(INDEX(ProdCusto,MATCH($B2554,ProdCod,0)),0))</f>
        <v>0</v>
      </c>
      <c r="H2554" s="25">
        <f>IF($A2554="","",IF(OR($B2554="",$C2554="",$D2554=""),"Preencher tudo",IF($F2554="Código não cadastrado","Código inválido","OK")))</f>
        <v>0</v>
      </c>
    </row>
    <row r="2555" spans="1:8">
      <c r="A2555" s="16"/>
      <c r="B2555" s="15"/>
      <c r="C2555" s="20"/>
      <c r="D2555" s="22"/>
      <c r="E2555" s="15"/>
      <c r="F2555" s="23">
        <f>IF($B2555="","",IFERROR(INDEX(ProdNome,MATCH($B2555,ProdCod,0)),"Código não cadastrado"))</f>
        <v>0</v>
      </c>
      <c r="G2555" s="24">
        <f>IF(OR($B2555="",$D2555=""),"",$D2555*IFERROR(INDEX(ProdCusto,MATCH($B2555,ProdCod,0)),0))</f>
        <v>0</v>
      </c>
      <c r="H2555" s="25">
        <f>IF($A2555="","",IF(OR($B2555="",$C2555="",$D2555=""),"Preencher tudo",IF($F2555="Código não cadastrado","Código inválido","OK")))</f>
        <v>0</v>
      </c>
    </row>
    <row r="2556" spans="1:8">
      <c r="A2556" s="16"/>
      <c r="B2556" s="15"/>
      <c r="C2556" s="20"/>
      <c r="D2556" s="22"/>
      <c r="E2556" s="15"/>
      <c r="F2556" s="23">
        <f>IF($B2556="","",IFERROR(INDEX(ProdNome,MATCH($B2556,ProdCod,0)),"Código não cadastrado"))</f>
        <v>0</v>
      </c>
      <c r="G2556" s="24">
        <f>IF(OR($B2556="",$D2556=""),"",$D2556*IFERROR(INDEX(ProdCusto,MATCH($B2556,ProdCod,0)),0))</f>
        <v>0</v>
      </c>
      <c r="H2556" s="25">
        <f>IF($A2556="","",IF(OR($B2556="",$C2556="",$D2556=""),"Preencher tudo",IF($F2556="Código não cadastrado","Código inválido","OK")))</f>
        <v>0</v>
      </c>
    </row>
    <row r="2557" spans="1:8">
      <c r="A2557" s="16"/>
      <c r="B2557" s="15"/>
      <c r="C2557" s="20"/>
      <c r="D2557" s="22"/>
      <c r="E2557" s="15"/>
      <c r="F2557" s="23">
        <f>IF($B2557="","",IFERROR(INDEX(ProdNome,MATCH($B2557,ProdCod,0)),"Código não cadastrado"))</f>
        <v>0</v>
      </c>
      <c r="G2557" s="24">
        <f>IF(OR($B2557="",$D2557=""),"",$D2557*IFERROR(INDEX(ProdCusto,MATCH($B2557,ProdCod,0)),0))</f>
        <v>0</v>
      </c>
      <c r="H2557" s="25">
        <f>IF($A2557="","",IF(OR($B2557="",$C2557="",$D2557=""),"Preencher tudo",IF($F2557="Código não cadastrado","Código inválido","OK")))</f>
        <v>0</v>
      </c>
    </row>
    <row r="2558" spans="1:8">
      <c r="A2558" s="16"/>
      <c r="B2558" s="15"/>
      <c r="C2558" s="20"/>
      <c r="D2558" s="22"/>
      <c r="E2558" s="15"/>
      <c r="F2558" s="23">
        <f>IF($B2558="","",IFERROR(INDEX(ProdNome,MATCH($B2558,ProdCod,0)),"Código não cadastrado"))</f>
        <v>0</v>
      </c>
      <c r="G2558" s="24">
        <f>IF(OR($B2558="",$D2558=""),"",$D2558*IFERROR(INDEX(ProdCusto,MATCH($B2558,ProdCod,0)),0))</f>
        <v>0</v>
      </c>
      <c r="H2558" s="25">
        <f>IF($A2558="","",IF(OR($B2558="",$C2558="",$D2558=""),"Preencher tudo",IF($F2558="Código não cadastrado","Código inválido","OK")))</f>
        <v>0</v>
      </c>
    </row>
    <row r="2559" spans="1:8">
      <c r="A2559" s="16"/>
      <c r="B2559" s="15"/>
      <c r="C2559" s="20"/>
      <c r="D2559" s="22"/>
      <c r="E2559" s="15"/>
      <c r="F2559" s="23">
        <f>IF($B2559="","",IFERROR(INDEX(ProdNome,MATCH($B2559,ProdCod,0)),"Código não cadastrado"))</f>
        <v>0</v>
      </c>
      <c r="G2559" s="24">
        <f>IF(OR($B2559="",$D2559=""),"",$D2559*IFERROR(INDEX(ProdCusto,MATCH($B2559,ProdCod,0)),0))</f>
        <v>0</v>
      </c>
      <c r="H2559" s="25">
        <f>IF($A2559="","",IF(OR($B2559="",$C2559="",$D2559=""),"Preencher tudo",IF($F2559="Código não cadastrado","Código inválido","OK")))</f>
        <v>0</v>
      </c>
    </row>
    <row r="2560" spans="1:8">
      <c r="A2560" s="16"/>
      <c r="B2560" s="15"/>
      <c r="C2560" s="20"/>
      <c r="D2560" s="22"/>
      <c r="E2560" s="15"/>
      <c r="F2560" s="23">
        <f>IF($B2560="","",IFERROR(INDEX(ProdNome,MATCH($B2560,ProdCod,0)),"Código não cadastrado"))</f>
        <v>0</v>
      </c>
      <c r="G2560" s="24">
        <f>IF(OR($B2560="",$D2560=""),"",$D2560*IFERROR(INDEX(ProdCusto,MATCH($B2560,ProdCod,0)),0))</f>
        <v>0</v>
      </c>
      <c r="H2560" s="25">
        <f>IF($A2560="","",IF(OR($B2560="",$C2560="",$D2560=""),"Preencher tudo",IF($F2560="Código não cadastrado","Código inválido","OK")))</f>
        <v>0</v>
      </c>
    </row>
    <row r="2561" spans="1:8">
      <c r="A2561" s="16"/>
      <c r="B2561" s="15"/>
      <c r="C2561" s="20"/>
      <c r="D2561" s="22"/>
      <c r="E2561" s="15"/>
      <c r="F2561" s="23">
        <f>IF($B2561="","",IFERROR(INDEX(ProdNome,MATCH($B2561,ProdCod,0)),"Código não cadastrado"))</f>
        <v>0</v>
      </c>
      <c r="G2561" s="24">
        <f>IF(OR($B2561="",$D2561=""),"",$D2561*IFERROR(INDEX(ProdCusto,MATCH($B2561,ProdCod,0)),0))</f>
        <v>0</v>
      </c>
      <c r="H2561" s="25">
        <f>IF($A2561="","",IF(OR($B2561="",$C2561="",$D2561=""),"Preencher tudo",IF($F2561="Código não cadastrado","Código inválido","OK")))</f>
        <v>0</v>
      </c>
    </row>
    <row r="2562" spans="1:8">
      <c r="A2562" s="16"/>
      <c r="B2562" s="15"/>
      <c r="C2562" s="20"/>
      <c r="D2562" s="22"/>
      <c r="E2562" s="15"/>
      <c r="F2562" s="23">
        <f>IF($B2562="","",IFERROR(INDEX(ProdNome,MATCH($B2562,ProdCod,0)),"Código não cadastrado"))</f>
        <v>0</v>
      </c>
      <c r="G2562" s="24">
        <f>IF(OR($B2562="",$D2562=""),"",$D2562*IFERROR(INDEX(ProdCusto,MATCH($B2562,ProdCod,0)),0))</f>
        <v>0</v>
      </c>
      <c r="H2562" s="25">
        <f>IF($A2562="","",IF(OR($B2562="",$C2562="",$D2562=""),"Preencher tudo",IF($F2562="Código não cadastrado","Código inválido","OK")))</f>
        <v>0</v>
      </c>
    </row>
    <row r="2563" spans="1:8">
      <c r="A2563" s="16"/>
      <c r="B2563" s="15"/>
      <c r="C2563" s="20"/>
      <c r="D2563" s="22"/>
      <c r="E2563" s="15"/>
      <c r="F2563" s="23">
        <f>IF($B2563="","",IFERROR(INDEX(ProdNome,MATCH($B2563,ProdCod,0)),"Código não cadastrado"))</f>
        <v>0</v>
      </c>
      <c r="G2563" s="24">
        <f>IF(OR($B2563="",$D2563=""),"",$D2563*IFERROR(INDEX(ProdCusto,MATCH($B2563,ProdCod,0)),0))</f>
        <v>0</v>
      </c>
      <c r="H2563" s="25">
        <f>IF($A2563="","",IF(OR($B2563="",$C2563="",$D2563=""),"Preencher tudo",IF($F2563="Código não cadastrado","Código inválido","OK")))</f>
        <v>0</v>
      </c>
    </row>
    <row r="2564" spans="1:8">
      <c r="A2564" s="16"/>
      <c r="B2564" s="15"/>
      <c r="C2564" s="20"/>
      <c r="D2564" s="22"/>
      <c r="E2564" s="15"/>
      <c r="F2564" s="23">
        <f>IF($B2564="","",IFERROR(INDEX(ProdNome,MATCH($B2564,ProdCod,0)),"Código não cadastrado"))</f>
        <v>0</v>
      </c>
      <c r="G2564" s="24">
        <f>IF(OR($B2564="",$D2564=""),"",$D2564*IFERROR(INDEX(ProdCusto,MATCH($B2564,ProdCod,0)),0))</f>
        <v>0</v>
      </c>
      <c r="H2564" s="25">
        <f>IF($A2564="","",IF(OR($B2564="",$C2564="",$D2564=""),"Preencher tudo",IF($F2564="Código não cadastrado","Código inválido","OK")))</f>
        <v>0</v>
      </c>
    </row>
    <row r="2565" spans="1:8">
      <c r="A2565" s="16"/>
      <c r="B2565" s="15"/>
      <c r="C2565" s="20"/>
      <c r="D2565" s="22"/>
      <c r="E2565" s="15"/>
      <c r="F2565" s="23">
        <f>IF($B2565="","",IFERROR(INDEX(ProdNome,MATCH($B2565,ProdCod,0)),"Código não cadastrado"))</f>
        <v>0</v>
      </c>
      <c r="G2565" s="24">
        <f>IF(OR($B2565="",$D2565=""),"",$D2565*IFERROR(INDEX(ProdCusto,MATCH($B2565,ProdCod,0)),0))</f>
        <v>0</v>
      </c>
      <c r="H2565" s="25">
        <f>IF($A2565="","",IF(OR($B2565="",$C2565="",$D2565=""),"Preencher tudo",IF($F2565="Código não cadastrado","Código inválido","OK")))</f>
        <v>0</v>
      </c>
    </row>
    <row r="2566" spans="1:8">
      <c r="A2566" s="16"/>
      <c r="B2566" s="15"/>
      <c r="C2566" s="20"/>
      <c r="D2566" s="22"/>
      <c r="E2566" s="15"/>
      <c r="F2566" s="23">
        <f>IF($B2566="","",IFERROR(INDEX(ProdNome,MATCH($B2566,ProdCod,0)),"Código não cadastrado"))</f>
        <v>0</v>
      </c>
      <c r="G2566" s="24">
        <f>IF(OR($B2566="",$D2566=""),"",$D2566*IFERROR(INDEX(ProdCusto,MATCH($B2566,ProdCod,0)),0))</f>
        <v>0</v>
      </c>
      <c r="H2566" s="25">
        <f>IF($A2566="","",IF(OR($B2566="",$C2566="",$D2566=""),"Preencher tudo",IF($F2566="Código não cadastrado","Código inválido","OK")))</f>
        <v>0</v>
      </c>
    </row>
    <row r="2567" spans="1:8">
      <c r="A2567" s="16"/>
      <c r="B2567" s="15"/>
      <c r="C2567" s="20"/>
      <c r="D2567" s="22"/>
      <c r="E2567" s="15"/>
      <c r="F2567" s="23">
        <f>IF($B2567="","",IFERROR(INDEX(ProdNome,MATCH($B2567,ProdCod,0)),"Código não cadastrado"))</f>
        <v>0</v>
      </c>
      <c r="G2567" s="24">
        <f>IF(OR($B2567="",$D2567=""),"",$D2567*IFERROR(INDEX(ProdCusto,MATCH($B2567,ProdCod,0)),0))</f>
        <v>0</v>
      </c>
      <c r="H2567" s="25">
        <f>IF($A2567="","",IF(OR($B2567="",$C2567="",$D2567=""),"Preencher tudo",IF($F2567="Código não cadastrado","Código inválido","OK")))</f>
        <v>0</v>
      </c>
    </row>
    <row r="2568" spans="1:8">
      <c r="A2568" s="16"/>
      <c r="B2568" s="15"/>
      <c r="C2568" s="20"/>
      <c r="D2568" s="22"/>
      <c r="E2568" s="15"/>
      <c r="F2568" s="23">
        <f>IF($B2568="","",IFERROR(INDEX(ProdNome,MATCH($B2568,ProdCod,0)),"Código não cadastrado"))</f>
        <v>0</v>
      </c>
      <c r="G2568" s="24">
        <f>IF(OR($B2568="",$D2568=""),"",$D2568*IFERROR(INDEX(ProdCusto,MATCH($B2568,ProdCod,0)),0))</f>
        <v>0</v>
      </c>
      <c r="H2568" s="25">
        <f>IF($A2568="","",IF(OR($B2568="",$C2568="",$D2568=""),"Preencher tudo",IF($F2568="Código não cadastrado","Código inválido","OK")))</f>
        <v>0</v>
      </c>
    </row>
    <row r="2569" spans="1:8">
      <c r="A2569" s="16"/>
      <c r="B2569" s="15"/>
      <c r="C2569" s="20"/>
      <c r="D2569" s="22"/>
      <c r="E2569" s="15"/>
      <c r="F2569" s="23">
        <f>IF($B2569="","",IFERROR(INDEX(ProdNome,MATCH($B2569,ProdCod,0)),"Código não cadastrado"))</f>
        <v>0</v>
      </c>
      <c r="G2569" s="24">
        <f>IF(OR($B2569="",$D2569=""),"",$D2569*IFERROR(INDEX(ProdCusto,MATCH($B2569,ProdCod,0)),0))</f>
        <v>0</v>
      </c>
      <c r="H2569" s="25">
        <f>IF($A2569="","",IF(OR($B2569="",$C2569="",$D2569=""),"Preencher tudo",IF($F2569="Código não cadastrado","Código inválido","OK")))</f>
        <v>0</v>
      </c>
    </row>
    <row r="2570" spans="1:8">
      <c r="A2570" s="16"/>
      <c r="B2570" s="15"/>
      <c r="C2570" s="20"/>
      <c r="D2570" s="22"/>
      <c r="E2570" s="15"/>
      <c r="F2570" s="23">
        <f>IF($B2570="","",IFERROR(INDEX(ProdNome,MATCH($B2570,ProdCod,0)),"Código não cadastrado"))</f>
        <v>0</v>
      </c>
      <c r="G2570" s="24">
        <f>IF(OR($B2570="",$D2570=""),"",$D2570*IFERROR(INDEX(ProdCusto,MATCH($B2570,ProdCod,0)),0))</f>
        <v>0</v>
      </c>
      <c r="H2570" s="25">
        <f>IF($A2570="","",IF(OR($B2570="",$C2570="",$D2570=""),"Preencher tudo",IF($F2570="Código não cadastrado","Código inválido","OK")))</f>
        <v>0</v>
      </c>
    </row>
    <row r="2571" spans="1:8">
      <c r="A2571" s="16"/>
      <c r="B2571" s="15"/>
      <c r="C2571" s="20"/>
      <c r="D2571" s="22"/>
      <c r="E2571" s="15"/>
      <c r="F2571" s="23">
        <f>IF($B2571="","",IFERROR(INDEX(ProdNome,MATCH($B2571,ProdCod,0)),"Código não cadastrado"))</f>
        <v>0</v>
      </c>
      <c r="G2571" s="24">
        <f>IF(OR($B2571="",$D2571=""),"",$D2571*IFERROR(INDEX(ProdCusto,MATCH($B2571,ProdCod,0)),0))</f>
        <v>0</v>
      </c>
      <c r="H2571" s="25">
        <f>IF($A2571="","",IF(OR($B2571="",$C2571="",$D2571=""),"Preencher tudo",IF($F2571="Código não cadastrado","Código inválido","OK")))</f>
        <v>0</v>
      </c>
    </row>
    <row r="2572" spans="1:8">
      <c r="A2572" s="16"/>
      <c r="B2572" s="15"/>
      <c r="C2572" s="20"/>
      <c r="D2572" s="22"/>
      <c r="E2572" s="15"/>
      <c r="F2572" s="23">
        <f>IF($B2572="","",IFERROR(INDEX(ProdNome,MATCH($B2572,ProdCod,0)),"Código não cadastrado"))</f>
        <v>0</v>
      </c>
      <c r="G2572" s="24">
        <f>IF(OR($B2572="",$D2572=""),"",$D2572*IFERROR(INDEX(ProdCusto,MATCH($B2572,ProdCod,0)),0))</f>
        <v>0</v>
      </c>
      <c r="H2572" s="25">
        <f>IF($A2572="","",IF(OR($B2572="",$C2572="",$D2572=""),"Preencher tudo",IF($F2572="Código não cadastrado","Código inválido","OK")))</f>
        <v>0</v>
      </c>
    </row>
    <row r="2573" spans="1:8">
      <c r="A2573" s="16"/>
      <c r="B2573" s="15"/>
      <c r="C2573" s="20"/>
      <c r="D2573" s="22"/>
      <c r="E2573" s="15"/>
      <c r="F2573" s="23">
        <f>IF($B2573="","",IFERROR(INDEX(ProdNome,MATCH($B2573,ProdCod,0)),"Código não cadastrado"))</f>
        <v>0</v>
      </c>
      <c r="G2573" s="24">
        <f>IF(OR($B2573="",$D2573=""),"",$D2573*IFERROR(INDEX(ProdCusto,MATCH($B2573,ProdCod,0)),0))</f>
        <v>0</v>
      </c>
      <c r="H2573" s="25">
        <f>IF($A2573="","",IF(OR($B2573="",$C2573="",$D2573=""),"Preencher tudo",IF($F2573="Código não cadastrado","Código inválido","OK")))</f>
        <v>0</v>
      </c>
    </row>
    <row r="2574" spans="1:8">
      <c r="A2574" s="16"/>
      <c r="B2574" s="15"/>
      <c r="C2574" s="20"/>
      <c r="D2574" s="22"/>
      <c r="E2574" s="15"/>
      <c r="F2574" s="23">
        <f>IF($B2574="","",IFERROR(INDEX(ProdNome,MATCH($B2574,ProdCod,0)),"Código não cadastrado"))</f>
        <v>0</v>
      </c>
      <c r="G2574" s="24">
        <f>IF(OR($B2574="",$D2574=""),"",$D2574*IFERROR(INDEX(ProdCusto,MATCH($B2574,ProdCod,0)),0))</f>
        <v>0</v>
      </c>
      <c r="H2574" s="25">
        <f>IF($A2574="","",IF(OR($B2574="",$C2574="",$D2574=""),"Preencher tudo",IF($F2574="Código não cadastrado","Código inválido","OK")))</f>
        <v>0</v>
      </c>
    </row>
    <row r="2575" spans="1:8">
      <c r="A2575" s="16"/>
      <c r="B2575" s="15"/>
      <c r="C2575" s="20"/>
      <c r="D2575" s="22"/>
      <c r="E2575" s="15"/>
      <c r="F2575" s="23">
        <f>IF($B2575="","",IFERROR(INDEX(ProdNome,MATCH($B2575,ProdCod,0)),"Código não cadastrado"))</f>
        <v>0</v>
      </c>
      <c r="G2575" s="24">
        <f>IF(OR($B2575="",$D2575=""),"",$D2575*IFERROR(INDEX(ProdCusto,MATCH($B2575,ProdCod,0)),0))</f>
        <v>0</v>
      </c>
      <c r="H2575" s="25">
        <f>IF($A2575="","",IF(OR($B2575="",$C2575="",$D2575=""),"Preencher tudo",IF($F2575="Código não cadastrado","Código inválido","OK")))</f>
        <v>0</v>
      </c>
    </row>
    <row r="2576" spans="1:8">
      <c r="A2576" s="16"/>
      <c r="B2576" s="15"/>
      <c r="C2576" s="20"/>
      <c r="D2576" s="22"/>
      <c r="E2576" s="15"/>
      <c r="F2576" s="23">
        <f>IF($B2576="","",IFERROR(INDEX(ProdNome,MATCH($B2576,ProdCod,0)),"Código não cadastrado"))</f>
        <v>0</v>
      </c>
      <c r="G2576" s="24">
        <f>IF(OR($B2576="",$D2576=""),"",$D2576*IFERROR(INDEX(ProdCusto,MATCH($B2576,ProdCod,0)),0))</f>
        <v>0</v>
      </c>
      <c r="H2576" s="25">
        <f>IF($A2576="","",IF(OR($B2576="",$C2576="",$D2576=""),"Preencher tudo",IF($F2576="Código não cadastrado","Código inválido","OK")))</f>
        <v>0</v>
      </c>
    </row>
    <row r="2577" spans="1:8">
      <c r="A2577" s="16"/>
      <c r="B2577" s="15"/>
      <c r="C2577" s="20"/>
      <c r="D2577" s="22"/>
      <c r="E2577" s="15"/>
      <c r="F2577" s="23">
        <f>IF($B2577="","",IFERROR(INDEX(ProdNome,MATCH($B2577,ProdCod,0)),"Código não cadastrado"))</f>
        <v>0</v>
      </c>
      <c r="G2577" s="24">
        <f>IF(OR($B2577="",$D2577=""),"",$D2577*IFERROR(INDEX(ProdCusto,MATCH($B2577,ProdCod,0)),0))</f>
        <v>0</v>
      </c>
      <c r="H2577" s="25">
        <f>IF($A2577="","",IF(OR($B2577="",$C2577="",$D2577=""),"Preencher tudo",IF($F2577="Código não cadastrado","Código inválido","OK")))</f>
        <v>0</v>
      </c>
    </row>
    <row r="2578" spans="1:8">
      <c r="A2578" s="16"/>
      <c r="B2578" s="15"/>
      <c r="C2578" s="20"/>
      <c r="D2578" s="22"/>
      <c r="E2578" s="15"/>
      <c r="F2578" s="23">
        <f>IF($B2578="","",IFERROR(INDEX(ProdNome,MATCH($B2578,ProdCod,0)),"Código não cadastrado"))</f>
        <v>0</v>
      </c>
      <c r="G2578" s="24">
        <f>IF(OR($B2578="",$D2578=""),"",$D2578*IFERROR(INDEX(ProdCusto,MATCH($B2578,ProdCod,0)),0))</f>
        <v>0</v>
      </c>
      <c r="H2578" s="25">
        <f>IF($A2578="","",IF(OR($B2578="",$C2578="",$D2578=""),"Preencher tudo",IF($F2578="Código não cadastrado","Código inválido","OK")))</f>
        <v>0</v>
      </c>
    </row>
    <row r="2579" spans="1:8">
      <c r="A2579" s="16"/>
      <c r="B2579" s="15"/>
      <c r="C2579" s="20"/>
      <c r="D2579" s="22"/>
      <c r="E2579" s="15"/>
      <c r="F2579" s="23">
        <f>IF($B2579="","",IFERROR(INDEX(ProdNome,MATCH($B2579,ProdCod,0)),"Código não cadastrado"))</f>
        <v>0</v>
      </c>
      <c r="G2579" s="24">
        <f>IF(OR($B2579="",$D2579=""),"",$D2579*IFERROR(INDEX(ProdCusto,MATCH($B2579,ProdCod,0)),0))</f>
        <v>0</v>
      </c>
      <c r="H2579" s="25">
        <f>IF($A2579="","",IF(OR($B2579="",$C2579="",$D2579=""),"Preencher tudo",IF($F2579="Código não cadastrado","Código inválido","OK")))</f>
        <v>0</v>
      </c>
    </row>
    <row r="2580" spans="1:8">
      <c r="A2580" s="16"/>
      <c r="B2580" s="15"/>
      <c r="C2580" s="20"/>
      <c r="D2580" s="22"/>
      <c r="E2580" s="15"/>
      <c r="F2580" s="23">
        <f>IF($B2580="","",IFERROR(INDEX(ProdNome,MATCH($B2580,ProdCod,0)),"Código não cadastrado"))</f>
        <v>0</v>
      </c>
      <c r="G2580" s="24">
        <f>IF(OR($B2580="",$D2580=""),"",$D2580*IFERROR(INDEX(ProdCusto,MATCH($B2580,ProdCod,0)),0))</f>
        <v>0</v>
      </c>
      <c r="H2580" s="25">
        <f>IF($A2580="","",IF(OR($B2580="",$C2580="",$D2580=""),"Preencher tudo",IF($F2580="Código não cadastrado","Código inválido","OK")))</f>
        <v>0</v>
      </c>
    </row>
    <row r="2581" spans="1:8">
      <c r="A2581" s="16"/>
      <c r="B2581" s="15"/>
      <c r="C2581" s="20"/>
      <c r="D2581" s="22"/>
      <c r="E2581" s="15"/>
      <c r="F2581" s="23">
        <f>IF($B2581="","",IFERROR(INDEX(ProdNome,MATCH($B2581,ProdCod,0)),"Código não cadastrado"))</f>
        <v>0</v>
      </c>
      <c r="G2581" s="24">
        <f>IF(OR($B2581="",$D2581=""),"",$D2581*IFERROR(INDEX(ProdCusto,MATCH($B2581,ProdCod,0)),0))</f>
        <v>0</v>
      </c>
      <c r="H2581" s="25">
        <f>IF($A2581="","",IF(OR($B2581="",$C2581="",$D2581=""),"Preencher tudo",IF($F2581="Código não cadastrado","Código inválido","OK")))</f>
        <v>0</v>
      </c>
    </row>
    <row r="2582" spans="1:8">
      <c r="A2582" s="16"/>
      <c r="B2582" s="15"/>
      <c r="C2582" s="20"/>
      <c r="D2582" s="22"/>
      <c r="E2582" s="15"/>
      <c r="F2582" s="23">
        <f>IF($B2582="","",IFERROR(INDEX(ProdNome,MATCH($B2582,ProdCod,0)),"Código não cadastrado"))</f>
        <v>0</v>
      </c>
      <c r="G2582" s="24">
        <f>IF(OR($B2582="",$D2582=""),"",$D2582*IFERROR(INDEX(ProdCusto,MATCH($B2582,ProdCod,0)),0))</f>
        <v>0</v>
      </c>
      <c r="H2582" s="25">
        <f>IF($A2582="","",IF(OR($B2582="",$C2582="",$D2582=""),"Preencher tudo",IF($F2582="Código não cadastrado","Código inválido","OK")))</f>
        <v>0</v>
      </c>
    </row>
    <row r="2583" spans="1:8">
      <c r="A2583" s="16"/>
      <c r="B2583" s="15"/>
      <c r="C2583" s="20"/>
      <c r="D2583" s="22"/>
      <c r="E2583" s="15"/>
      <c r="F2583" s="23">
        <f>IF($B2583="","",IFERROR(INDEX(ProdNome,MATCH($B2583,ProdCod,0)),"Código não cadastrado"))</f>
        <v>0</v>
      </c>
      <c r="G2583" s="24">
        <f>IF(OR($B2583="",$D2583=""),"",$D2583*IFERROR(INDEX(ProdCusto,MATCH($B2583,ProdCod,0)),0))</f>
        <v>0</v>
      </c>
      <c r="H2583" s="25">
        <f>IF($A2583="","",IF(OR($B2583="",$C2583="",$D2583=""),"Preencher tudo",IF($F2583="Código não cadastrado","Código inválido","OK")))</f>
        <v>0</v>
      </c>
    </row>
    <row r="2584" spans="1:8">
      <c r="A2584" s="16"/>
      <c r="B2584" s="15"/>
      <c r="C2584" s="20"/>
      <c r="D2584" s="22"/>
      <c r="E2584" s="15"/>
      <c r="F2584" s="23">
        <f>IF($B2584="","",IFERROR(INDEX(ProdNome,MATCH($B2584,ProdCod,0)),"Código não cadastrado"))</f>
        <v>0</v>
      </c>
      <c r="G2584" s="24">
        <f>IF(OR($B2584="",$D2584=""),"",$D2584*IFERROR(INDEX(ProdCusto,MATCH($B2584,ProdCod,0)),0))</f>
        <v>0</v>
      </c>
      <c r="H2584" s="25">
        <f>IF($A2584="","",IF(OR($B2584="",$C2584="",$D2584=""),"Preencher tudo",IF($F2584="Código não cadastrado","Código inválido","OK")))</f>
        <v>0</v>
      </c>
    </row>
    <row r="2585" spans="1:8">
      <c r="A2585" s="16"/>
      <c r="B2585" s="15"/>
      <c r="C2585" s="20"/>
      <c r="D2585" s="22"/>
      <c r="E2585" s="15"/>
      <c r="F2585" s="23">
        <f>IF($B2585="","",IFERROR(INDEX(ProdNome,MATCH($B2585,ProdCod,0)),"Código não cadastrado"))</f>
        <v>0</v>
      </c>
      <c r="G2585" s="24">
        <f>IF(OR($B2585="",$D2585=""),"",$D2585*IFERROR(INDEX(ProdCusto,MATCH($B2585,ProdCod,0)),0))</f>
        <v>0</v>
      </c>
      <c r="H2585" s="25">
        <f>IF($A2585="","",IF(OR($B2585="",$C2585="",$D2585=""),"Preencher tudo",IF($F2585="Código não cadastrado","Código inválido","OK")))</f>
        <v>0</v>
      </c>
    </row>
    <row r="2586" spans="1:8">
      <c r="A2586" s="16"/>
      <c r="B2586" s="15"/>
      <c r="C2586" s="20"/>
      <c r="D2586" s="22"/>
      <c r="E2586" s="15"/>
      <c r="F2586" s="23">
        <f>IF($B2586="","",IFERROR(INDEX(ProdNome,MATCH($B2586,ProdCod,0)),"Código não cadastrado"))</f>
        <v>0</v>
      </c>
      <c r="G2586" s="24">
        <f>IF(OR($B2586="",$D2586=""),"",$D2586*IFERROR(INDEX(ProdCusto,MATCH($B2586,ProdCod,0)),0))</f>
        <v>0</v>
      </c>
      <c r="H2586" s="25">
        <f>IF($A2586="","",IF(OR($B2586="",$C2586="",$D2586=""),"Preencher tudo",IF($F2586="Código não cadastrado","Código inválido","OK")))</f>
        <v>0</v>
      </c>
    </row>
    <row r="2587" spans="1:8">
      <c r="A2587" s="16"/>
      <c r="B2587" s="15"/>
      <c r="C2587" s="20"/>
      <c r="D2587" s="22"/>
      <c r="E2587" s="15"/>
      <c r="F2587" s="23">
        <f>IF($B2587="","",IFERROR(INDEX(ProdNome,MATCH($B2587,ProdCod,0)),"Código não cadastrado"))</f>
        <v>0</v>
      </c>
      <c r="G2587" s="24">
        <f>IF(OR($B2587="",$D2587=""),"",$D2587*IFERROR(INDEX(ProdCusto,MATCH($B2587,ProdCod,0)),0))</f>
        <v>0</v>
      </c>
      <c r="H2587" s="25">
        <f>IF($A2587="","",IF(OR($B2587="",$C2587="",$D2587=""),"Preencher tudo",IF($F2587="Código não cadastrado","Código inválido","OK")))</f>
        <v>0</v>
      </c>
    </row>
    <row r="2588" spans="1:8">
      <c r="A2588" s="16"/>
      <c r="B2588" s="15"/>
      <c r="C2588" s="20"/>
      <c r="D2588" s="22"/>
      <c r="E2588" s="15"/>
      <c r="F2588" s="23">
        <f>IF($B2588="","",IFERROR(INDEX(ProdNome,MATCH($B2588,ProdCod,0)),"Código não cadastrado"))</f>
        <v>0</v>
      </c>
      <c r="G2588" s="24">
        <f>IF(OR($B2588="",$D2588=""),"",$D2588*IFERROR(INDEX(ProdCusto,MATCH($B2588,ProdCod,0)),0))</f>
        <v>0</v>
      </c>
      <c r="H2588" s="25">
        <f>IF($A2588="","",IF(OR($B2588="",$C2588="",$D2588=""),"Preencher tudo",IF($F2588="Código não cadastrado","Código inválido","OK")))</f>
        <v>0</v>
      </c>
    </row>
    <row r="2589" spans="1:8">
      <c r="A2589" s="16"/>
      <c r="B2589" s="15"/>
      <c r="C2589" s="20"/>
      <c r="D2589" s="22"/>
      <c r="E2589" s="15"/>
      <c r="F2589" s="23">
        <f>IF($B2589="","",IFERROR(INDEX(ProdNome,MATCH($B2589,ProdCod,0)),"Código não cadastrado"))</f>
        <v>0</v>
      </c>
      <c r="G2589" s="24">
        <f>IF(OR($B2589="",$D2589=""),"",$D2589*IFERROR(INDEX(ProdCusto,MATCH($B2589,ProdCod,0)),0))</f>
        <v>0</v>
      </c>
      <c r="H2589" s="25">
        <f>IF($A2589="","",IF(OR($B2589="",$C2589="",$D2589=""),"Preencher tudo",IF($F2589="Código não cadastrado","Código inválido","OK")))</f>
        <v>0</v>
      </c>
    </row>
    <row r="2590" spans="1:8">
      <c r="A2590" s="16"/>
      <c r="B2590" s="15"/>
      <c r="C2590" s="20"/>
      <c r="D2590" s="22"/>
      <c r="E2590" s="15"/>
      <c r="F2590" s="23">
        <f>IF($B2590="","",IFERROR(INDEX(ProdNome,MATCH($B2590,ProdCod,0)),"Código não cadastrado"))</f>
        <v>0</v>
      </c>
      <c r="G2590" s="24">
        <f>IF(OR($B2590="",$D2590=""),"",$D2590*IFERROR(INDEX(ProdCusto,MATCH($B2590,ProdCod,0)),0))</f>
        <v>0</v>
      </c>
      <c r="H2590" s="25">
        <f>IF($A2590="","",IF(OR($B2590="",$C2590="",$D2590=""),"Preencher tudo",IF($F2590="Código não cadastrado","Código inválido","OK")))</f>
        <v>0</v>
      </c>
    </row>
    <row r="2591" spans="1:8">
      <c r="A2591" s="16"/>
      <c r="B2591" s="15"/>
      <c r="C2591" s="20"/>
      <c r="D2591" s="22"/>
      <c r="E2591" s="15"/>
      <c r="F2591" s="23">
        <f>IF($B2591="","",IFERROR(INDEX(ProdNome,MATCH($B2591,ProdCod,0)),"Código não cadastrado"))</f>
        <v>0</v>
      </c>
      <c r="G2591" s="24">
        <f>IF(OR($B2591="",$D2591=""),"",$D2591*IFERROR(INDEX(ProdCusto,MATCH($B2591,ProdCod,0)),0))</f>
        <v>0</v>
      </c>
      <c r="H2591" s="25">
        <f>IF($A2591="","",IF(OR($B2591="",$C2591="",$D2591=""),"Preencher tudo",IF($F2591="Código não cadastrado","Código inválido","OK")))</f>
        <v>0</v>
      </c>
    </row>
    <row r="2592" spans="1:8">
      <c r="A2592" s="16"/>
      <c r="B2592" s="15"/>
      <c r="C2592" s="20"/>
      <c r="D2592" s="22"/>
      <c r="E2592" s="15"/>
      <c r="F2592" s="23">
        <f>IF($B2592="","",IFERROR(INDEX(ProdNome,MATCH($B2592,ProdCod,0)),"Código não cadastrado"))</f>
        <v>0</v>
      </c>
      <c r="G2592" s="24">
        <f>IF(OR($B2592="",$D2592=""),"",$D2592*IFERROR(INDEX(ProdCusto,MATCH($B2592,ProdCod,0)),0))</f>
        <v>0</v>
      </c>
      <c r="H2592" s="25">
        <f>IF($A2592="","",IF(OR($B2592="",$C2592="",$D2592=""),"Preencher tudo",IF($F2592="Código não cadastrado","Código inválido","OK")))</f>
        <v>0</v>
      </c>
    </row>
    <row r="2593" spans="1:8">
      <c r="A2593" s="16"/>
      <c r="B2593" s="15"/>
      <c r="C2593" s="20"/>
      <c r="D2593" s="22"/>
      <c r="E2593" s="15"/>
      <c r="F2593" s="23">
        <f>IF($B2593="","",IFERROR(INDEX(ProdNome,MATCH($B2593,ProdCod,0)),"Código não cadastrado"))</f>
        <v>0</v>
      </c>
      <c r="G2593" s="24">
        <f>IF(OR($B2593="",$D2593=""),"",$D2593*IFERROR(INDEX(ProdCusto,MATCH($B2593,ProdCod,0)),0))</f>
        <v>0</v>
      </c>
      <c r="H2593" s="25">
        <f>IF($A2593="","",IF(OR($B2593="",$C2593="",$D2593=""),"Preencher tudo",IF($F2593="Código não cadastrado","Código inválido","OK")))</f>
        <v>0</v>
      </c>
    </row>
    <row r="2594" spans="1:8">
      <c r="A2594" s="16"/>
      <c r="B2594" s="15"/>
      <c r="C2594" s="20"/>
      <c r="D2594" s="22"/>
      <c r="E2594" s="15"/>
      <c r="F2594" s="23">
        <f>IF($B2594="","",IFERROR(INDEX(ProdNome,MATCH($B2594,ProdCod,0)),"Código não cadastrado"))</f>
        <v>0</v>
      </c>
      <c r="G2594" s="24">
        <f>IF(OR($B2594="",$D2594=""),"",$D2594*IFERROR(INDEX(ProdCusto,MATCH($B2594,ProdCod,0)),0))</f>
        <v>0</v>
      </c>
      <c r="H2594" s="25">
        <f>IF($A2594="","",IF(OR($B2594="",$C2594="",$D2594=""),"Preencher tudo",IF($F2594="Código não cadastrado","Código inválido","OK")))</f>
        <v>0</v>
      </c>
    </row>
    <row r="2595" spans="1:8">
      <c r="A2595" s="16"/>
      <c r="B2595" s="15"/>
      <c r="C2595" s="20"/>
      <c r="D2595" s="22"/>
      <c r="E2595" s="15"/>
      <c r="F2595" s="23">
        <f>IF($B2595="","",IFERROR(INDEX(ProdNome,MATCH($B2595,ProdCod,0)),"Código não cadastrado"))</f>
        <v>0</v>
      </c>
      <c r="G2595" s="24">
        <f>IF(OR($B2595="",$D2595=""),"",$D2595*IFERROR(INDEX(ProdCusto,MATCH($B2595,ProdCod,0)),0))</f>
        <v>0</v>
      </c>
      <c r="H2595" s="25">
        <f>IF($A2595="","",IF(OR($B2595="",$C2595="",$D2595=""),"Preencher tudo",IF($F2595="Código não cadastrado","Código inválido","OK")))</f>
        <v>0</v>
      </c>
    </row>
    <row r="2596" spans="1:8">
      <c r="A2596" s="16"/>
      <c r="B2596" s="15"/>
      <c r="C2596" s="20"/>
      <c r="D2596" s="22"/>
      <c r="E2596" s="15"/>
      <c r="F2596" s="23">
        <f>IF($B2596="","",IFERROR(INDEX(ProdNome,MATCH($B2596,ProdCod,0)),"Código não cadastrado"))</f>
        <v>0</v>
      </c>
      <c r="G2596" s="24">
        <f>IF(OR($B2596="",$D2596=""),"",$D2596*IFERROR(INDEX(ProdCusto,MATCH($B2596,ProdCod,0)),0))</f>
        <v>0</v>
      </c>
      <c r="H2596" s="25">
        <f>IF($A2596="","",IF(OR($B2596="",$C2596="",$D2596=""),"Preencher tudo",IF($F2596="Código não cadastrado","Código inválido","OK")))</f>
        <v>0</v>
      </c>
    </row>
    <row r="2597" spans="1:8">
      <c r="A2597" s="16"/>
      <c r="B2597" s="15"/>
      <c r="C2597" s="20"/>
      <c r="D2597" s="22"/>
      <c r="E2597" s="15"/>
      <c r="F2597" s="23">
        <f>IF($B2597="","",IFERROR(INDEX(ProdNome,MATCH($B2597,ProdCod,0)),"Código não cadastrado"))</f>
        <v>0</v>
      </c>
      <c r="G2597" s="24">
        <f>IF(OR($B2597="",$D2597=""),"",$D2597*IFERROR(INDEX(ProdCusto,MATCH($B2597,ProdCod,0)),0))</f>
        <v>0</v>
      </c>
      <c r="H2597" s="25">
        <f>IF($A2597="","",IF(OR($B2597="",$C2597="",$D2597=""),"Preencher tudo",IF($F2597="Código não cadastrado","Código inválido","OK")))</f>
        <v>0</v>
      </c>
    </row>
    <row r="2598" spans="1:8">
      <c r="A2598" s="16"/>
      <c r="B2598" s="15"/>
      <c r="C2598" s="20"/>
      <c r="D2598" s="22"/>
      <c r="E2598" s="15"/>
      <c r="F2598" s="23">
        <f>IF($B2598="","",IFERROR(INDEX(ProdNome,MATCH($B2598,ProdCod,0)),"Código não cadastrado"))</f>
        <v>0</v>
      </c>
      <c r="G2598" s="24">
        <f>IF(OR($B2598="",$D2598=""),"",$D2598*IFERROR(INDEX(ProdCusto,MATCH($B2598,ProdCod,0)),0))</f>
        <v>0</v>
      </c>
      <c r="H2598" s="25">
        <f>IF($A2598="","",IF(OR($B2598="",$C2598="",$D2598=""),"Preencher tudo",IF($F2598="Código não cadastrado","Código inválido","OK")))</f>
        <v>0</v>
      </c>
    </row>
    <row r="2599" spans="1:8">
      <c r="A2599" s="16"/>
      <c r="B2599" s="15"/>
      <c r="C2599" s="20"/>
      <c r="D2599" s="22"/>
      <c r="E2599" s="15"/>
      <c r="F2599" s="23">
        <f>IF($B2599="","",IFERROR(INDEX(ProdNome,MATCH($B2599,ProdCod,0)),"Código não cadastrado"))</f>
        <v>0</v>
      </c>
      <c r="G2599" s="24">
        <f>IF(OR($B2599="",$D2599=""),"",$D2599*IFERROR(INDEX(ProdCusto,MATCH($B2599,ProdCod,0)),0))</f>
        <v>0</v>
      </c>
      <c r="H2599" s="25">
        <f>IF($A2599="","",IF(OR($B2599="",$C2599="",$D2599=""),"Preencher tudo",IF($F2599="Código não cadastrado","Código inválido","OK")))</f>
        <v>0</v>
      </c>
    </row>
    <row r="2600" spans="1:8">
      <c r="A2600" s="16"/>
      <c r="B2600" s="15"/>
      <c r="C2600" s="20"/>
      <c r="D2600" s="22"/>
      <c r="E2600" s="15"/>
      <c r="F2600" s="23">
        <f>IF($B2600="","",IFERROR(INDEX(ProdNome,MATCH($B2600,ProdCod,0)),"Código não cadastrado"))</f>
        <v>0</v>
      </c>
      <c r="G2600" s="24">
        <f>IF(OR($B2600="",$D2600=""),"",$D2600*IFERROR(INDEX(ProdCusto,MATCH($B2600,ProdCod,0)),0))</f>
        <v>0</v>
      </c>
      <c r="H2600" s="25">
        <f>IF($A2600="","",IF(OR($B2600="",$C2600="",$D2600=""),"Preencher tudo",IF($F2600="Código não cadastrado","Código inválido","OK")))</f>
        <v>0</v>
      </c>
    </row>
    <row r="2601" spans="1:8">
      <c r="A2601" s="16"/>
      <c r="B2601" s="15"/>
      <c r="C2601" s="20"/>
      <c r="D2601" s="22"/>
      <c r="E2601" s="15"/>
      <c r="F2601" s="23">
        <f>IF($B2601="","",IFERROR(INDEX(ProdNome,MATCH($B2601,ProdCod,0)),"Código não cadastrado"))</f>
        <v>0</v>
      </c>
      <c r="G2601" s="24">
        <f>IF(OR($B2601="",$D2601=""),"",$D2601*IFERROR(INDEX(ProdCusto,MATCH($B2601,ProdCod,0)),0))</f>
        <v>0</v>
      </c>
      <c r="H2601" s="25">
        <f>IF($A2601="","",IF(OR($B2601="",$C2601="",$D2601=""),"Preencher tudo",IF($F2601="Código não cadastrado","Código inválido","OK")))</f>
        <v>0</v>
      </c>
    </row>
    <row r="2602" spans="1:8">
      <c r="A2602" s="16"/>
      <c r="B2602" s="15"/>
      <c r="C2602" s="20"/>
      <c r="D2602" s="22"/>
      <c r="E2602" s="15"/>
      <c r="F2602" s="23">
        <f>IF($B2602="","",IFERROR(INDEX(ProdNome,MATCH($B2602,ProdCod,0)),"Código não cadastrado"))</f>
        <v>0</v>
      </c>
      <c r="G2602" s="24">
        <f>IF(OR($B2602="",$D2602=""),"",$D2602*IFERROR(INDEX(ProdCusto,MATCH($B2602,ProdCod,0)),0))</f>
        <v>0</v>
      </c>
      <c r="H2602" s="25">
        <f>IF($A2602="","",IF(OR($B2602="",$C2602="",$D2602=""),"Preencher tudo",IF($F2602="Código não cadastrado","Código inválido","OK")))</f>
        <v>0</v>
      </c>
    </row>
    <row r="2603" spans="1:8">
      <c r="A2603" s="16"/>
      <c r="B2603" s="15"/>
      <c r="C2603" s="20"/>
      <c r="D2603" s="22"/>
      <c r="E2603" s="15"/>
      <c r="F2603" s="23">
        <f>IF($B2603="","",IFERROR(INDEX(ProdNome,MATCH($B2603,ProdCod,0)),"Código não cadastrado"))</f>
        <v>0</v>
      </c>
      <c r="G2603" s="24">
        <f>IF(OR($B2603="",$D2603=""),"",$D2603*IFERROR(INDEX(ProdCusto,MATCH($B2603,ProdCod,0)),0))</f>
        <v>0</v>
      </c>
      <c r="H2603" s="25">
        <f>IF($A2603="","",IF(OR($B2603="",$C2603="",$D2603=""),"Preencher tudo",IF($F2603="Código não cadastrado","Código inválido","OK")))</f>
        <v>0</v>
      </c>
    </row>
    <row r="2604" spans="1:8">
      <c r="A2604" s="16"/>
      <c r="B2604" s="15"/>
      <c r="C2604" s="20"/>
      <c r="D2604" s="22"/>
      <c r="E2604" s="15"/>
      <c r="F2604" s="23">
        <f>IF($B2604="","",IFERROR(INDEX(ProdNome,MATCH($B2604,ProdCod,0)),"Código não cadastrado"))</f>
        <v>0</v>
      </c>
      <c r="G2604" s="24">
        <f>IF(OR($B2604="",$D2604=""),"",$D2604*IFERROR(INDEX(ProdCusto,MATCH($B2604,ProdCod,0)),0))</f>
        <v>0</v>
      </c>
      <c r="H2604" s="25">
        <f>IF($A2604="","",IF(OR($B2604="",$C2604="",$D2604=""),"Preencher tudo",IF($F2604="Código não cadastrado","Código inválido","OK")))</f>
        <v>0</v>
      </c>
    </row>
    <row r="2605" spans="1:8">
      <c r="A2605" s="16"/>
      <c r="B2605" s="15"/>
      <c r="C2605" s="20"/>
      <c r="D2605" s="22"/>
      <c r="E2605" s="15"/>
      <c r="F2605" s="23">
        <f>IF($B2605="","",IFERROR(INDEX(ProdNome,MATCH($B2605,ProdCod,0)),"Código não cadastrado"))</f>
        <v>0</v>
      </c>
      <c r="G2605" s="24">
        <f>IF(OR($B2605="",$D2605=""),"",$D2605*IFERROR(INDEX(ProdCusto,MATCH($B2605,ProdCod,0)),0))</f>
        <v>0</v>
      </c>
      <c r="H2605" s="25">
        <f>IF($A2605="","",IF(OR($B2605="",$C2605="",$D2605=""),"Preencher tudo",IF($F2605="Código não cadastrado","Código inválido","OK")))</f>
        <v>0</v>
      </c>
    </row>
    <row r="2606" spans="1:8">
      <c r="A2606" s="16"/>
      <c r="B2606" s="15"/>
      <c r="C2606" s="20"/>
      <c r="D2606" s="22"/>
      <c r="E2606" s="15"/>
      <c r="F2606" s="23">
        <f>IF($B2606="","",IFERROR(INDEX(ProdNome,MATCH($B2606,ProdCod,0)),"Código não cadastrado"))</f>
        <v>0</v>
      </c>
      <c r="G2606" s="24">
        <f>IF(OR($B2606="",$D2606=""),"",$D2606*IFERROR(INDEX(ProdCusto,MATCH($B2606,ProdCod,0)),0))</f>
        <v>0</v>
      </c>
      <c r="H2606" s="25">
        <f>IF($A2606="","",IF(OR($B2606="",$C2606="",$D2606=""),"Preencher tudo",IF($F2606="Código não cadastrado","Código inválido","OK")))</f>
        <v>0</v>
      </c>
    </row>
    <row r="2607" spans="1:8">
      <c r="A2607" s="16"/>
      <c r="B2607" s="15"/>
      <c r="C2607" s="20"/>
      <c r="D2607" s="22"/>
      <c r="E2607" s="15"/>
      <c r="F2607" s="23">
        <f>IF($B2607="","",IFERROR(INDEX(ProdNome,MATCH($B2607,ProdCod,0)),"Código não cadastrado"))</f>
        <v>0</v>
      </c>
      <c r="G2607" s="24">
        <f>IF(OR($B2607="",$D2607=""),"",$D2607*IFERROR(INDEX(ProdCusto,MATCH($B2607,ProdCod,0)),0))</f>
        <v>0</v>
      </c>
      <c r="H2607" s="25">
        <f>IF($A2607="","",IF(OR($B2607="",$C2607="",$D2607=""),"Preencher tudo",IF($F2607="Código não cadastrado","Código inválido","OK")))</f>
        <v>0</v>
      </c>
    </row>
    <row r="2608" spans="1:8">
      <c r="A2608" s="16"/>
      <c r="B2608" s="15"/>
      <c r="C2608" s="20"/>
      <c r="D2608" s="22"/>
      <c r="E2608" s="15"/>
      <c r="F2608" s="23">
        <f>IF($B2608="","",IFERROR(INDEX(ProdNome,MATCH($B2608,ProdCod,0)),"Código não cadastrado"))</f>
        <v>0</v>
      </c>
      <c r="G2608" s="24">
        <f>IF(OR($B2608="",$D2608=""),"",$D2608*IFERROR(INDEX(ProdCusto,MATCH($B2608,ProdCod,0)),0))</f>
        <v>0</v>
      </c>
      <c r="H2608" s="25">
        <f>IF($A2608="","",IF(OR($B2608="",$C2608="",$D2608=""),"Preencher tudo",IF($F2608="Código não cadastrado","Código inválido","OK")))</f>
        <v>0</v>
      </c>
    </row>
    <row r="2609" spans="1:8">
      <c r="A2609" s="16"/>
      <c r="B2609" s="15"/>
      <c r="C2609" s="20"/>
      <c r="D2609" s="22"/>
      <c r="E2609" s="15"/>
      <c r="F2609" s="23">
        <f>IF($B2609="","",IFERROR(INDEX(ProdNome,MATCH($B2609,ProdCod,0)),"Código não cadastrado"))</f>
        <v>0</v>
      </c>
      <c r="G2609" s="24">
        <f>IF(OR($B2609="",$D2609=""),"",$D2609*IFERROR(INDEX(ProdCusto,MATCH($B2609,ProdCod,0)),0))</f>
        <v>0</v>
      </c>
      <c r="H2609" s="25">
        <f>IF($A2609="","",IF(OR($B2609="",$C2609="",$D2609=""),"Preencher tudo",IF($F2609="Código não cadastrado","Código inválido","OK")))</f>
        <v>0</v>
      </c>
    </row>
    <row r="2610" spans="1:8">
      <c r="A2610" s="16"/>
      <c r="B2610" s="15"/>
      <c r="C2610" s="20"/>
      <c r="D2610" s="22"/>
      <c r="E2610" s="15"/>
      <c r="F2610" s="23">
        <f>IF($B2610="","",IFERROR(INDEX(ProdNome,MATCH($B2610,ProdCod,0)),"Código não cadastrado"))</f>
        <v>0</v>
      </c>
      <c r="G2610" s="24">
        <f>IF(OR($B2610="",$D2610=""),"",$D2610*IFERROR(INDEX(ProdCusto,MATCH($B2610,ProdCod,0)),0))</f>
        <v>0</v>
      </c>
      <c r="H2610" s="25">
        <f>IF($A2610="","",IF(OR($B2610="",$C2610="",$D2610=""),"Preencher tudo",IF($F2610="Código não cadastrado","Código inválido","OK")))</f>
        <v>0</v>
      </c>
    </row>
    <row r="2611" spans="1:8">
      <c r="A2611" s="16"/>
      <c r="B2611" s="15"/>
      <c r="C2611" s="20"/>
      <c r="D2611" s="22"/>
      <c r="E2611" s="15"/>
      <c r="F2611" s="23">
        <f>IF($B2611="","",IFERROR(INDEX(ProdNome,MATCH($B2611,ProdCod,0)),"Código não cadastrado"))</f>
        <v>0</v>
      </c>
      <c r="G2611" s="24">
        <f>IF(OR($B2611="",$D2611=""),"",$D2611*IFERROR(INDEX(ProdCusto,MATCH($B2611,ProdCod,0)),0))</f>
        <v>0</v>
      </c>
      <c r="H2611" s="25">
        <f>IF($A2611="","",IF(OR($B2611="",$C2611="",$D2611=""),"Preencher tudo",IF($F2611="Código não cadastrado","Código inválido","OK")))</f>
        <v>0</v>
      </c>
    </row>
    <row r="2612" spans="1:8">
      <c r="A2612" s="16"/>
      <c r="B2612" s="15"/>
      <c r="C2612" s="20"/>
      <c r="D2612" s="22"/>
      <c r="E2612" s="15"/>
      <c r="F2612" s="23">
        <f>IF($B2612="","",IFERROR(INDEX(ProdNome,MATCH($B2612,ProdCod,0)),"Código não cadastrado"))</f>
        <v>0</v>
      </c>
      <c r="G2612" s="24">
        <f>IF(OR($B2612="",$D2612=""),"",$D2612*IFERROR(INDEX(ProdCusto,MATCH($B2612,ProdCod,0)),0))</f>
        <v>0</v>
      </c>
      <c r="H2612" s="25">
        <f>IF($A2612="","",IF(OR($B2612="",$C2612="",$D2612=""),"Preencher tudo",IF($F2612="Código não cadastrado","Código inválido","OK")))</f>
        <v>0</v>
      </c>
    </row>
    <row r="2613" spans="1:8">
      <c r="A2613" s="16"/>
      <c r="B2613" s="15"/>
      <c r="C2613" s="20"/>
      <c r="D2613" s="22"/>
      <c r="E2613" s="15"/>
      <c r="F2613" s="23">
        <f>IF($B2613="","",IFERROR(INDEX(ProdNome,MATCH($B2613,ProdCod,0)),"Código não cadastrado"))</f>
        <v>0</v>
      </c>
      <c r="G2613" s="24">
        <f>IF(OR($B2613="",$D2613=""),"",$D2613*IFERROR(INDEX(ProdCusto,MATCH($B2613,ProdCod,0)),0))</f>
        <v>0</v>
      </c>
      <c r="H2613" s="25">
        <f>IF($A2613="","",IF(OR($B2613="",$C2613="",$D2613=""),"Preencher tudo",IF($F2613="Código não cadastrado","Código inválido","OK")))</f>
        <v>0</v>
      </c>
    </row>
    <row r="2614" spans="1:8">
      <c r="A2614" s="16"/>
      <c r="B2614" s="15"/>
      <c r="C2614" s="20"/>
      <c r="D2614" s="22"/>
      <c r="E2614" s="15"/>
      <c r="F2614" s="23">
        <f>IF($B2614="","",IFERROR(INDEX(ProdNome,MATCH($B2614,ProdCod,0)),"Código não cadastrado"))</f>
        <v>0</v>
      </c>
      <c r="G2614" s="24">
        <f>IF(OR($B2614="",$D2614=""),"",$D2614*IFERROR(INDEX(ProdCusto,MATCH($B2614,ProdCod,0)),0))</f>
        <v>0</v>
      </c>
      <c r="H2614" s="25">
        <f>IF($A2614="","",IF(OR($B2614="",$C2614="",$D2614=""),"Preencher tudo",IF($F2614="Código não cadastrado","Código inválido","OK")))</f>
        <v>0</v>
      </c>
    </row>
    <row r="2615" spans="1:8">
      <c r="A2615" s="16"/>
      <c r="B2615" s="15"/>
      <c r="C2615" s="20"/>
      <c r="D2615" s="22"/>
      <c r="E2615" s="15"/>
      <c r="F2615" s="23">
        <f>IF($B2615="","",IFERROR(INDEX(ProdNome,MATCH($B2615,ProdCod,0)),"Código não cadastrado"))</f>
        <v>0</v>
      </c>
      <c r="G2615" s="24">
        <f>IF(OR($B2615="",$D2615=""),"",$D2615*IFERROR(INDEX(ProdCusto,MATCH($B2615,ProdCod,0)),0))</f>
        <v>0</v>
      </c>
      <c r="H2615" s="25">
        <f>IF($A2615="","",IF(OR($B2615="",$C2615="",$D2615=""),"Preencher tudo",IF($F2615="Código não cadastrado","Código inválido","OK")))</f>
        <v>0</v>
      </c>
    </row>
    <row r="2616" spans="1:8">
      <c r="A2616" s="16"/>
      <c r="B2616" s="15"/>
      <c r="C2616" s="20"/>
      <c r="D2616" s="22"/>
      <c r="E2616" s="15"/>
      <c r="F2616" s="23">
        <f>IF($B2616="","",IFERROR(INDEX(ProdNome,MATCH($B2616,ProdCod,0)),"Código não cadastrado"))</f>
        <v>0</v>
      </c>
      <c r="G2616" s="24">
        <f>IF(OR($B2616="",$D2616=""),"",$D2616*IFERROR(INDEX(ProdCusto,MATCH($B2616,ProdCod,0)),0))</f>
        <v>0</v>
      </c>
      <c r="H2616" s="25">
        <f>IF($A2616="","",IF(OR($B2616="",$C2616="",$D2616=""),"Preencher tudo",IF($F2616="Código não cadastrado","Código inválido","OK")))</f>
        <v>0</v>
      </c>
    </row>
    <row r="2617" spans="1:8">
      <c r="A2617" s="16"/>
      <c r="B2617" s="15"/>
      <c r="C2617" s="20"/>
      <c r="D2617" s="22"/>
      <c r="E2617" s="15"/>
      <c r="F2617" s="23">
        <f>IF($B2617="","",IFERROR(INDEX(ProdNome,MATCH($B2617,ProdCod,0)),"Código não cadastrado"))</f>
        <v>0</v>
      </c>
      <c r="G2617" s="24">
        <f>IF(OR($B2617="",$D2617=""),"",$D2617*IFERROR(INDEX(ProdCusto,MATCH($B2617,ProdCod,0)),0))</f>
        <v>0</v>
      </c>
      <c r="H2617" s="25">
        <f>IF($A2617="","",IF(OR($B2617="",$C2617="",$D2617=""),"Preencher tudo",IF($F2617="Código não cadastrado","Código inválido","OK")))</f>
        <v>0</v>
      </c>
    </row>
    <row r="2618" spans="1:8">
      <c r="A2618" s="16"/>
      <c r="B2618" s="15"/>
      <c r="C2618" s="20"/>
      <c r="D2618" s="22"/>
      <c r="E2618" s="15"/>
      <c r="F2618" s="23">
        <f>IF($B2618="","",IFERROR(INDEX(ProdNome,MATCH($B2618,ProdCod,0)),"Código não cadastrado"))</f>
        <v>0</v>
      </c>
      <c r="G2618" s="24">
        <f>IF(OR($B2618="",$D2618=""),"",$D2618*IFERROR(INDEX(ProdCusto,MATCH($B2618,ProdCod,0)),0))</f>
        <v>0</v>
      </c>
      <c r="H2618" s="25">
        <f>IF($A2618="","",IF(OR($B2618="",$C2618="",$D2618=""),"Preencher tudo",IF($F2618="Código não cadastrado","Código inválido","OK")))</f>
        <v>0</v>
      </c>
    </row>
    <row r="2619" spans="1:8">
      <c r="A2619" s="16"/>
      <c r="B2619" s="15"/>
      <c r="C2619" s="20"/>
      <c r="D2619" s="22"/>
      <c r="E2619" s="15"/>
      <c r="F2619" s="23">
        <f>IF($B2619="","",IFERROR(INDEX(ProdNome,MATCH($B2619,ProdCod,0)),"Código não cadastrado"))</f>
        <v>0</v>
      </c>
      <c r="G2619" s="24">
        <f>IF(OR($B2619="",$D2619=""),"",$D2619*IFERROR(INDEX(ProdCusto,MATCH($B2619,ProdCod,0)),0))</f>
        <v>0</v>
      </c>
      <c r="H2619" s="25">
        <f>IF($A2619="","",IF(OR($B2619="",$C2619="",$D2619=""),"Preencher tudo",IF($F2619="Código não cadastrado","Código inválido","OK")))</f>
        <v>0</v>
      </c>
    </row>
    <row r="2620" spans="1:8">
      <c r="A2620" s="16"/>
      <c r="B2620" s="15"/>
      <c r="C2620" s="20"/>
      <c r="D2620" s="22"/>
      <c r="E2620" s="15"/>
      <c r="F2620" s="23">
        <f>IF($B2620="","",IFERROR(INDEX(ProdNome,MATCH($B2620,ProdCod,0)),"Código não cadastrado"))</f>
        <v>0</v>
      </c>
      <c r="G2620" s="24">
        <f>IF(OR($B2620="",$D2620=""),"",$D2620*IFERROR(INDEX(ProdCusto,MATCH($B2620,ProdCod,0)),0))</f>
        <v>0</v>
      </c>
      <c r="H2620" s="25">
        <f>IF($A2620="","",IF(OR($B2620="",$C2620="",$D2620=""),"Preencher tudo",IF($F2620="Código não cadastrado","Código inválido","OK")))</f>
        <v>0</v>
      </c>
    </row>
    <row r="2621" spans="1:8">
      <c r="A2621" s="16"/>
      <c r="B2621" s="15"/>
      <c r="C2621" s="20"/>
      <c r="D2621" s="22"/>
      <c r="E2621" s="15"/>
      <c r="F2621" s="23">
        <f>IF($B2621="","",IFERROR(INDEX(ProdNome,MATCH($B2621,ProdCod,0)),"Código não cadastrado"))</f>
        <v>0</v>
      </c>
      <c r="G2621" s="24">
        <f>IF(OR($B2621="",$D2621=""),"",$D2621*IFERROR(INDEX(ProdCusto,MATCH($B2621,ProdCod,0)),0))</f>
        <v>0</v>
      </c>
      <c r="H2621" s="25">
        <f>IF($A2621="","",IF(OR($B2621="",$C2621="",$D2621=""),"Preencher tudo",IF($F2621="Código não cadastrado","Código inválido","OK")))</f>
        <v>0</v>
      </c>
    </row>
    <row r="2622" spans="1:8">
      <c r="A2622" s="16"/>
      <c r="B2622" s="15"/>
      <c r="C2622" s="20"/>
      <c r="D2622" s="22"/>
      <c r="E2622" s="15"/>
      <c r="F2622" s="23">
        <f>IF($B2622="","",IFERROR(INDEX(ProdNome,MATCH($B2622,ProdCod,0)),"Código não cadastrado"))</f>
        <v>0</v>
      </c>
      <c r="G2622" s="24">
        <f>IF(OR($B2622="",$D2622=""),"",$D2622*IFERROR(INDEX(ProdCusto,MATCH($B2622,ProdCod,0)),0))</f>
        <v>0</v>
      </c>
      <c r="H2622" s="25">
        <f>IF($A2622="","",IF(OR($B2622="",$C2622="",$D2622=""),"Preencher tudo",IF($F2622="Código não cadastrado","Código inválido","OK")))</f>
        <v>0</v>
      </c>
    </row>
    <row r="2623" spans="1:8">
      <c r="A2623" s="16"/>
      <c r="B2623" s="15"/>
      <c r="C2623" s="20"/>
      <c r="D2623" s="22"/>
      <c r="E2623" s="15"/>
      <c r="F2623" s="23">
        <f>IF($B2623="","",IFERROR(INDEX(ProdNome,MATCH($B2623,ProdCod,0)),"Código não cadastrado"))</f>
        <v>0</v>
      </c>
      <c r="G2623" s="24">
        <f>IF(OR($B2623="",$D2623=""),"",$D2623*IFERROR(INDEX(ProdCusto,MATCH($B2623,ProdCod,0)),0))</f>
        <v>0</v>
      </c>
      <c r="H2623" s="25">
        <f>IF($A2623="","",IF(OR($B2623="",$C2623="",$D2623=""),"Preencher tudo",IF($F2623="Código não cadastrado","Código inválido","OK")))</f>
        <v>0</v>
      </c>
    </row>
    <row r="2624" spans="1:8">
      <c r="A2624" s="16"/>
      <c r="B2624" s="15"/>
      <c r="C2624" s="20"/>
      <c r="D2624" s="22"/>
      <c r="E2624" s="15"/>
      <c r="F2624" s="23">
        <f>IF($B2624="","",IFERROR(INDEX(ProdNome,MATCH($B2624,ProdCod,0)),"Código não cadastrado"))</f>
        <v>0</v>
      </c>
      <c r="G2624" s="24">
        <f>IF(OR($B2624="",$D2624=""),"",$D2624*IFERROR(INDEX(ProdCusto,MATCH($B2624,ProdCod,0)),0))</f>
        <v>0</v>
      </c>
      <c r="H2624" s="25">
        <f>IF($A2624="","",IF(OR($B2624="",$C2624="",$D2624=""),"Preencher tudo",IF($F2624="Código não cadastrado","Código inválido","OK")))</f>
        <v>0</v>
      </c>
    </row>
    <row r="2625" spans="1:8">
      <c r="A2625" s="16"/>
      <c r="B2625" s="15"/>
      <c r="C2625" s="20"/>
      <c r="D2625" s="22"/>
      <c r="E2625" s="15"/>
      <c r="F2625" s="23">
        <f>IF($B2625="","",IFERROR(INDEX(ProdNome,MATCH($B2625,ProdCod,0)),"Código não cadastrado"))</f>
        <v>0</v>
      </c>
      <c r="G2625" s="24">
        <f>IF(OR($B2625="",$D2625=""),"",$D2625*IFERROR(INDEX(ProdCusto,MATCH($B2625,ProdCod,0)),0))</f>
        <v>0</v>
      </c>
      <c r="H2625" s="25">
        <f>IF($A2625="","",IF(OR($B2625="",$C2625="",$D2625=""),"Preencher tudo",IF($F2625="Código não cadastrado","Código inválido","OK")))</f>
        <v>0</v>
      </c>
    </row>
    <row r="2626" spans="1:8">
      <c r="A2626" s="16"/>
      <c r="B2626" s="15"/>
      <c r="C2626" s="20"/>
      <c r="D2626" s="22"/>
      <c r="E2626" s="15"/>
      <c r="F2626" s="23">
        <f>IF($B2626="","",IFERROR(INDEX(ProdNome,MATCH($B2626,ProdCod,0)),"Código não cadastrado"))</f>
        <v>0</v>
      </c>
      <c r="G2626" s="24">
        <f>IF(OR($B2626="",$D2626=""),"",$D2626*IFERROR(INDEX(ProdCusto,MATCH($B2626,ProdCod,0)),0))</f>
        <v>0</v>
      </c>
      <c r="H2626" s="25">
        <f>IF($A2626="","",IF(OR($B2626="",$C2626="",$D2626=""),"Preencher tudo",IF($F2626="Código não cadastrado","Código inválido","OK")))</f>
        <v>0</v>
      </c>
    </row>
    <row r="2627" spans="1:8">
      <c r="A2627" s="16"/>
      <c r="B2627" s="15"/>
      <c r="C2627" s="20"/>
      <c r="D2627" s="22"/>
      <c r="E2627" s="15"/>
      <c r="F2627" s="23">
        <f>IF($B2627="","",IFERROR(INDEX(ProdNome,MATCH($B2627,ProdCod,0)),"Código não cadastrado"))</f>
        <v>0</v>
      </c>
      <c r="G2627" s="24">
        <f>IF(OR($B2627="",$D2627=""),"",$D2627*IFERROR(INDEX(ProdCusto,MATCH($B2627,ProdCod,0)),0))</f>
        <v>0</v>
      </c>
      <c r="H2627" s="25">
        <f>IF($A2627="","",IF(OR($B2627="",$C2627="",$D2627=""),"Preencher tudo",IF($F2627="Código não cadastrado","Código inválido","OK")))</f>
        <v>0</v>
      </c>
    </row>
    <row r="2628" spans="1:8">
      <c r="A2628" s="16"/>
      <c r="B2628" s="15"/>
      <c r="C2628" s="20"/>
      <c r="D2628" s="22"/>
      <c r="E2628" s="15"/>
      <c r="F2628" s="23">
        <f>IF($B2628="","",IFERROR(INDEX(ProdNome,MATCH($B2628,ProdCod,0)),"Código não cadastrado"))</f>
        <v>0</v>
      </c>
      <c r="G2628" s="24">
        <f>IF(OR($B2628="",$D2628=""),"",$D2628*IFERROR(INDEX(ProdCusto,MATCH($B2628,ProdCod,0)),0))</f>
        <v>0</v>
      </c>
      <c r="H2628" s="25">
        <f>IF($A2628="","",IF(OR($B2628="",$C2628="",$D2628=""),"Preencher tudo",IF($F2628="Código não cadastrado","Código inválido","OK")))</f>
        <v>0</v>
      </c>
    </row>
    <row r="2629" spans="1:8">
      <c r="A2629" s="16"/>
      <c r="B2629" s="15"/>
      <c r="C2629" s="20"/>
      <c r="D2629" s="22"/>
      <c r="E2629" s="15"/>
      <c r="F2629" s="23">
        <f>IF($B2629="","",IFERROR(INDEX(ProdNome,MATCH($B2629,ProdCod,0)),"Código não cadastrado"))</f>
        <v>0</v>
      </c>
      <c r="G2629" s="24">
        <f>IF(OR($B2629="",$D2629=""),"",$D2629*IFERROR(INDEX(ProdCusto,MATCH($B2629,ProdCod,0)),0))</f>
        <v>0</v>
      </c>
      <c r="H2629" s="25">
        <f>IF($A2629="","",IF(OR($B2629="",$C2629="",$D2629=""),"Preencher tudo",IF($F2629="Código não cadastrado","Código inválido","OK")))</f>
        <v>0</v>
      </c>
    </row>
    <row r="2630" spans="1:8">
      <c r="A2630" s="16"/>
      <c r="B2630" s="15"/>
      <c r="C2630" s="20"/>
      <c r="D2630" s="22"/>
      <c r="E2630" s="15"/>
      <c r="F2630" s="23">
        <f>IF($B2630="","",IFERROR(INDEX(ProdNome,MATCH($B2630,ProdCod,0)),"Código não cadastrado"))</f>
        <v>0</v>
      </c>
      <c r="G2630" s="24">
        <f>IF(OR($B2630="",$D2630=""),"",$D2630*IFERROR(INDEX(ProdCusto,MATCH($B2630,ProdCod,0)),0))</f>
        <v>0</v>
      </c>
      <c r="H2630" s="25">
        <f>IF($A2630="","",IF(OR($B2630="",$C2630="",$D2630=""),"Preencher tudo",IF($F2630="Código não cadastrado","Código inválido","OK")))</f>
        <v>0</v>
      </c>
    </row>
    <row r="2631" spans="1:8">
      <c r="A2631" s="16"/>
      <c r="B2631" s="15"/>
      <c r="C2631" s="20"/>
      <c r="D2631" s="22"/>
      <c r="E2631" s="15"/>
      <c r="F2631" s="23">
        <f>IF($B2631="","",IFERROR(INDEX(ProdNome,MATCH($B2631,ProdCod,0)),"Código não cadastrado"))</f>
        <v>0</v>
      </c>
      <c r="G2631" s="24">
        <f>IF(OR($B2631="",$D2631=""),"",$D2631*IFERROR(INDEX(ProdCusto,MATCH($B2631,ProdCod,0)),0))</f>
        <v>0</v>
      </c>
      <c r="H2631" s="25">
        <f>IF($A2631="","",IF(OR($B2631="",$C2631="",$D2631=""),"Preencher tudo",IF($F2631="Código não cadastrado","Código inválido","OK")))</f>
        <v>0</v>
      </c>
    </row>
    <row r="2632" spans="1:8">
      <c r="A2632" s="16"/>
      <c r="B2632" s="15"/>
      <c r="C2632" s="20"/>
      <c r="D2632" s="22"/>
      <c r="E2632" s="15"/>
      <c r="F2632" s="23">
        <f>IF($B2632="","",IFERROR(INDEX(ProdNome,MATCH($B2632,ProdCod,0)),"Código não cadastrado"))</f>
        <v>0</v>
      </c>
      <c r="G2632" s="24">
        <f>IF(OR($B2632="",$D2632=""),"",$D2632*IFERROR(INDEX(ProdCusto,MATCH($B2632,ProdCod,0)),0))</f>
        <v>0</v>
      </c>
      <c r="H2632" s="25">
        <f>IF($A2632="","",IF(OR($B2632="",$C2632="",$D2632=""),"Preencher tudo",IF($F2632="Código não cadastrado","Código inválido","OK")))</f>
        <v>0</v>
      </c>
    </row>
    <row r="2633" spans="1:8">
      <c r="A2633" s="16"/>
      <c r="B2633" s="15"/>
      <c r="C2633" s="20"/>
      <c r="D2633" s="22"/>
      <c r="E2633" s="15"/>
      <c r="F2633" s="23">
        <f>IF($B2633="","",IFERROR(INDEX(ProdNome,MATCH($B2633,ProdCod,0)),"Código não cadastrado"))</f>
        <v>0</v>
      </c>
      <c r="G2633" s="24">
        <f>IF(OR($B2633="",$D2633=""),"",$D2633*IFERROR(INDEX(ProdCusto,MATCH($B2633,ProdCod,0)),0))</f>
        <v>0</v>
      </c>
      <c r="H2633" s="25">
        <f>IF($A2633="","",IF(OR($B2633="",$C2633="",$D2633=""),"Preencher tudo",IF($F2633="Código não cadastrado","Código inválido","OK")))</f>
        <v>0</v>
      </c>
    </row>
    <row r="2634" spans="1:8">
      <c r="A2634" s="16"/>
      <c r="B2634" s="15"/>
      <c r="C2634" s="20"/>
      <c r="D2634" s="22"/>
      <c r="E2634" s="15"/>
      <c r="F2634" s="23">
        <f>IF($B2634="","",IFERROR(INDEX(ProdNome,MATCH($B2634,ProdCod,0)),"Código não cadastrado"))</f>
        <v>0</v>
      </c>
      <c r="G2634" s="24">
        <f>IF(OR($B2634="",$D2634=""),"",$D2634*IFERROR(INDEX(ProdCusto,MATCH($B2634,ProdCod,0)),0))</f>
        <v>0</v>
      </c>
      <c r="H2634" s="25">
        <f>IF($A2634="","",IF(OR($B2634="",$C2634="",$D2634=""),"Preencher tudo",IF($F2634="Código não cadastrado","Código inválido","OK")))</f>
        <v>0</v>
      </c>
    </row>
    <row r="2635" spans="1:8">
      <c r="A2635" s="16"/>
      <c r="B2635" s="15"/>
      <c r="C2635" s="20"/>
      <c r="D2635" s="22"/>
      <c r="E2635" s="15"/>
      <c r="F2635" s="23">
        <f>IF($B2635="","",IFERROR(INDEX(ProdNome,MATCH($B2635,ProdCod,0)),"Código não cadastrado"))</f>
        <v>0</v>
      </c>
      <c r="G2635" s="24">
        <f>IF(OR($B2635="",$D2635=""),"",$D2635*IFERROR(INDEX(ProdCusto,MATCH($B2635,ProdCod,0)),0))</f>
        <v>0</v>
      </c>
      <c r="H2635" s="25">
        <f>IF($A2635="","",IF(OR($B2635="",$C2635="",$D2635=""),"Preencher tudo",IF($F2635="Código não cadastrado","Código inválido","OK")))</f>
        <v>0</v>
      </c>
    </row>
    <row r="2636" spans="1:8">
      <c r="A2636" s="16"/>
      <c r="B2636" s="15"/>
      <c r="C2636" s="20"/>
      <c r="D2636" s="22"/>
      <c r="E2636" s="15"/>
      <c r="F2636" s="23">
        <f>IF($B2636="","",IFERROR(INDEX(ProdNome,MATCH($B2636,ProdCod,0)),"Código não cadastrado"))</f>
        <v>0</v>
      </c>
      <c r="G2636" s="24">
        <f>IF(OR($B2636="",$D2636=""),"",$D2636*IFERROR(INDEX(ProdCusto,MATCH($B2636,ProdCod,0)),0))</f>
        <v>0</v>
      </c>
      <c r="H2636" s="25">
        <f>IF($A2636="","",IF(OR($B2636="",$C2636="",$D2636=""),"Preencher tudo",IF($F2636="Código não cadastrado","Código inválido","OK")))</f>
        <v>0</v>
      </c>
    </row>
    <row r="2637" spans="1:8">
      <c r="A2637" s="16"/>
      <c r="B2637" s="15"/>
      <c r="C2637" s="20"/>
      <c r="D2637" s="22"/>
      <c r="E2637" s="15"/>
      <c r="F2637" s="23">
        <f>IF($B2637="","",IFERROR(INDEX(ProdNome,MATCH($B2637,ProdCod,0)),"Código não cadastrado"))</f>
        <v>0</v>
      </c>
      <c r="G2637" s="24">
        <f>IF(OR($B2637="",$D2637=""),"",$D2637*IFERROR(INDEX(ProdCusto,MATCH($B2637,ProdCod,0)),0))</f>
        <v>0</v>
      </c>
      <c r="H2637" s="25">
        <f>IF($A2637="","",IF(OR($B2637="",$C2637="",$D2637=""),"Preencher tudo",IF($F2637="Código não cadastrado","Código inválido","OK")))</f>
        <v>0</v>
      </c>
    </row>
    <row r="2638" spans="1:8">
      <c r="A2638" s="16"/>
      <c r="B2638" s="15"/>
      <c r="C2638" s="20"/>
      <c r="D2638" s="22"/>
      <c r="E2638" s="15"/>
      <c r="F2638" s="23">
        <f>IF($B2638="","",IFERROR(INDEX(ProdNome,MATCH($B2638,ProdCod,0)),"Código não cadastrado"))</f>
        <v>0</v>
      </c>
      <c r="G2638" s="24">
        <f>IF(OR($B2638="",$D2638=""),"",$D2638*IFERROR(INDEX(ProdCusto,MATCH($B2638,ProdCod,0)),0))</f>
        <v>0</v>
      </c>
      <c r="H2638" s="25">
        <f>IF($A2638="","",IF(OR($B2638="",$C2638="",$D2638=""),"Preencher tudo",IF($F2638="Código não cadastrado","Código inválido","OK")))</f>
        <v>0</v>
      </c>
    </row>
    <row r="2639" spans="1:8">
      <c r="A2639" s="16"/>
      <c r="B2639" s="15"/>
      <c r="C2639" s="20"/>
      <c r="D2639" s="22"/>
      <c r="E2639" s="15"/>
      <c r="F2639" s="23">
        <f>IF($B2639="","",IFERROR(INDEX(ProdNome,MATCH($B2639,ProdCod,0)),"Código não cadastrado"))</f>
        <v>0</v>
      </c>
      <c r="G2639" s="24">
        <f>IF(OR($B2639="",$D2639=""),"",$D2639*IFERROR(INDEX(ProdCusto,MATCH($B2639,ProdCod,0)),0))</f>
        <v>0</v>
      </c>
      <c r="H2639" s="25">
        <f>IF($A2639="","",IF(OR($B2639="",$C2639="",$D2639=""),"Preencher tudo",IF($F2639="Código não cadastrado","Código inválido","OK")))</f>
        <v>0</v>
      </c>
    </row>
    <row r="2640" spans="1:8">
      <c r="A2640" s="16"/>
      <c r="B2640" s="15"/>
      <c r="C2640" s="20"/>
      <c r="D2640" s="22"/>
      <c r="E2640" s="15"/>
      <c r="F2640" s="23">
        <f>IF($B2640="","",IFERROR(INDEX(ProdNome,MATCH($B2640,ProdCod,0)),"Código não cadastrado"))</f>
        <v>0</v>
      </c>
      <c r="G2640" s="24">
        <f>IF(OR($B2640="",$D2640=""),"",$D2640*IFERROR(INDEX(ProdCusto,MATCH($B2640,ProdCod,0)),0))</f>
        <v>0</v>
      </c>
      <c r="H2640" s="25">
        <f>IF($A2640="","",IF(OR($B2640="",$C2640="",$D2640=""),"Preencher tudo",IF($F2640="Código não cadastrado","Código inválido","OK")))</f>
        <v>0</v>
      </c>
    </row>
    <row r="2641" spans="1:8">
      <c r="A2641" s="16"/>
      <c r="B2641" s="15"/>
      <c r="C2641" s="20"/>
      <c r="D2641" s="22"/>
      <c r="E2641" s="15"/>
      <c r="F2641" s="23">
        <f>IF($B2641="","",IFERROR(INDEX(ProdNome,MATCH($B2641,ProdCod,0)),"Código não cadastrado"))</f>
        <v>0</v>
      </c>
      <c r="G2641" s="24">
        <f>IF(OR($B2641="",$D2641=""),"",$D2641*IFERROR(INDEX(ProdCusto,MATCH($B2641,ProdCod,0)),0))</f>
        <v>0</v>
      </c>
      <c r="H2641" s="25">
        <f>IF($A2641="","",IF(OR($B2641="",$C2641="",$D2641=""),"Preencher tudo",IF($F2641="Código não cadastrado","Código inválido","OK")))</f>
        <v>0</v>
      </c>
    </row>
    <row r="2642" spans="1:8">
      <c r="A2642" s="16"/>
      <c r="B2642" s="15"/>
      <c r="C2642" s="20"/>
      <c r="D2642" s="22"/>
      <c r="E2642" s="15"/>
      <c r="F2642" s="23">
        <f>IF($B2642="","",IFERROR(INDEX(ProdNome,MATCH($B2642,ProdCod,0)),"Código não cadastrado"))</f>
        <v>0</v>
      </c>
      <c r="G2642" s="24">
        <f>IF(OR($B2642="",$D2642=""),"",$D2642*IFERROR(INDEX(ProdCusto,MATCH($B2642,ProdCod,0)),0))</f>
        <v>0</v>
      </c>
      <c r="H2642" s="25">
        <f>IF($A2642="","",IF(OR($B2642="",$C2642="",$D2642=""),"Preencher tudo",IF($F2642="Código não cadastrado","Código inválido","OK")))</f>
        <v>0</v>
      </c>
    </row>
    <row r="2643" spans="1:8">
      <c r="A2643" s="16"/>
      <c r="B2643" s="15"/>
      <c r="C2643" s="20"/>
      <c r="D2643" s="22"/>
      <c r="E2643" s="15"/>
      <c r="F2643" s="23">
        <f>IF($B2643="","",IFERROR(INDEX(ProdNome,MATCH($B2643,ProdCod,0)),"Código não cadastrado"))</f>
        <v>0</v>
      </c>
      <c r="G2643" s="24">
        <f>IF(OR($B2643="",$D2643=""),"",$D2643*IFERROR(INDEX(ProdCusto,MATCH($B2643,ProdCod,0)),0))</f>
        <v>0</v>
      </c>
      <c r="H2643" s="25">
        <f>IF($A2643="","",IF(OR($B2643="",$C2643="",$D2643=""),"Preencher tudo",IF($F2643="Código não cadastrado","Código inválido","OK")))</f>
        <v>0</v>
      </c>
    </row>
    <row r="2644" spans="1:8">
      <c r="A2644" s="16"/>
      <c r="B2644" s="15"/>
      <c r="C2644" s="20"/>
      <c r="D2644" s="22"/>
      <c r="E2644" s="15"/>
      <c r="F2644" s="23">
        <f>IF($B2644="","",IFERROR(INDEX(ProdNome,MATCH($B2644,ProdCod,0)),"Código não cadastrado"))</f>
        <v>0</v>
      </c>
      <c r="G2644" s="24">
        <f>IF(OR($B2644="",$D2644=""),"",$D2644*IFERROR(INDEX(ProdCusto,MATCH($B2644,ProdCod,0)),0))</f>
        <v>0</v>
      </c>
      <c r="H2644" s="25">
        <f>IF($A2644="","",IF(OR($B2644="",$C2644="",$D2644=""),"Preencher tudo",IF($F2644="Código não cadastrado","Código inválido","OK")))</f>
        <v>0</v>
      </c>
    </row>
    <row r="2645" spans="1:8">
      <c r="A2645" s="16"/>
      <c r="B2645" s="15"/>
      <c r="C2645" s="20"/>
      <c r="D2645" s="22"/>
      <c r="E2645" s="15"/>
      <c r="F2645" s="23">
        <f>IF($B2645="","",IFERROR(INDEX(ProdNome,MATCH($B2645,ProdCod,0)),"Código não cadastrado"))</f>
        <v>0</v>
      </c>
      <c r="G2645" s="24">
        <f>IF(OR($B2645="",$D2645=""),"",$D2645*IFERROR(INDEX(ProdCusto,MATCH($B2645,ProdCod,0)),0))</f>
        <v>0</v>
      </c>
      <c r="H2645" s="25">
        <f>IF($A2645="","",IF(OR($B2645="",$C2645="",$D2645=""),"Preencher tudo",IF($F2645="Código não cadastrado","Código inválido","OK")))</f>
        <v>0</v>
      </c>
    </row>
    <row r="2646" spans="1:8">
      <c r="A2646" s="16"/>
      <c r="B2646" s="15"/>
      <c r="C2646" s="20"/>
      <c r="D2646" s="22"/>
      <c r="E2646" s="15"/>
      <c r="F2646" s="23">
        <f>IF($B2646="","",IFERROR(INDEX(ProdNome,MATCH($B2646,ProdCod,0)),"Código não cadastrado"))</f>
        <v>0</v>
      </c>
      <c r="G2646" s="24">
        <f>IF(OR($B2646="",$D2646=""),"",$D2646*IFERROR(INDEX(ProdCusto,MATCH($B2646,ProdCod,0)),0))</f>
        <v>0</v>
      </c>
      <c r="H2646" s="25">
        <f>IF($A2646="","",IF(OR($B2646="",$C2646="",$D2646=""),"Preencher tudo",IF($F2646="Código não cadastrado","Código inválido","OK")))</f>
        <v>0</v>
      </c>
    </row>
    <row r="2647" spans="1:8">
      <c r="A2647" s="16"/>
      <c r="B2647" s="15"/>
      <c r="C2647" s="20"/>
      <c r="D2647" s="22"/>
      <c r="E2647" s="15"/>
      <c r="F2647" s="23">
        <f>IF($B2647="","",IFERROR(INDEX(ProdNome,MATCH($B2647,ProdCod,0)),"Código não cadastrado"))</f>
        <v>0</v>
      </c>
      <c r="G2647" s="24">
        <f>IF(OR($B2647="",$D2647=""),"",$D2647*IFERROR(INDEX(ProdCusto,MATCH($B2647,ProdCod,0)),0))</f>
        <v>0</v>
      </c>
      <c r="H2647" s="25">
        <f>IF($A2647="","",IF(OR($B2647="",$C2647="",$D2647=""),"Preencher tudo",IF($F2647="Código não cadastrado","Código inválido","OK")))</f>
        <v>0</v>
      </c>
    </row>
    <row r="2648" spans="1:8">
      <c r="A2648" s="16"/>
      <c r="B2648" s="15"/>
      <c r="C2648" s="20"/>
      <c r="D2648" s="22"/>
      <c r="E2648" s="15"/>
      <c r="F2648" s="23">
        <f>IF($B2648="","",IFERROR(INDEX(ProdNome,MATCH($B2648,ProdCod,0)),"Código não cadastrado"))</f>
        <v>0</v>
      </c>
      <c r="G2648" s="24">
        <f>IF(OR($B2648="",$D2648=""),"",$D2648*IFERROR(INDEX(ProdCusto,MATCH($B2648,ProdCod,0)),0))</f>
        <v>0</v>
      </c>
      <c r="H2648" s="25">
        <f>IF($A2648="","",IF(OR($B2648="",$C2648="",$D2648=""),"Preencher tudo",IF($F2648="Código não cadastrado","Código inválido","OK")))</f>
        <v>0</v>
      </c>
    </row>
    <row r="2649" spans="1:8">
      <c r="A2649" s="16"/>
      <c r="B2649" s="15"/>
      <c r="C2649" s="20"/>
      <c r="D2649" s="22"/>
      <c r="E2649" s="15"/>
      <c r="F2649" s="23">
        <f>IF($B2649="","",IFERROR(INDEX(ProdNome,MATCH($B2649,ProdCod,0)),"Código não cadastrado"))</f>
        <v>0</v>
      </c>
      <c r="G2649" s="24">
        <f>IF(OR($B2649="",$D2649=""),"",$D2649*IFERROR(INDEX(ProdCusto,MATCH($B2649,ProdCod,0)),0))</f>
        <v>0</v>
      </c>
      <c r="H2649" s="25">
        <f>IF($A2649="","",IF(OR($B2649="",$C2649="",$D2649=""),"Preencher tudo",IF($F2649="Código não cadastrado","Código inválido","OK")))</f>
        <v>0</v>
      </c>
    </row>
    <row r="2650" spans="1:8">
      <c r="A2650" s="16"/>
      <c r="B2650" s="15"/>
      <c r="C2650" s="20"/>
      <c r="D2650" s="22"/>
      <c r="E2650" s="15"/>
      <c r="F2650" s="23">
        <f>IF($B2650="","",IFERROR(INDEX(ProdNome,MATCH($B2650,ProdCod,0)),"Código não cadastrado"))</f>
        <v>0</v>
      </c>
      <c r="G2650" s="24">
        <f>IF(OR($B2650="",$D2650=""),"",$D2650*IFERROR(INDEX(ProdCusto,MATCH($B2650,ProdCod,0)),0))</f>
        <v>0</v>
      </c>
      <c r="H2650" s="25">
        <f>IF($A2650="","",IF(OR($B2650="",$C2650="",$D2650=""),"Preencher tudo",IF($F2650="Código não cadastrado","Código inválido","OK")))</f>
        <v>0</v>
      </c>
    </row>
    <row r="2651" spans="1:8">
      <c r="A2651" s="16"/>
      <c r="B2651" s="15"/>
      <c r="C2651" s="20"/>
      <c r="D2651" s="22"/>
      <c r="E2651" s="15"/>
      <c r="F2651" s="23">
        <f>IF($B2651="","",IFERROR(INDEX(ProdNome,MATCH($B2651,ProdCod,0)),"Código não cadastrado"))</f>
        <v>0</v>
      </c>
      <c r="G2651" s="24">
        <f>IF(OR($B2651="",$D2651=""),"",$D2651*IFERROR(INDEX(ProdCusto,MATCH($B2651,ProdCod,0)),0))</f>
        <v>0</v>
      </c>
      <c r="H2651" s="25">
        <f>IF($A2651="","",IF(OR($B2651="",$C2651="",$D2651=""),"Preencher tudo",IF($F2651="Código não cadastrado","Código inválido","OK")))</f>
        <v>0</v>
      </c>
    </row>
    <row r="2652" spans="1:8">
      <c r="A2652" s="16"/>
      <c r="B2652" s="15"/>
      <c r="C2652" s="20"/>
      <c r="D2652" s="22"/>
      <c r="E2652" s="15"/>
      <c r="F2652" s="23">
        <f>IF($B2652="","",IFERROR(INDEX(ProdNome,MATCH($B2652,ProdCod,0)),"Código não cadastrado"))</f>
        <v>0</v>
      </c>
      <c r="G2652" s="24">
        <f>IF(OR($B2652="",$D2652=""),"",$D2652*IFERROR(INDEX(ProdCusto,MATCH($B2652,ProdCod,0)),0))</f>
        <v>0</v>
      </c>
      <c r="H2652" s="25">
        <f>IF($A2652="","",IF(OR($B2652="",$C2652="",$D2652=""),"Preencher tudo",IF($F2652="Código não cadastrado","Código inválido","OK")))</f>
        <v>0</v>
      </c>
    </row>
    <row r="2653" spans="1:8">
      <c r="A2653" s="16"/>
      <c r="B2653" s="15"/>
      <c r="C2653" s="20"/>
      <c r="D2653" s="22"/>
      <c r="E2653" s="15"/>
      <c r="F2653" s="23">
        <f>IF($B2653="","",IFERROR(INDEX(ProdNome,MATCH($B2653,ProdCod,0)),"Código não cadastrado"))</f>
        <v>0</v>
      </c>
      <c r="G2653" s="24">
        <f>IF(OR($B2653="",$D2653=""),"",$D2653*IFERROR(INDEX(ProdCusto,MATCH($B2653,ProdCod,0)),0))</f>
        <v>0</v>
      </c>
      <c r="H2653" s="25">
        <f>IF($A2653="","",IF(OR($B2653="",$C2653="",$D2653=""),"Preencher tudo",IF($F2653="Código não cadastrado","Código inválido","OK")))</f>
        <v>0</v>
      </c>
    </row>
    <row r="2654" spans="1:8">
      <c r="A2654" s="16"/>
      <c r="B2654" s="15"/>
      <c r="C2654" s="20"/>
      <c r="D2654" s="22"/>
      <c r="E2654" s="15"/>
      <c r="F2654" s="23">
        <f>IF($B2654="","",IFERROR(INDEX(ProdNome,MATCH($B2654,ProdCod,0)),"Código não cadastrado"))</f>
        <v>0</v>
      </c>
      <c r="G2654" s="24">
        <f>IF(OR($B2654="",$D2654=""),"",$D2654*IFERROR(INDEX(ProdCusto,MATCH($B2654,ProdCod,0)),0))</f>
        <v>0</v>
      </c>
      <c r="H2654" s="25">
        <f>IF($A2654="","",IF(OR($B2654="",$C2654="",$D2654=""),"Preencher tudo",IF($F2654="Código não cadastrado","Código inválido","OK")))</f>
        <v>0</v>
      </c>
    </row>
    <row r="2655" spans="1:8">
      <c r="A2655" s="16"/>
      <c r="B2655" s="15"/>
      <c r="C2655" s="20"/>
      <c r="D2655" s="22"/>
      <c r="E2655" s="15"/>
      <c r="F2655" s="23">
        <f>IF($B2655="","",IFERROR(INDEX(ProdNome,MATCH($B2655,ProdCod,0)),"Código não cadastrado"))</f>
        <v>0</v>
      </c>
      <c r="G2655" s="24">
        <f>IF(OR($B2655="",$D2655=""),"",$D2655*IFERROR(INDEX(ProdCusto,MATCH($B2655,ProdCod,0)),0))</f>
        <v>0</v>
      </c>
      <c r="H2655" s="25">
        <f>IF($A2655="","",IF(OR($B2655="",$C2655="",$D2655=""),"Preencher tudo",IF($F2655="Código não cadastrado","Código inválido","OK")))</f>
        <v>0</v>
      </c>
    </row>
    <row r="2656" spans="1:8">
      <c r="A2656" s="16"/>
      <c r="B2656" s="15"/>
      <c r="C2656" s="20"/>
      <c r="D2656" s="22"/>
      <c r="E2656" s="15"/>
      <c r="F2656" s="23">
        <f>IF($B2656="","",IFERROR(INDEX(ProdNome,MATCH($B2656,ProdCod,0)),"Código não cadastrado"))</f>
        <v>0</v>
      </c>
      <c r="G2656" s="24">
        <f>IF(OR($B2656="",$D2656=""),"",$D2656*IFERROR(INDEX(ProdCusto,MATCH($B2656,ProdCod,0)),0))</f>
        <v>0</v>
      </c>
      <c r="H2656" s="25">
        <f>IF($A2656="","",IF(OR($B2656="",$C2656="",$D2656=""),"Preencher tudo",IF($F2656="Código não cadastrado","Código inválido","OK")))</f>
        <v>0</v>
      </c>
    </row>
    <row r="2657" spans="1:8">
      <c r="A2657" s="16"/>
      <c r="B2657" s="15"/>
      <c r="C2657" s="20"/>
      <c r="D2657" s="22"/>
      <c r="E2657" s="15"/>
      <c r="F2657" s="23">
        <f>IF($B2657="","",IFERROR(INDEX(ProdNome,MATCH($B2657,ProdCod,0)),"Código não cadastrado"))</f>
        <v>0</v>
      </c>
      <c r="G2657" s="24">
        <f>IF(OR($B2657="",$D2657=""),"",$D2657*IFERROR(INDEX(ProdCusto,MATCH($B2657,ProdCod,0)),0))</f>
        <v>0</v>
      </c>
      <c r="H2657" s="25">
        <f>IF($A2657="","",IF(OR($B2657="",$C2657="",$D2657=""),"Preencher tudo",IF($F2657="Código não cadastrado","Código inválido","OK")))</f>
        <v>0</v>
      </c>
    </row>
    <row r="2658" spans="1:8">
      <c r="A2658" s="16"/>
      <c r="B2658" s="15"/>
      <c r="C2658" s="20"/>
      <c r="D2658" s="22"/>
      <c r="E2658" s="15"/>
      <c r="F2658" s="23">
        <f>IF($B2658="","",IFERROR(INDEX(ProdNome,MATCH($B2658,ProdCod,0)),"Código não cadastrado"))</f>
        <v>0</v>
      </c>
      <c r="G2658" s="24">
        <f>IF(OR($B2658="",$D2658=""),"",$D2658*IFERROR(INDEX(ProdCusto,MATCH($B2658,ProdCod,0)),0))</f>
        <v>0</v>
      </c>
      <c r="H2658" s="25">
        <f>IF($A2658="","",IF(OR($B2658="",$C2658="",$D2658=""),"Preencher tudo",IF($F2658="Código não cadastrado","Código inválido","OK")))</f>
        <v>0</v>
      </c>
    </row>
    <row r="2659" spans="1:8">
      <c r="A2659" s="16"/>
      <c r="B2659" s="15"/>
      <c r="C2659" s="20"/>
      <c r="D2659" s="22"/>
      <c r="E2659" s="15"/>
      <c r="F2659" s="23">
        <f>IF($B2659="","",IFERROR(INDEX(ProdNome,MATCH($B2659,ProdCod,0)),"Código não cadastrado"))</f>
        <v>0</v>
      </c>
      <c r="G2659" s="24">
        <f>IF(OR($B2659="",$D2659=""),"",$D2659*IFERROR(INDEX(ProdCusto,MATCH($B2659,ProdCod,0)),0))</f>
        <v>0</v>
      </c>
      <c r="H2659" s="25">
        <f>IF($A2659="","",IF(OR($B2659="",$C2659="",$D2659=""),"Preencher tudo",IF($F2659="Código não cadastrado","Código inválido","OK")))</f>
        <v>0</v>
      </c>
    </row>
    <row r="2660" spans="1:8">
      <c r="A2660" s="16"/>
      <c r="B2660" s="15"/>
      <c r="C2660" s="20"/>
      <c r="D2660" s="22"/>
      <c r="E2660" s="15"/>
      <c r="F2660" s="23">
        <f>IF($B2660="","",IFERROR(INDEX(ProdNome,MATCH($B2660,ProdCod,0)),"Código não cadastrado"))</f>
        <v>0</v>
      </c>
      <c r="G2660" s="24">
        <f>IF(OR($B2660="",$D2660=""),"",$D2660*IFERROR(INDEX(ProdCusto,MATCH($B2660,ProdCod,0)),0))</f>
        <v>0</v>
      </c>
      <c r="H2660" s="25">
        <f>IF($A2660="","",IF(OR($B2660="",$C2660="",$D2660=""),"Preencher tudo",IF($F2660="Código não cadastrado","Código inválido","OK")))</f>
        <v>0</v>
      </c>
    </row>
    <row r="2661" spans="1:8">
      <c r="A2661" s="16"/>
      <c r="B2661" s="15"/>
      <c r="C2661" s="20"/>
      <c r="D2661" s="22"/>
      <c r="E2661" s="15"/>
      <c r="F2661" s="23">
        <f>IF($B2661="","",IFERROR(INDEX(ProdNome,MATCH($B2661,ProdCod,0)),"Código não cadastrado"))</f>
        <v>0</v>
      </c>
      <c r="G2661" s="24">
        <f>IF(OR($B2661="",$D2661=""),"",$D2661*IFERROR(INDEX(ProdCusto,MATCH($B2661,ProdCod,0)),0))</f>
        <v>0</v>
      </c>
      <c r="H2661" s="25">
        <f>IF($A2661="","",IF(OR($B2661="",$C2661="",$D2661=""),"Preencher tudo",IF($F2661="Código não cadastrado","Código inválido","OK")))</f>
        <v>0</v>
      </c>
    </row>
    <row r="2662" spans="1:8">
      <c r="A2662" s="16"/>
      <c r="B2662" s="15"/>
      <c r="C2662" s="20"/>
      <c r="D2662" s="22"/>
      <c r="E2662" s="15"/>
      <c r="F2662" s="23">
        <f>IF($B2662="","",IFERROR(INDEX(ProdNome,MATCH($B2662,ProdCod,0)),"Código não cadastrado"))</f>
        <v>0</v>
      </c>
      <c r="G2662" s="24">
        <f>IF(OR($B2662="",$D2662=""),"",$D2662*IFERROR(INDEX(ProdCusto,MATCH($B2662,ProdCod,0)),0))</f>
        <v>0</v>
      </c>
      <c r="H2662" s="25">
        <f>IF($A2662="","",IF(OR($B2662="",$C2662="",$D2662=""),"Preencher tudo",IF($F2662="Código não cadastrado","Código inválido","OK")))</f>
        <v>0</v>
      </c>
    </row>
    <row r="2663" spans="1:8">
      <c r="A2663" s="16"/>
      <c r="B2663" s="15"/>
      <c r="C2663" s="20"/>
      <c r="D2663" s="22"/>
      <c r="E2663" s="15"/>
      <c r="F2663" s="23">
        <f>IF($B2663="","",IFERROR(INDEX(ProdNome,MATCH($B2663,ProdCod,0)),"Código não cadastrado"))</f>
        <v>0</v>
      </c>
      <c r="G2663" s="24">
        <f>IF(OR($B2663="",$D2663=""),"",$D2663*IFERROR(INDEX(ProdCusto,MATCH($B2663,ProdCod,0)),0))</f>
        <v>0</v>
      </c>
      <c r="H2663" s="25">
        <f>IF($A2663="","",IF(OR($B2663="",$C2663="",$D2663=""),"Preencher tudo",IF($F2663="Código não cadastrado","Código inválido","OK")))</f>
        <v>0</v>
      </c>
    </row>
    <row r="2664" spans="1:8">
      <c r="A2664" s="16"/>
      <c r="B2664" s="15"/>
      <c r="C2664" s="20"/>
      <c r="D2664" s="22"/>
      <c r="E2664" s="15"/>
      <c r="F2664" s="23">
        <f>IF($B2664="","",IFERROR(INDEX(ProdNome,MATCH($B2664,ProdCod,0)),"Código não cadastrado"))</f>
        <v>0</v>
      </c>
      <c r="G2664" s="24">
        <f>IF(OR($B2664="",$D2664=""),"",$D2664*IFERROR(INDEX(ProdCusto,MATCH($B2664,ProdCod,0)),0))</f>
        <v>0</v>
      </c>
      <c r="H2664" s="25">
        <f>IF($A2664="","",IF(OR($B2664="",$C2664="",$D2664=""),"Preencher tudo",IF($F2664="Código não cadastrado","Código inválido","OK")))</f>
        <v>0</v>
      </c>
    </row>
    <row r="2665" spans="1:8">
      <c r="A2665" s="16"/>
      <c r="B2665" s="15"/>
      <c r="C2665" s="20"/>
      <c r="D2665" s="22"/>
      <c r="E2665" s="15"/>
      <c r="F2665" s="23">
        <f>IF($B2665="","",IFERROR(INDEX(ProdNome,MATCH($B2665,ProdCod,0)),"Código não cadastrado"))</f>
        <v>0</v>
      </c>
      <c r="G2665" s="24">
        <f>IF(OR($B2665="",$D2665=""),"",$D2665*IFERROR(INDEX(ProdCusto,MATCH($B2665,ProdCod,0)),0))</f>
        <v>0</v>
      </c>
      <c r="H2665" s="25">
        <f>IF($A2665="","",IF(OR($B2665="",$C2665="",$D2665=""),"Preencher tudo",IF($F2665="Código não cadastrado","Código inválido","OK")))</f>
        <v>0</v>
      </c>
    </row>
    <row r="2666" spans="1:8">
      <c r="A2666" s="16"/>
      <c r="B2666" s="15"/>
      <c r="C2666" s="20"/>
      <c r="D2666" s="22"/>
      <c r="E2666" s="15"/>
      <c r="F2666" s="23">
        <f>IF($B2666="","",IFERROR(INDEX(ProdNome,MATCH($B2666,ProdCod,0)),"Código não cadastrado"))</f>
        <v>0</v>
      </c>
      <c r="G2666" s="24">
        <f>IF(OR($B2666="",$D2666=""),"",$D2666*IFERROR(INDEX(ProdCusto,MATCH($B2666,ProdCod,0)),0))</f>
        <v>0</v>
      </c>
      <c r="H2666" s="25">
        <f>IF($A2666="","",IF(OR($B2666="",$C2666="",$D2666=""),"Preencher tudo",IF($F2666="Código não cadastrado","Código inválido","OK")))</f>
        <v>0</v>
      </c>
    </row>
    <row r="2667" spans="1:8">
      <c r="A2667" s="16"/>
      <c r="B2667" s="15"/>
      <c r="C2667" s="20"/>
      <c r="D2667" s="22"/>
      <c r="E2667" s="15"/>
      <c r="F2667" s="23">
        <f>IF($B2667="","",IFERROR(INDEX(ProdNome,MATCH($B2667,ProdCod,0)),"Código não cadastrado"))</f>
        <v>0</v>
      </c>
      <c r="G2667" s="24">
        <f>IF(OR($B2667="",$D2667=""),"",$D2667*IFERROR(INDEX(ProdCusto,MATCH($B2667,ProdCod,0)),0))</f>
        <v>0</v>
      </c>
      <c r="H2667" s="25">
        <f>IF($A2667="","",IF(OR($B2667="",$C2667="",$D2667=""),"Preencher tudo",IF($F2667="Código não cadastrado","Código inválido","OK")))</f>
        <v>0</v>
      </c>
    </row>
    <row r="2668" spans="1:8">
      <c r="A2668" s="16"/>
      <c r="B2668" s="15"/>
      <c r="C2668" s="20"/>
      <c r="D2668" s="22"/>
      <c r="E2668" s="15"/>
      <c r="F2668" s="23">
        <f>IF($B2668="","",IFERROR(INDEX(ProdNome,MATCH($B2668,ProdCod,0)),"Código não cadastrado"))</f>
        <v>0</v>
      </c>
      <c r="G2668" s="24">
        <f>IF(OR($B2668="",$D2668=""),"",$D2668*IFERROR(INDEX(ProdCusto,MATCH($B2668,ProdCod,0)),0))</f>
        <v>0</v>
      </c>
      <c r="H2668" s="25">
        <f>IF($A2668="","",IF(OR($B2668="",$C2668="",$D2668=""),"Preencher tudo",IF($F2668="Código não cadastrado","Código inválido","OK")))</f>
        <v>0</v>
      </c>
    </row>
    <row r="2669" spans="1:8">
      <c r="A2669" s="16"/>
      <c r="B2669" s="15"/>
      <c r="C2669" s="20"/>
      <c r="D2669" s="22"/>
      <c r="E2669" s="15"/>
      <c r="F2669" s="23">
        <f>IF($B2669="","",IFERROR(INDEX(ProdNome,MATCH($B2669,ProdCod,0)),"Código não cadastrado"))</f>
        <v>0</v>
      </c>
      <c r="G2669" s="24">
        <f>IF(OR($B2669="",$D2669=""),"",$D2669*IFERROR(INDEX(ProdCusto,MATCH($B2669,ProdCod,0)),0))</f>
        <v>0</v>
      </c>
      <c r="H2669" s="25">
        <f>IF($A2669="","",IF(OR($B2669="",$C2669="",$D2669=""),"Preencher tudo",IF($F2669="Código não cadastrado","Código inválido","OK")))</f>
        <v>0</v>
      </c>
    </row>
    <row r="2670" spans="1:8">
      <c r="A2670" s="16"/>
      <c r="B2670" s="15"/>
      <c r="C2670" s="20"/>
      <c r="D2670" s="22"/>
      <c r="E2670" s="15"/>
      <c r="F2670" s="23">
        <f>IF($B2670="","",IFERROR(INDEX(ProdNome,MATCH($B2670,ProdCod,0)),"Código não cadastrado"))</f>
        <v>0</v>
      </c>
      <c r="G2670" s="24">
        <f>IF(OR($B2670="",$D2670=""),"",$D2670*IFERROR(INDEX(ProdCusto,MATCH($B2670,ProdCod,0)),0))</f>
        <v>0</v>
      </c>
      <c r="H2670" s="25">
        <f>IF($A2670="","",IF(OR($B2670="",$C2670="",$D2670=""),"Preencher tudo",IF($F2670="Código não cadastrado","Código inválido","OK")))</f>
        <v>0</v>
      </c>
    </row>
    <row r="2671" spans="1:8">
      <c r="A2671" s="16"/>
      <c r="B2671" s="15"/>
      <c r="C2671" s="20"/>
      <c r="D2671" s="22"/>
      <c r="E2671" s="15"/>
      <c r="F2671" s="23">
        <f>IF($B2671="","",IFERROR(INDEX(ProdNome,MATCH($B2671,ProdCod,0)),"Código não cadastrado"))</f>
        <v>0</v>
      </c>
      <c r="G2671" s="24">
        <f>IF(OR($B2671="",$D2671=""),"",$D2671*IFERROR(INDEX(ProdCusto,MATCH($B2671,ProdCod,0)),0))</f>
        <v>0</v>
      </c>
      <c r="H2671" s="25">
        <f>IF($A2671="","",IF(OR($B2671="",$C2671="",$D2671=""),"Preencher tudo",IF($F2671="Código não cadastrado","Código inválido","OK")))</f>
        <v>0</v>
      </c>
    </row>
    <row r="2672" spans="1:8">
      <c r="A2672" s="16"/>
      <c r="B2672" s="15"/>
      <c r="C2672" s="20"/>
      <c r="D2672" s="22"/>
      <c r="E2672" s="15"/>
      <c r="F2672" s="23">
        <f>IF($B2672="","",IFERROR(INDEX(ProdNome,MATCH($B2672,ProdCod,0)),"Código não cadastrado"))</f>
        <v>0</v>
      </c>
      <c r="G2672" s="24">
        <f>IF(OR($B2672="",$D2672=""),"",$D2672*IFERROR(INDEX(ProdCusto,MATCH($B2672,ProdCod,0)),0))</f>
        <v>0</v>
      </c>
      <c r="H2672" s="25">
        <f>IF($A2672="","",IF(OR($B2672="",$C2672="",$D2672=""),"Preencher tudo",IF($F2672="Código não cadastrado","Código inválido","OK")))</f>
        <v>0</v>
      </c>
    </row>
    <row r="2673" spans="1:8">
      <c r="A2673" s="16"/>
      <c r="B2673" s="15"/>
      <c r="C2673" s="20"/>
      <c r="D2673" s="22"/>
      <c r="E2673" s="15"/>
      <c r="F2673" s="23">
        <f>IF($B2673="","",IFERROR(INDEX(ProdNome,MATCH($B2673,ProdCod,0)),"Código não cadastrado"))</f>
        <v>0</v>
      </c>
      <c r="G2673" s="24">
        <f>IF(OR($B2673="",$D2673=""),"",$D2673*IFERROR(INDEX(ProdCusto,MATCH($B2673,ProdCod,0)),0))</f>
        <v>0</v>
      </c>
      <c r="H2673" s="25">
        <f>IF($A2673="","",IF(OR($B2673="",$C2673="",$D2673=""),"Preencher tudo",IF($F2673="Código não cadastrado","Código inválido","OK")))</f>
        <v>0</v>
      </c>
    </row>
    <row r="2674" spans="1:8">
      <c r="A2674" s="16"/>
      <c r="B2674" s="15"/>
      <c r="C2674" s="20"/>
      <c r="D2674" s="22"/>
      <c r="E2674" s="15"/>
      <c r="F2674" s="23">
        <f>IF($B2674="","",IFERROR(INDEX(ProdNome,MATCH($B2674,ProdCod,0)),"Código não cadastrado"))</f>
        <v>0</v>
      </c>
      <c r="G2674" s="24">
        <f>IF(OR($B2674="",$D2674=""),"",$D2674*IFERROR(INDEX(ProdCusto,MATCH($B2674,ProdCod,0)),0))</f>
        <v>0</v>
      </c>
      <c r="H2674" s="25">
        <f>IF($A2674="","",IF(OR($B2674="",$C2674="",$D2674=""),"Preencher tudo",IF($F2674="Código não cadastrado","Código inválido","OK")))</f>
        <v>0</v>
      </c>
    </row>
    <row r="2675" spans="1:8">
      <c r="A2675" s="16"/>
      <c r="B2675" s="15"/>
      <c r="C2675" s="20"/>
      <c r="D2675" s="22"/>
      <c r="E2675" s="15"/>
      <c r="F2675" s="23">
        <f>IF($B2675="","",IFERROR(INDEX(ProdNome,MATCH($B2675,ProdCod,0)),"Código não cadastrado"))</f>
        <v>0</v>
      </c>
      <c r="G2675" s="24">
        <f>IF(OR($B2675="",$D2675=""),"",$D2675*IFERROR(INDEX(ProdCusto,MATCH($B2675,ProdCod,0)),0))</f>
        <v>0</v>
      </c>
      <c r="H2675" s="25">
        <f>IF($A2675="","",IF(OR($B2675="",$C2675="",$D2675=""),"Preencher tudo",IF($F2675="Código não cadastrado","Código inválido","OK")))</f>
        <v>0</v>
      </c>
    </row>
    <row r="2676" spans="1:8">
      <c r="A2676" s="16"/>
      <c r="B2676" s="15"/>
      <c r="C2676" s="20"/>
      <c r="D2676" s="22"/>
      <c r="E2676" s="15"/>
      <c r="F2676" s="23">
        <f>IF($B2676="","",IFERROR(INDEX(ProdNome,MATCH($B2676,ProdCod,0)),"Código não cadastrado"))</f>
        <v>0</v>
      </c>
      <c r="G2676" s="24">
        <f>IF(OR($B2676="",$D2676=""),"",$D2676*IFERROR(INDEX(ProdCusto,MATCH($B2676,ProdCod,0)),0))</f>
        <v>0</v>
      </c>
      <c r="H2676" s="25">
        <f>IF($A2676="","",IF(OR($B2676="",$C2676="",$D2676=""),"Preencher tudo",IF($F2676="Código não cadastrado","Código inválido","OK")))</f>
        <v>0</v>
      </c>
    </row>
    <row r="2677" spans="1:8">
      <c r="A2677" s="16"/>
      <c r="B2677" s="15"/>
      <c r="C2677" s="20"/>
      <c r="D2677" s="22"/>
      <c r="E2677" s="15"/>
      <c r="F2677" s="23">
        <f>IF($B2677="","",IFERROR(INDEX(ProdNome,MATCH($B2677,ProdCod,0)),"Código não cadastrado"))</f>
        <v>0</v>
      </c>
      <c r="G2677" s="24">
        <f>IF(OR($B2677="",$D2677=""),"",$D2677*IFERROR(INDEX(ProdCusto,MATCH($B2677,ProdCod,0)),0))</f>
        <v>0</v>
      </c>
      <c r="H2677" s="25">
        <f>IF($A2677="","",IF(OR($B2677="",$C2677="",$D2677=""),"Preencher tudo",IF($F2677="Código não cadastrado","Código inválido","OK")))</f>
        <v>0</v>
      </c>
    </row>
    <row r="2678" spans="1:8">
      <c r="A2678" s="16"/>
      <c r="B2678" s="15"/>
      <c r="C2678" s="20"/>
      <c r="D2678" s="22"/>
      <c r="E2678" s="15"/>
      <c r="F2678" s="23">
        <f>IF($B2678="","",IFERROR(INDEX(ProdNome,MATCH($B2678,ProdCod,0)),"Código não cadastrado"))</f>
        <v>0</v>
      </c>
      <c r="G2678" s="24">
        <f>IF(OR($B2678="",$D2678=""),"",$D2678*IFERROR(INDEX(ProdCusto,MATCH($B2678,ProdCod,0)),0))</f>
        <v>0</v>
      </c>
      <c r="H2678" s="25">
        <f>IF($A2678="","",IF(OR($B2678="",$C2678="",$D2678=""),"Preencher tudo",IF($F2678="Código não cadastrado","Código inválido","OK")))</f>
        <v>0</v>
      </c>
    </row>
    <row r="2679" spans="1:8">
      <c r="A2679" s="16"/>
      <c r="B2679" s="15"/>
      <c r="C2679" s="20"/>
      <c r="D2679" s="22"/>
      <c r="E2679" s="15"/>
      <c r="F2679" s="23">
        <f>IF($B2679="","",IFERROR(INDEX(ProdNome,MATCH($B2679,ProdCod,0)),"Código não cadastrado"))</f>
        <v>0</v>
      </c>
      <c r="G2679" s="24">
        <f>IF(OR($B2679="",$D2679=""),"",$D2679*IFERROR(INDEX(ProdCusto,MATCH($B2679,ProdCod,0)),0))</f>
        <v>0</v>
      </c>
      <c r="H2679" s="25">
        <f>IF($A2679="","",IF(OR($B2679="",$C2679="",$D2679=""),"Preencher tudo",IF($F2679="Código não cadastrado","Código inválido","OK")))</f>
        <v>0</v>
      </c>
    </row>
    <row r="2680" spans="1:8">
      <c r="A2680" s="16"/>
      <c r="B2680" s="15"/>
      <c r="C2680" s="20"/>
      <c r="D2680" s="22"/>
      <c r="E2680" s="15"/>
      <c r="F2680" s="23">
        <f>IF($B2680="","",IFERROR(INDEX(ProdNome,MATCH($B2680,ProdCod,0)),"Código não cadastrado"))</f>
        <v>0</v>
      </c>
      <c r="G2680" s="24">
        <f>IF(OR($B2680="",$D2680=""),"",$D2680*IFERROR(INDEX(ProdCusto,MATCH($B2680,ProdCod,0)),0))</f>
        <v>0</v>
      </c>
      <c r="H2680" s="25">
        <f>IF($A2680="","",IF(OR($B2680="",$C2680="",$D2680=""),"Preencher tudo",IF($F2680="Código não cadastrado","Código inválido","OK")))</f>
        <v>0</v>
      </c>
    </row>
    <row r="2681" spans="1:8">
      <c r="A2681" s="16"/>
      <c r="B2681" s="15"/>
      <c r="C2681" s="20"/>
      <c r="D2681" s="22"/>
      <c r="E2681" s="15"/>
      <c r="F2681" s="23">
        <f>IF($B2681="","",IFERROR(INDEX(ProdNome,MATCH($B2681,ProdCod,0)),"Código não cadastrado"))</f>
        <v>0</v>
      </c>
      <c r="G2681" s="24">
        <f>IF(OR($B2681="",$D2681=""),"",$D2681*IFERROR(INDEX(ProdCusto,MATCH($B2681,ProdCod,0)),0))</f>
        <v>0</v>
      </c>
      <c r="H2681" s="25">
        <f>IF($A2681="","",IF(OR($B2681="",$C2681="",$D2681=""),"Preencher tudo",IF($F2681="Código não cadastrado","Código inválido","OK")))</f>
        <v>0</v>
      </c>
    </row>
    <row r="2682" spans="1:8">
      <c r="A2682" s="16"/>
      <c r="B2682" s="15"/>
      <c r="C2682" s="20"/>
      <c r="D2682" s="22"/>
      <c r="E2682" s="15"/>
      <c r="F2682" s="23">
        <f>IF($B2682="","",IFERROR(INDEX(ProdNome,MATCH($B2682,ProdCod,0)),"Código não cadastrado"))</f>
        <v>0</v>
      </c>
      <c r="G2682" s="24">
        <f>IF(OR($B2682="",$D2682=""),"",$D2682*IFERROR(INDEX(ProdCusto,MATCH($B2682,ProdCod,0)),0))</f>
        <v>0</v>
      </c>
      <c r="H2682" s="25">
        <f>IF($A2682="","",IF(OR($B2682="",$C2682="",$D2682=""),"Preencher tudo",IF($F2682="Código não cadastrado","Código inválido","OK")))</f>
        <v>0</v>
      </c>
    </row>
    <row r="2683" spans="1:8">
      <c r="A2683" s="16"/>
      <c r="B2683" s="15"/>
      <c r="C2683" s="20"/>
      <c r="D2683" s="22"/>
      <c r="E2683" s="15"/>
      <c r="F2683" s="23">
        <f>IF($B2683="","",IFERROR(INDEX(ProdNome,MATCH($B2683,ProdCod,0)),"Código não cadastrado"))</f>
        <v>0</v>
      </c>
      <c r="G2683" s="24">
        <f>IF(OR($B2683="",$D2683=""),"",$D2683*IFERROR(INDEX(ProdCusto,MATCH($B2683,ProdCod,0)),0))</f>
        <v>0</v>
      </c>
      <c r="H2683" s="25">
        <f>IF($A2683="","",IF(OR($B2683="",$C2683="",$D2683=""),"Preencher tudo",IF($F2683="Código não cadastrado","Código inválido","OK")))</f>
        <v>0</v>
      </c>
    </row>
    <row r="2684" spans="1:8">
      <c r="A2684" s="16"/>
      <c r="B2684" s="15"/>
      <c r="C2684" s="20"/>
      <c r="D2684" s="22"/>
      <c r="E2684" s="15"/>
      <c r="F2684" s="23">
        <f>IF($B2684="","",IFERROR(INDEX(ProdNome,MATCH($B2684,ProdCod,0)),"Código não cadastrado"))</f>
        <v>0</v>
      </c>
      <c r="G2684" s="24">
        <f>IF(OR($B2684="",$D2684=""),"",$D2684*IFERROR(INDEX(ProdCusto,MATCH($B2684,ProdCod,0)),0))</f>
        <v>0</v>
      </c>
      <c r="H2684" s="25">
        <f>IF($A2684="","",IF(OR($B2684="",$C2684="",$D2684=""),"Preencher tudo",IF($F2684="Código não cadastrado","Código inválido","OK")))</f>
        <v>0</v>
      </c>
    </row>
    <row r="2685" spans="1:8">
      <c r="A2685" s="16"/>
      <c r="B2685" s="15"/>
      <c r="C2685" s="20"/>
      <c r="D2685" s="22"/>
      <c r="E2685" s="15"/>
      <c r="F2685" s="23">
        <f>IF($B2685="","",IFERROR(INDEX(ProdNome,MATCH($B2685,ProdCod,0)),"Código não cadastrado"))</f>
        <v>0</v>
      </c>
      <c r="G2685" s="24">
        <f>IF(OR($B2685="",$D2685=""),"",$D2685*IFERROR(INDEX(ProdCusto,MATCH($B2685,ProdCod,0)),0))</f>
        <v>0</v>
      </c>
      <c r="H2685" s="25">
        <f>IF($A2685="","",IF(OR($B2685="",$C2685="",$D2685=""),"Preencher tudo",IF($F2685="Código não cadastrado","Código inválido","OK")))</f>
        <v>0</v>
      </c>
    </row>
    <row r="2686" spans="1:8">
      <c r="A2686" s="16"/>
      <c r="B2686" s="15"/>
      <c r="C2686" s="20"/>
      <c r="D2686" s="22"/>
      <c r="E2686" s="15"/>
      <c r="F2686" s="23">
        <f>IF($B2686="","",IFERROR(INDEX(ProdNome,MATCH($B2686,ProdCod,0)),"Código não cadastrado"))</f>
        <v>0</v>
      </c>
      <c r="G2686" s="24">
        <f>IF(OR($B2686="",$D2686=""),"",$D2686*IFERROR(INDEX(ProdCusto,MATCH($B2686,ProdCod,0)),0))</f>
        <v>0</v>
      </c>
      <c r="H2686" s="25">
        <f>IF($A2686="","",IF(OR($B2686="",$C2686="",$D2686=""),"Preencher tudo",IF($F2686="Código não cadastrado","Código inválido","OK")))</f>
        <v>0</v>
      </c>
    </row>
    <row r="2687" spans="1:8">
      <c r="A2687" s="16"/>
      <c r="B2687" s="15"/>
      <c r="C2687" s="20"/>
      <c r="D2687" s="22"/>
      <c r="E2687" s="15"/>
      <c r="F2687" s="23">
        <f>IF($B2687="","",IFERROR(INDEX(ProdNome,MATCH($B2687,ProdCod,0)),"Código não cadastrado"))</f>
        <v>0</v>
      </c>
      <c r="G2687" s="24">
        <f>IF(OR($B2687="",$D2687=""),"",$D2687*IFERROR(INDEX(ProdCusto,MATCH($B2687,ProdCod,0)),0))</f>
        <v>0</v>
      </c>
      <c r="H2687" s="25">
        <f>IF($A2687="","",IF(OR($B2687="",$C2687="",$D2687=""),"Preencher tudo",IF($F2687="Código não cadastrado","Código inválido","OK")))</f>
        <v>0</v>
      </c>
    </row>
    <row r="2688" spans="1:8">
      <c r="A2688" s="16"/>
      <c r="B2688" s="15"/>
      <c r="C2688" s="20"/>
      <c r="D2688" s="22"/>
      <c r="E2688" s="15"/>
      <c r="F2688" s="23">
        <f>IF($B2688="","",IFERROR(INDEX(ProdNome,MATCH($B2688,ProdCod,0)),"Código não cadastrado"))</f>
        <v>0</v>
      </c>
      <c r="G2688" s="24">
        <f>IF(OR($B2688="",$D2688=""),"",$D2688*IFERROR(INDEX(ProdCusto,MATCH($B2688,ProdCod,0)),0))</f>
        <v>0</v>
      </c>
      <c r="H2688" s="25">
        <f>IF($A2688="","",IF(OR($B2688="",$C2688="",$D2688=""),"Preencher tudo",IF($F2688="Código não cadastrado","Código inválido","OK")))</f>
        <v>0</v>
      </c>
    </row>
    <row r="2689" spans="1:8">
      <c r="A2689" s="16"/>
      <c r="B2689" s="15"/>
      <c r="C2689" s="20"/>
      <c r="D2689" s="22"/>
      <c r="E2689" s="15"/>
      <c r="F2689" s="23">
        <f>IF($B2689="","",IFERROR(INDEX(ProdNome,MATCH($B2689,ProdCod,0)),"Código não cadastrado"))</f>
        <v>0</v>
      </c>
      <c r="G2689" s="24">
        <f>IF(OR($B2689="",$D2689=""),"",$D2689*IFERROR(INDEX(ProdCusto,MATCH($B2689,ProdCod,0)),0))</f>
        <v>0</v>
      </c>
      <c r="H2689" s="25">
        <f>IF($A2689="","",IF(OR($B2689="",$C2689="",$D2689=""),"Preencher tudo",IF($F2689="Código não cadastrado","Código inválido","OK")))</f>
        <v>0</v>
      </c>
    </row>
    <row r="2690" spans="1:8">
      <c r="A2690" s="16"/>
      <c r="B2690" s="15"/>
      <c r="C2690" s="20"/>
      <c r="D2690" s="22"/>
      <c r="E2690" s="15"/>
      <c r="F2690" s="23">
        <f>IF($B2690="","",IFERROR(INDEX(ProdNome,MATCH($B2690,ProdCod,0)),"Código não cadastrado"))</f>
        <v>0</v>
      </c>
      <c r="G2690" s="24">
        <f>IF(OR($B2690="",$D2690=""),"",$D2690*IFERROR(INDEX(ProdCusto,MATCH($B2690,ProdCod,0)),0))</f>
        <v>0</v>
      </c>
      <c r="H2690" s="25">
        <f>IF($A2690="","",IF(OR($B2690="",$C2690="",$D2690=""),"Preencher tudo",IF($F2690="Código não cadastrado","Código inválido","OK")))</f>
        <v>0</v>
      </c>
    </row>
    <row r="2691" spans="1:8">
      <c r="A2691" s="16"/>
      <c r="B2691" s="15"/>
      <c r="C2691" s="20"/>
      <c r="D2691" s="22"/>
      <c r="E2691" s="15"/>
      <c r="F2691" s="23">
        <f>IF($B2691="","",IFERROR(INDEX(ProdNome,MATCH($B2691,ProdCod,0)),"Código não cadastrado"))</f>
        <v>0</v>
      </c>
      <c r="G2691" s="24">
        <f>IF(OR($B2691="",$D2691=""),"",$D2691*IFERROR(INDEX(ProdCusto,MATCH($B2691,ProdCod,0)),0))</f>
        <v>0</v>
      </c>
      <c r="H2691" s="25">
        <f>IF($A2691="","",IF(OR($B2691="",$C2691="",$D2691=""),"Preencher tudo",IF($F2691="Código não cadastrado","Código inválido","OK")))</f>
        <v>0</v>
      </c>
    </row>
    <row r="2692" spans="1:8">
      <c r="A2692" s="16"/>
      <c r="B2692" s="15"/>
      <c r="C2692" s="20"/>
      <c r="D2692" s="22"/>
      <c r="E2692" s="15"/>
      <c r="F2692" s="23">
        <f>IF($B2692="","",IFERROR(INDEX(ProdNome,MATCH($B2692,ProdCod,0)),"Código não cadastrado"))</f>
        <v>0</v>
      </c>
      <c r="G2692" s="24">
        <f>IF(OR($B2692="",$D2692=""),"",$D2692*IFERROR(INDEX(ProdCusto,MATCH($B2692,ProdCod,0)),0))</f>
        <v>0</v>
      </c>
      <c r="H2692" s="25">
        <f>IF($A2692="","",IF(OR($B2692="",$C2692="",$D2692=""),"Preencher tudo",IF($F2692="Código não cadastrado","Código inválido","OK")))</f>
        <v>0</v>
      </c>
    </row>
    <row r="2693" spans="1:8">
      <c r="A2693" s="16"/>
      <c r="B2693" s="15"/>
      <c r="C2693" s="20"/>
      <c r="D2693" s="22"/>
      <c r="E2693" s="15"/>
      <c r="F2693" s="23">
        <f>IF($B2693="","",IFERROR(INDEX(ProdNome,MATCH($B2693,ProdCod,0)),"Código não cadastrado"))</f>
        <v>0</v>
      </c>
      <c r="G2693" s="24">
        <f>IF(OR($B2693="",$D2693=""),"",$D2693*IFERROR(INDEX(ProdCusto,MATCH($B2693,ProdCod,0)),0))</f>
        <v>0</v>
      </c>
      <c r="H2693" s="25">
        <f>IF($A2693="","",IF(OR($B2693="",$C2693="",$D2693=""),"Preencher tudo",IF($F2693="Código não cadastrado","Código inválido","OK")))</f>
        <v>0</v>
      </c>
    </row>
    <row r="2694" spans="1:8">
      <c r="A2694" s="16"/>
      <c r="B2694" s="15"/>
      <c r="C2694" s="20"/>
      <c r="D2694" s="22"/>
      <c r="E2694" s="15"/>
      <c r="F2694" s="23">
        <f>IF($B2694="","",IFERROR(INDEX(ProdNome,MATCH($B2694,ProdCod,0)),"Código não cadastrado"))</f>
        <v>0</v>
      </c>
      <c r="G2694" s="24">
        <f>IF(OR($B2694="",$D2694=""),"",$D2694*IFERROR(INDEX(ProdCusto,MATCH($B2694,ProdCod,0)),0))</f>
        <v>0</v>
      </c>
      <c r="H2694" s="25">
        <f>IF($A2694="","",IF(OR($B2694="",$C2694="",$D2694=""),"Preencher tudo",IF($F2694="Código não cadastrado","Código inválido","OK")))</f>
        <v>0</v>
      </c>
    </row>
    <row r="2695" spans="1:8">
      <c r="A2695" s="16"/>
      <c r="B2695" s="15"/>
      <c r="C2695" s="20"/>
      <c r="D2695" s="22"/>
      <c r="E2695" s="15"/>
      <c r="F2695" s="23">
        <f>IF($B2695="","",IFERROR(INDEX(ProdNome,MATCH($B2695,ProdCod,0)),"Código não cadastrado"))</f>
        <v>0</v>
      </c>
      <c r="G2695" s="24">
        <f>IF(OR($B2695="",$D2695=""),"",$D2695*IFERROR(INDEX(ProdCusto,MATCH($B2695,ProdCod,0)),0))</f>
        <v>0</v>
      </c>
      <c r="H2695" s="25">
        <f>IF($A2695="","",IF(OR($B2695="",$C2695="",$D2695=""),"Preencher tudo",IF($F2695="Código não cadastrado","Código inválido","OK")))</f>
        <v>0</v>
      </c>
    </row>
    <row r="2696" spans="1:8">
      <c r="A2696" s="16"/>
      <c r="B2696" s="15"/>
      <c r="C2696" s="20"/>
      <c r="D2696" s="22"/>
      <c r="E2696" s="15"/>
      <c r="F2696" s="23">
        <f>IF($B2696="","",IFERROR(INDEX(ProdNome,MATCH($B2696,ProdCod,0)),"Código não cadastrado"))</f>
        <v>0</v>
      </c>
      <c r="G2696" s="24">
        <f>IF(OR($B2696="",$D2696=""),"",$D2696*IFERROR(INDEX(ProdCusto,MATCH($B2696,ProdCod,0)),0))</f>
        <v>0</v>
      </c>
      <c r="H2696" s="25">
        <f>IF($A2696="","",IF(OR($B2696="",$C2696="",$D2696=""),"Preencher tudo",IF($F2696="Código não cadastrado","Código inválido","OK")))</f>
        <v>0</v>
      </c>
    </row>
    <row r="2697" spans="1:8">
      <c r="A2697" s="16"/>
      <c r="B2697" s="15"/>
      <c r="C2697" s="20"/>
      <c r="D2697" s="22"/>
      <c r="E2697" s="15"/>
      <c r="F2697" s="23">
        <f>IF($B2697="","",IFERROR(INDEX(ProdNome,MATCH($B2697,ProdCod,0)),"Código não cadastrado"))</f>
        <v>0</v>
      </c>
      <c r="G2697" s="24">
        <f>IF(OR($B2697="",$D2697=""),"",$D2697*IFERROR(INDEX(ProdCusto,MATCH($B2697,ProdCod,0)),0))</f>
        <v>0</v>
      </c>
      <c r="H2697" s="25">
        <f>IF($A2697="","",IF(OR($B2697="",$C2697="",$D2697=""),"Preencher tudo",IF($F2697="Código não cadastrado","Código inválido","OK")))</f>
        <v>0</v>
      </c>
    </row>
    <row r="2698" spans="1:8">
      <c r="A2698" s="16"/>
      <c r="B2698" s="15"/>
      <c r="C2698" s="20"/>
      <c r="D2698" s="22"/>
      <c r="E2698" s="15"/>
      <c r="F2698" s="23">
        <f>IF($B2698="","",IFERROR(INDEX(ProdNome,MATCH($B2698,ProdCod,0)),"Código não cadastrado"))</f>
        <v>0</v>
      </c>
      <c r="G2698" s="24">
        <f>IF(OR($B2698="",$D2698=""),"",$D2698*IFERROR(INDEX(ProdCusto,MATCH($B2698,ProdCod,0)),0))</f>
        <v>0</v>
      </c>
      <c r="H2698" s="25">
        <f>IF($A2698="","",IF(OR($B2698="",$C2698="",$D2698=""),"Preencher tudo",IF($F2698="Código não cadastrado","Código inválido","OK")))</f>
        <v>0</v>
      </c>
    </row>
    <row r="2699" spans="1:8">
      <c r="A2699" s="16"/>
      <c r="B2699" s="15"/>
      <c r="C2699" s="20"/>
      <c r="D2699" s="22"/>
      <c r="E2699" s="15"/>
      <c r="F2699" s="23">
        <f>IF($B2699="","",IFERROR(INDEX(ProdNome,MATCH($B2699,ProdCod,0)),"Código não cadastrado"))</f>
        <v>0</v>
      </c>
      <c r="G2699" s="24">
        <f>IF(OR($B2699="",$D2699=""),"",$D2699*IFERROR(INDEX(ProdCusto,MATCH($B2699,ProdCod,0)),0))</f>
        <v>0</v>
      </c>
      <c r="H2699" s="25">
        <f>IF($A2699="","",IF(OR($B2699="",$C2699="",$D2699=""),"Preencher tudo",IF($F2699="Código não cadastrado","Código inválido","OK")))</f>
        <v>0</v>
      </c>
    </row>
    <row r="2700" spans="1:8">
      <c r="A2700" s="16"/>
      <c r="B2700" s="15"/>
      <c r="C2700" s="20"/>
      <c r="D2700" s="22"/>
      <c r="E2700" s="15"/>
      <c r="F2700" s="23">
        <f>IF($B2700="","",IFERROR(INDEX(ProdNome,MATCH($B2700,ProdCod,0)),"Código não cadastrado"))</f>
        <v>0</v>
      </c>
      <c r="G2700" s="24">
        <f>IF(OR($B2700="",$D2700=""),"",$D2700*IFERROR(INDEX(ProdCusto,MATCH($B2700,ProdCod,0)),0))</f>
        <v>0</v>
      </c>
      <c r="H2700" s="25">
        <f>IF($A2700="","",IF(OR($B2700="",$C2700="",$D2700=""),"Preencher tudo",IF($F2700="Código não cadastrado","Código inválido","OK")))</f>
        <v>0</v>
      </c>
    </row>
    <row r="2701" spans="1:8">
      <c r="A2701" s="16"/>
      <c r="B2701" s="15"/>
      <c r="C2701" s="20"/>
      <c r="D2701" s="22"/>
      <c r="E2701" s="15"/>
      <c r="F2701" s="23">
        <f>IF($B2701="","",IFERROR(INDEX(ProdNome,MATCH($B2701,ProdCod,0)),"Código não cadastrado"))</f>
        <v>0</v>
      </c>
      <c r="G2701" s="24">
        <f>IF(OR($B2701="",$D2701=""),"",$D2701*IFERROR(INDEX(ProdCusto,MATCH($B2701,ProdCod,0)),0))</f>
        <v>0</v>
      </c>
      <c r="H2701" s="25">
        <f>IF($A2701="","",IF(OR($B2701="",$C2701="",$D2701=""),"Preencher tudo",IF($F2701="Código não cadastrado","Código inválido","OK")))</f>
        <v>0</v>
      </c>
    </row>
    <row r="2702" spans="1:8">
      <c r="A2702" s="16"/>
      <c r="B2702" s="15"/>
      <c r="C2702" s="20"/>
      <c r="D2702" s="22"/>
      <c r="E2702" s="15"/>
      <c r="F2702" s="23">
        <f>IF($B2702="","",IFERROR(INDEX(ProdNome,MATCH($B2702,ProdCod,0)),"Código não cadastrado"))</f>
        <v>0</v>
      </c>
      <c r="G2702" s="24">
        <f>IF(OR($B2702="",$D2702=""),"",$D2702*IFERROR(INDEX(ProdCusto,MATCH($B2702,ProdCod,0)),0))</f>
        <v>0</v>
      </c>
      <c r="H2702" s="25">
        <f>IF($A2702="","",IF(OR($B2702="",$C2702="",$D2702=""),"Preencher tudo",IF($F2702="Código não cadastrado","Código inválido","OK")))</f>
        <v>0</v>
      </c>
    </row>
    <row r="2703" spans="1:8">
      <c r="A2703" s="16"/>
      <c r="B2703" s="15"/>
      <c r="C2703" s="20"/>
      <c r="D2703" s="22"/>
      <c r="E2703" s="15"/>
      <c r="F2703" s="23">
        <f>IF($B2703="","",IFERROR(INDEX(ProdNome,MATCH($B2703,ProdCod,0)),"Código não cadastrado"))</f>
        <v>0</v>
      </c>
      <c r="G2703" s="24">
        <f>IF(OR($B2703="",$D2703=""),"",$D2703*IFERROR(INDEX(ProdCusto,MATCH($B2703,ProdCod,0)),0))</f>
        <v>0</v>
      </c>
      <c r="H2703" s="25">
        <f>IF($A2703="","",IF(OR($B2703="",$C2703="",$D2703=""),"Preencher tudo",IF($F2703="Código não cadastrado","Código inválido","OK")))</f>
        <v>0</v>
      </c>
    </row>
    <row r="2704" spans="1:8">
      <c r="A2704" s="16"/>
      <c r="B2704" s="15"/>
      <c r="C2704" s="20"/>
      <c r="D2704" s="22"/>
      <c r="E2704" s="15"/>
      <c r="F2704" s="23">
        <f>IF($B2704="","",IFERROR(INDEX(ProdNome,MATCH($B2704,ProdCod,0)),"Código não cadastrado"))</f>
        <v>0</v>
      </c>
      <c r="G2704" s="24">
        <f>IF(OR($B2704="",$D2704=""),"",$D2704*IFERROR(INDEX(ProdCusto,MATCH($B2704,ProdCod,0)),0))</f>
        <v>0</v>
      </c>
      <c r="H2704" s="25">
        <f>IF($A2704="","",IF(OR($B2704="",$C2704="",$D2704=""),"Preencher tudo",IF($F2704="Código não cadastrado","Código inválido","OK")))</f>
        <v>0</v>
      </c>
    </row>
    <row r="2705" spans="1:8">
      <c r="A2705" s="16"/>
      <c r="B2705" s="15"/>
      <c r="C2705" s="20"/>
      <c r="D2705" s="22"/>
      <c r="E2705" s="15"/>
      <c r="F2705" s="23">
        <f>IF($B2705="","",IFERROR(INDEX(ProdNome,MATCH($B2705,ProdCod,0)),"Código não cadastrado"))</f>
        <v>0</v>
      </c>
      <c r="G2705" s="24">
        <f>IF(OR($B2705="",$D2705=""),"",$D2705*IFERROR(INDEX(ProdCusto,MATCH($B2705,ProdCod,0)),0))</f>
        <v>0</v>
      </c>
      <c r="H2705" s="25">
        <f>IF($A2705="","",IF(OR($B2705="",$C2705="",$D2705=""),"Preencher tudo",IF($F2705="Código não cadastrado","Código inválido","OK")))</f>
        <v>0</v>
      </c>
    </row>
    <row r="2706" spans="1:8">
      <c r="A2706" s="16"/>
      <c r="B2706" s="15"/>
      <c r="C2706" s="20"/>
      <c r="D2706" s="22"/>
      <c r="E2706" s="15"/>
      <c r="F2706" s="23">
        <f>IF($B2706="","",IFERROR(INDEX(ProdNome,MATCH($B2706,ProdCod,0)),"Código não cadastrado"))</f>
        <v>0</v>
      </c>
      <c r="G2706" s="24">
        <f>IF(OR($B2706="",$D2706=""),"",$D2706*IFERROR(INDEX(ProdCusto,MATCH($B2706,ProdCod,0)),0))</f>
        <v>0</v>
      </c>
      <c r="H2706" s="25">
        <f>IF($A2706="","",IF(OR($B2706="",$C2706="",$D2706=""),"Preencher tudo",IF($F2706="Código não cadastrado","Código inválido","OK")))</f>
        <v>0</v>
      </c>
    </row>
    <row r="2707" spans="1:8">
      <c r="A2707" s="16"/>
      <c r="B2707" s="15"/>
      <c r="C2707" s="20"/>
      <c r="D2707" s="22"/>
      <c r="E2707" s="15"/>
      <c r="F2707" s="23">
        <f>IF($B2707="","",IFERROR(INDEX(ProdNome,MATCH($B2707,ProdCod,0)),"Código não cadastrado"))</f>
        <v>0</v>
      </c>
      <c r="G2707" s="24">
        <f>IF(OR($B2707="",$D2707=""),"",$D2707*IFERROR(INDEX(ProdCusto,MATCH($B2707,ProdCod,0)),0))</f>
        <v>0</v>
      </c>
      <c r="H2707" s="25">
        <f>IF($A2707="","",IF(OR($B2707="",$C2707="",$D2707=""),"Preencher tudo",IF($F2707="Código não cadastrado","Código inválido","OK")))</f>
        <v>0</v>
      </c>
    </row>
    <row r="2708" spans="1:8">
      <c r="A2708" s="16"/>
      <c r="B2708" s="15"/>
      <c r="C2708" s="20"/>
      <c r="D2708" s="22"/>
      <c r="E2708" s="15"/>
      <c r="F2708" s="23">
        <f>IF($B2708="","",IFERROR(INDEX(ProdNome,MATCH($B2708,ProdCod,0)),"Código não cadastrado"))</f>
        <v>0</v>
      </c>
      <c r="G2708" s="24">
        <f>IF(OR($B2708="",$D2708=""),"",$D2708*IFERROR(INDEX(ProdCusto,MATCH($B2708,ProdCod,0)),0))</f>
        <v>0</v>
      </c>
      <c r="H2708" s="25">
        <f>IF($A2708="","",IF(OR($B2708="",$C2708="",$D2708=""),"Preencher tudo",IF($F2708="Código não cadastrado","Código inválido","OK")))</f>
        <v>0</v>
      </c>
    </row>
    <row r="2709" spans="1:8">
      <c r="A2709" s="16"/>
      <c r="B2709" s="15"/>
      <c r="C2709" s="20"/>
      <c r="D2709" s="22"/>
      <c r="E2709" s="15"/>
      <c r="F2709" s="23">
        <f>IF($B2709="","",IFERROR(INDEX(ProdNome,MATCH($B2709,ProdCod,0)),"Código não cadastrado"))</f>
        <v>0</v>
      </c>
      <c r="G2709" s="24">
        <f>IF(OR($B2709="",$D2709=""),"",$D2709*IFERROR(INDEX(ProdCusto,MATCH($B2709,ProdCod,0)),0))</f>
        <v>0</v>
      </c>
      <c r="H2709" s="25">
        <f>IF($A2709="","",IF(OR($B2709="",$C2709="",$D2709=""),"Preencher tudo",IF($F2709="Código não cadastrado","Código inválido","OK")))</f>
        <v>0</v>
      </c>
    </row>
    <row r="2710" spans="1:8">
      <c r="A2710" s="16"/>
      <c r="B2710" s="15"/>
      <c r="C2710" s="20"/>
      <c r="D2710" s="22"/>
      <c r="E2710" s="15"/>
      <c r="F2710" s="23">
        <f>IF($B2710="","",IFERROR(INDEX(ProdNome,MATCH($B2710,ProdCod,0)),"Código não cadastrado"))</f>
        <v>0</v>
      </c>
      <c r="G2710" s="24">
        <f>IF(OR($B2710="",$D2710=""),"",$D2710*IFERROR(INDEX(ProdCusto,MATCH($B2710,ProdCod,0)),0))</f>
        <v>0</v>
      </c>
      <c r="H2710" s="25">
        <f>IF($A2710="","",IF(OR($B2710="",$C2710="",$D2710=""),"Preencher tudo",IF($F2710="Código não cadastrado","Código inválido","OK")))</f>
        <v>0</v>
      </c>
    </row>
    <row r="2711" spans="1:8">
      <c r="A2711" s="16"/>
      <c r="B2711" s="15"/>
      <c r="C2711" s="20"/>
      <c r="D2711" s="22"/>
      <c r="E2711" s="15"/>
      <c r="F2711" s="23">
        <f>IF($B2711="","",IFERROR(INDEX(ProdNome,MATCH($B2711,ProdCod,0)),"Código não cadastrado"))</f>
        <v>0</v>
      </c>
      <c r="G2711" s="24">
        <f>IF(OR($B2711="",$D2711=""),"",$D2711*IFERROR(INDEX(ProdCusto,MATCH($B2711,ProdCod,0)),0))</f>
        <v>0</v>
      </c>
      <c r="H2711" s="25">
        <f>IF($A2711="","",IF(OR($B2711="",$C2711="",$D2711=""),"Preencher tudo",IF($F2711="Código não cadastrado","Código inválido","OK")))</f>
        <v>0</v>
      </c>
    </row>
    <row r="2712" spans="1:8">
      <c r="A2712" s="16"/>
      <c r="B2712" s="15"/>
      <c r="C2712" s="20"/>
      <c r="D2712" s="22"/>
      <c r="E2712" s="15"/>
      <c r="F2712" s="23">
        <f>IF($B2712="","",IFERROR(INDEX(ProdNome,MATCH($B2712,ProdCod,0)),"Código não cadastrado"))</f>
        <v>0</v>
      </c>
      <c r="G2712" s="24">
        <f>IF(OR($B2712="",$D2712=""),"",$D2712*IFERROR(INDEX(ProdCusto,MATCH($B2712,ProdCod,0)),0))</f>
        <v>0</v>
      </c>
      <c r="H2712" s="25">
        <f>IF($A2712="","",IF(OR($B2712="",$C2712="",$D2712=""),"Preencher tudo",IF($F2712="Código não cadastrado","Código inválido","OK")))</f>
        <v>0</v>
      </c>
    </row>
    <row r="2713" spans="1:8">
      <c r="A2713" s="16"/>
      <c r="B2713" s="15"/>
      <c r="C2713" s="20"/>
      <c r="D2713" s="22"/>
      <c r="E2713" s="15"/>
      <c r="F2713" s="23">
        <f>IF($B2713="","",IFERROR(INDEX(ProdNome,MATCH($B2713,ProdCod,0)),"Código não cadastrado"))</f>
        <v>0</v>
      </c>
      <c r="G2713" s="24">
        <f>IF(OR($B2713="",$D2713=""),"",$D2713*IFERROR(INDEX(ProdCusto,MATCH($B2713,ProdCod,0)),0))</f>
        <v>0</v>
      </c>
      <c r="H2713" s="25">
        <f>IF($A2713="","",IF(OR($B2713="",$C2713="",$D2713=""),"Preencher tudo",IF($F2713="Código não cadastrado","Código inválido","OK")))</f>
        <v>0</v>
      </c>
    </row>
    <row r="2714" spans="1:8">
      <c r="A2714" s="16"/>
      <c r="B2714" s="15"/>
      <c r="C2714" s="20"/>
      <c r="D2714" s="22"/>
      <c r="E2714" s="15"/>
      <c r="F2714" s="23">
        <f>IF($B2714="","",IFERROR(INDEX(ProdNome,MATCH($B2714,ProdCod,0)),"Código não cadastrado"))</f>
        <v>0</v>
      </c>
      <c r="G2714" s="24">
        <f>IF(OR($B2714="",$D2714=""),"",$D2714*IFERROR(INDEX(ProdCusto,MATCH($B2714,ProdCod,0)),0))</f>
        <v>0</v>
      </c>
      <c r="H2714" s="25">
        <f>IF($A2714="","",IF(OR($B2714="",$C2714="",$D2714=""),"Preencher tudo",IF($F2714="Código não cadastrado","Código inválido","OK")))</f>
        <v>0</v>
      </c>
    </row>
    <row r="2715" spans="1:8">
      <c r="A2715" s="16"/>
      <c r="B2715" s="15"/>
      <c r="C2715" s="20"/>
      <c r="D2715" s="22"/>
      <c r="E2715" s="15"/>
      <c r="F2715" s="23">
        <f>IF($B2715="","",IFERROR(INDEX(ProdNome,MATCH($B2715,ProdCod,0)),"Código não cadastrado"))</f>
        <v>0</v>
      </c>
      <c r="G2715" s="24">
        <f>IF(OR($B2715="",$D2715=""),"",$D2715*IFERROR(INDEX(ProdCusto,MATCH($B2715,ProdCod,0)),0))</f>
        <v>0</v>
      </c>
      <c r="H2715" s="25">
        <f>IF($A2715="","",IF(OR($B2715="",$C2715="",$D2715=""),"Preencher tudo",IF($F2715="Código não cadastrado","Código inválido","OK")))</f>
        <v>0</v>
      </c>
    </row>
    <row r="2716" spans="1:8">
      <c r="A2716" s="16"/>
      <c r="B2716" s="15"/>
      <c r="C2716" s="20"/>
      <c r="D2716" s="22"/>
      <c r="E2716" s="15"/>
      <c r="F2716" s="23">
        <f>IF($B2716="","",IFERROR(INDEX(ProdNome,MATCH($B2716,ProdCod,0)),"Código não cadastrado"))</f>
        <v>0</v>
      </c>
      <c r="G2716" s="24">
        <f>IF(OR($B2716="",$D2716=""),"",$D2716*IFERROR(INDEX(ProdCusto,MATCH($B2716,ProdCod,0)),0))</f>
        <v>0</v>
      </c>
      <c r="H2716" s="25">
        <f>IF($A2716="","",IF(OR($B2716="",$C2716="",$D2716=""),"Preencher tudo",IF($F2716="Código não cadastrado","Código inválido","OK")))</f>
        <v>0</v>
      </c>
    </row>
    <row r="2717" spans="1:8">
      <c r="A2717" s="16"/>
      <c r="B2717" s="15"/>
      <c r="C2717" s="20"/>
      <c r="D2717" s="22"/>
      <c r="E2717" s="15"/>
      <c r="F2717" s="23">
        <f>IF($B2717="","",IFERROR(INDEX(ProdNome,MATCH($B2717,ProdCod,0)),"Código não cadastrado"))</f>
        <v>0</v>
      </c>
      <c r="G2717" s="24">
        <f>IF(OR($B2717="",$D2717=""),"",$D2717*IFERROR(INDEX(ProdCusto,MATCH($B2717,ProdCod,0)),0))</f>
        <v>0</v>
      </c>
      <c r="H2717" s="25">
        <f>IF($A2717="","",IF(OR($B2717="",$C2717="",$D2717=""),"Preencher tudo",IF($F2717="Código não cadastrado","Código inválido","OK")))</f>
        <v>0</v>
      </c>
    </row>
    <row r="2718" spans="1:8">
      <c r="A2718" s="16"/>
      <c r="B2718" s="15"/>
      <c r="C2718" s="20"/>
      <c r="D2718" s="22"/>
      <c r="E2718" s="15"/>
      <c r="F2718" s="23">
        <f>IF($B2718="","",IFERROR(INDEX(ProdNome,MATCH($B2718,ProdCod,0)),"Código não cadastrado"))</f>
        <v>0</v>
      </c>
      <c r="G2718" s="24">
        <f>IF(OR($B2718="",$D2718=""),"",$D2718*IFERROR(INDEX(ProdCusto,MATCH($B2718,ProdCod,0)),0))</f>
        <v>0</v>
      </c>
      <c r="H2718" s="25">
        <f>IF($A2718="","",IF(OR($B2718="",$C2718="",$D2718=""),"Preencher tudo",IF($F2718="Código não cadastrado","Código inválido","OK")))</f>
        <v>0</v>
      </c>
    </row>
    <row r="2719" spans="1:8">
      <c r="A2719" s="16"/>
      <c r="B2719" s="15"/>
      <c r="C2719" s="20"/>
      <c r="D2719" s="22"/>
      <c r="E2719" s="15"/>
      <c r="F2719" s="23">
        <f>IF($B2719="","",IFERROR(INDEX(ProdNome,MATCH($B2719,ProdCod,0)),"Código não cadastrado"))</f>
        <v>0</v>
      </c>
      <c r="G2719" s="24">
        <f>IF(OR($B2719="",$D2719=""),"",$D2719*IFERROR(INDEX(ProdCusto,MATCH($B2719,ProdCod,0)),0))</f>
        <v>0</v>
      </c>
      <c r="H2719" s="25">
        <f>IF($A2719="","",IF(OR($B2719="",$C2719="",$D2719=""),"Preencher tudo",IF($F2719="Código não cadastrado","Código inválido","OK")))</f>
        <v>0</v>
      </c>
    </row>
    <row r="2720" spans="1:8">
      <c r="A2720" s="16"/>
      <c r="B2720" s="15"/>
      <c r="C2720" s="20"/>
      <c r="D2720" s="22"/>
      <c r="E2720" s="15"/>
      <c r="F2720" s="23">
        <f>IF($B2720="","",IFERROR(INDEX(ProdNome,MATCH($B2720,ProdCod,0)),"Código não cadastrado"))</f>
        <v>0</v>
      </c>
      <c r="G2720" s="24">
        <f>IF(OR($B2720="",$D2720=""),"",$D2720*IFERROR(INDEX(ProdCusto,MATCH($B2720,ProdCod,0)),0))</f>
        <v>0</v>
      </c>
      <c r="H2720" s="25">
        <f>IF($A2720="","",IF(OR($B2720="",$C2720="",$D2720=""),"Preencher tudo",IF($F2720="Código não cadastrado","Código inválido","OK")))</f>
        <v>0</v>
      </c>
    </row>
    <row r="2721" spans="1:8">
      <c r="A2721" s="16"/>
      <c r="B2721" s="15"/>
      <c r="C2721" s="20"/>
      <c r="D2721" s="22"/>
      <c r="E2721" s="15"/>
      <c r="F2721" s="23">
        <f>IF($B2721="","",IFERROR(INDEX(ProdNome,MATCH($B2721,ProdCod,0)),"Código não cadastrado"))</f>
        <v>0</v>
      </c>
      <c r="G2721" s="24">
        <f>IF(OR($B2721="",$D2721=""),"",$D2721*IFERROR(INDEX(ProdCusto,MATCH($B2721,ProdCod,0)),0))</f>
        <v>0</v>
      </c>
      <c r="H2721" s="25">
        <f>IF($A2721="","",IF(OR($B2721="",$C2721="",$D2721=""),"Preencher tudo",IF($F2721="Código não cadastrado","Código inválido","OK")))</f>
        <v>0</v>
      </c>
    </row>
    <row r="2722" spans="1:8">
      <c r="A2722" s="16"/>
      <c r="B2722" s="15"/>
      <c r="C2722" s="20"/>
      <c r="D2722" s="22"/>
      <c r="E2722" s="15"/>
      <c r="F2722" s="23">
        <f>IF($B2722="","",IFERROR(INDEX(ProdNome,MATCH($B2722,ProdCod,0)),"Código não cadastrado"))</f>
        <v>0</v>
      </c>
      <c r="G2722" s="24">
        <f>IF(OR($B2722="",$D2722=""),"",$D2722*IFERROR(INDEX(ProdCusto,MATCH($B2722,ProdCod,0)),0))</f>
        <v>0</v>
      </c>
      <c r="H2722" s="25">
        <f>IF($A2722="","",IF(OR($B2722="",$C2722="",$D2722=""),"Preencher tudo",IF($F2722="Código não cadastrado","Código inválido","OK")))</f>
        <v>0</v>
      </c>
    </row>
    <row r="2723" spans="1:8">
      <c r="A2723" s="16"/>
      <c r="B2723" s="15"/>
      <c r="C2723" s="20"/>
      <c r="D2723" s="22"/>
      <c r="E2723" s="15"/>
      <c r="F2723" s="23">
        <f>IF($B2723="","",IFERROR(INDEX(ProdNome,MATCH($B2723,ProdCod,0)),"Código não cadastrado"))</f>
        <v>0</v>
      </c>
      <c r="G2723" s="24">
        <f>IF(OR($B2723="",$D2723=""),"",$D2723*IFERROR(INDEX(ProdCusto,MATCH($B2723,ProdCod,0)),0))</f>
        <v>0</v>
      </c>
      <c r="H2723" s="25">
        <f>IF($A2723="","",IF(OR($B2723="",$C2723="",$D2723=""),"Preencher tudo",IF($F2723="Código não cadastrado","Código inválido","OK")))</f>
        <v>0</v>
      </c>
    </row>
    <row r="2724" spans="1:8">
      <c r="A2724" s="16"/>
      <c r="B2724" s="15"/>
      <c r="C2724" s="20"/>
      <c r="D2724" s="22"/>
      <c r="E2724" s="15"/>
      <c r="F2724" s="23">
        <f>IF($B2724="","",IFERROR(INDEX(ProdNome,MATCH($B2724,ProdCod,0)),"Código não cadastrado"))</f>
        <v>0</v>
      </c>
      <c r="G2724" s="24">
        <f>IF(OR($B2724="",$D2724=""),"",$D2724*IFERROR(INDEX(ProdCusto,MATCH($B2724,ProdCod,0)),0))</f>
        <v>0</v>
      </c>
      <c r="H2724" s="25">
        <f>IF($A2724="","",IF(OR($B2724="",$C2724="",$D2724=""),"Preencher tudo",IF($F2724="Código não cadastrado","Código inválido","OK")))</f>
        <v>0</v>
      </c>
    </row>
    <row r="2725" spans="1:8">
      <c r="A2725" s="16"/>
      <c r="B2725" s="15"/>
      <c r="C2725" s="20"/>
      <c r="D2725" s="22"/>
      <c r="E2725" s="15"/>
      <c r="F2725" s="23">
        <f>IF($B2725="","",IFERROR(INDEX(ProdNome,MATCH($B2725,ProdCod,0)),"Código não cadastrado"))</f>
        <v>0</v>
      </c>
      <c r="G2725" s="24">
        <f>IF(OR($B2725="",$D2725=""),"",$D2725*IFERROR(INDEX(ProdCusto,MATCH($B2725,ProdCod,0)),0))</f>
        <v>0</v>
      </c>
      <c r="H2725" s="25">
        <f>IF($A2725="","",IF(OR($B2725="",$C2725="",$D2725=""),"Preencher tudo",IF($F2725="Código não cadastrado","Código inválido","OK")))</f>
        <v>0</v>
      </c>
    </row>
    <row r="2726" spans="1:8">
      <c r="A2726" s="16"/>
      <c r="B2726" s="15"/>
      <c r="C2726" s="20"/>
      <c r="D2726" s="22"/>
      <c r="E2726" s="15"/>
      <c r="F2726" s="23">
        <f>IF($B2726="","",IFERROR(INDEX(ProdNome,MATCH($B2726,ProdCod,0)),"Código não cadastrado"))</f>
        <v>0</v>
      </c>
      <c r="G2726" s="24">
        <f>IF(OR($B2726="",$D2726=""),"",$D2726*IFERROR(INDEX(ProdCusto,MATCH($B2726,ProdCod,0)),0))</f>
        <v>0</v>
      </c>
      <c r="H2726" s="25">
        <f>IF($A2726="","",IF(OR($B2726="",$C2726="",$D2726=""),"Preencher tudo",IF($F2726="Código não cadastrado","Código inválido","OK")))</f>
        <v>0</v>
      </c>
    </row>
    <row r="2727" spans="1:8">
      <c r="A2727" s="16"/>
      <c r="B2727" s="15"/>
      <c r="C2727" s="20"/>
      <c r="D2727" s="22"/>
      <c r="E2727" s="15"/>
      <c r="F2727" s="23">
        <f>IF($B2727="","",IFERROR(INDEX(ProdNome,MATCH($B2727,ProdCod,0)),"Código não cadastrado"))</f>
        <v>0</v>
      </c>
      <c r="G2727" s="24">
        <f>IF(OR($B2727="",$D2727=""),"",$D2727*IFERROR(INDEX(ProdCusto,MATCH($B2727,ProdCod,0)),0))</f>
        <v>0</v>
      </c>
      <c r="H2727" s="25">
        <f>IF($A2727="","",IF(OR($B2727="",$C2727="",$D2727=""),"Preencher tudo",IF($F2727="Código não cadastrado","Código inválido","OK")))</f>
        <v>0</v>
      </c>
    </row>
    <row r="2728" spans="1:8">
      <c r="A2728" s="16"/>
      <c r="B2728" s="15"/>
      <c r="C2728" s="20"/>
      <c r="D2728" s="22"/>
      <c r="E2728" s="15"/>
      <c r="F2728" s="23">
        <f>IF($B2728="","",IFERROR(INDEX(ProdNome,MATCH($B2728,ProdCod,0)),"Código não cadastrado"))</f>
        <v>0</v>
      </c>
      <c r="G2728" s="24">
        <f>IF(OR($B2728="",$D2728=""),"",$D2728*IFERROR(INDEX(ProdCusto,MATCH($B2728,ProdCod,0)),0))</f>
        <v>0</v>
      </c>
      <c r="H2728" s="25">
        <f>IF($A2728="","",IF(OR($B2728="",$C2728="",$D2728=""),"Preencher tudo",IF($F2728="Código não cadastrado","Código inválido","OK")))</f>
        <v>0</v>
      </c>
    </row>
    <row r="2729" spans="1:8">
      <c r="A2729" s="16"/>
      <c r="B2729" s="15"/>
      <c r="C2729" s="20"/>
      <c r="D2729" s="22"/>
      <c r="E2729" s="15"/>
      <c r="F2729" s="23">
        <f>IF($B2729="","",IFERROR(INDEX(ProdNome,MATCH($B2729,ProdCod,0)),"Código não cadastrado"))</f>
        <v>0</v>
      </c>
      <c r="G2729" s="24">
        <f>IF(OR($B2729="",$D2729=""),"",$D2729*IFERROR(INDEX(ProdCusto,MATCH($B2729,ProdCod,0)),0))</f>
        <v>0</v>
      </c>
      <c r="H2729" s="25">
        <f>IF($A2729="","",IF(OR($B2729="",$C2729="",$D2729=""),"Preencher tudo",IF($F2729="Código não cadastrado","Código inválido","OK")))</f>
        <v>0</v>
      </c>
    </row>
    <row r="2730" spans="1:8">
      <c r="A2730" s="16"/>
      <c r="B2730" s="15"/>
      <c r="C2730" s="20"/>
      <c r="D2730" s="22"/>
      <c r="E2730" s="15"/>
      <c r="F2730" s="23">
        <f>IF($B2730="","",IFERROR(INDEX(ProdNome,MATCH($B2730,ProdCod,0)),"Código não cadastrado"))</f>
        <v>0</v>
      </c>
      <c r="G2730" s="24">
        <f>IF(OR($B2730="",$D2730=""),"",$D2730*IFERROR(INDEX(ProdCusto,MATCH($B2730,ProdCod,0)),0))</f>
        <v>0</v>
      </c>
      <c r="H2730" s="25">
        <f>IF($A2730="","",IF(OR($B2730="",$C2730="",$D2730=""),"Preencher tudo",IF($F2730="Código não cadastrado","Código inválido","OK")))</f>
        <v>0</v>
      </c>
    </row>
    <row r="2731" spans="1:8">
      <c r="A2731" s="16"/>
      <c r="B2731" s="15"/>
      <c r="C2731" s="20"/>
      <c r="D2731" s="22"/>
      <c r="E2731" s="15"/>
      <c r="F2731" s="23">
        <f>IF($B2731="","",IFERROR(INDEX(ProdNome,MATCH($B2731,ProdCod,0)),"Código não cadastrado"))</f>
        <v>0</v>
      </c>
      <c r="G2731" s="24">
        <f>IF(OR($B2731="",$D2731=""),"",$D2731*IFERROR(INDEX(ProdCusto,MATCH($B2731,ProdCod,0)),0))</f>
        <v>0</v>
      </c>
      <c r="H2731" s="25">
        <f>IF($A2731="","",IF(OR($B2731="",$C2731="",$D2731=""),"Preencher tudo",IF($F2731="Código não cadastrado","Código inválido","OK")))</f>
        <v>0</v>
      </c>
    </row>
    <row r="2732" spans="1:8">
      <c r="A2732" s="16"/>
      <c r="B2732" s="15"/>
      <c r="C2732" s="20"/>
      <c r="D2732" s="22"/>
      <c r="E2732" s="15"/>
      <c r="F2732" s="23">
        <f>IF($B2732="","",IFERROR(INDEX(ProdNome,MATCH($B2732,ProdCod,0)),"Código não cadastrado"))</f>
        <v>0</v>
      </c>
      <c r="G2732" s="24">
        <f>IF(OR($B2732="",$D2732=""),"",$D2732*IFERROR(INDEX(ProdCusto,MATCH($B2732,ProdCod,0)),0))</f>
        <v>0</v>
      </c>
      <c r="H2732" s="25">
        <f>IF($A2732="","",IF(OR($B2732="",$C2732="",$D2732=""),"Preencher tudo",IF($F2732="Código não cadastrado","Código inválido","OK")))</f>
        <v>0</v>
      </c>
    </row>
    <row r="2733" spans="1:8">
      <c r="A2733" s="16"/>
      <c r="B2733" s="15"/>
      <c r="C2733" s="20"/>
      <c r="D2733" s="22"/>
      <c r="E2733" s="15"/>
      <c r="F2733" s="23">
        <f>IF($B2733="","",IFERROR(INDEX(ProdNome,MATCH($B2733,ProdCod,0)),"Código não cadastrado"))</f>
        <v>0</v>
      </c>
      <c r="G2733" s="24">
        <f>IF(OR($B2733="",$D2733=""),"",$D2733*IFERROR(INDEX(ProdCusto,MATCH($B2733,ProdCod,0)),0))</f>
        <v>0</v>
      </c>
      <c r="H2733" s="25">
        <f>IF($A2733="","",IF(OR($B2733="",$C2733="",$D2733=""),"Preencher tudo",IF($F2733="Código não cadastrado","Código inválido","OK")))</f>
        <v>0</v>
      </c>
    </row>
    <row r="2734" spans="1:8">
      <c r="A2734" s="16"/>
      <c r="B2734" s="15"/>
      <c r="C2734" s="20"/>
      <c r="D2734" s="22"/>
      <c r="E2734" s="15"/>
      <c r="F2734" s="23">
        <f>IF($B2734="","",IFERROR(INDEX(ProdNome,MATCH($B2734,ProdCod,0)),"Código não cadastrado"))</f>
        <v>0</v>
      </c>
      <c r="G2734" s="24">
        <f>IF(OR($B2734="",$D2734=""),"",$D2734*IFERROR(INDEX(ProdCusto,MATCH($B2734,ProdCod,0)),0))</f>
        <v>0</v>
      </c>
      <c r="H2734" s="25">
        <f>IF($A2734="","",IF(OR($B2734="",$C2734="",$D2734=""),"Preencher tudo",IF($F2734="Código não cadastrado","Código inválido","OK")))</f>
        <v>0</v>
      </c>
    </row>
    <row r="2735" spans="1:8">
      <c r="A2735" s="16"/>
      <c r="B2735" s="15"/>
      <c r="C2735" s="20"/>
      <c r="D2735" s="22"/>
      <c r="E2735" s="15"/>
      <c r="F2735" s="23">
        <f>IF($B2735="","",IFERROR(INDEX(ProdNome,MATCH($B2735,ProdCod,0)),"Código não cadastrado"))</f>
        <v>0</v>
      </c>
      <c r="G2735" s="24">
        <f>IF(OR($B2735="",$D2735=""),"",$D2735*IFERROR(INDEX(ProdCusto,MATCH($B2735,ProdCod,0)),0))</f>
        <v>0</v>
      </c>
      <c r="H2735" s="25">
        <f>IF($A2735="","",IF(OR($B2735="",$C2735="",$D2735=""),"Preencher tudo",IF($F2735="Código não cadastrado","Código inválido","OK")))</f>
        <v>0</v>
      </c>
    </row>
    <row r="2736" spans="1:8">
      <c r="A2736" s="16"/>
      <c r="B2736" s="15"/>
      <c r="C2736" s="20"/>
      <c r="D2736" s="22"/>
      <c r="E2736" s="15"/>
      <c r="F2736" s="23">
        <f>IF($B2736="","",IFERROR(INDEX(ProdNome,MATCH($B2736,ProdCod,0)),"Código não cadastrado"))</f>
        <v>0</v>
      </c>
      <c r="G2736" s="24">
        <f>IF(OR($B2736="",$D2736=""),"",$D2736*IFERROR(INDEX(ProdCusto,MATCH($B2736,ProdCod,0)),0))</f>
        <v>0</v>
      </c>
      <c r="H2736" s="25">
        <f>IF($A2736="","",IF(OR($B2736="",$C2736="",$D2736=""),"Preencher tudo",IF($F2736="Código não cadastrado","Código inválido","OK")))</f>
        <v>0</v>
      </c>
    </row>
    <row r="2737" spans="1:8">
      <c r="A2737" s="16"/>
      <c r="B2737" s="15"/>
      <c r="C2737" s="20"/>
      <c r="D2737" s="22"/>
      <c r="E2737" s="15"/>
      <c r="F2737" s="23">
        <f>IF($B2737="","",IFERROR(INDEX(ProdNome,MATCH($B2737,ProdCod,0)),"Código não cadastrado"))</f>
        <v>0</v>
      </c>
      <c r="G2737" s="24">
        <f>IF(OR($B2737="",$D2737=""),"",$D2737*IFERROR(INDEX(ProdCusto,MATCH($B2737,ProdCod,0)),0))</f>
        <v>0</v>
      </c>
      <c r="H2737" s="25">
        <f>IF($A2737="","",IF(OR($B2737="",$C2737="",$D2737=""),"Preencher tudo",IF($F2737="Código não cadastrado","Código inválido","OK")))</f>
        <v>0</v>
      </c>
    </row>
    <row r="2738" spans="1:8">
      <c r="A2738" s="16"/>
      <c r="B2738" s="15"/>
      <c r="C2738" s="20"/>
      <c r="D2738" s="22"/>
      <c r="E2738" s="15"/>
      <c r="F2738" s="23">
        <f>IF($B2738="","",IFERROR(INDEX(ProdNome,MATCH($B2738,ProdCod,0)),"Código não cadastrado"))</f>
        <v>0</v>
      </c>
      <c r="G2738" s="24">
        <f>IF(OR($B2738="",$D2738=""),"",$D2738*IFERROR(INDEX(ProdCusto,MATCH($B2738,ProdCod,0)),0))</f>
        <v>0</v>
      </c>
      <c r="H2738" s="25">
        <f>IF($A2738="","",IF(OR($B2738="",$C2738="",$D2738=""),"Preencher tudo",IF($F2738="Código não cadastrado","Código inválido","OK")))</f>
        <v>0</v>
      </c>
    </row>
    <row r="2739" spans="1:8">
      <c r="A2739" s="16"/>
      <c r="B2739" s="15"/>
      <c r="C2739" s="20"/>
      <c r="D2739" s="22"/>
      <c r="E2739" s="15"/>
      <c r="F2739" s="23">
        <f>IF($B2739="","",IFERROR(INDEX(ProdNome,MATCH($B2739,ProdCod,0)),"Código não cadastrado"))</f>
        <v>0</v>
      </c>
      <c r="G2739" s="24">
        <f>IF(OR($B2739="",$D2739=""),"",$D2739*IFERROR(INDEX(ProdCusto,MATCH($B2739,ProdCod,0)),0))</f>
        <v>0</v>
      </c>
      <c r="H2739" s="25">
        <f>IF($A2739="","",IF(OR($B2739="",$C2739="",$D2739=""),"Preencher tudo",IF($F2739="Código não cadastrado","Código inválido","OK")))</f>
        <v>0</v>
      </c>
    </row>
    <row r="2740" spans="1:8">
      <c r="A2740" s="16"/>
      <c r="B2740" s="15"/>
      <c r="C2740" s="20"/>
      <c r="D2740" s="22"/>
      <c r="E2740" s="15"/>
      <c r="F2740" s="23">
        <f>IF($B2740="","",IFERROR(INDEX(ProdNome,MATCH($B2740,ProdCod,0)),"Código não cadastrado"))</f>
        <v>0</v>
      </c>
      <c r="G2740" s="24">
        <f>IF(OR($B2740="",$D2740=""),"",$D2740*IFERROR(INDEX(ProdCusto,MATCH($B2740,ProdCod,0)),0))</f>
        <v>0</v>
      </c>
      <c r="H2740" s="25">
        <f>IF($A2740="","",IF(OR($B2740="",$C2740="",$D2740=""),"Preencher tudo",IF($F2740="Código não cadastrado","Código inválido","OK")))</f>
        <v>0</v>
      </c>
    </row>
    <row r="2741" spans="1:8">
      <c r="A2741" s="16"/>
      <c r="B2741" s="15"/>
      <c r="C2741" s="20"/>
      <c r="D2741" s="22"/>
      <c r="E2741" s="15"/>
      <c r="F2741" s="23">
        <f>IF($B2741="","",IFERROR(INDEX(ProdNome,MATCH($B2741,ProdCod,0)),"Código não cadastrado"))</f>
        <v>0</v>
      </c>
      <c r="G2741" s="24">
        <f>IF(OR($B2741="",$D2741=""),"",$D2741*IFERROR(INDEX(ProdCusto,MATCH($B2741,ProdCod,0)),0))</f>
        <v>0</v>
      </c>
      <c r="H2741" s="25">
        <f>IF($A2741="","",IF(OR($B2741="",$C2741="",$D2741=""),"Preencher tudo",IF($F2741="Código não cadastrado","Código inválido","OK")))</f>
        <v>0</v>
      </c>
    </row>
    <row r="2742" spans="1:8">
      <c r="A2742" s="16"/>
      <c r="B2742" s="15"/>
      <c r="C2742" s="20"/>
      <c r="D2742" s="22"/>
      <c r="E2742" s="15"/>
      <c r="F2742" s="23">
        <f>IF($B2742="","",IFERROR(INDEX(ProdNome,MATCH($B2742,ProdCod,0)),"Código não cadastrado"))</f>
        <v>0</v>
      </c>
      <c r="G2742" s="24">
        <f>IF(OR($B2742="",$D2742=""),"",$D2742*IFERROR(INDEX(ProdCusto,MATCH($B2742,ProdCod,0)),0))</f>
        <v>0</v>
      </c>
      <c r="H2742" s="25">
        <f>IF($A2742="","",IF(OR($B2742="",$C2742="",$D2742=""),"Preencher tudo",IF($F2742="Código não cadastrado","Código inválido","OK")))</f>
        <v>0</v>
      </c>
    </row>
    <row r="2743" spans="1:8">
      <c r="A2743" s="16"/>
      <c r="B2743" s="15"/>
      <c r="C2743" s="20"/>
      <c r="D2743" s="22"/>
      <c r="E2743" s="15"/>
      <c r="F2743" s="23">
        <f>IF($B2743="","",IFERROR(INDEX(ProdNome,MATCH($B2743,ProdCod,0)),"Código não cadastrado"))</f>
        <v>0</v>
      </c>
      <c r="G2743" s="24">
        <f>IF(OR($B2743="",$D2743=""),"",$D2743*IFERROR(INDEX(ProdCusto,MATCH($B2743,ProdCod,0)),0))</f>
        <v>0</v>
      </c>
      <c r="H2743" s="25">
        <f>IF($A2743="","",IF(OR($B2743="",$C2743="",$D2743=""),"Preencher tudo",IF($F2743="Código não cadastrado","Código inválido","OK")))</f>
        <v>0</v>
      </c>
    </row>
    <row r="2744" spans="1:8">
      <c r="A2744" s="16"/>
      <c r="B2744" s="15"/>
      <c r="C2744" s="20"/>
      <c r="D2744" s="22"/>
      <c r="E2744" s="15"/>
      <c r="F2744" s="23">
        <f>IF($B2744="","",IFERROR(INDEX(ProdNome,MATCH($B2744,ProdCod,0)),"Código não cadastrado"))</f>
        <v>0</v>
      </c>
      <c r="G2744" s="24">
        <f>IF(OR($B2744="",$D2744=""),"",$D2744*IFERROR(INDEX(ProdCusto,MATCH($B2744,ProdCod,0)),0))</f>
        <v>0</v>
      </c>
      <c r="H2744" s="25">
        <f>IF($A2744="","",IF(OR($B2744="",$C2744="",$D2744=""),"Preencher tudo",IF($F2744="Código não cadastrado","Código inválido","OK")))</f>
        <v>0</v>
      </c>
    </row>
    <row r="2745" spans="1:8">
      <c r="A2745" s="16"/>
      <c r="B2745" s="15"/>
      <c r="C2745" s="20"/>
      <c r="D2745" s="22"/>
      <c r="E2745" s="15"/>
      <c r="F2745" s="23">
        <f>IF($B2745="","",IFERROR(INDEX(ProdNome,MATCH($B2745,ProdCod,0)),"Código não cadastrado"))</f>
        <v>0</v>
      </c>
      <c r="G2745" s="24">
        <f>IF(OR($B2745="",$D2745=""),"",$D2745*IFERROR(INDEX(ProdCusto,MATCH($B2745,ProdCod,0)),0))</f>
        <v>0</v>
      </c>
      <c r="H2745" s="25">
        <f>IF($A2745="","",IF(OR($B2745="",$C2745="",$D2745=""),"Preencher tudo",IF($F2745="Código não cadastrado","Código inválido","OK")))</f>
        <v>0</v>
      </c>
    </row>
    <row r="2746" spans="1:8">
      <c r="A2746" s="16"/>
      <c r="B2746" s="15"/>
      <c r="C2746" s="20"/>
      <c r="D2746" s="22"/>
      <c r="E2746" s="15"/>
      <c r="F2746" s="23">
        <f>IF($B2746="","",IFERROR(INDEX(ProdNome,MATCH($B2746,ProdCod,0)),"Código não cadastrado"))</f>
        <v>0</v>
      </c>
      <c r="G2746" s="24">
        <f>IF(OR($B2746="",$D2746=""),"",$D2746*IFERROR(INDEX(ProdCusto,MATCH($B2746,ProdCod,0)),0))</f>
        <v>0</v>
      </c>
      <c r="H2746" s="25">
        <f>IF($A2746="","",IF(OR($B2746="",$C2746="",$D2746=""),"Preencher tudo",IF($F2746="Código não cadastrado","Código inválido","OK")))</f>
        <v>0</v>
      </c>
    </row>
    <row r="2747" spans="1:8">
      <c r="A2747" s="16"/>
      <c r="B2747" s="15"/>
      <c r="C2747" s="20"/>
      <c r="D2747" s="22"/>
      <c r="E2747" s="15"/>
      <c r="F2747" s="23">
        <f>IF($B2747="","",IFERROR(INDEX(ProdNome,MATCH($B2747,ProdCod,0)),"Código não cadastrado"))</f>
        <v>0</v>
      </c>
      <c r="G2747" s="24">
        <f>IF(OR($B2747="",$D2747=""),"",$D2747*IFERROR(INDEX(ProdCusto,MATCH($B2747,ProdCod,0)),0))</f>
        <v>0</v>
      </c>
      <c r="H2747" s="25">
        <f>IF($A2747="","",IF(OR($B2747="",$C2747="",$D2747=""),"Preencher tudo",IF($F2747="Código não cadastrado","Código inválido","OK")))</f>
        <v>0</v>
      </c>
    </row>
    <row r="2748" spans="1:8">
      <c r="A2748" s="16"/>
      <c r="B2748" s="15"/>
      <c r="C2748" s="20"/>
      <c r="D2748" s="22"/>
      <c r="E2748" s="15"/>
      <c r="F2748" s="23">
        <f>IF($B2748="","",IFERROR(INDEX(ProdNome,MATCH($B2748,ProdCod,0)),"Código não cadastrado"))</f>
        <v>0</v>
      </c>
      <c r="G2748" s="24">
        <f>IF(OR($B2748="",$D2748=""),"",$D2748*IFERROR(INDEX(ProdCusto,MATCH($B2748,ProdCod,0)),0))</f>
        <v>0</v>
      </c>
      <c r="H2748" s="25">
        <f>IF($A2748="","",IF(OR($B2748="",$C2748="",$D2748=""),"Preencher tudo",IF($F2748="Código não cadastrado","Código inválido","OK")))</f>
        <v>0</v>
      </c>
    </row>
    <row r="2749" spans="1:8">
      <c r="A2749" s="16"/>
      <c r="B2749" s="15"/>
      <c r="C2749" s="20"/>
      <c r="D2749" s="22"/>
      <c r="E2749" s="15"/>
      <c r="F2749" s="23">
        <f>IF($B2749="","",IFERROR(INDEX(ProdNome,MATCH($B2749,ProdCod,0)),"Código não cadastrado"))</f>
        <v>0</v>
      </c>
      <c r="G2749" s="24">
        <f>IF(OR($B2749="",$D2749=""),"",$D2749*IFERROR(INDEX(ProdCusto,MATCH($B2749,ProdCod,0)),0))</f>
        <v>0</v>
      </c>
      <c r="H2749" s="25">
        <f>IF($A2749="","",IF(OR($B2749="",$C2749="",$D2749=""),"Preencher tudo",IF($F2749="Código não cadastrado","Código inválido","OK")))</f>
        <v>0</v>
      </c>
    </row>
    <row r="2750" spans="1:8">
      <c r="A2750" s="16"/>
      <c r="B2750" s="15"/>
      <c r="C2750" s="20"/>
      <c r="D2750" s="22"/>
      <c r="E2750" s="15"/>
      <c r="F2750" s="23">
        <f>IF($B2750="","",IFERROR(INDEX(ProdNome,MATCH($B2750,ProdCod,0)),"Código não cadastrado"))</f>
        <v>0</v>
      </c>
      <c r="G2750" s="24">
        <f>IF(OR($B2750="",$D2750=""),"",$D2750*IFERROR(INDEX(ProdCusto,MATCH($B2750,ProdCod,0)),0))</f>
        <v>0</v>
      </c>
      <c r="H2750" s="25">
        <f>IF($A2750="","",IF(OR($B2750="",$C2750="",$D2750=""),"Preencher tudo",IF($F2750="Código não cadastrado","Código inválido","OK")))</f>
        <v>0</v>
      </c>
    </row>
    <row r="2751" spans="1:8">
      <c r="A2751" s="16"/>
      <c r="B2751" s="15"/>
      <c r="C2751" s="20"/>
      <c r="D2751" s="22"/>
      <c r="E2751" s="15"/>
      <c r="F2751" s="23">
        <f>IF($B2751="","",IFERROR(INDEX(ProdNome,MATCH($B2751,ProdCod,0)),"Código não cadastrado"))</f>
        <v>0</v>
      </c>
      <c r="G2751" s="24">
        <f>IF(OR($B2751="",$D2751=""),"",$D2751*IFERROR(INDEX(ProdCusto,MATCH($B2751,ProdCod,0)),0))</f>
        <v>0</v>
      </c>
      <c r="H2751" s="25">
        <f>IF($A2751="","",IF(OR($B2751="",$C2751="",$D2751=""),"Preencher tudo",IF($F2751="Código não cadastrado","Código inválido","OK")))</f>
        <v>0</v>
      </c>
    </row>
    <row r="2752" spans="1:8">
      <c r="A2752" s="16"/>
      <c r="B2752" s="15"/>
      <c r="C2752" s="20"/>
      <c r="D2752" s="22"/>
      <c r="E2752" s="15"/>
      <c r="F2752" s="23">
        <f>IF($B2752="","",IFERROR(INDEX(ProdNome,MATCH($B2752,ProdCod,0)),"Código não cadastrado"))</f>
        <v>0</v>
      </c>
      <c r="G2752" s="24">
        <f>IF(OR($B2752="",$D2752=""),"",$D2752*IFERROR(INDEX(ProdCusto,MATCH($B2752,ProdCod,0)),0))</f>
        <v>0</v>
      </c>
      <c r="H2752" s="25">
        <f>IF($A2752="","",IF(OR($B2752="",$C2752="",$D2752=""),"Preencher tudo",IF($F2752="Código não cadastrado","Código inválido","OK")))</f>
        <v>0</v>
      </c>
    </row>
    <row r="2753" spans="1:8">
      <c r="A2753" s="16"/>
      <c r="B2753" s="15"/>
      <c r="C2753" s="20"/>
      <c r="D2753" s="22"/>
      <c r="E2753" s="15"/>
      <c r="F2753" s="23">
        <f>IF($B2753="","",IFERROR(INDEX(ProdNome,MATCH($B2753,ProdCod,0)),"Código não cadastrado"))</f>
        <v>0</v>
      </c>
      <c r="G2753" s="24">
        <f>IF(OR($B2753="",$D2753=""),"",$D2753*IFERROR(INDEX(ProdCusto,MATCH($B2753,ProdCod,0)),0))</f>
        <v>0</v>
      </c>
      <c r="H2753" s="25">
        <f>IF($A2753="","",IF(OR($B2753="",$C2753="",$D2753=""),"Preencher tudo",IF($F2753="Código não cadastrado","Código inválido","OK")))</f>
        <v>0</v>
      </c>
    </row>
    <row r="2754" spans="1:8">
      <c r="A2754" s="16"/>
      <c r="B2754" s="15"/>
      <c r="C2754" s="20"/>
      <c r="D2754" s="22"/>
      <c r="E2754" s="15"/>
      <c r="F2754" s="23">
        <f>IF($B2754="","",IFERROR(INDEX(ProdNome,MATCH($B2754,ProdCod,0)),"Código não cadastrado"))</f>
        <v>0</v>
      </c>
      <c r="G2754" s="24">
        <f>IF(OR($B2754="",$D2754=""),"",$D2754*IFERROR(INDEX(ProdCusto,MATCH($B2754,ProdCod,0)),0))</f>
        <v>0</v>
      </c>
      <c r="H2754" s="25">
        <f>IF($A2754="","",IF(OR($B2754="",$C2754="",$D2754=""),"Preencher tudo",IF($F2754="Código não cadastrado","Código inválido","OK")))</f>
        <v>0</v>
      </c>
    </row>
    <row r="2755" spans="1:8">
      <c r="A2755" s="16"/>
      <c r="B2755" s="15"/>
      <c r="C2755" s="20"/>
      <c r="D2755" s="22"/>
      <c r="E2755" s="15"/>
      <c r="F2755" s="23">
        <f>IF($B2755="","",IFERROR(INDEX(ProdNome,MATCH($B2755,ProdCod,0)),"Código não cadastrado"))</f>
        <v>0</v>
      </c>
      <c r="G2755" s="24">
        <f>IF(OR($B2755="",$D2755=""),"",$D2755*IFERROR(INDEX(ProdCusto,MATCH($B2755,ProdCod,0)),0))</f>
        <v>0</v>
      </c>
      <c r="H2755" s="25">
        <f>IF($A2755="","",IF(OR($B2755="",$C2755="",$D2755=""),"Preencher tudo",IF($F2755="Código não cadastrado","Código inválido","OK")))</f>
        <v>0</v>
      </c>
    </row>
    <row r="2756" spans="1:8">
      <c r="A2756" s="16"/>
      <c r="B2756" s="15"/>
      <c r="C2756" s="20"/>
      <c r="D2756" s="22"/>
      <c r="E2756" s="15"/>
      <c r="F2756" s="23">
        <f>IF($B2756="","",IFERROR(INDEX(ProdNome,MATCH($B2756,ProdCod,0)),"Código não cadastrado"))</f>
        <v>0</v>
      </c>
      <c r="G2756" s="24">
        <f>IF(OR($B2756="",$D2756=""),"",$D2756*IFERROR(INDEX(ProdCusto,MATCH($B2756,ProdCod,0)),0))</f>
        <v>0</v>
      </c>
      <c r="H2756" s="25">
        <f>IF($A2756="","",IF(OR($B2756="",$C2756="",$D2756=""),"Preencher tudo",IF($F2756="Código não cadastrado","Código inválido","OK")))</f>
        <v>0</v>
      </c>
    </row>
    <row r="2757" spans="1:8">
      <c r="A2757" s="16"/>
      <c r="B2757" s="15"/>
      <c r="C2757" s="20"/>
      <c r="D2757" s="22"/>
      <c r="E2757" s="15"/>
      <c r="F2757" s="23">
        <f>IF($B2757="","",IFERROR(INDEX(ProdNome,MATCH($B2757,ProdCod,0)),"Código não cadastrado"))</f>
        <v>0</v>
      </c>
      <c r="G2757" s="24">
        <f>IF(OR($B2757="",$D2757=""),"",$D2757*IFERROR(INDEX(ProdCusto,MATCH($B2757,ProdCod,0)),0))</f>
        <v>0</v>
      </c>
      <c r="H2757" s="25">
        <f>IF($A2757="","",IF(OR($B2757="",$C2757="",$D2757=""),"Preencher tudo",IF($F2757="Código não cadastrado","Código inválido","OK")))</f>
        <v>0</v>
      </c>
    </row>
    <row r="2758" spans="1:8">
      <c r="A2758" s="16"/>
      <c r="B2758" s="15"/>
      <c r="C2758" s="20"/>
      <c r="D2758" s="22"/>
      <c r="E2758" s="15"/>
      <c r="F2758" s="23">
        <f>IF($B2758="","",IFERROR(INDEX(ProdNome,MATCH($B2758,ProdCod,0)),"Código não cadastrado"))</f>
        <v>0</v>
      </c>
      <c r="G2758" s="24">
        <f>IF(OR($B2758="",$D2758=""),"",$D2758*IFERROR(INDEX(ProdCusto,MATCH($B2758,ProdCod,0)),0))</f>
        <v>0</v>
      </c>
      <c r="H2758" s="25">
        <f>IF($A2758="","",IF(OR($B2758="",$C2758="",$D2758=""),"Preencher tudo",IF($F2758="Código não cadastrado","Código inválido","OK")))</f>
        <v>0</v>
      </c>
    </row>
    <row r="2759" spans="1:8">
      <c r="A2759" s="16"/>
      <c r="B2759" s="15"/>
      <c r="C2759" s="20"/>
      <c r="D2759" s="22"/>
      <c r="E2759" s="15"/>
      <c r="F2759" s="23">
        <f>IF($B2759="","",IFERROR(INDEX(ProdNome,MATCH($B2759,ProdCod,0)),"Código não cadastrado"))</f>
        <v>0</v>
      </c>
      <c r="G2759" s="24">
        <f>IF(OR($B2759="",$D2759=""),"",$D2759*IFERROR(INDEX(ProdCusto,MATCH($B2759,ProdCod,0)),0))</f>
        <v>0</v>
      </c>
      <c r="H2759" s="25">
        <f>IF($A2759="","",IF(OR($B2759="",$C2759="",$D2759=""),"Preencher tudo",IF($F2759="Código não cadastrado","Código inválido","OK")))</f>
        <v>0</v>
      </c>
    </row>
    <row r="2760" spans="1:8">
      <c r="A2760" s="16"/>
      <c r="B2760" s="15"/>
      <c r="C2760" s="20"/>
      <c r="D2760" s="22"/>
      <c r="E2760" s="15"/>
      <c r="F2760" s="23">
        <f>IF($B2760="","",IFERROR(INDEX(ProdNome,MATCH($B2760,ProdCod,0)),"Código não cadastrado"))</f>
        <v>0</v>
      </c>
      <c r="G2760" s="24">
        <f>IF(OR($B2760="",$D2760=""),"",$D2760*IFERROR(INDEX(ProdCusto,MATCH($B2760,ProdCod,0)),0))</f>
        <v>0</v>
      </c>
      <c r="H2760" s="25">
        <f>IF($A2760="","",IF(OR($B2760="",$C2760="",$D2760=""),"Preencher tudo",IF($F2760="Código não cadastrado","Código inválido","OK")))</f>
        <v>0</v>
      </c>
    </row>
    <row r="2761" spans="1:8">
      <c r="A2761" s="16"/>
      <c r="B2761" s="15"/>
      <c r="C2761" s="20"/>
      <c r="D2761" s="22"/>
      <c r="E2761" s="15"/>
      <c r="F2761" s="23">
        <f>IF($B2761="","",IFERROR(INDEX(ProdNome,MATCH($B2761,ProdCod,0)),"Código não cadastrado"))</f>
        <v>0</v>
      </c>
      <c r="G2761" s="24">
        <f>IF(OR($B2761="",$D2761=""),"",$D2761*IFERROR(INDEX(ProdCusto,MATCH($B2761,ProdCod,0)),0))</f>
        <v>0</v>
      </c>
      <c r="H2761" s="25">
        <f>IF($A2761="","",IF(OR($B2761="",$C2761="",$D2761=""),"Preencher tudo",IF($F2761="Código não cadastrado","Código inválido","OK")))</f>
        <v>0</v>
      </c>
    </row>
    <row r="2762" spans="1:8">
      <c r="A2762" s="16"/>
      <c r="B2762" s="15"/>
      <c r="C2762" s="20"/>
      <c r="D2762" s="22"/>
      <c r="E2762" s="15"/>
      <c r="F2762" s="23">
        <f>IF($B2762="","",IFERROR(INDEX(ProdNome,MATCH($B2762,ProdCod,0)),"Código não cadastrado"))</f>
        <v>0</v>
      </c>
      <c r="G2762" s="24">
        <f>IF(OR($B2762="",$D2762=""),"",$D2762*IFERROR(INDEX(ProdCusto,MATCH($B2762,ProdCod,0)),0))</f>
        <v>0</v>
      </c>
      <c r="H2762" s="25">
        <f>IF($A2762="","",IF(OR($B2762="",$C2762="",$D2762=""),"Preencher tudo",IF($F2762="Código não cadastrado","Código inválido","OK")))</f>
        <v>0</v>
      </c>
    </row>
    <row r="2763" spans="1:8">
      <c r="A2763" s="16"/>
      <c r="B2763" s="15"/>
      <c r="C2763" s="20"/>
      <c r="D2763" s="22"/>
      <c r="E2763" s="15"/>
      <c r="F2763" s="23">
        <f>IF($B2763="","",IFERROR(INDEX(ProdNome,MATCH($B2763,ProdCod,0)),"Código não cadastrado"))</f>
        <v>0</v>
      </c>
      <c r="G2763" s="24">
        <f>IF(OR($B2763="",$D2763=""),"",$D2763*IFERROR(INDEX(ProdCusto,MATCH($B2763,ProdCod,0)),0))</f>
        <v>0</v>
      </c>
      <c r="H2763" s="25">
        <f>IF($A2763="","",IF(OR($B2763="",$C2763="",$D2763=""),"Preencher tudo",IF($F2763="Código não cadastrado","Código inválido","OK")))</f>
        <v>0</v>
      </c>
    </row>
    <row r="2764" spans="1:8">
      <c r="A2764" s="16"/>
      <c r="B2764" s="15"/>
      <c r="C2764" s="20"/>
      <c r="D2764" s="22"/>
      <c r="E2764" s="15"/>
      <c r="F2764" s="23">
        <f>IF($B2764="","",IFERROR(INDEX(ProdNome,MATCH($B2764,ProdCod,0)),"Código não cadastrado"))</f>
        <v>0</v>
      </c>
      <c r="G2764" s="24">
        <f>IF(OR($B2764="",$D2764=""),"",$D2764*IFERROR(INDEX(ProdCusto,MATCH($B2764,ProdCod,0)),0))</f>
        <v>0</v>
      </c>
      <c r="H2764" s="25">
        <f>IF($A2764="","",IF(OR($B2764="",$C2764="",$D2764=""),"Preencher tudo",IF($F2764="Código não cadastrado","Código inválido","OK")))</f>
        <v>0</v>
      </c>
    </row>
    <row r="2765" spans="1:8">
      <c r="A2765" s="16"/>
      <c r="B2765" s="15"/>
      <c r="C2765" s="20"/>
      <c r="D2765" s="22"/>
      <c r="E2765" s="15"/>
      <c r="F2765" s="23">
        <f>IF($B2765="","",IFERROR(INDEX(ProdNome,MATCH($B2765,ProdCod,0)),"Código não cadastrado"))</f>
        <v>0</v>
      </c>
      <c r="G2765" s="24">
        <f>IF(OR($B2765="",$D2765=""),"",$D2765*IFERROR(INDEX(ProdCusto,MATCH($B2765,ProdCod,0)),0))</f>
        <v>0</v>
      </c>
      <c r="H2765" s="25">
        <f>IF($A2765="","",IF(OR($B2765="",$C2765="",$D2765=""),"Preencher tudo",IF($F2765="Código não cadastrado","Código inválido","OK")))</f>
        <v>0</v>
      </c>
    </row>
    <row r="2766" spans="1:8">
      <c r="A2766" s="16"/>
      <c r="B2766" s="15"/>
      <c r="C2766" s="20"/>
      <c r="D2766" s="22"/>
      <c r="E2766" s="15"/>
      <c r="F2766" s="23">
        <f>IF($B2766="","",IFERROR(INDEX(ProdNome,MATCH($B2766,ProdCod,0)),"Código não cadastrado"))</f>
        <v>0</v>
      </c>
      <c r="G2766" s="24">
        <f>IF(OR($B2766="",$D2766=""),"",$D2766*IFERROR(INDEX(ProdCusto,MATCH($B2766,ProdCod,0)),0))</f>
        <v>0</v>
      </c>
      <c r="H2766" s="25">
        <f>IF($A2766="","",IF(OR($B2766="",$C2766="",$D2766=""),"Preencher tudo",IF($F2766="Código não cadastrado","Código inválido","OK")))</f>
        <v>0</v>
      </c>
    </row>
    <row r="2767" spans="1:8">
      <c r="A2767" s="16"/>
      <c r="B2767" s="15"/>
      <c r="C2767" s="20"/>
      <c r="D2767" s="22"/>
      <c r="E2767" s="15"/>
      <c r="F2767" s="23">
        <f>IF($B2767="","",IFERROR(INDEX(ProdNome,MATCH($B2767,ProdCod,0)),"Código não cadastrado"))</f>
        <v>0</v>
      </c>
      <c r="G2767" s="24">
        <f>IF(OR($B2767="",$D2767=""),"",$D2767*IFERROR(INDEX(ProdCusto,MATCH($B2767,ProdCod,0)),0))</f>
        <v>0</v>
      </c>
      <c r="H2767" s="25">
        <f>IF($A2767="","",IF(OR($B2767="",$C2767="",$D2767=""),"Preencher tudo",IF($F2767="Código não cadastrado","Código inválido","OK")))</f>
        <v>0</v>
      </c>
    </row>
    <row r="2768" spans="1:8">
      <c r="A2768" s="16"/>
      <c r="B2768" s="15"/>
      <c r="C2768" s="20"/>
      <c r="D2768" s="22"/>
      <c r="E2768" s="15"/>
      <c r="F2768" s="23">
        <f>IF($B2768="","",IFERROR(INDEX(ProdNome,MATCH($B2768,ProdCod,0)),"Código não cadastrado"))</f>
        <v>0</v>
      </c>
      <c r="G2768" s="24">
        <f>IF(OR($B2768="",$D2768=""),"",$D2768*IFERROR(INDEX(ProdCusto,MATCH($B2768,ProdCod,0)),0))</f>
        <v>0</v>
      </c>
      <c r="H2768" s="25">
        <f>IF($A2768="","",IF(OR($B2768="",$C2768="",$D2768=""),"Preencher tudo",IF($F2768="Código não cadastrado","Código inválido","OK")))</f>
        <v>0</v>
      </c>
    </row>
    <row r="2769" spans="1:8">
      <c r="A2769" s="16"/>
      <c r="B2769" s="15"/>
      <c r="C2769" s="20"/>
      <c r="D2769" s="22"/>
      <c r="E2769" s="15"/>
      <c r="F2769" s="23">
        <f>IF($B2769="","",IFERROR(INDEX(ProdNome,MATCH($B2769,ProdCod,0)),"Código não cadastrado"))</f>
        <v>0</v>
      </c>
      <c r="G2769" s="24">
        <f>IF(OR($B2769="",$D2769=""),"",$D2769*IFERROR(INDEX(ProdCusto,MATCH($B2769,ProdCod,0)),0))</f>
        <v>0</v>
      </c>
      <c r="H2769" s="25">
        <f>IF($A2769="","",IF(OR($B2769="",$C2769="",$D2769=""),"Preencher tudo",IF($F2769="Código não cadastrado","Código inválido","OK")))</f>
        <v>0</v>
      </c>
    </row>
    <row r="2770" spans="1:8">
      <c r="A2770" s="16"/>
      <c r="B2770" s="15"/>
      <c r="C2770" s="20"/>
      <c r="D2770" s="22"/>
      <c r="E2770" s="15"/>
      <c r="F2770" s="23">
        <f>IF($B2770="","",IFERROR(INDEX(ProdNome,MATCH($B2770,ProdCod,0)),"Código não cadastrado"))</f>
        <v>0</v>
      </c>
      <c r="G2770" s="24">
        <f>IF(OR($B2770="",$D2770=""),"",$D2770*IFERROR(INDEX(ProdCusto,MATCH($B2770,ProdCod,0)),0))</f>
        <v>0</v>
      </c>
      <c r="H2770" s="25">
        <f>IF($A2770="","",IF(OR($B2770="",$C2770="",$D2770=""),"Preencher tudo",IF($F2770="Código não cadastrado","Código inválido","OK")))</f>
        <v>0</v>
      </c>
    </row>
    <row r="2771" spans="1:8">
      <c r="A2771" s="16"/>
      <c r="B2771" s="15"/>
      <c r="C2771" s="20"/>
      <c r="D2771" s="22"/>
      <c r="E2771" s="15"/>
      <c r="F2771" s="23">
        <f>IF($B2771="","",IFERROR(INDEX(ProdNome,MATCH($B2771,ProdCod,0)),"Código não cadastrado"))</f>
        <v>0</v>
      </c>
      <c r="G2771" s="24">
        <f>IF(OR($B2771="",$D2771=""),"",$D2771*IFERROR(INDEX(ProdCusto,MATCH($B2771,ProdCod,0)),0))</f>
        <v>0</v>
      </c>
      <c r="H2771" s="25">
        <f>IF($A2771="","",IF(OR($B2771="",$C2771="",$D2771=""),"Preencher tudo",IF($F2771="Código não cadastrado","Código inválido","OK")))</f>
        <v>0</v>
      </c>
    </row>
    <row r="2772" spans="1:8">
      <c r="A2772" s="16"/>
      <c r="B2772" s="15"/>
      <c r="C2772" s="20"/>
      <c r="D2772" s="22"/>
      <c r="E2772" s="15"/>
      <c r="F2772" s="23">
        <f>IF($B2772="","",IFERROR(INDEX(ProdNome,MATCH($B2772,ProdCod,0)),"Código não cadastrado"))</f>
        <v>0</v>
      </c>
      <c r="G2772" s="24">
        <f>IF(OR($B2772="",$D2772=""),"",$D2772*IFERROR(INDEX(ProdCusto,MATCH($B2772,ProdCod,0)),0))</f>
        <v>0</v>
      </c>
      <c r="H2772" s="25">
        <f>IF($A2772="","",IF(OR($B2772="",$C2772="",$D2772=""),"Preencher tudo",IF($F2772="Código não cadastrado","Código inválido","OK")))</f>
        <v>0</v>
      </c>
    </row>
    <row r="2773" spans="1:8">
      <c r="A2773" s="16"/>
      <c r="B2773" s="15"/>
      <c r="C2773" s="20"/>
      <c r="D2773" s="22"/>
      <c r="E2773" s="15"/>
      <c r="F2773" s="23">
        <f>IF($B2773="","",IFERROR(INDEX(ProdNome,MATCH($B2773,ProdCod,0)),"Código não cadastrado"))</f>
        <v>0</v>
      </c>
      <c r="G2773" s="24">
        <f>IF(OR($B2773="",$D2773=""),"",$D2773*IFERROR(INDEX(ProdCusto,MATCH($B2773,ProdCod,0)),0))</f>
        <v>0</v>
      </c>
      <c r="H2773" s="25">
        <f>IF($A2773="","",IF(OR($B2773="",$C2773="",$D2773=""),"Preencher tudo",IF($F2773="Código não cadastrado","Código inválido","OK")))</f>
        <v>0</v>
      </c>
    </row>
    <row r="2774" spans="1:8">
      <c r="A2774" s="16"/>
      <c r="B2774" s="15"/>
      <c r="C2774" s="20"/>
      <c r="D2774" s="22"/>
      <c r="E2774" s="15"/>
      <c r="F2774" s="23">
        <f>IF($B2774="","",IFERROR(INDEX(ProdNome,MATCH($B2774,ProdCod,0)),"Código não cadastrado"))</f>
        <v>0</v>
      </c>
      <c r="G2774" s="24">
        <f>IF(OR($B2774="",$D2774=""),"",$D2774*IFERROR(INDEX(ProdCusto,MATCH($B2774,ProdCod,0)),0))</f>
        <v>0</v>
      </c>
      <c r="H2774" s="25">
        <f>IF($A2774="","",IF(OR($B2774="",$C2774="",$D2774=""),"Preencher tudo",IF($F2774="Código não cadastrado","Código inválido","OK")))</f>
        <v>0</v>
      </c>
    </row>
    <row r="2775" spans="1:8">
      <c r="A2775" s="16"/>
      <c r="B2775" s="15"/>
      <c r="C2775" s="20"/>
      <c r="D2775" s="22"/>
      <c r="E2775" s="15"/>
      <c r="F2775" s="23">
        <f>IF($B2775="","",IFERROR(INDEX(ProdNome,MATCH($B2775,ProdCod,0)),"Código não cadastrado"))</f>
        <v>0</v>
      </c>
      <c r="G2775" s="24">
        <f>IF(OR($B2775="",$D2775=""),"",$D2775*IFERROR(INDEX(ProdCusto,MATCH($B2775,ProdCod,0)),0))</f>
        <v>0</v>
      </c>
      <c r="H2775" s="25">
        <f>IF($A2775="","",IF(OR($B2775="",$C2775="",$D2775=""),"Preencher tudo",IF($F2775="Código não cadastrado","Código inválido","OK")))</f>
        <v>0</v>
      </c>
    </row>
    <row r="2776" spans="1:8">
      <c r="A2776" s="16"/>
      <c r="B2776" s="15"/>
      <c r="C2776" s="20"/>
      <c r="D2776" s="22"/>
      <c r="E2776" s="15"/>
      <c r="F2776" s="23">
        <f>IF($B2776="","",IFERROR(INDEX(ProdNome,MATCH($B2776,ProdCod,0)),"Código não cadastrado"))</f>
        <v>0</v>
      </c>
      <c r="G2776" s="24">
        <f>IF(OR($B2776="",$D2776=""),"",$D2776*IFERROR(INDEX(ProdCusto,MATCH($B2776,ProdCod,0)),0))</f>
        <v>0</v>
      </c>
      <c r="H2776" s="25">
        <f>IF($A2776="","",IF(OR($B2776="",$C2776="",$D2776=""),"Preencher tudo",IF($F2776="Código não cadastrado","Código inválido","OK")))</f>
        <v>0</v>
      </c>
    </row>
    <row r="2777" spans="1:8">
      <c r="A2777" s="16"/>
      <c r="B2777" s="15"/>
      <c r="C2777" s="20"/>
      <c r="D2777" s="22"/>
      <c r="E2777" s="15"/>
      <c r="F2777" s="23">
        <f>IF($B2777="","",IFERROR(INDEX(ProdNome,MATCH($B2777,ProdCod,0)),"Código não cadastrado"))</f>
        <v>0</v>
      </c>
      <c r="G2777" s="24">
        <f>IF(OR($B2777="",$D2777=""),"",$D2777*IFERROR(INDEX(ProdCusto,MATCH($B2777,ProdCod,0)),0))</f>
        <v>0</v>
      </c>
      <c r="H2777" s="25">
        <f>IF($A2777="","",IF(OR($B2777="",$C2777="",$D2777=""),"Preencher tudo",IF($F2777="Código não cadastrado","Código inválido","OK")))</f>
        <v>0</v>
      </c>
    </row>
    <row r="2778" spans="1:8">
      <c r="A2778" s="16"/>
      <c r="B2778" s="15"/>
      <c r="C2778" s="20"/>
      <c r="D2778" s="22"/>
      <c r="E2778" s="15"/>
      <c r="F2778" s="23">
        <f>IF($B2778="","",IFERROR(INDEX(ProdNome,MATCH($B2778,ProdCod,0)),"Código não cadastrado"))</f>
        <v>0</v>
      </c>
      <c r="G2778" s="24">
        <f>IF(OR($B2778="",$D2778=""),"",$D2778*IFERROR(INDEX(ProdCusto,MATCH($B2778,ProdCod,0)),0))</f>
        <v>0</v>
      </c>
      <c r="H2778" s="25">
        <f>IF($A2778="","",IF(OR($B2778="",$C2778="",$D2778=""),"Preencher tudo",IF($F2778="Código não cadastrado","Código inválido","OK")))</f>
        <v>0</v>
      </c>
    </row>
    <row r="2779" spans="1:8">
      <c r="A2779" s="16"/>
      <c r="B2779" s="15"/>
      <c r="C2779" s="20"/>
      <c r="D2779" s="22"/>
      <c r="E2779" s="15"/>
      <c r="F2779" s="23">
        <f>IF($B2779="","",IFERROR(INDEX(ProdNome,MATCH($B2779,ProdCod,0)),"Código não cadastrado"))</f>
        <v>0</v>
      </c>
      <c r="G2779" s="24">
        <f>IF(OR($B2779="",$D2779=""),"",$D2779*IFERROR(INDEX(ProdCusto,MATCH($B2779,ProdCod,0)),0))</f>
        <v>0</v>
      </c>
      <c r="H2779" s="25">
        <f>IF($A2779="","",IF(OR($B2779="",$C2779="",$D2779=""),"Preencher tudo",IF($F2779="Código não cadastrado","Código inválido","OK")))</f>
        <v>0</v>
      </c>
    </row>
    <row r="2780" spans="1:8">
      <c r="A2780" s="16"/>
      <c r="B2780" s="15"/>
      <c r="C2780" s="20"/>
      <c r="D2780" s="22"/>
      <c r="E2780" s="15"/>
      <c r="F2780" s="23">
        <f>IF($B2780="","",IFERROR(INDEX(ProdNome,MATCH($B2780,ProdCod,0)),"Código não cadastrado"))</f>
        <v>0</v>
      </c>
      <c r="G2780" s="24">
        <f>IF(OR($B2780="",$D2780=""),"",$D2780*IFERROR(INDEX(ProdCusto,MATCH($B2780,ProdCod,0)),0))</f>
        <v>0</v>
      </c>
      <c r="H2780" s="25">
        <f>IF($A2780="","",IF(OR($B2780="",$C2780="",$D2780=""),"Preencher tudo",IF($F2780="Código não cadastrado","Código inválido","OK")))</f>
        <v>0</v>
      </c>
    </row>
    <row r="2781" spans="1:8">
      <c r="A2781" s="16"/>
      <c r="B2781" s="15"/>
      <c r="C2781" s="20"/>
      <c r="D2781" s="22"/>
      <c r="E2781" s="15"/>
      <c r="F2781" s="23">
        <f>IF($B2781="","",IFERROR(INDEX(ProdNome,MATCH($B2781,ProdCod,0)),"Código não cadastrado"))</f>
        <v>0</v>
      </c>
      <c r="G2781" s="24">
        <f>IF(OR($B2781="",$D2781=""),"",$D2781*IFERROR(INDEX(ProdCusto,MATCH($B2781,ProdCod,0)),0))</f>
        <v>0</v>
      </c>
      <c r="H2781" s="25">
        <f>IF($A2781="","",IF(OR($B2781="",$C2781="",$D2781=""),"Preencher tudo",IF($F2781="Código não cadastrado","Código inválido","OK")))</f>
        <v>0</v>
      </c>
    </row>
    <row r="2782" spans="1:8">
      <c r="A2782" s="16"/>
      <c r="B2782" s="15"/>
      <c r="C2782" s="20"/>
      <c r="D2782" s="22"/>
      <c r="E2782" s="15"/>
      <c r="F2782" s="23">
        <f>IF($B2782="","",IFERROR(INDEX(ProdNome,MATCH($B2782,ProdCod,0)),"Código não cadastrado"))</f>
        <v>0</v>
      </c>
      <c r="G2782" s="24">
        <f>IF(OR($B2782="",$D2782=""),"",$D2782*IFERROR(INDEX(ProdCusto,MATCH($B2782,ProdCod,0)),0))</f>
        <v>0</v>
      </c>
      <c r="H2782" s="25">
        <f>IF($A2782="","",IF(OR($B2782="",$C2782="",$D2782=""),"Preencher tudo",IF($F2782="Código não cadastrado","Código inválido","OK")))</f>
        <v>0</v>
      </c>
    </row>
    <row r="2783" spans="1:8">
      <c r="A2783" s="16"/>
      <c r="B2783" s="15"/>
      <c r="C2783" s="20"/>
      <c r="D2783" s="22"/>
      <c r="E2783" s="15"/>
      <c r="F2783" s="23">
        <f>IF($B2783="","",IFERROR(INDEX(ProdNome,MATCH($B2783,ProdCod,0)),"Código não cadastrado"))</f>
        <v>0</v>
      </c>
      <c r="G2783" s="24">
        <f>IF(OR($B2783="",$D2783=""),"",$D2783*IFERROR(INDEX(ProdCusto,MATCH($B2783,ProdCod,0)),0))</f>
        <v>0</v>
      </c>
      <c r="H2783" s="25">
        <f>IF($A2783="","",IF(OR($B2783="",$C2783="",$D2783=""),"Preencher tudo",IF($F2783="Código não cadastrado","Código inválido","OK")))</f>
        <v>0</v>
      </c>
    </row>
    <row r="2784" spans="1:8">
      <c r="A2784" s="16"/>
      <c r="B2784" s="15"/>
      <c r="C2784" s="20"/>
      <c r="D2784" s="22"/>
      <c r="E2784" s="15"/>
      <c r="F2784" s="23">
        <f>IF($B2784="","",IFERROR(INDEX(ProdNome,MATCH($B2784,ProdCod,0)),"Código não cadastrado"))</f>
        <v>0</v>
      </c>
      <c r="G2784" s="24">
        <f>IF(OR($B2784="",$D2784=""),"",$D2784*IFERROR(INDEX(ProdCusto,MATCH($B2784,ProdCod,0)),0))</f>
        <v>0</v>
      </c>
      <c r="H2784" s="25">
        <f>IF($A2784="","",IF(OR($B2784="",$C2784="",$D2784=""),"Preencher tudo",IF($F2784="Código não cadastrado","Código inválido","OK")))</f>
        <v>0</v>
      </c>
    </row>
    <row r="2785" spans="1:8">
      <c r="A2785" s="16"/>
      <c r="B2785" s="15"/>
      <c r="C2785" s="20"/>
      <c r="D2785" s="22"/>
      <c r="E2785" s="15"/>
      <c r="F2785" s="23">
        <f>IF($B2785="","",IFERROR(INDEX(ProdNome,MATCH($B2785,ProdCod,0)),"Código não cadastrado"))</f>
        <v>0</v>
      </c>
      <c r="G2785" s="24">
        <f>IF(OR($B2785="",$D2785=""),"",$D2785*IFERROR(INDEX(ProdCusto,MATCH($B2785,ProdCod,0)),0))</f>
        <v>0</v>
      </c>
      <c r="H2785" s="25">
        <f>IF($A2785="","",IF(OR($B2785="",$C2785="",$D2785=""),"Preencher tudo",IF($F2785="Código não cadastrado","Código inválido","OK")))</f>
        <v>0</v>
      </c>
    </row>
    <row r="2786" spans="1:8">
      <c r="A2786" s="16"/>
      <c r="B2786" s="15"/>
      <c r="C2786" s="20"/>
      <c r="D2786" s="22"/>
      <c r="E2786" s="15"/>
      <c r="F2786" s="23">
        <f>IF($B2786="","",IFERROR(INDEX(ProdNome,MATCH($B2786,ProdCod,0)),"Código não cadastrado"))</f>
        <v>0</v>
      </c>
      <c r="G2786" s="24">
        <f>IF(OR($B2786="",$D2786=""),"",$D2786*IFERROR(INDEX(ProdCusto,MATCH($B2786,ProdCod,0)),0))</f>
        <v>0</v>
      </c>
      <c r="H2786" s="25">
        <f>IF($A2786="","",IF(OR($B2786="",$C2786="",$D2786=""),"Preencher tudo",IF($F2786="Código não cadastrado","Código inválido","OK")))</f>
        <v>0</v>
      </c>
    </row>
    <row r="2787" spans="1:8">
      <c r="A2787" s="16"/>
      <c r="B2787" s="15"/>
      <c r="C2787" s="20"/>
      <c r="D2787" s="22"/>
      <c r="E2787" s="15"/>
      <c r="F2787" s="23">
        <f>IF($B2787="","",IFERROR(INDEX(ProdNome,MATCH($B2787,ProdCod,0)),"Código não cadastrado"))</f>
        <v>0</v>
      </c>
      <c r="G2787" s="24">
        <f>IF(OR($B2787="",$D2787=""),"",$D2787*IFERROR(INDEX(ProdCusto,MATCH($B2787,ProdCod,0)),0))</f>
        <v>0</v>
      </c>
      <c r="H2787" s="25">
        <f>IF($A2787="","",IF(OR($B2787="",$C2787="",$D2787=""),"Preencher tudo",IF($F2787="Código não cadastrado","Código inválido","OK")))</f>
        <v>0</v>
      </c>
    </row>
    <row r="2788" spans="1:8">
      <c r="A2788" s="16"/>
      <c r="B2788" s="15"/>
      <c r="C2788" s="20"/>
      <c r="D2788" s="22"/>
      <c r="E2788" s="15"/>
      <c r="F2788" s="23">
        <f>IF($B2788="","",IFERROR(INDEX(ProdNome,MATCH($B2788,ProdCod,0)),"Código não cadastrado"))</f>
        <v>0</v>
      </c>
      <c r="G2788" s="24">
        <f>IF(OR($B2788="",$D2788=""),"",$D2788*IFERROR(INDEX(ProdCusto,MATCH($B2788,ProdCod,0)),0))</f>
        <v>0</v>
      </c>
      <c r="H2788" s="25">
        <f>IF($A2788="","",IF(OR($B2788="",$C2788="",$D2788=""),"Preencher tudo",IF($F2788="Código não cadastrado","Código inválido","OK")))</f>
        <v>0</v>
      </c>
    </row>
    <row r="2789" spans="1:8">
      <c r="A2789" s="16"/>
      <c r="B2789" s="15"/>
      <c r="C2789" s="20"/>
      <c r="D2789" s="22"/>
      <c r="E2789" s="15"/>
      <c r="F2789" s="23">
        <f>IF($B2789="","",IFERROR(INDEX(ProdNome,MATCH($B2789,ProdCod,0)),"Código não cadastrado"))</f>
        <v>0</v>
      </c>
      <c r="G2789" s="24">
        <f>IF(OR($B2789="",$D2789=""),"",$D2789*IFERROR(INDEX(ProdCusto,MATCH($B2789,ProdCod,0)),0))</f>
        <v>0</v>
      </c>
      <c r="H2789" s="25">
        <f>IF($A2789="","",IF(OR($B2789="",$C2789="",$D2789=""),"Preencher tudo",IF($F2789="Código não cadastrado","Código inválido","OK")))</f>
        <v>0</v>
      </c>
    </row>
    <row r="2790" spans="1:8">
      <c r="A2790" s="16"/>
      <c r="B2790" s="15"/>
      <c r="C2790" s="20"/>
      <c r="D2790" s="22"/>
      <c r="E2790" s="15"/>
      <c r="F2790" s="23">
        <f>IF($B2790="","",IFERROR(INDEX(ProdNome,MATCH($B2790,ProdCod,0)),"Código não cadastrado"))</f>
        <v>0</v>
      </c>
      <c r="G2790" s="24">
        <f>IF(OR($B2790="",$D2790=""),"",$D2790*IFERROR(INDEX(ProdCusto,MATCH($B2790,ProdCod,0)),0))</f>
        <v>0</v>
      </c>
      <c r="H2790" s="25">
        <f>IF($A2790="","",IF(OR($B2790="",$C2790="",$D2790=""),"Preencher tudo",IF($F2790="Código não cadastrado","Código inválido","OK")))</f>
        <v>0</v>
      </c>
    </row>
    <row r="2791" spans="1:8">
      <c r="A2791" s="16"/>
      <c r="B2791" s="15"/>
      <c r="C2791" s="20"/>
      <c r="D2791" s="22"/>
      <c r="E2791" s="15"/>
      <c r="F2791" s="23">
        <f>IF($B2791="","",IFERROR(INDEX(ProdNome,MATCH($B2791,ProdCod,0)),"Código não cadastrado"))</f>
        <v>0</v>
      </c>
      <c r="G2791" s="24">
        <f>IF(OR($B2791="",$D2791=""),"",$D2791*IFERROR(INDEX(ProdCusto,MATCH($B2791,ProdCod,0)),0))</f>
        <v>0</v>
      </c>
      <c r="H2791" s="25">
        <f>IF($A2791="","",IF(OR($B2791="",$C2791="",$D2791=""),"Preencher tudo",IF($F2791="Código não cadastrado","Código inválido","OK")))</f>
        <v>0</v>
      </c>
    </row>
    <row r="2792" spans="1:8">
      <c r="A2792" s="16"/>
      <c r="B2792" s="15"/>
      <c r="C2792" s="20"/>
      <c r="D2792" s="22"/>
      <c r="E2792" s="15"/>
      <c r="F2792" s="23">
        <f>IF($B2792="","",IFERROR(INDEX(ProdNome,MATCH($B2792,ProdCod,0)),"Código não cadastrado"))</f>
        <v>0</v>
      </c>
      <c r="G2792" s="24">
        <f>IF(OR($B2792="",$D2792=""),"",$D2792*IFERROR(INDEX(ProdCusto,MATCH($B2792,ProdCod,0)),0))</f>
        <v>0</v>
      </c>
      <c r="H2792" s="25">
        <f>IF($A2792="","",IF(OR($B2792="",$C2792="",$D2792=""),"Preencher tudo",IF($F2792="Código não cadastrado","Código inválido","OK")))</f>
        <v>0</v>
      </c>
    </row>
    <row r="2793" spans="1:8">
      <c r="A2793" s="16"/>
      <c r="B2793" s="15"/>
      <c r="C2793" s="20"/>
      <c r="D2793" s="22"/>
      <c r="E2793" s="15"/>
      <c r="F2793" s="23">
        <f>IF($B2793="","",IFERROR(INDEX(ProdNome,MATCH($B2793,ProdCod,0)),"Código não cadastrado"))</f>
        <v>0</v>
      </c>
      <c r="G2793" s="24">
        <f>IF(OR($B2793="",$D2793=""),"",$D2793*IFERROR(INDEX(ProdCusto,MATCH($B2793,ProdCod,0)),0))</f>
        <v>0</v>
      </c>
      <c r="H2793" s="25">
        <f>IF($A2793="","",IF(OR($B2793="",$C2793="",$D2793=""),"Preencher tudo",IF($F2793="Código não cadastrado","Código inválido","OK")))</f>
        <v>0</v>
      </c>
    </row>
    <row r="2794" spans="1:8">
      <c r="A2794" s="16"/>
      <c r="B2794" s="15"/>
      <c r="C2794" s="20"/>
      <c r="D2794" s="22"/>
      <c r="E2794" s="15"/>
      <c r="F2794" s="23">
        <f>IF($B2794="","",IFERROR(INDEX(ProdNome,MATCH($B2794,ProdCod,0)),"Código não cadastrado"))</f>
        <v>0</v>
      </c>
      <c r="G2794" s="24">
        <f>IF(OR($B2794="",$D2794=""),"",$D2794*IFERROR(INDEX(ProdCusto,MATCH($B2794,ProdCod,0)),0))</f>
        <v>0</v>
      </c>
      <c r="H2794" s="25">
        <f>IF($A2794="","",IF(OR($B2794="",$C2794="",$D2794=""),"Preencher tudo",IF($F2794="Código não cadastrado","Código inválido","OK")))</f>
        <v>0</v>
      </c>
    </row>
    <row r="2795" spans="1:8">
      <c r="A2795" s="16"/>
      <c r="B2795" s="15"/>
      <c r="C2795" s="20"/>
      <c r="D2795" s="22"/>
      <c r="E2795" s="15"/>
      <c r="F2795" s="23">
        <f>IF($B2795="","",IFERROR(INDEX(ProdNome,MATCH($B2795,ProdCod,0)),"Código não cadastrado"))</f>
        <v>0</v>
      </c>
      <c r="G2795" s="24">
        <f>IF(OR($B2795="",$D2795=""),"",$D2795*IFERROR(INDEX(ProdCusto,MATCH($B2795,ProdCod,0)),0))</f>
        <v>0</v>
      </c>
      <c r="H2795" s="25">
        <f>IF($A2795="","",IF(OR($B2795="",$C2795="",$D2795=""),"Preencher tudo",IF($F2795="Código não cadastrado","Código inválido","OK")))</f>
        <v>0</v>
      </c>
    </row>
    <row r="2796" spans="1:8">
      <c r="A2796" s="16"/>
      <c r="B2796" s="15"/>
      <c r="C2796" s="20"/>
      <c r="D2796" s="22"/>
      <c r="E2796" s="15"/>
      <c r="F2796" s="23">
        <f>IF($B2796="","",IFERROR(INDEX(ProdNome,MATCH($B2796,ProdCod,0)),"Código não cadastrado"))</f>
        <v>0</v>
      </c>
      <c r="G2796" s="24">
        <f>IF(OR($B2796="",$D2796=""),"",$D2796*IFERROR(INDEX(ProdCusto,MATCH($B2796,ProdCod,0)),0))</f>
        <v>0</v>
      </c>
      <c r="H2796" s="25">
        <f>IF($A2796="","",IF(OR($B2796="",$C2796="",$D2796=""),"Preencher tudo",IF($F2796="Código não cadastrado","Código inválido","OK")))</f>
        <v>0</v>
      </c>
    </row>
    <row r="2797" spans="1:8">
      <c r="A2797" s="16"/>
      <c r="B2797" s="15"/>
      <c r="C2797" s="20"/>
      <c r="D2797" s="22"/>
      <c r="E2797" s="15"/>
      <c r="F2797" s="23">
        <f>IF($B2797="","",IFERROR(INDEX(ProdNome,MATCH($B2797,ProdCod,0)),"Código não cadastrado"))</f>
        <v>0</v>
      </c>
      <c r="G2797" s="24">
        <f>IF(OR($B2797="",$D2797=""),"",$D2797*IFERROR(INDEX(ProdCusto,MATCH($B2797,ProdCod,0)),0))</f>
        <v>0</v>
      </c>
      <c r="H2797" s="25">
        <f>IF($A2797="","",IF(OR($B2797="",$C2797="",$D2797=""),"Preencher tudo",IF($F2797="Código não cadastrado","Código inválido","OK")))</f>
        <v>0</v>
      </c>
    </row>
    <row r="2798" spans="1:8">
      <c r="A2798" s="16"/>
      <c r="B2798" s="15"/>
      <c r="C2798" s="20"/>
      <c r="D2798" s="22"/>
      <c r="E2798" s="15"/>
      <c r="F2798" s="23">
        <f>IF($B2798="","",IFERROR(INDEX(ProdNome,MATCH($B2798,ProdCod,0)),"Código não cadastrado"))</f>
        <v>0</v>
      </c>
      <c r="G2798" s="24">
        <f>IF(OR($B2798="",$D2798=""),"",$D2798*IFERROR(INDEX(ProdCusto,MATCH($B2798,ProdCod,0)),0))</f>
        <v>0</v>
      </c>
      <c r="H2798" s="25">
        <f>IF($A2798="","",IF(OR($B2798="",$C2798="",$D2798=""),"Preencher tudo",IF($F2798="Código não cadastrado","Código inválido","OK")))</f>
        <v>0</v>
      </c>
    </row>
    <row r="2799" spans="1:8">
      <c r="A2799" s="16"/>
      <c r="B2799" s="15"/>
      <c r="C2799" s="20"/>
      <c r="D2799" s="22"/>
      <c r="E2799" s="15"/>
      <c r="F2799" s="23">
        <f>IF($B2799="","",IFERROR(INDEX(ProdNome,MATCH($B2799,ProdCod,0)),"Código não cadastrado"))</f>
        <v>0</v>
      </c>
      <c r="G2799" s="24">
        <f>IF(OR($B2799="",$D2799=""),"",$D2799*IFERROR(INDEX(ProdCusto,MATCH($B2799,ProdCod,0)),0))</f>
        <v>0</v>
      </c>
      <c r="H2799" s="25">
        <f>IF($A2799="","",IF(OR($B2799="",$C2799="",$D2799=""),"Preencher tudo",IF($F2799="Código não cadastrado","Código inválido","OK")))</f>
        <v>0</v>
      </c>
    </row>
    <row r="2800" spans="1:8">
      <c r="A2800" s="16"/>
      <c r="B2800" s="15"/>
      <c r="C2800" s="20"/>
      <c r="D2800" s="22"/>
      <c r="E2800" s="15"/>
      <c r="F2800" s="23">
        <f>IF($B2800="","",IFERROR(INDEX(ProdNome,MATCH($B2800,ProdCod,0)),"Código não cadastrado"))</f>
        <v>0</v>
      </c>
      <c r="G2800" s="24">
        <f>IF(OR($B2800="",$D2800=""),"",$D2800*IFERROR(INDEX(ProdCusto,MATCH($B2800,ProdCod,0)),0))</f>
        <v>0</v>
      </c>
      <c r="H2800" s="25">
        <f>IF($A2800="","",IF(OR($B2800="",$C2800="",$D2800=""),"Preencher tudo",IF($F2800="Código não cadastrado","Código inválido","OK")))</f>
        <v>0</v>
      </c>
    </row>
    <row r="2801" spans="1:8">
      <c r="A2801" s="16"/>
      <c r="B2801" s="15"/>
      <c r="C2801" s="20"/>
      <c r="D2801" s="22"/>
      <c r="E2801" s="15"/>
      <c r="F2801" s="23">
        <f>IF($B2801="","",IFERROR(INDEX(ProdNome,MATCH($B2801,ProdCod,0)),"Código não cadastrado"))</f>
        <v>0</v>
      </c>
      <c r="G2801" s="24">
        <f>IF(OR($B2801="",$D2801=""),"",$D2801*IFERROR(INDEX(ProdCusto,MATCH($B2801,ProdCod,0)),0))</f>
        <v>0</v>
      </c>
      <c r="H2801" s="25">
        <f>IF($A2801="","",IF(OR($B2801="",$C2801="",$D2801=""),"Preencher tudo",IF($F2801="Código não cadastrado","Código inválido","OK")))</f>
        <v>0</v>
      </c>
    </row>
    <row r="2802" spans="1:8">
      <c r="A2802" s="16"/>
      <c r="B2802" s="15"/>
      <c r="C2802" s="20"/>
      <c r="D2802" s="22"/>
      <c r="E2802" s="15"/>
      <c r="F2802" s="23">
        <f>IF($B2802="","",IFERROR(INDEX(ProdNome,MATCH($B2802,ProdCod,0)),"Código não cadastrado"))</f>
        <v>0</v>
      </c>
      <c r="G2802" s="24">
        <f>IF(OR($B2802="",$D2802=""),"",$D2802*IFERROR(INDEX(ProdCusto,MATCH($B2802,ProdCod,0)),0))</f>
        <v>0</v>
      </c>
      <c r="H2802" s="25">
        <f>IF($A2802="","",IF(OR($B2802="",$C2802="",$D2802=""),"Preencher tudo",IF($F2802="Código não cadastrado","Código inválido","OK")))</f>
        <v>0</v>
      </c>
    </row>
    <row r="2803" spans="1:8">
      <c r="A2803" s="16"/>
      <c r="B2803" s="15"/>
      <c r="C2803" s="20"/>
      <c r="D2803" s="22"/>
      <c r="E2803" s="15"/>
      <c r="F2803" s="23">
        <f>IF($B2803="","",IFERROR(INDEX(ProdNome,MATCH($B2803,ProdCod,0)),"Código não cadastrado"))</f>
        <v>0</v>
      </c>
      <c r="G2803" s="24">
        <f>IF(OR($B2803="",$D2803=""),"",$D2803*IFERROR(INDEX(ProdCusto,MATCH($B2803,ProdCod,0)),0))</f>
        <v>0</v>
      </c>
      <c r="H2803" s="25">
        <f>IF($A2803="","",IF(OR($B2803="",$C2803="",$D2803=""),"Preencher tudo",IF($F2803="Código não cadastrado","Código inválido","OK")))</f>
        <v>0</v>
      </c>
    </row>
    <row r="2804" spans="1:8">
      <c r="A2804" s="16"/>
      <c r="B2804" s="15"/>
      <c r="C2804" s="20"/>
      <c r="D2804" s="22"/>
      <c r="E2804" s="15"/>
      <c r="F2804" s="23">
        <f>IF($B2804="","",IFERROR(INDEX(ProdNome,MATCH($B2804,ProdCod,0)),"Código não cadastrado"))</f>
        <v>0</v>
      </c>
      <c r="G2804" s="24">
        <f>IF(OR($B2804="",$D2804=""),"",$D2804*IFERROR(INDEX(ProdCusto,MATCH($B2804,ProdCod,0)),0))</f>
        <v>0</v>
      </c>
      <c r="H2804" s="25">
        <f>IF($A2804="","",IF(OR($B2804="",$C2804="",$D2804=""),"Preencher tudo",IF($F2804="Código não cadastrado","Código inválido","OK")))</f>
        <v>0</v>
      </c>
    </row>
    <row r="2805" spans="1:8">
      <c r="A2805" s="16"/>
      <c r="B2805" s="15"/>
      <c r="C2805" s="20"/>
      <c r="D2805" s="22"/>
      <c r="E2805" s="15"/>
      <c r="F2805" s="23">
        <f>IF($B2805="","",IFERROR(INDEX(ProdNome,MATCH($B2805,ProdCod,0)),"Código não cadastrado"))</f>
        <v>0</v>
      </c>
      <c r="G2805" s="24">
        <f>IF(OR($B2805="",$D2805=""),"",$D2805*IFERROR(INDEX(ProdCusto,MATCH($B2805,ProdCod,0)),0))</f>
        <v>0</v>
      </c>
      <c r="H2805" s="25">
        <f>IF($A2805="","",IF(OR($B2805="",$C2805="",$D2805=""),"Preencher tudo",IF($F2805="Código não cadastrado","Código inválido","OK")))</f>
        <v>0</v>
      </c>
    </row>
    <row r="2806" spans="1:8">
      <c r="A2806" s="16"/>
      <c r="B2806" s="15"/>
      <c r="C2806" s="20"/>
      <c r="D2806" s="22"/>
      <c r="E2806" s="15"/>
      <c r="F2806" s="23">
        <f>IF($B2806="","",IFERROR(INDEX(ProdNome,MATCH($B2806,ProdCod,0)),"Código não cadastrado"))</f>
        <v>0</v>
      </c>
      <c r="G2806" s="24">
        <f>IF(OR($B2806="",$D2806=""),"",$D2806*IFERROR(INDEX(ProdCusto,MATCH($B2806,ProdCod,0)),0))</f>
        <v>0</v>
      </c>
      <c r="H2806" s="25">
        <f>IF($A2806="","",IF(OR($B2806="",$C2806="",$D2806=""),"Preencher tudo",IF($F2806="Código não cadastrado","Código inválido","OK")))</f>
        <v>0</v>
      </c>
    </row>
    <row r="2807" spans="1:8">
      <c r="A2807" s="16"/>
      <c r="B2807" s="15"/>
      <c r="C2807" s="20"/>
      <c r="D2807" s="22"/>
      <c r="E2807" s="15"/>
      <c r="F2807" s="23">
        <f>IF($B2807="","",IFERROR(INDEX(ProdNome,MATCH($B2807,ProdCod,0)),"Código não cadastrado"))</f>
        <v>0</v>
      </c>
      <c r="G2807" s="24">
        <f>IF(OR($B2807="",$D2807=""),"",$D2807*IFERROR(INDEX(ProdCusto,MATCH($B2807,ProdCod,0)),0))</f>
        <v>0</v>
      </c>
      <c r="H2807" s="25">
        <f>IF($A2807="","",IF(OR($B2807="",$C2807="",$D2807=""),"Preencher tudo",IF($F2807="Código não cadastrado","Código inválido","OK")))</f>
        <v>0</v>
      </c>
    </row>
    <row r="2808" spans="1:8">
      <c r="A2808" s="16"/>
      <c r="B2808" s="15"/>
      <c r="C2808" s="20"/>
      <c r="D2808" s="22"/>
      <c r="E2808" s="15"/>
      <c r="F2808" s="23">
        <f>IF($B2808="","",IFERROR(INDEX(ProdNome,MATCH($B2808,ProdCod,0)),"Código não cadastrado"))</f>
        <v>0</v>
      </c>
      <c r="G2808" s="24">
        <f>IF(OR($B2808="",$D2808=""),"",$D2808*IFERROR(INDEX(ProdCusto,MATCH($B2808,ProdCod,0)),0))</f>
        <v>0</v>
      </c>
      <c r="H2808" s="25">
        <f>IF($A2808="","",IF(OR($B2808="",$C2808="",$D2808=""),"Preencher tudo",IF($F2808="Código não cadastrado","Código inválido","OK")))</f>
        <v>0</v>
      </c>
    </row>
    <row r="2809" spans="1:8">
      <c r="A2809" s="16"/>
      <c r="B2809" s="15"/>
      <c r="C2809" s="20"/>
      <c r="D2809" s="22"/>
      <c r="E2809" s="15"/>
      <c r="F2809" s="23">
        <f>IF($B2809="","",IFERROR(INDEX(ProdNome,MATCH($B2809,ProdCod,0)),"Código não cadastrado"))</f>
        <v>0</v>
      </c>
      <c r="G2809" s="24">
        <f>IF(OR($B2809="",$D2809=""),"",$D2809*IFERROR(INDEX(ProdCusto,MATCH($B2809,ProdCod,0)),0))</f>
        <v>0</v>
      </c>
      <c r="H2809" s="25">
        <f>IF($A2809="","",IF(OR($B2809="",$C2809="",$D2809=""),"Preencher tudo",IF($F2809="Código não cadastrado","Código inválido","OK")))</f>
        <v>0</v>
      </c>
    </row>
    <row r="2810" spans="1:8">
      <c r="A2810" s="16"/>
      <c r="B2810" s="15"/>
      <c r="C2810" s="20"/>
      <c r="D2810" s="22"/>
      <c r="E2810" s="15"/>
      <c r="F2810" s="23">
        <f>IF($B2810="","",IFERROR(INDEX(ProdNome,MATCH($B2810,ProdCod,0)),"Código não cadastrado"))</f>
        <v>0</v>
      </c>
      <c r="G2810" s="24">
        <f>IF(OR($B2810="",$D2810=""),"",$D2810*IFERROR(INDEX(ProdCusto,MATCH($B2810,ProdCod,0)),0))</f>
        <v>0</v>
      </c>
      <c r="H2810" s="25">
        <f>IF($A2810="","",IF(OR($B2810="",$C2810="",$D2810=""),"Preencher tudo",IF($F2810="Código não cadastrado","Código inválido","OK")))</f>
        <v>0</v>
      </c>
    </row>
    <row r="2811" spans="1:8">
      <c r="A2811" s="16"/>
      <c r="B2811" s="15"/>
      <c r="C2811" s="20"/>
      <c r="D2811" s="22"/>
      <c r="E2811" s="15"/>
      <c r="F2811" s="23">
        <f>IF($B2811="","",IFERROR(INDEX(ProdNome,MATCH($B2811,ProdCod,0)),"Código não cadastrado"))</f>
        <v>0</v>
      </c>
      <c r="G2811" s="24">
        <f>IF(OR($B2811="",$D2811=""),"",$D2811*IFERROR(INDEX(ProdCusto,MATCH($B2811,ProdCod,0)),0))</f>
        <v>0</v>
      </c>
      <c r="H2811" s="25">
        <f>IF($A2811="","",IF(OR($B2811="",$C2811="",$D2811=""),"Preencher tudo",IF($F2811="Código não cadastrado","Código inválido","OK")))</f>
        <v>0</v>
      </c>
    </row>
    <row r="2812" spans="1:8">
      <c r="A2812" s="16"/>
      <c r="B2812" s="15"/>
      <c r="C2812" s="20"/>
      <c r="D2812" s="22"/>
      <c r="E2812" s="15"/>
      <c r="F2812" s="23">
        <f>IF($B2812="","",IFERROR(INDEX(ProdNome,MATCH($B2812,ProdCod,0)),"Código não cadastrado"))</f>
        <v>0</v>
      </c>
      <c r="G2812" s="24">
        <f>IF(OR($B2812="",$D2812=""),"",$D2812*IFERROR(INDEX(ProdCusto,MATCH($B2812,ProdCod,0)),0))</f>
        <v>0</v>
      </c>
      <c r="H2812" s="25">
        <f>IF($A2812="","",IF(OR($B2812="",$C2812="",$D2812=""),"Preencher tudo",IF($F2812="Código não cadastrado","Código inválido","OK")))</f>
        <v>0</v>
      </c>
    </row>
    <row r="2813" spans="1:8">
      <c r="A2813" s="16"/>
      <c r="B2813" s="15"/>
      <c r="C2813" s="20"/>
      <c r="D2813" s="22"/>
      <c r="E2813" s="15"/>
      <c r="F2813" s="23">
        <f>IF($B2813="","",IFERROR(INDEX(ProdNome,MATCH($B2813,ProdCod,0)),"Código não cadastrado"))</f>
        <v>0</v>
      </c>
      <c r="G2813" s="24">
        <f>IF(OR($B2813="",$D2813=""),"",$D2813*IFERROR(INDEX(ProdCusto,MATCH($B2813,ProdCod,0)),0))</f>
        <v>0</v>
      </c>
      <c r="H2813" s="25">
        <f>IF($A2813="","",IF(OR($B2813="",$C2813="",$D2813=""),"Preencher tudo",IF($F2813="Código não cadastrado","Código inválido","OK")))</f>
        <v>0</v>
      </c>
    </row>
    <row r="2814" spans="1:8">
      <c r="A2814" s="16"/>
      <c r="B2814" s="15"/>
      <c r="C2814" s="20"/>
      <c r="D2814" s="22"/>
      <c r="E2814" s="15"/>
      <c r="F2814" s="23">
        <f>IF($B2814="","",IFERROR(INDEX(ProdNome,MATCH($B2814,ProdCod,0)),"Código não cadastrado"))</f>
        <v>0</v>
      </c>
      <c r="G2814" s="24">
        <f>IF(OR($B2814="",$D2814=""),"",$D2814*IFERROR(INDEX(ProdCusto,MATCH($B2814,ProdCod,0)),0))</f>
        <v>0</v>
      </c>
      <c r="H2814" s="25">
        <f>IF($A2814="","",IF(OR($B2814="",$C2814="",$D2814=""),"Preencher tudo",IF($F2814="Código não cadastrado","Código inválido","OK")))</f>
        <v>0</v>
      </c>
    </row>
    <row r="2815" spans="1:8">
      <c r="A2815" s="16"/>
      <c r="B2815" s="15"/>
      <c r="C2815" s="20"/>
      <c r="D2815" s="22"/>
      <c r="E2815" s="15"/>
      <c r="F2815" s="23">
        <f>IF($B2815="","",IFERROR(INDEX(ProdNome,MATCH($B2815,ProdCod,0)),"Código não cadastrado"))</f>
        <v>0</v>
      </c>
      <c r="G2815" s="24">
        <f>IF(OR($B2815="",$D2815=""),"",$D2815*IFERROR(INDEX(ProdCusto,MATCH($B2815,ProdCod,0)),0))</f>
        <v>0</v>
      </c>
      <c r="H2815" s="25">
        <f>IF($A2815="","",IF(OR($B2815="",$C2815="",$D2815=""),"Preencher tudo",IF($F2815="Código não cadastrado","Código inválido","OK")))</f>
        <v>0</v>
      </c>
    </row>
    <row r="2816" spans="1:8">
      <c r="A2816" s="16"/>
      <c r="B2816" s="15"/>
      <c r="C2816" s="20"/>
      <c r="D2816" s="22"/>
      <c r="E2816" s="15"/>
      <c r="F2816" s="23">
        <f>IF($B2816="","",IFERROR(INDEX(ProdNome,MATCH($B2816,ProdCod,0)),"Código não cadastrado"))</f>
        <v>0</v>
      </c>
      <c r="G2816" s="24">
        <f>IF(OR($B2816="",$D2816=""),"",$D2816*IFERROR(INDEX(ProdCusto,MATCH($B2816,ProdCod,0)),0))</f>
        <v>0</v>
      </c>
      <c r="H2816" s="25">
        <f>IF($A2816="","",IF(OR($B2816="",$C2816="",$D2816=""),"Preencher tudo",IF($F2816="Código não cadastrado","Código inválido","OK")))</f>
        <v>0</v>
      </c>
    </row>
    <row r="2817" spans="1:8">
      <c r="A2817" s="16"/>
      <c r="B2817" s="15"/>
      <c r="C2817" s="20"/>
      <c r="D2817" s="22"/>
      <c r="E2817" s="15"/>
      <c r="F2817" s="23">
        <f>IF($B2817="","",IFERROR(INDEX(ProdNome,MATCH($B2817,ProdCod,0)),"Código não cadastrado"))</f>
        <v>0</v>
      </c>
      <c r="G2817" s="24">
        <f>IF(OR($B2817="",$D2817=""),"",$D2817*IFERROR(INDEX(ProdCusto,MATCH($B2817,ProdCod,0)),0))</f>
        <v>0</v>
      </c>
      <c r="H2817" s="25">
        <f>IF($A2817="","",IF(OR($B2817="",$C2817="",$D2817=""),"Preencher tudo",IF($F2817="Código não cadastrado","Código inválido","OK")))</f>
        <v>0</v>
      </c>
    </row>
    <row r="2818" spans="1:8">
      <c r="A2818" s="16"/>
      <c r="B2818" s="15"/>
      <c r="C2818" s="20"/>
      <c r="D2818" s="22"/>
      <c r="E2818" s="15"/>
      <c r="F2818" s="23">
        <f>IF($B2818="","",IFERROR(INDEX(ProdNome,MATCH($B2818,ProdCod,0)),"Código não cadastrado"))</f>
        <v>0</v>
      </c>
      <c r="G2818" s="24">
        <f>IF(OR($B2818="",$D2818=""),"",$D2818*IFERROR(INDEX(ProdCusto,MATCH($B2818,ProdCod,0)),0))</f>
        <v>0</v>
      </c>
      <c r="H2818" s="25">
        <f>IF($A2818="","",IF(OR($B2818="",$C2818="",$D2818=""),"Preencher tudo",IF($F2818="Código não cadastrado","Código inválido","OK")))</f>
        <v>0</v>
      </c>
    </row>
    <row r="2819" spans="1:8">
      <c r="A2819" s="16"/>
      <c r="B2819" s="15"/>
      <c r="C2819" s="20"/>
      <c r="D2819" s="22"/>
      <c r="E2819" s="15"/>
      <c r="F2819" s="23">
        <f>IF($B2819="","",IFERROR(INDEX(ProdNome,MATCH($B2819,ProdCod,0)),"Código não cadastrado"))</f>
        <v>0</v>
      </c>
      <c r="G2819" s="24">
        <f>IF(OR($B2819="",$D2819=""),"",$D2819*IFERROR(INDEX(ProdCusto,MATCH($B2819,ProdCod,0)),0))</f>
        <v>0</v>
      </c>
      <c r="H2819" s="25">
        <f>IF($A2819="","",IF(OR($B2819="",$C2819="",$D2819=""),"Preencher tudo",IF($F2819="Código não cadastrado","Código inválido","OK")))</f>
        <v>0</v>
      </c>
    </row>
    <row r="2820" spans="1:8">
      <c r="A2820" s="16"/>
      <c r="B2820" s="15"/>
      <c r="C2820" s="20"/>
      <c r="D2820" s="22"/>
      <c r="E2820" s="15"/>
      <c r="F2820" s="23">
        <f>IF($B2820="","",IFERROR(INDEX(ProdNome,MATCH($B2820,ProdCod,0)),"Código não cadastrado"))</f>
        <v>0</v>
      </c>
      <c r="G2820" s="24">
        <f>IF(OR($B2820="",$D2820=""),"",$D2820*IFERROR(INDEX(ProdCusto,MATCH($B2820,ProdCod,0)),0))</f>
        <v>0</v>
      </c>
      <c r="H2820" s="25">
        <f>IF($A2820="","",IF(OR($B2820="",$C2820="",$D2820=""),"Preencher tudo",IF($F2820="Código não cadastrado","Código inválido","OK")))</f>
        <v>0</v>
      </c>
    </row>
    <row r="2821" spans="1:8">
      <c r="A2821" s="16"/>
      <c r="B2821" s="15"/>
      <c r="C2821" s="20"/>
      <c r="D2821" s="22"/>
      <c r="E2821" s="15"/>
      <c r="F2821" s="23">
        <f>IF($B2821="","",IFERROR(INDEX(ProdNome,MATCH($B2821,ProdCod,0)),"Código não cadastrado"))</f>
        <v>0</v>
      </c>
      <c r="G2821" s="24">
        <f>IF(OR($B2821="",$D2821=""),"",$D2821*IFERROR(INDEX(ProdCusto,MATCH($B2821,ProdCod,0)),0))</f>
        <v>0</v>
      </c>
      <c r="H2821" s="25">
        <f>IF($A2821="","",IF(OR($B2821="",$C2821="",$D2821=""),"Preencher tudo",IF($F2821="Código não cadastrado","Código inválido","OK")))</f>
        <v>0</v>
      </c>
    </row>
    <row r="2822" spans="1:8">
      <c r="A2822" s="16"/>
      <c r="B2822" s="15"/>
      <c r="C2822" s="20"/>
      <c r="D2822" s="22"/>
      <c r="E2822" s="15"/>
      <c r="F2822" s="23">
        <f>IF($B2822="","",IFERROR(INDEX(ProdNome,MATCH($B2822,ProdCod,0)),"Código não cadastrado"))</f>
        <v>0</v>
      </c>
      <c r="G2822" s="24">
        <f>IF(OR($B2822="",$D2822=""),"",$D2822*IFERROR(INDEX(ProdCusto,MATCH($B2822,ProdCod,0)),0))</f>
        <v>0</v>
      </c>
      <c r="H2822" s="25">
        <f>IF($A2822="","",IF(OR($B2822="",$C2822="",$D2822=""),"Preencher tudo",IF($F2822="Código não cadastrado","Código inválido","OK")))</f>
        <v>0</v>
      </c>
    </row>
    <row r="2823" spans="1:8">
      <c r="A2823" s="16"/>
      <c r="B2823" s="15"/>
      <c r="C2823" s="20"/>
      <c r="D2823" s="22"/>
      <c r="E2823" s="15"/>
      <c r="F2823" s="23">
        <f>IF($B2823="","",IFERROR(INDEX(ProdNome,MATCH($B2823,ProdCod,0)),"Código não cadastrado"))</f>
        <v>0</v>
      </c>
      <c r="G2823" s="24">
        <f>IF(OR($B2823="",$D2823=""),"",$D2823*IFERROR(INDEX(ProdCusto,MATCH($B2823,ProdCod,0)),0))</f>
        <v>0</v>
      </c>
      <c r="H2823" s="25">
        <f>IF($A2823="","",IF(OR($B2823="",$C2823="",$D2823=""),"Preencher tudo",IF($F2823="Código não cadastrado","Código inválido","OK")))</f>
        <v>0</v>
      </c>
    </row>
    <row r="2824" spans="1:8">
      <c r="A2824" s="16"/>
      <c r="B2824" s="15"/>
      <c r="C2824" s="20"/>
      <c r="D2824" s="22"/>
      <c r="E2824" s="15"/>
      <c r="F2824" s="23">
        <f>IF($B2824="","",IFERROR(INDEX(ProdNome,MATCH($B2824,ProdCod,0)),"Código não cadastrado"))</f>
        <v>0</v>
      </c>
      <c r="G2824" s="24">
        <f>IF(OR($B2824="",$D2824=""),"",$D2824*IFERROR(INDEX(ProdCusto,MATCH($B2824,ProdCod,0)),0))</f>
        <v>0</v>
      </c>
      <c r="H2824" s="25">
        <f>IF($A2824="","",IF(OR($B2824="",$C2824="",$D2824=""),"Preencher tudo",IF($F2824="Código não cadastrado","Código inválido","OK")))</f>
        <v>0</v>
      </c>
    </row>
    <row r="2825" spans="1:8">
      <c r="A2825" s="16"/>
      <c r="B2825" s="15"/>
      <c r="C2825" s="20"/>
      <c r="D2825" s="22"/>
      <c r="E2825" s="15"/>
      <c r="F2825" s="23">
        <f>IF($B2825="","",IFERROR(INDEX(ProdNome,MATCH($B2825,ProdCod,0)),"Código não cadastrado"))</f>
        <v>0</v>
      </c>
      <c r="G2825" s="24">
        <f>IF(OR($B2825="",$D2825=""),"",$D2825*IFERROR(INDEX(ProdCusto,MATCH($B2825,ProdCod,0)),0))</f>
        <v>0</v>
      </c>
      <c r="H2825" s="25">
        <f>IF($A2825="","",IF(OR($B2825="",$C2825="",$D2825=""),"Preencher tudo",IF($F2825="Código não cadastrado","Código inválido","OK")))</f>
        <v>0</v>
      </c>
    </row>
    <row r="2826" spans="1:8">
      <c r="A2826" s="16"/>
      <c r="B2826" s="15"/>
      <c r="C2826" s="20"/>
      <c r="D2826" s="22"/>
      <c r="E2826" s="15"/>
      <c r="F2826" s="23">
        <f>IF($B2826="","",IFERROR(INDEX(ProdNome,MATCH($B2826,ProdCod,0)),"Código não cadastrado"))</f>
        <v>0</v>
      </c>
      <c r="G2826" s="24">
        <f>IF(OR($B2826="",$D2826=""),"",$D2826*IFERROR(INDEX(ProdCusto,MATCH($B2826,ProdCod,0)),0))</f>
        <v>0</v>
      </c>
      <c r="H2826" s="25">
        <f>IF($A2826="","",IF(OR($B2826="",$C2826="",$D2826=""),"Preencher tudo",IF($F2826="Código não cadastrado","Código inválido","OK")))</f>
        <v>0</v>
      </c>
    </row>
    <row r="2827" spans="1:8">
      <c r="A2827" s="16"/>
      <c r="B2827" s="15"/>
      <c r="C2827" s="20"/>
      <c r="D2827" s="22"/>
      <c r="E2827" s="15"/>
      <c r="F2827" s="23">
        <f>IF($B2827="","",IFERROR(INDEX(ProdNome,MATCH($B2827,ProdCod,0)),"Código não cadastrado"))</f>
        <v>0</v>
      </c>
      <c r="G2827" s="24">
        <f>IF(OR($B2827="",$D2827=""),"",$D2827*IFERROR(INDEX(ProdCusto,MATCH($B2827,ProdCod,0)),0))</f>
        <v>0</v>
      </c>
      <c r="H2827" s="25">
        <f>IF($A2827="","",IF(OR($B2827="",$C2827="",$D2827=""),"Preencher tudo",IF($F2827="Código não cadastrado","Código inválido","OK")))</f>
        <v>0</v>
      </c>
    </row>
    <row r="2828" spans="1:8">
      <c r="A2828" s="16"/>
      <c r="B2828" s="15"/>
      <c r="C2828" s="20"/>
      <c r="D2828" s="22"/>
      <c r="E2828" s="15"/>
      <c r="F2828" s="23">
        <f>IF($B2828="","",IFERROR(INDEX(ProdNome,MATCH($B2828,ProdCod,0)),"Código não cadastrado"))</f>
        <v>0</v>
      </c>
      <c r="G2828" s="24">
        <f>IF(OR($B2828="",$D2828=""),"",$D2828*IFERROR(INDEX(ProdCusto,MATCH($B2828,ProdCod,0)),0))</f>
        <v>0</v>
      </c>
      <c r="H2828" s="25">
        <f>IF($A2828="","",IF(OR($B2828="",$C2828="",$D2828=""),"Preencher tudo",IF($F2828="Código não cadastrado","Código inválido","OK")))</f>
        <v>0</v>
      </c>
    </row>
    <row r="2829" spans="1:8">
      <c r="A2829" s="16"/>
      <c r="B2829" s="15"/>
      <c r="C2829" s="20"/>
      <c r="D2829" s="22"/>
      <c r="E2829" s="15"/>
      <c r="F2829" s="23">
        <f>IF($B2829="","",IFERROR(INDEX(ProdNome,MATCH($B2829,ProdCod,0)),"Código não cadastrado"))</f>
        <v>0</v>
      </c>
      <c r="G2829" s="24">
        <f>IF(OR($B2829="",$D2829=""),"",$D2829*IFERROR(INDEX(ProdCusto,MATCH($B2829,ProdCod,0)),0))</f>
        <v>0</v>
      </c>
      <c r="H2829" s="25">
        <f>IF($A2829="","",IF(OR($B2829="",$C2829="",$D2829=""),"Preencher tudo",IF($F2829="Código não cadastrado","Código inválido","OK")))</f>
        <v>0</v>
      </c>
    </row>
    <row r="2830" spans="1:8">
      <c r="A2830" s="16"/>
      <c r="B2830" s="15"/>
      <c r="C2830" s="20"/>
      <c r="D2830" s="22"/>
      <c r="E2830" s="15"/>
      <c r="F2830" s="23">
        <f>IF($B2830="","",IFERROR(INDEX(ProdNome,MATCH($B2830,ProdCod,0)),"Código não cadastrado"))</f>
        <v>0</v>
      </c>
      <c r="G2830" s="24">
        <f>IF(OR($B2830="",$D2830=""),"",$D2830*IFERROR(INDEX(ProdCusto,MATCH($B2830,ProdCod,0)),0))</f>
        <v>0</v>
      </c>
      <c r="H2830" s="25">
        <f>IF($A2830="","",IF(OR($B2830="",$C2830="",$D2830=""),"Preencher tudo",IF($F2830="Código não cadastrado","Código inválido","OK")))</f>
        <v>0</v>
      </c>
    </row>
    <row r="2831" spans="1:8">
      <c r="A2831" s="16"/>
      <c r="B2831" s="15"/>
      <c r="C2831" s="20"/>
      <c r="D2831" s="22"/>
      <c r="E2831" s="15"/>
      <c r="F2831" s="23">
        <f>IF($B2831="","",IFERROR(INDEX(ProdNome,MATCH($B2831,ProdCod,0)),"Código não cadastrado"))</f>
        <v>0</v>
      </c>
      <c r="G2831" s="24">
        <f>IF(OR($B2831="",$D2831=""),"",$D2831*IFERROR(INDEX(ProdCusto,MATCH($B2831,ProdCod,0)),0))</f>
        <v>0</v>
      </c>
      <c r="H2831" s="25">
        <f>IF($A2831="","",IF(OR($B2831="",$C2831="",$D2831=""),"Preencher tudo",IF($F2831="Código não cadastrado","Código inválido","OK")))</f>
        <v>0</v>
      </c>
    </row>
    <row r="2832" spans="1:8">
      <c r="A2832" s="16"/>
      <c r="B2832" s="15"/>
      <c r="C2832" s="20"/>
      <c r="D2832" s="22"/>
      <c r="E2832" s="15"/>
      <c r="F2832" s="23">
        <f>IF($B2832="","",IFERROR(INDEX(ProdNome,MATCH($B2832,ProdCod,0)),"Código não cadastrado"))</f>
        <v>0</v>
      </c>
      <c r="G2832" s="24">
        <f>IF(OR($B2832="",$D2832=""),"",$D2832*IFERROR(INDEX(ProdCusto,MATCH($B2832,ProdCod,0)),0))</f>
        <v>0</v>
      </c>
      <c r="H2832" s="25">
        <f>IF($A2832="","",IF(OR($B2832="",$C2832="",$D2832=""),"Preencher tudo",IF($F2832="Código não cadastrado","Código inválido","OK")))</f>
        <v>0</v>
      </c>
    </row>
    <row r="2833" spans="1:8">
      <c r="A2833" s="16"/>
      <c r="B2833" s="15"/>
      <c r="C2833" s="20"/>
      <c r="D2833" s="22"/>
      <c r="E2833" s="15"/>
      <c r="F2833" s="23">
        <f>IF($B2833="","",IFERROR(INDEX(ProdNome,MATCH($B2833,ProdCod,0)),"Código não cadastrado"))</f>
        <v>0</v>
      </c>
      <c r="G2833" s="24">
        <f>IF(OR($B2833="",$D2833=""),"",$D2833*IFERROR(INDEX(ProdCusto,MATCH($B2833,ProdCod,0)),0))</f>
        <v>0</v>
      </c>
      <c r="H2833" s="25">
        <f>IF($A2833="","",IF(OR($B2833="",$C2833="",$D2833=""),"Preencher tudo",IF($F2833="Código não cadastrado","Código inválido","OK")))</f>
        <v>0</v>
      </c>
    </row>
    <row r="2834" spans="1:8">
      <c r="A2834" s="16"/>
      <c r="B2834" s="15"/>
      <c r="C2834" s="20"/>
      <c r="D2834" s="22"/>
      <c r="E2834" s="15"/>
      <c r="F2834" s="23">
        <f>IF($B2834="","",IFERROR(INDEX(ProdNome,MATCH($B2834,ProdCod,0)),"Código não cadastrado"))</f>
        <v>0</v>
      </c>
      <c r="G2834" s="24">
        <f>IF(OR($B2834="",$D2834=""),"",$D2834*IFERROR(INDEX(ProdCusto,MATCH($B2834,ProdCod,0)),0))</f>
        <v>0</v>
      </c>
      <c r="H2834" s="25">
        <f>IF($A2834="","",IF(OR($B2834="",$C2834="",$D2834=""),"Preencher tudo",IF($F2834="Código não cadastrado","Código inválido","OK")))</f>
        <v>0</v>
      </c>
    </row>
    <row r="2835" spans="1:8">
      <c r="A2835" s="16"/>
      <c r="B2835" s="15"/>
      <c r="C2835" s="20"/>
      <c r="D2835" s="22"/>
      <c r="E2835" s="15"/>
      <c r="F2835" s="23">
        <f>IF($B2835="","",IFERROR(INDEX(ProdNome,MATCH($B2835,ProdCod,0)),"Código não cadastrado"))</f>
        <v>0</v>
      </c>
      <c r="G2835" s="24">
        <f>IF(OR($B2835="",$D2835=""),"",$D2835*IFERROR(INDEX(ProdCusto,MATCH($B2835,ProdCod,0)),0))</f>
        <v>0</v>
      </c>
      <c r="H2835" s="25">
        <f>IF($A2835="","",IF(OR($B2835="",$C2835="",$D2835=""),"Preencher tudo",IF($F2835="Código não cadastrado","Código inválido","OK")))</f>
        <v>0</v>
      </c>
    </row>
    <row r="2836" spans="1:8">
      <c r="A2836" s="16"/>
      <c r="B2836" s="15"/>
      <c r="C2836" s="20"/>
      <c r="D2836" s="22"/>
      <c r="E2836" s="15"/>
      <c r="F2836" s="23">
        <f>IF($B2836="","",IFERROR(INDEX(ProdNome,MATCH($B2836,ProdCod,0)),"Código não cadastrado"))</f>
        <v>0</v>
      </c>
      <c r="G2836" s="24">
        <f>IF(OR($B2836="",$D2836=""),"",$D2836*IFERROR(INDEX(ProdCusto,MATCH($B2836,ProdCod,0)),0))</f>
        <v>0</v>
      </c>
      <c r="H2836" s="25">
        <f>IF($A2836="","",IF(OR($B2836="",$C2836="",$D2836=""),"Preencher tudo",IF($F2836="Código não cadastrado","Código inválido","OK")))</f>
        <v>0</v>
      </c>
    </row>
    <row r="2837" spans="1:8">
      <c r="A2837" s="16"/>
      <c r="B2837" s="15"/>
      <c r="C2837" s="20"/>
      <c r="D2837" s="22"/>
      <c r="E2837" s="15"/>
      <c r="F2837" s="23">
        <f>IF($B2837="","",IFERROR(INDEX(ProdNome,MATCH($B2837,ProdCod,0)),"Código não cadastrado"))</f>
        <v>0</v>
      </c>
      <c r="G2837" s="24">
        <f>IF(OR($B2837="",$D2837=""),"",$D2837*IFERROR(INDEX(ProdCusto,MATCH($B2837,ProdCod,0)),0))</f>
        <v>0</v>
      </c>
      <c r="H2837" s="25">
        <f>IF($A2837="","",IF(OR($B2837="",$C2837="",$D2837=""),"Preencher tudo",IF($F2837="Código não cadastrado","Código inválido","OK")))</f>
        <v>0</v>
      </c>
    </row>
    <row r="2838" spans="1:8">
      <c r="A2838" s="16"/>
      <c r="B2838" s="15"/>
      <c r="C2838" s="20"/>
      <c r="D2838" s="22"/>
      <c r="E2838" s="15"/>
      <c r="F2838" s="23">
        <f>IF($B2838="","",IFERROR(INDEX(ProdNome,MATCH($B2838,ProdCod,0)),"Código não cadastrado"))</f>
        <v>0</v>
      </c>
      <c r="G2838" s="24">
        <f>IF(OR($B2838="",$D2838=""),"",$D2838*IFERROR(INDEX(ProdCusto,MATCH($B2838,ProdCod,0)),0))</f>
        <v>0</v>
      </c>
      <c r="H2838" s="25">
        <f>IF($A2838="","",IF(OR($B2838="",$C2838="",$D2838=""),"Preencher tudo",IF($F2838="Código não cadastrado","Código inválido","OK")))</f>
        <v>0</v>
      </c>
    </row>
    <row r="2839" spans="1:8">
      <c r="A2839" s="16"/>
      <c r="B2839" s="15"/>
      <c r="C2839" s="20"/>
      <c r="D2839" s="22"/>
      <c r="E2839" s="15"/>
      <c r="F2839" s="23">
        <f>IF($B2839="","",IFERROR(INDEX(ProdNome,MATCH($B2839,ProdCod,0)),"Código não cadastrado"))</f>
        <v>0</v>
      </c>
      <c r="G2839" s="24">
        <f>IF(OR($B2839="",$D2839=""),"",$D2839*IFERROR(INDEX(ProdCusto,MATCH($B2839,ProdCod,0)),0))</f>
        <v>0</v>
      </c>
      <c r="H2839" s="25">
        <f>IF($A2839="","",IF(OR($B2839="",$C2839="",$D2839=""),"Preencher tudo",IF($F2839="Código não cadastrado","Código inválido","OK")))</f>
        <v>0</v>
      </c>
    </row>
    <row r="2840" spans="1:8">
      <c r="A2840" s="16"/>
      <c r="B2840" s="15"/>
      <c r="C2840" s="20"/>
      <c r="D2840" s="22"/>
      <c r="E2840" s="15"/>
      <c r="F2840" s="23">
        <f>IF($B2840="","",IFERROR(INDEX(ProdNome,MATCH($B2840,ProdCod,0)),"Código não cadastrado"))</f>
        <v>0</v>
      </c>
      <c r="G2840" s="24">
        <f>IF(OR($B2840="",$D2840=""),"",$D2840*IFERROR(INDEX(ProdCusto,MATCH($B2840,ProdCod,0)),0))</f>
        <v>0</v>
      </c>
      <c r="H2840" s="25">
        <f>IF($A2840="","",IF(OR($B2840="",$C2840="",$D2840=""),"Preencher tudo",IF($F2840="Código não cadastrado","Código inválido","OK")))</f>
        <v>0</v>
      </c>
    </row>
    <row r="2841" spans="1:8">
      <c r="A2841" s="16"/>
      <c r="B2841" s="15"/>
      <c r="C2841" s="20"/>
      <c r="D2841" s="22"/>
      <c r="E2841" s="15"/>
      <c r="F2841" s="23">
        <f>IF($B2841="","",IFERROR(INDEX(ProdNome,MATCH($B2841,ProdCod,0)),"Código não cadastrado"))</f>
        <v>0</v>
      </c>
      <c r="G2841" s="24">
        <f>IF(OR($B2841="",$D2841=""),"",$D2841*IFERROR(INDEX(ProdCusto,MATCH($B2841,ProdCod,0)),0))</f>
        <v>0</v>
      </c>
      <c r="H2841" s="25">
        <f>IF($A2841="","",IF(OR($B2841="",$C2841="",$D2841=""),"Preencher tudo",IF($F2841="Código não cadastrado","Código inválido","OK")))</f>
        <v>0</v>
      </c>
    </row>
    <row r="2842" spans="1:8">
      <c r="A2842" s="16"/>
      <c r="B2842" s="15"/>
      <c r="C2842" s="20"/>
      <c r="D2842" s="22"/>
      <c r="E2842" s="15"/>
      <c r="F2842" s="23">
        <f>IF($B2842="","",IFERROR(INDEX(ProdNome,MATCH($B2842,ProdCod,0)),"Código não cadastrado"))</f>
        <v>0</v>
      </c>
      <c r="G2842" s="24">
        <f>IF(OR($B2842="",$D2842=""),"",$D2842*IFERROR(INDEX(ProdCusto,MATCH($B2842,ProdCod,0)),0))</f>
        <v>0</v>
      </c>
      <c r="H2842" s="25">
        <f>IF($A2842="","",IF(OR($B2842="",$C2842="",$D2842=""),"Preencher tudo",IF($F2842="Código não cadastrado","Código inválido","OK")))</f>
        <v>0</v>
      </c>
    </row>
    <row r="2843" spans="1:8">
      <c r="A2843" s="16"/>
      <c r="B2843" s="15"/>
      <c r="C2843" s="20"/>
      <c r="D2843" s="22"/>
      <c r="E2843" s="15"/>
      <c r="F2843" s="23">
        <f>IF($B2843="","",IFERROR(INDEX(ProdNome,MATCH($B2843,ProdCod,0)),"Código não cadastrado"))</f>
        <v>0</v>
      </c>
      <c r="G2843" s="24">
        <f>IF(OR($B2843="",$D2843=""),"",$D2843*IFERROR(INDEX(ProdCusto,MATCH($B2843,ProdCod,0)),0))</f>
        <v>0</v>
      </c>
      <c r="H2843" s="25">
        <f>IF($A2843="","",IF(OR($B2843="",$C2843="",$D2843=""),"Preencher tudo",IF($F2843="Código não cadastrado","Código inválido","OK")))</f>
        <v>0</v>
      </c>
    </row>
    <row r="2844" spans="1:8">
      <c r="A2844" s="16"/>
      <c r="B2844" s="15"/>
      <c r="C2844" s="20"/>
      <c r="D2844" s="22"/>
      <c r="E2844" s="15"/>
      <c r="F2844" s="23">
        <f>IF($B2844="","",IFERROR(INDEX(ProdNome,MATCH($B2844,ProdCod,0)),"Código não cadastrado"))</f>
        <v>0</v>
      </c>
      <c r="G2844" s="24">
        <f>IF(OR($B2844="",$D2844=""),"",$D2844*IFERROR(INDEX(ProdCusto,MATCH($B2844,ProdCod,0)),0))</f>
        <v>0</v>
      </c>
      <c r="H2844" s="25">
        <f>IF($A2844="","",IF(OR($B2844="",$C2844="",$D2844=""),"Preencher tudo",IF($F2844="Código não cadastrado","Código inválido","OK")))</f>
        <v>0</v>
      </c>
    </row>
    <row r="2845" spans="1:8">
      <c r="A2845" s="16"/>
      <c r="B2845" s="15"/>
      <c r="C2845" s="20"/>
      <c r="D2845" s="22"/>
      <c r="E2845" s="15"/>
      <c r="F2845" s="23">
        <f>IF($B2845="","",IFERROR(INDEX(ProdNome,MATCH($B2845,ProdCod,0)),"Código não cadastrado"))</f>
        <v>0</v>
      </c>
      <c r="G2845" s="24">
        <f>IF(OR($B2845="",$D2845=""),"",$D2845*IFERROR(INDEX(ProdCusto,MATCH($B2845,ProdCod,0)),0))</f>
        <v>0</v>
      </c>
      <c r="H2845" s="25">
        <f>IF($A2845="","",IF(OR($B2845="",$C2845="",$D2845=""),"Preencher tudo",IF($F2845="Código não cadastrado","Código inválido","OK")))</f>
        <v>0</v>
      </c>
    </row>
    <row r="2846" spans="1:8">
      <c r="A2846" s="16"/>
      <c r="B2846" s="15"/>
      <c r="C2846" s="20"/>
      <c r="D2846" s="22"/>
      <c r="E2846" s="15"/>
      <c r="F2846" s="23">
        <f>IF($B2846="","",IFERROR(INDEX(ProdNome,MATCH($B2846,ProdCod,0)),"Código não cadastrado"))</f>
        <v>0</v>
      </c>
      <c r="G2846" s="24">
        <f>IF(OR($B2846="",$D2846=""),"",$D2846*IFERROR(INDEX(ProdCusto,MATCH($B2846,ProdCod,0)),0))</f>
        <v>0</v>
      </c>
      <c r="H2846" s="25">
        <f>IF($A2846="","",IF(OR($B2846="",$C2846="",$D2846=""),"Preencher tudo",IF($F2846="Código não cadastrado","Código inválido","OK")))</f>
        <v>0</v>
      </c>
    </row>
    <row r="2847" spans="1:8">
      <c r="A2847" s="16"/>
      <c r="B2847" s="15"/>
      <c r="C2847" s="20"/>
      <c r="D2847" s="22"/>
      <c r="E2847" s="15"/>
      <c r="F2847" s="23">
        <f>IF($B2847="","",IFERROR(INDEX(ProdNome,MATCH($B2847,ProdCod,0)),"Código não cadastrado"))</f>
        <v>0</v>
      </c>
      <c r="G2847" s="24">
        <f>IF(OR($B2847="",$D2847=""),"",$D2847*IFERROR(INDEX(ProdCusto,MATCH($B2847,ProdCod,0)),0))</f>
        <v>0</v>
      </c>
      <c r="H2847" s="25">
        <f>IF($A2847="","",IF(OR($B2847="",$C2847="",$D2847=""),"Preencher tudo",IF($F2847="Código não cadastrado","Código inválido","OK")))</f>
        <v>0</v>
      </c>
    </row>
    <row r="2848" spans="1:8">
      <c r="A2848" s="16"/>
      <c r="B2848" s="15"/>
      <c r="C2848" s="20"/>
      <c r="D2848" s="22"/>
      <c r="E2848" s="15"/>
      <c r="F2848" s="23">
        <f>IF($B2848="","",IFERROR(INDEX(ProdNome,MATCH($B2848,ProdCod,0)),"Código não cadastrado"))</f>
        <v>0</v>
      </c>
      <c r="G2848" s="24">
        <f>IF(OR($B2848="",$D2848=""),"",$D2848*IFERROR(INDEX(ProdCusto,MATCH($B2848,ProdCod,0)),0))</f>
        <v>0</v>
      </c>
      <c r="H2848" s="25">
        <f>IF($A2848="","",IF(OR($B2848="",$C2848="",$D2848=""),"Preencher tudo",IF($F2848="Código não cadastrado","Código inválido","OK")))</f>
        <v>0</v>
      </c>
    </row>
    <row r="2849" spans="1:8">
      <c r="A2849" s="16"/>
      <c r="B2849" s="15"/>
      <c r="C2849" s="20"/>
      <c r="D2849" s="22"/>
      <c r="E2849" s="15"/>
      <c r="F2849" s="23">
        <f>IF($B2849="","",IFERROR(INDEX(ProdNome,MATCH($B2849,ProdCod,0)),"Código não cadastrado"))</f>
        <v>0</v>
      </c>
      <c r="G2849" s="24">
        <f>IF(OR($B2849="",$D2849=""),"",$D2849*IFERROR(INDEX(ProdCusto,MATCH($B2849,ProdCod,0)),0))</f>
        <v>0</v>
      </c>
      <c r="H2849" s="25">
        <f>IF($A2849="","",IF(OR($B2849="",$C2849="",$D2849=""),"Preencher tudo",IF($F2849="Código não cadastrado","Código inválido","OK")))</f>
        <v>0</v>
      </c>
    </row>
    <row r="2850" spans="1:8">
      <c r="A2850" s="16"/>
      <c r="B2850" s="15"/>
      <c r="C2850" s="20"/>
      <c r="D2850" s="22"/>
      <c r="E2850" s="15"/>
      <c r="F2850" s="23">
        <f>IF($B2850="","",IFERROR(INDEX(ProdNome,MATCH($B2850,ProdCod,0)),"Código não cadastrado"))</f>
        <v>0</v>
      </c>
      <c r="G2850" s="24">
        <f>IF(OR($B2850="",$D2850=""),"",$D2850*IFERROR(INDEX(ProdCusto,MATCH($B2850,ProdCod,0)),0))</f>
        <v>0</v>
      </c>
      <c r="H2850" s="25">
        <f>IF($A2850="","",IF(OR($B2850="",$C2850="",$D2850=""),"Preencher tudo",IF($F2850="Código não cadastrado","Código inválido","OK")))</f>
        <v>0</v>
      </c>
    </row>
    <row r="2851" spans="1:8">
      <c r="A2851" s="16"/>
      <c r="B2851" s="15"/>
      <c r="C2851" s="20"/>
      <c r="D2851" s="22"/>
      <c r="E2851" s="15"/>
      <c r="F2851" s="23">
        <f>IF($B2851="","",IFERROR(INDEX(ProdNome,MATCH($B2851,ProdCod,0)),"Código não cadastrado"))</f>
        <v>0</v>
      </c>
      <c r="G2851" s="24">
        <f>IF(OR($B2851="",$D2851=""),"",$D2851*IFERROR(INDEX(ProdCusto,MATCH($B2851,ProdCod,0)),0))</f>
        <v>0</v>
      </c>
      <c r="H2851" s="25">
        <f>IF($A2851="","",IF(OR($B2851="",$C2851="",$D2851=""),"Preencher tudo",IF($F2851="Código não cadastrado","Código inválido","OK")))</f>
        <v>0</v>
      </c>
    </row>
    <row r="2852" spans="1:8">
      <c r="A2852" s="16"/>
      <c r="B2852" s="15"/>
      <c r="C2852" s="20"/>
      <c r="D2852" s="22"/>
      <c r="E2852" s="15"/>
      <c r="F2852" s="23">
        <f>IF($B2852="","",IFERROR(INDEX(ProdNome,MATCH($B2852,ProdCod,0)),"Código não cadastrado"))</f>
        <v>0</v>
      </c>
      <c r="G2852" s="24">
        <f>IF(OR($B2852="",$D2852=""),"",$D2852*IFERROR(INDEX(ProdCusto,MATCH($B2852,ProdCod,0)),0))</f>
        <v>0</v>
      </c>
      <c r="H2852" s="25">
        <f>IF($A2852="","",IF(OR($B2852="",$C2852="",$D2852=""),"Preencher tudo",IF($F2852="Código não cadastrado","Código inválido","OK")))</f>
        <v>0</v>
      </c>
    </row>
    <row r="2853" spans="1:8">
      <c r="A2853" s="16"/>
      <c r="B2853" s="15"/>
      <c r="C2853" s="20"/>
      <c r="D2853" s="22"/>
      <c r="E2853" s="15"/>
      <c r="F2853" s="23">
        <f>IF($B2853="","",IFERROR(INDEX(ProdNome,MATCH($B2853,ProdCod,0)),"Código não cadastrado"))</f>
        <v>0</v>
      </c>
      <c r="G2853" s="24">
        <f>IF(OR($B2853="",$D2853=""),"",$D2853*IFERROR(INDEX(ProdCusto,MATCH($B2853,ProdCod,0)),0))</f>
        <v>0</v>
      </c>
      <c r="H2853" s="25">
        <f>IF($A2853="","",IF(OR($B2853="",$C2853="",$D2853=""),"Preencher tudo",IF($F2853="Código não cadastrado","Código inválido","OK")))</f>
        <v>0</v>
      </c>
    </row>
    <row r="2854" spans="1:8">
      <c r="A2854" s="16"/>
      <c r="B2854" s="15"/>
      <c r="C2854" s="20"/>
      <c r="D2854" s="22"/>
      <c r="E2854" s="15"/>
      <c r="F2854" s="23">
        <f>IF($B2854="","",IFERROR(INDEX(ProdNome,MATCH($B2854,ProdCod,0)),"Código não cadastrado"))</f>
        <v>0</v>
      </c>
      <c r="G2854" s="24">
        <f>IF(OR($B2854="",$D2854=""),"",$D2854*IFERROR(INDEX(ProdCusto,MATCH($B2854,ProdCod,0)),0))</f>
        <v>0</v>
      </c>
      <c r="H2854" s="25">
        <f>IF($A2854="","",IF(OR($B2854="",$C2854="",$D2854=""),"Preencher tudo",IF($F2854="Código não cadastrado","Código inválido","OK")))</f>
        <v>0</v>
      </c>
    </row>
    <row r="2855" spans="1:8">
      <c r="A2855" s="16"/>
      <c r="B2855" s="15"/>
      <c r="C2855" s="20"/>
      <c r="D2855" s="22"/>
      <c r="E2855" s="15"/>
      <c r="F2855" s="23">
        <f>IF($B2855="","",IFERROR(INDEX(ProdNome,MATCH($B2855,ProdCod,0)),"Código não cadastrado"))</f>
        <v>0</v>
      </c>
      <c r="G2855" s="24">
        <f>IF(OR($B2855="",$D2855=""),"",$D2855*IFERROR(INDEX(ProdCusto,MATCH($B2855,ProdCod,0)),0))</f>
        <v>0</v>
      </c>
      <c r="H2855" s="25">
        <f>IF($A2855="","",IF(OR($B2855="",$C2855="",$D2855=""),"Preencher tudo",IF($F2855="Código não cadastrado","Código inválido","OK")))</f>
        <v>0</v>
      </c>
    </row>
    <row r="2856" spans="1:8">
      <c r="A2856" s="16"/>
      <c r="B2856" s="15"/>
      <c r="C2856" s="20"/>
      <c r="D2856" s="22"/>
      <c r="E2856" s="15"/>
      <c r="F2856" s="23">
        <f>IF($B2856="","",IFERROR(INDEX(ProdNome,MATCH($B2856,ProdCod,0)),"Código não cadastrado"))</f>
        <v>0</v>
      </c>
      <c r="G2856" s="24">
        <f>IF(OR($B2856="",$D2856=""),"",$D2856*IFERROR(INDEX(ProdCusto,MATCH($B2856,ProdCod,0)),0))</f>
        <v>0</v>
      </c>
      <c r="H2856" s="25">
        <f>IF($A2856="","",IF(OR($B2856="",$C2856="",$D2856=""),"Preencher tudo",IF($F2856="Código não cadastrado","Código inválido","OK")))</f>
        <v>0</v>
      </c>
    </row>
    <row r="2857" spans="1:8">
      <c r="A2857" s="16"/>
      <c r="B2857" s="15"/>
      <c r="C2857" s="20"/>
      <c r="D2857" s="22"/>
      <c r="E2857" s="15"/>
      <c r="F2857" s="23">
        <f>IF($B2857="","",IFERROR(INDEX(ProdNome,MATCH($B2857,ProdCod,0)),"Código não cadastrado"))</f>
        <v>0</v>
      </c>
      <c r="G2857" s="24">
        <f>IF(OR($B2857="",$D2857=""),"",$D2857*IFERROR(INDEX(ProdCusto,MATCH($B2857,ProdCod,0)),0))</f>
        <v>0</v>
      </c>
      <c r="H2857" s="25">
        <f>IF($A2857="","",IF(OR($B2857="",$C2857="",$D2857=""),"Preencher tudo",IF($F2857="Código não cadastrado","Código inválido","OK")))</f>
        <v>0</v>
      </c>
    </row>
    <row r="2858" spans="1:8">
      <c r="A2858" s="16"/>
      <c r="B2858" s="15"/>
      <c r="C2858" s="20"/>
      <c r="D2858" s="22"/>
      <c r="E2858" s="15"/>
      <c r="F2858" s="23">
        <f>IF($B2858="","",IFERROR(INDEX(ProdNome,MATCH($B2858,ProdCod,0)),"Código não cadastrado"))</f>
        <v>0</v>
      </c>
      <c r="G2858" s="24">
        <f>IF(OR($B2858="",$D2858=""),"",$D2858*IFERROR(INDEX(ProdCusto,MATCH($B2858,ProdCod,0)),0))</f>
        <v>0</v>
      </c>
      <c r="H2858" s="25">
        <f>IF($A2858="","",IF(OR($B2858="",$C2858="",$D2858=""),"Preencher tudo",IF($F2858="Código não cadastrado","Código inválido","OK")))</f>
        <v>0</v>
      </c>
    </row>
    <row r="2859" spans="1:8">
      <c r="A2859" s="16"/>
      <c r="B2859" s="15"/>
      <c r="C2859" s="20"/>
      <c r="D2859" s="22"/>
      <c r="E2859" s="15"/>
      <c r="F2859" s="23">
        <f>IF($B2859="","",IFERROR(INDEX(ProdNome,MATCH($B2859,ProdCod,0)),"Código não cadastrado"))</f>
        <v>0</v>
      </c>
      <c r="G2859" s="24">
        <f>IF(OR($B2859="",$D2859=""),"",$D2859*IFERROR(INDEX(ProdCusto,MATCH($B2859,ProdCod,0)),0))</f>
        <v>0</v>
      </c>
      <c r="H2859" s="25">
        <f>IF($A2859="","",IF(OR($B2859="",$C2859="",$D2859=""),"Preencher tudo",IF($F2859="Código não cadastrado","Código inválido","OK")))</f>
        <v>0</v>
      </c>
    </row>
    <row r="2860" spans="1:8">
      <c r="A2860" s="16"/>
      <c r="B2860" s="15"/>
      <c r="C2860" s="20"/>
      <c r="D2860" s="22"/>
      <c r="E2860" s="15"/>
      <c r="F2860" s="23">
        <f>IF($B2860="","",IFERROR(INDEX(ProdNome,MATCH($B2860,ProdCod,0)),"Código não cadastrado"))</f>
        <v>0</v>
      </c>
      <c r="G2860" s="24">
        <f>IF(OR($B2860="",$D2860=""),"",$D2860*IFERROR(INDEX(ProdCusto,MATCH($B2860,ProdCod,0)),0))</f>
        <v>0</v>
      </c>
      <c r="H2860" s="25">
        <f>IF($A2860="","",IF(OR($B2860="",$C2860="",$D2860=""),"Preencher tudo",IF($F2860="Código não cadastrado","Código inválido","OK")))</f>
        <v>0</v>
      </c>
    </row>
    <row r="2861" spans="1:8">
      <c r="A2861" s="16"/>
      <c r="B2861" s="15"/>
      <c r="C2861" s="20"/>
      <c r="D2861" s="22"/>
      <c r="E2861" s="15"/>
      <c r="F2861" s="23">
        <f>IF($B2861="","",IFERROR(INDEX(ProdNome,MATCH($B2861,ProdCod,0)),"Código não cadastrado"))</f>
        <v>0</v>
      </c>
      <c r="G2861" s="24">
        <f>IF(OR($B2861="",$D2861=""),"",$D2861*IFERROR(INDEX(ProdCusto,MATCH($B2861,ProdCod,0)),0))</f>
        <v>0</v>
      </c>
      <c r="H2861" s="25">
        <f>IF($A2861="","",IF(OR($B2861="",$C2861="",$D2861=""),"Preencher tudo",IF($F2861="Código não cadastrado","Código inválido","OK")))</f>
        <v>0</v>
      </c>
    </row>
    <row r="2862" spans="1:8">
      <c r="A2862" s="16"/>
      <c r="B2862" s="15"/>
      <c r="C2862" s="20"/>
      <c r="D2862" s="22"/>
      <c r="E2862" s="15"/>
      <c r="F2862" s="23">
        <f>IF($B2862="","",IFERROR(INDEX(ProdNome,MATCH($B2862,ProdCod,0)),"Código não cadastrado"))</f>
        <v>0</v>
      </c>
      <c r="G2862" s="24">
        <f>IF(OR($B2862="",$D2862=""),"",$D2862*IFERROR(INDEX(ProdCusto,MATCH($B2862,ProdCod,0)),0))</f>
        <v>0</v>
      </c>
      <c r="H2862" s="25">
        <f>IF($A2862="","",IF(OR($B2862="",$C2862="",$D2862=""),"Preencher tudo",IF($F2862="Código não cadastrado","Código inválido","OK")))</f>
        <v>0</v>
      </c>
    </row>
    <row r="2863" spans="1:8">
      <c r="A2863" s="16"/>
      <c r="B2863" s="15"/>
      <c r="C2863" s="20"/>
      <c r="D2863" s="22"/>
      <c r="E2863" s="15"/>
      <c r="F2863" s="23">
        <f>IF($B2863="","",IFERROR(INDEX(ProdNome,MATCH($B2863,ProdCod,0)),"Código não cadastrado"))</f>
        <v>0</v>
      </c>
      <c r="G2863" s="24">
        <f>IF(OR($B2863="",$D2863=""),"",$D2863*IFERROR(INDEX(ProdCusto,MATCH($B2863,ProdCod,0)),0))</f>
        <v>0</v>
      </c>
      <c r="H2863" s="25">
        <f>IF($A2863="","",IF(OR($B2863="",$C2863="",$D2863=""),"Preencher tudo",IF($F2863="Código não cadastrado","Código inválido","OK")))</f>
        <v>0</v>
      </c>
    </row>
    <row r="2864" spans="1:8">
      <c r="A2864" s="16"/>
      <c r="B2864" s="15"/>
      <c r="C2864" s="20"/>
      <c r="D2864" s="22"/>
      <c r="E2864" s="15"/>
      <c r="F2864" s="23">
        <f>IF($B2864="","",IFERROR(INDEX(ProdNome,MATCH($B2864,ProdCod,0)),"Código não cadastrado"))</f>
        <v>0</v>
      </c>
      <c r="G2864" s="24">
        <f>IF(OR($B2864="",$D2864=""),"",$D2864*IFERROR(INDEX(ProdCusto,MATCH($B2864,ProdCod,0)),0))</f>
        <v>0</v>
      </c>
      <c r="H2864" s="25">
        <f>IF($A2864="","",IF(OR($B2864="",$C2864="",$D2864=""),"Preencher tudo",IF($F2864="Código não cadastrado","Código inválido","OK")))</f>
        <v>0</v>
      </c>
    </row>
    <row r="2865" spans="1:8">
      <c r="A2865" s="16"/>
      <c r="B2865" s="15"/>
      <c r="C2865" s="20"/>
      <c r="D2865" s="22"/>
      <c r="E2865" s="15"/>
      <c r="F2865" s="23">
        <f>IF($B2865="","",IFERROR(INDEX(ProdNome,MATCH($B2865,ProdCod,0)),"Código não cadastrado"))</f>
        <v>0</v>
      </c>
      <c r="G2865" s="24">
        <f>IF(OR($B2865="",$D2865=""),"",$D2865*IFERROR(INDEX(ProdCusto,MATCH($B2865,ProdCod,0)),0))</f>
        <v>0</v>
      </c>
      <c r="H2865" s="25">
        <f>IF($A2865="","",IF(OR($B2865="",$C2865="",$D2865=""),"Preencher tudo",IF($F2865="Código não cadastrado","Código inválido","OK")))</f>
        <v>0</v>
      </c>
    </row>
    <row r="2866" spans="1:8">
      <c r="A2866" s="16"/>
      <c r="B2866" s="15"/>
      <c r="C2866" s="20"/>
      <c r="D2866" s="22"/>
      <c r="E2866" s="15"/>
      <c r="F2866" s="23">
        <f>IF($B2866="","",IFERROR(INDEX(ProdNome,MATCH($B2866,ProdCod,0)),"Código não cadastrado"))</f>
        <v>0</v>
      </c>
      <c r="G2866" s="24">
        <f>IF(OR($B2866="",$D2866=""),"",$D2866*IFERROR(INDEX(ProdCusto,MATCH($B2866,ProdCod,0)),0))</f>
        <v>0</v>
      </c>
      <c r="H2866" s="25">
        <f>IF($A2866="","",IF(OR($B2866="",$C2866="",$D2866=""),"Preencher tudo",IF($F2866="Código não cadastrado","Código inválido","OK")))</f>
        <v>0</v>
      </c>
    </row>
    <row r="2867" spans="1:8">
      <c r="A2867" s="16"/>
      <c r="B2867" s="15"/>
      <c r="C2867" s="20"/>
      <c r="D2867" s="22"/>
      <c r="E2867" s="15"/>
      <c r="F2867" s="23">
        <f>IF($B2867="","",IFERROR(INDEX(ProdNome,MATCH($B2867,ProdCod,0)),"Código não cadastrado"))</f>
        <v>0</v>
      </c>
      <c r="G2867" s="24">
        <f>IF(OR($B2867="",$D2867=""),"",$D2867*IFERROR(INDEX(ProdCusto,MATCH($B2867,ProdCod,0)),0))</f>
        <v>0</v>
      </c>
      <c r="H2867" s="25">
        <f>IF($A2867="","",IF(OR($B2867="",$C2867="",$D2867=""),"Preencher tudo",IF($F2867="Código não cadastrado","Código inválido","OK")))</f>
        <v>0</v>
      </c>
    </row>
    <row r="2868" spans="1:8">
      <c r="A2868" s="16"/>
      <c r="B2868" s="15"/>
      <c r="C2868" s="20"/>
      <c r="D2868" s="22"/>
      <c r="E2868" s="15"/>
      <c r="F2868" s="23">
        <f>IF($B2868="","",IFERROR(INDEX(ProdNome,MATCH($B2868,ProdCod,0)),"Código não cadastrado"))</f>
        <v>0</v>
      </c>
      <c r="G2868" s="24">
        <f>IF(OR($B2868="",$D2868=""),"",$D2868*IFERROR(INDEX(ProdCusto,MATCH($B2868,ProdCod,0)),0))</f>
        <v>0</v>
      </c>
      <c r="H2868" s="25">
        <f>IF($A2868="","",IF(OR($B2868="",$C2868="",$D2868=""),"Preencher tudo",IF($F2868="Código não cadastrado","Código inválido","OK")))</f>
        <v>0</v>
      </c>
    </row>
    <row r="2869" spans="1:8">
      <c r="A2869" s="16"/>
      <c r="B2869" s="15"/>
      <c r="C2869" s="20"/>
      <c r="D2869" s="22"/>
      <c r="E2869" s="15"/>
      <c r="F2869" s="23">
        <f>IF($B2869="","",IFERROR(INDEX(ProdNome,MATCH($B2869,ProdCod,0)),"Código não cadastrado"))</f>
        <v>0</v>
      </c>
      <c r="G2869" s="24">
        <f>IF(OR($B2869="",$D2869=""),"",$D2869*IFERROR(INDEX(ProdCusto,MATCH($B2869,ProdCod,0)),0))</f>
        <v>0</v>
      </c>
      <c r="H2869" s="25">
        <f>IF($A2869="","",IF(OR($B2869="",$C2869="",$D2869=""),"Preencher tudo",IF($F2869="Código não cadastrado","Código inválido","OK")))</f>
        <v>0</v>
      </c>
    </row>
    <row r="2870" spans="1:8">
      <c r="A2870" s="16"/>
      <c r="B2870" s="15"/>
      <c r="C2870" s="20"/>
      <c r="D2870" s="22"/>
      <c r="E2870" s="15"/>
      <c r="F2870" s="23">
        <f>IF($B2870="","",IFERROR(INDEX(ProdNome,MATCH($B2870,ProdCod,0)),"Código não cadastrado"))</f>
        <v>0</v>
      </c>
      <c r="G2870" s="24">
        <f>IF(OR($B2870="",$D2870=""),"",$D2870*IFERROR(INDEX(ProdCusto,MATCH($B2870,ProdCod,0)),0))</f>
        <v>0</v>
      </c>
      <c r="H2870" s="25">
        <f>IF($A2870="","",IF(OR($B2870="",$C2870="",$D2870=""),"Preencher tudo",IF($F2870="Código não cadastrado","Código inválido","OK")))</f>
        <v>0</v>
      </c>
    </row>
    <row r="2871" spans="1:8">
      <c r="A2871" s="16"/>
      <c r="B2871" s="15"/>
      <c r="C2871" s="20"/>
      <c r="D2871" s="22"/>
      <c r="E2871" s="15"/>
      <c r="F2871" s="23">
        <f>IF($B2871="","",IFERROR(INDEX(ProdNome,MATCH($B2871,ProdCod,0)),"Código não cadastrado"))</f>
        <v>0</v>
      </c>
      <c r="G2871" s="24">
        <f>IF(OR($B2871="",$D2871=""),"",$D2871*IFERROR(INDEX(ProdCusto,MATCH($B2871,ProdCod,0)),0))</f>
        <v>0</v>
      </c>
      <c r="H2871" s="25">
        <f>IF($A2871="","",IF(OR($B2871="",$C2871="",$D2871=""),"Preencher tudo",IF($F2871="Código não cadastrado","Código inválido","OK")))</f>
        <v>0</v>
      </c>
    </row>
    <row r="2872" spans="1:8">
      <c r="A2872" s="16"/>
      <c r="B2872" s="15"/>
      <c r="C2872" s="20"/>
      <c r="D2872" s="22"/>
      <c r="E2872" s="15"/>
      <c r="F2872" s="23">
        <f>IF($B2872="","",IFERROR(INDEX(ProdNome,MATCH($B2872,ProdCod,0)),"Código não cadastrado"))</f>
        <v>0</v>
      </c>
      <c r="G2872" s="24">
        <f>IF(OR($B2872="",$D2872=""),"",$D2872*IFERROR(INDEX(ProdCusto,MATCH($B2872,ProdCod,0)),0))</f>
        <v>0</v>
      </c>
      <c r="H2872" s="25">
        <f>IF($A2872="","",IF(OR($B2872="",$C2872="",$D2872=""),"Preencher tudo",IF($F2872="Código não cadastrado","Código inválido","OK")))</f>
        <v>0</v>
      </c>
    </row>
    <row r="2873" spans="1:8">
      <c r="A2873" s="16"/>
      <c r="B2873" s="15"/>
      <c r="C2873" s="20"/>
      <c r="D2873" s="22"/>
      <c r="E2873" s="15"/>
      <c r="F2873" s="23">
        <f>IF($B2873="","",IFERROR(INDEX(ProdNome,MATCH($B2873,ProdCod,0)),"Código não cadastrado"))</f>
        <v>0</v>
      </c>
      <c r="G2873" s="24">
        <f>IF(OR($B2873="",$D2873=""),"",$D2873*IFERROR(INDEX(ProdCusto,MATCH($B2873,ProdCod,0)),0))</f>
        <v>0</v>
      </c>
      <c r="H2873" s="25">
        <f>IF($A2873="","",IF(OR($B2873="",$C2873="",$D2873=""),"Preencher tudo",IF($F2873="Código não cadastrado","Código inválido","OK")))</f>
        <v>0</v>
      </c>
    </row>
    <row r="2874" spans="1:8">
      <c r="A2874" s="16"/>
      <c r="B2874" s="15"/>
      <c r="C2874" s="20"/>
      <c r="D2874" s="22"/>
      <c r="E2874" s="15"/>
      <c r="F2874" s="23">
        <f>IF($B2874="","",IFERROR(INDEX(ProdNome,MATCH($B2874,ProdCod,0)),"Código não cadastrado"))</f>
        <v>0</v>
      </c>
      <c r="G2874" s="24">
        <f>IF(OR($B2874="",$D2874=""),"",$D2874*IFERROR(INDEX(ProdCusto,MATCH($B2874,ProdCod,0)),0))</f>
        <v>0</v>
      </c>
      <c r="H2874" s="25">
        <f>IF($A2874="","",IF(OR($B2874="",$C2874="",$D2874=""),"Preencher tudo",IF($F2874="Código não cadastrado","Código inválido","OK")))</f>
        <v>0</v>
      </c>
    </row>
    <row r="2875" spans="1:8">
      <c r="A2875" s="16"/>
      <c r="B2875" s="15"/>
      <c r="C2875" s="20"/>
      <c r="D2875" s="22"/>
      <c r="E2875" s="15"/>
      <c r="F2875" s="23">
        <f>IF($B2875="","",IFERROR(INDEX(ProdNome,MATCH($B2875,ProdCod,0)),"Código não cadastrado"))</f>
        <v>0</v>
      </c>
      <c r="G2875" s="24">
        <f>IF(OR($B2875="",$D2875=""),"",$D2875*IFERROR(INDEX(ProdCusto,MATCH($B2875,ProdCod,0)),0))</f>
        <v>0</v>
      </c>
      <c r="H2875" s="25">
        <f>IF($A2875="","",IF(OR($B2875="",$C2875="",$D2875=""),"Preencher tudo",IF($F2875="Código não cadastrado","Código inválido","OK")))</f>
        <v>0</v>
      </c>
    </row>
    <row r="2876" spans="1:8">
      <c r="A2876" s="16"/>
      <c r="B2876" s="15"/>
      <c r="C2876" s="20"/>
      <c r="D2876" s="22"/>
      <c r="E2876" s="15"/>
      <c r="F2876" s="23">
        <f>IF($B2876="","",IFERROR(INDEX(ProdNome,MATCH($B2876,ProdCod,0)),"Código não cadastrado"))</f>
        <v>0</v>
      </c>
      <c r="G2876" s="24">
        <f>IF(OR($B2876="",$D2876=""),"",$D2876*IFERROR(INDEX(ProdCusto,MATCH($B2876,ProdCod,0)),0))</f>
        <v>0</v>
      </c>
      <c r="H2876" s="25">
        <f>IF($A2876="","",IF(OR($B2876="",$C2876="",$D2876=""),"Preencher tudo",IF($F2876="Código não cadastrado","Código inválido","OK")))</f>
        <v>0</v>
      </c>
    </row>
    <row r="2877" spans="1:8">
      <c r="A2877" s="16"/>
      <c r="B2877" s="15"/>
      <c r="C2877" s="20"/>
      <c r="D2877" s="22"/>
      <c r="E2877" s="15"/>
      <c r="F2877" s="23">
        <f>IF($B2877="","",IFERROR(INDEX(ProdNome,MATCH($B2877,ProdCod,0)),"Código não cadastrado"))</f>
        <v>0</v>
      </c>
      <c r="G2877" s="24">
        <f>IF(OR($B2877="",$D2877=""),"",$D2877*IFERROR(INDEX(ProdCusto,MATCH($B2877,ProdCod,0)),0))</f>
        <v>0</v>
      </c>
      <c r="H2877" s="25">
        <f>IF($A2877="","",IF(OR($B2877="",$C2877="",$D2877=""),"Preencher tudo",IF($F2877="Código não cadastrado","Código inválido","OK")))</f>
        <v>0</v>
      </c>
    </row>
    <row r="2878" spans="1:8">
      <c r="A2878" s="16"/>
      <c r="B2878" s="15"/>
      <c r="C2878" s="20"/>
      <c r="D2878" s="22"/>
      <c r="E2878" s="15"/>
      <c r="F2878" s="23">
        <f>IF($B2878="","",IFERROR(INDEX(ProdNome,MATCH($B2878,ProdCod,0)),"Código não cadastrado"))</f>
        <v>0</v>
      </c>
      <c r="G2878" s="24">
        <f>IF(OR($B2878="",$D2878=""),"",$D2878*IFERROR(INDEX(ProdCusto,MATCH($B2878,ProdCod,0)),0))</f>
        <v>0</v>
      </c>
      <c r="H2878" s="25">
        <f>IF($A2878="","",IF(OR($B2878="",$C2878="",$D2878=""),"Preencher tudo",IF($F2878="Código não cadastrado","Código inválido","OK")))</f>
        <v>0</v>
      </c>
    </row>
    <row r="2879" spans="1:8">
      <c r="A2879" s="16"/>
      <c r="B2879" s="15"/>
      <c r="C2879" s="20"/>
      <c r="D2879" s="22"/>
      <c r="E2879" s="15"/>
      <c r="F2879" s="23">
        <f>IF($B2879="","",IFERROR(INDEX(ProdNome,MATCH($B2879,ProdCod,0)),"Código não cadastrado"))</f>
        <v>0</v>
      </c>
      <c r="G2879" s="24">
        <f>IF(OR($B2879="",$D2879=""),"",$D2879*IFERROR(INDEX(ProdCusto,MATCH($B2879,ProdCod,0)),0))</f>
        <v>0</v>
      </c>
      <c r="H2879" s="25">
        <f>IF($A2879="","",IF(OR($B2879="",$C2879="",$D2879=""),"Preencher tudo",IF($F2879="Código não cadastrado","Código inválido","OK")))</f>
        <v>0</v>
      </c>
    </row>
    <row r="2880" spans="1:8">
      <c r="A2880" s="16"/>
      <c r="B2880" s="15"/>
      <c r="C2880" s="20"/>
      <c r="D2880" s="22"/>
      <c r="E2880" s="15"/>
      <c r="F2880" s="23">
        <f>IF($B2880="","",IFERROR(INDEX(ProdNome,MATCH($B2880,ProdCod,0)),"Código não cadastrado"))</f>
        <v>0</v>
      </c>
      <c r="G2880" s="24">
        <f>IF(OR($B2880="",$D2880=""),"",$D2880*IFERROR(INDEX(ProdCusto,MATCH($B2880,ProdCod,0)),0))</f>
        <v>0</v>
      </c>
      <c r="H2880" s="25">
        <f>IF($A2880="","",IF(OR($B2880="",$C2880="",$D2880=""),"Preencher tudo",IF($F2880="Código não cadastrado","Código inválido","OK")))</f>
        <v>0</v>
      </c>
    </row>
    <row r="2881" spans="1:8">
      <c r="A2881" s="16"/>
      <c r="B2881" s="15"/>
      <c r="C2881" s="20"/>
      <c r="D2881" s="22"/>
      <c r="E2881" s="15"/>
      <c r="F2881" s="23">
        <f>IF($B2881="","",IFERROR(INDEX(ProdNome,MATCH($B2881,ProdCod,0)),"Código não cadastrado"))</f>
        <v>0</v>
      </c>
      <c r="G2881" s="24">
        <f>IF(OR($B2881="",$D2881=""),"",$D2881*IFERROR(INDEX(ProdCusto,MATCH($B2881,ProdCod,0)),0))</f>
        <v>0</v>
      </c>
      <c r="H2881" s="25">
        <f>IF($A2881="","",IF(OR($B2881="",$C2881="",$D2881=""),"Preencher tudo",IF($F2881="Código não cadastrado","Código inválido","OK")))</f>
        <v>0</v>
      </c>
    </row>
    <row r="2882" spans="1:8">
      <c r="A2882" s="16"/>
      <c r="B2882" s="15"/>
      <c r="C2882" s="20"/>
      <c r="D2882" s="22"/>
      <c r="E2882" s="15"/>
      <c r="F2882" s="23">
        <f>IF($B2882="","",IFERROR(INDEX(ProdNome,MATCH($B2882,ProdCod,0)),"Código não cadastrado"))</f>
        <v>0</v>
      </c>
      <c r="G2882" s="24">
        <f>IF(OR($B2882="",$D2882=""),"",$D2882*IFERROR(INDEX(ProdCusto,MATCH($B2882,ProdCod,0)),0))</f>
        <v>0</v>
      </c>
      <c r="H2882" s="25">
        <f>IF($A2882="","",IF(OR($B2882="",$C2882="",$D2882=""),"Preencher tudo",IF($F2882="Código não cadastrado","Código inválido","OK")))</f>
        <v>0</v>
      </c>
    </row>
    <row r="2883" spans="1:8">
      <c r="A2883" s="16"/>
      <c r="B2883" s="15"/>
      <c r="C2883" s="20"/>
      <c r="D2883" s="22"/>
      <c r="E2883" s="15"/>
      <c r="F2883" s="23">
        <f>IF($B2883="","",IFERROR(INDEX(ProdNome,MATCH($B2883,ProdCod,0)),"Código não cadastrado"))</f>
        <v>0</v>
      </c>
      <c r="G2883" s="24">
        <f>IF(OR($B2883="",$D2883=""),"",$D2883*IFERROR(INDEX(ProdCusto,MATCH($B2883,ProdCod,0)),0))</f>
        <v>0</v>
      </c>
      <c r="H2883" s="25">
        <f>IF($A2883="","",IF(OR($B2883="",$C2883="",$D2883=""),"Preencher tudo",IF($F2883="Código não cadastrado","Código inválido","OK")))</f>
        <v>0</v>
      </c>
    </row>
    <row r="2884" spans="1:8">
      <c r="A2884" s="16"/>
      <c r="B2884" s="15"/>
      <c r="C2884" s="20"/>
      <c r="D2884" s="22"/>
      <c r="E2884" s="15"/>
      <c r="F2884" s="23">
        <f>IF($B2884="","",IFERROR(INDEX(ProdNome,MATCH($B2884,ProdCod,0)),"Código não cadastrado"))</f>
        <v>0</v>
      </c>
      <c r="G2884" s="24">
        <f>IF(OR($B2884="",$D2884=""),"",$D2884*IFERROR(INDEX(ProdCusto,MATCH($B2884,ProdCod,0)),0))</f>
        <v>0</v>
      </c>
      <c r="H2884" s="25">
        <f>IF($A2884="","",IF(OR($B2884="",$C2884="",$D2884=""),"Preencher tudo",IF($F2884="Código não cadastrado","Código inválido","OK")))</f>
        <v>0</v>
      </c>
    </row>
    <row r="2885" spans="1:8">
      <c r="A2885" s="16"/>
      <c r="B2885" s="15"/>
      <c r="C2885" s="20"/>
      <c r="D2885" s="22"/>
      <c r="E2885" s="15"/>
      <c r="F2885" s="23">
        <f>IF($B2885="","",IFERROR(INDEX(ProdNome,MATCH($B2885,ProdCod,0)),"Código não cadastrado"))</f>
        <v>0</v>
      </c>
      <c r="G2885" s="24">
        <f>IF(OR($B2885="",$D2885=""),"",$D2885*IFERROR(INDEX(ProdCusto,MATCH($B2885,ProdCod,0)),0))</f>
        <v>0</v>
      </c>
      <c r="H2885" s="25">
        <f>IF($A2885="","",IF(OR($B2885="",$C2885="",$D2885=""),"Preencher tudo",IF($F2885="Código não cadastrado","Código inválido","OK")))</f>
        <v>0</v>
      </c>
    </row>
    <row r="2886" spans="1:8">
      <c r="A2886" s="16"/>
      <c r="B2886" s="15"/>
      <c r="C2886" s="20"/>
      <c r="D2886" s="22"/>
      <c r="E2886" s="15"/>
      <c r="F2886" s="23">
        <f>IF($B2886="","",IFERROR(INDEX(ProdNome,MATCH($B2886,ProdCod,0)),"Código não cadastrado"))</f>
        <v>0</v>
      </c>
      <c r="G2886" s="24">
        <f>IF(OR($B2886="",$D2886=""),"",$D2886*IFERROR(INDEX(ProdCusto,MATCH($B2886,ProdCod,0)),0))</f>
        <v>0</v>
      </c>
      <c r="H2886" s="25">
        <f>IF($A2886="","",IF(OR($B2886="",$C2886="",$D2886=""),"Preencher tudo",IF($F2886="Código não cadastrado","Código inválido","OK")))</f>
        <v>0</v>
      </c>
    </row>
    <row r="2887" spans="1:8">
      <c r="A2887" s="16"/>
      <c r="B2887" s="15"/>
      <c r="C2887" s="20"/>
      <c r="D2887" s="22"/>
      <c r="E2887" s="15"/>
      <c r="F2887" s="23">
        <f>IF($B2887="","",IFERROR(INDEX(ProdNome,MATCH($B2887,ProdCod,0)),"Código não cadastrado"))</f>
        <v>0</v>
      </c>
      <c r="G2887" s="24">
        <f>IF(OR($B2887="",$D2887=""),"",$D2887*IFERROR(INDEX(ProdCusto,MATCH($B2887,ProdCod,0)),0))</f>
        <v>0</v>
      </c>
      <c r="H2887" s="25">
        <f>IF($A2887="","",IF(OR($B2887="",$C2887="",$D2887=""),"Preencher tudo",IF($F2887="Código não cadastrado","Código inválido","OK")))</f>
        <v>0</v>
      </c>
    </row>
    <row r="2888" spans="1:8">
      <c r="A2888" s="16"/>
      <c r="B2888" s="15"/>
      <c r="C2888" s="20"/>
      <c r="D2888" s="22"/>
      <c r="E2888" s="15"/>
      <c r="F2888" s="23">
        <f>IF($B2888="","",IFERROR(INDEX(ProdNome,MATCH($B2888,ProdCod,0)),"Código não cadastrado"))</f>
        <v>0</v>
      </c>
      <c r="G2888" s="24">
        <f>IF(OR($B2888="",$D2888=""),"",$D2888*IFERROR(INDEX(ProdCusto,MATCH($B2888,ProdCod,0)),0))</f>
        <v>0</v>
      </c>
      <c r="H2888" s="25">
        <f>IF($A2888="","",IF(OR($B2888="",$C2888="",$D2888=""),"Preencher tudo",IF($F2888="Código não cadastrado","Código inválido","OK")))</f>
        <v>0</v>
      </c>
    </row>
    <row r="2889" spans="1:8">
      <c r="A2889" s="16"/>
      <c r="B2889" s="15"/>
      <c r="C2889" s="20"/>
      <c r="D2889" s="22"/>
      <c r="E2889" s="15"/>
      <c r="F2889" s="23">
        <f>IF($B2889="","",IFERROR(INDEX(ProdNome,MATCH($B2889,ProdCod,0)),"Código não cadastrado"))</f>
        <v>0</v>
      </c>
      <c r="G2889" s="24">
        <f>IF(OR($B2889="",$D2889=""),"",$D2889*IFERROR(INDEX(ProdCusto,MATCH($B2889,ProdCod,0)),0))</f>
        <v>0</v>
      </c>
      <c r="H2889" s="25">
        <f>IF($A2889="","",IF(OR($B2889="",$C2889="",$D2889=""),"Preencher tudo",IF($F2889="Código não cadastrado","Código inválido","OK")))</f>
        <v>0</v>
      </c>
    </row>
    <row r="2890" spans="1:8">
      <c r="A2890" s="16"/>
      <c r="B2890" s="15"/>
      <c r="C2890" s="20"/>
      <c r="D2890" s="22"/>
      <c r="E2890" s="15"/>
      <c r="F2890" s="23">
        <f>IF($B2890="","",IFERROR(INDEX(ProdNome,MATCH($B2890,ProdCod,0)),"Código não cadastrado"))</f>
        <v>0</v>
      </c>
      <c r="G2890" s="24">
        <f>IF(OR($B2890="",$D2890=""),"",$D2890*IFERROR(INDEX(ProdCusto,MATCH($B2890,ProdCod,0)),0))</f>
        <v>0</v>
      </c>
      <c r="H2890" s="25">
        <f>IF($A2890="","",IF(OR($B2890="",$C2890="",$D2890=""),"Preencher tudo",IF($F2890="Código não cadastrado","Código inválido","OK")))</f>
        <v>0</v>
      </c>
    </row>
    <row r="2891" spans="1:8">
      <c r="A2891" s="16"/>
      <c r="B2891" s="15"/>
      <c r="C2891" s="20"/>
      <c r="D2891" s="22"/>
      <c r="E2891" s="15"/>
      <c r="F2891" s="23">
        <f>IF($B2891="","",IFERROR(INDEX(ProdNome,MATCH($B2891,ProdCod,0)),"Código não cadastrado"))</f>
        <v>0</v>
      </c>
      <c r="G2891" s="24">
        <f>IF(OR($B2891="",$D2891=""),"",$D2891*IFERROR(INDEX(ProdCusto,MATCH($B2891,ProdCod,0)),0))</f>
        <v>0</v>
      </c>
      <c r="H2891" s="25">
        <f>IF($A2891="","",IF(OR($B2891="",$C2891="",$D2891=""),"Preencher tudo",IF($F2891="Código não cadastrado","Código inválido","OK")))</f>
        <v>0</v>
      </c>
    </row>
    <row r="2892" spans="1:8">
      <c r="A2892" s="16"/>
      <c r="B2892" s="15"/>
      <c r="C2892" s="20"/>
      <c r="D2892" s="22"/>
      <c r="E2892" s="15"/>
      <c r="F2892" s="23">
        <f>IF($B2892="","",IFERROR(INDEX(ProdNome,MATCH($B2892,ProdCod,0)),"Código não cadastrado"))</f>
        <v>0</v>
      </c>
      <c r="G2892" s="24">
        <f>IF(OR($B2892="",$D2892=""),"",$D2892*IFERROR(INDEX(ProdCusto,MATCH($B2892,ProdCod,0)),0))</f>
        <v>0</v>
      </c>
      <c r="H2892" s="25">
        <f>IF($A2892="","",IF(OR($B2892="",$C2892="",$D2892=""),"Preencher tudo",IF($F2892="Código não cadastrado","Código inválido","OK")))</f>
        <v>0</v>
      </c>
    </row>
    <row r="2893" spans="1:8">
      <c r="A2893" s="16"/>
      <c r="B2893" s="15"/>
      <c r="C2893" s="20"/>
      <c r="D2893" s="22"/>
      <c r="E2893" s="15"/>
      <c r="F2893" s="23">
        <f>IF($B2893="","",IFERROR(INDEX(ProdNome,MATCH($B2893,ProdCod,0)),"Código não cadastrado"))</f>
        <v>0</v>
      </c>
      <c r="G2893" s="24">
        <f>IF(OR($B2893="",$D2893=""),"",$D2893*IFERROR(INDEX(ProdCusto,MATCH($B2893,ProdCod,0)),0))</f>
        <v>0</v>
      </c>
      <c r="H2893" s="25">
        <f>IF($A2893="","",IF(OR($B2893="",$C2893="",$D2893=""),"Preencher tudo",IF($F2893="Código não cadastrado","Código inválido","OK")))</f>
        <v>0</v>
      </c>
    </row>
    <row r="2894" spans="1:8">
      <c r="A2894" s="16"/>
      <c r="B2894" s="15"/>
      <c r="C2894" s="20"/>
      <c r="D2894" s="22"/>
      <c r="E2894" s="15"/>
      <c r="F2894" s="23">
        <f>IF($B2894="","",IFERROR(INDEX(ProdNome,MATCH($B2894,ProdCod,0)),"Código não cadastrado"))</f>
        <v>0</v>
      </c>
      <c r="G2894" s="24">
        <f>IF(OR($B2894="",$D2894=""),"",$D2894*IFERROR(INDEX(ProdCusto,MATCH($B2894,ProdCod,0)),0))</f>
        <v>0</v>
      </c>
      <c r="H2894" s="25">
        <f>IF($A2894="","",IF(OR($B2894="",$C2894="",$D2894=""),"Preencher tudo",IF($F2894="Código não cadastrado","Código inválido","OK")))</f>
        <v>0</v>
      </c>
    </row>
    <row r="2895" spans="1:8">
      <c r="A2895" s="16"/>
      <c r="B2895" s="15"/>
      <c r="C2895" s="20"/>
      <c r="D2895" s="22"/>
      <c r="E2895" s="15"/>
      <c r="F2895" s="23">
        <f>IF($B2895="","",IFERROR(INDEX(ProdNome,MATCH($B2895,ProdCod,0)),"Código não cadastrado"))</f>
        <v>0</v>
      </c>
      <c r="G2895" s="24">
        <f>IF(OR($B2895="",$D2895=""),"",$D2895*IFERROR(INDEX(ProdCusto,MATCH($B2895,ProdCod,0)),0))</f>
        <v>0</v>
      </c>
      <c r="H2895" s="25">
        <f>IF($A2895="","",IF(OR($B2895="",$C2895="",$D2895=""),"Preencher tudo",IF($F2895="Código não cadastrado","Código inválido","OK")))</f>
        <v>0</v>
      </c>
    </row>
    <row r="2896" spans="1:8">
      <c r="A2896" s="16"/>
      <c r="B2896" s="15"/>
      <c r="C2896" s="20"/>
      <c r="D2896" s="22"/>
      <c r="E2896" s="15"/>
      <c r="F2896" s="23">
        <f>IF($B2896="","",IFERROR(INDEX(ProdNome,MATCH($B2896,ProdCod,0)),"Código não cadastrado"))</f>
        <v>0</v>
      </c>
      <c r="G2896" s="24">
        <f>IF(OR($B2896="",$D2896=""),"",$D2896*IFERROR(INDEX(ProdCusto,MATCH($B2896,ProdCod,0)),0))</f>
        <v>0</v>
      </c>
      <c r="H2896" s="25">
        <f>IF($A2896="","",IF(OR($B2896="",$C2896="",$D2896=""),"Preencher tudo",IF($F2896="Código não cadastrado","Código inválido","OK")))</f>
        <v>0</v>
      </c>
    </row>
    <row r="2897" spans="1:8">
      <c r="A2897" s="16"/>
      <c r="B2897" s="15"/>
      <c r="C2897" s="20"/>
      <c r="D2897" s="22"/>
      <c r="E2897" s="15"/>
      <c r="F2897" s="23">
        <f>IF($B2897="","",IFERROR(INDEX(ProdNome,MATCH($B2897,ProdCod,0)),"Código não cadastrado"))</f>
        <v>0</v>
      </c>
      <c r="G2897" s="24">
        <f>IF(OR($B2897="",$D2897=""),"",$D2897*IFERROR(INDEX(ProdCusto,MATCH($B2897,ProdCod,0)),0))</f>
        <v>0</v>
      </c>
      <c r="H2897" s="25">
        <f>IF($A2897="","",IF(OR($B2897="",$C2897="",$D2897=""),"Preencher tudo",IF($F2897="Código não cadastrado","Código inválido","OK")))</f>
        <v>0</v>
      </c>
    </row>
    <row r="2898" spans="1:8">
      <c r="A2898" s="16"/>
      <c r="B2898" s="15"/>
      <c r="C2898" s="20"/>
      <c r="D2898" s="22"/>
      <c r="E2898" s="15"/>
      <c r="F2898" s="23">
        <f>IF($B2898="","",IFERROR(INDEX(ProdNome,MATCH($B2898,ProdCod,0)),"Código não cadastrado"))</f>
        <v>0</v>
      </c>
      <c r="G2898" s="24">
        <f>IF(OR($B2898="",$D2898=""),"",$D2898*IFERROR(INDEX(ProdCusto,MATCH($B2898,ProdCod,0)),0))</f>
        <v>0</v>
      </c>
      <c r="H2898" s="25">
        <f>IF($A2898="","",IF(OR($B2898="",$C2898="",$D2898=""),"Preencher tudo",IF($F2898="Código não cadastrado","Código inválido","OK")))</f>
        <v>0</v>
      </c>
    </row>
    <row r="2899" spans="1:8">
      <c r="A2899" s="16"/>
      <c r="B2899" s="15"/>
      <c r="C2899" s="20"/>
      <c r="D2899" s="22"/>
      <c r="E2899" s="15"/>
      <c r="F2899" s="23">
        <f>IF($B2899="","",IFERROR(INDEX(ProdNome,MATCH($B2899,ProdCod,0)),"Código não cadastrado"))</f>
        <v>0</v>
      </c>
      <c r="G2899" s="24">
        <f>IF(OR($B2899="",$D2899=""),"",$D2899*IFERROR(INDEX(ProdCusto,MATCH($B2899,ProdCod,0)),0))</f>
        <v>0</v>
      </c>
      <c r="H2899" s="25">
        <f>IF($A2899="","",IF(OR($B2899="",$C2899="",$D2899=""),"Preencher tudo",IF($F2899="Código não cadastrado","Código inválido","OK")))</f>
        <v>0</v>
      </c>
    </row>
    <row r="2900" spans="1:8">
      <c r="A2900" s="16"/>
      <c r="B2900" s="15"/>
      <c r="C2900" s="20"/>
      <c r="D2900" s="22"/>
      <c r="E2900" s="15"/>
      <c r="F2900" s="23">
        <f>IF($B2900="","",IFERROR(INDEX(ProdNome,MATCH($B2900,ProdCod,0)),"Código não cadastrado"))</f>
        <v>0</v>
      </c>
      <c r="G2900" s="24">
        <f>IF(OR($B2900="",$D2900=""),"",$D2900*IFERROR(INDEX(ProdCusto,MATCH($B2900,ProdCod,0)),0))</f>
        <v>0</v>
      </c>
      <c r="H2900" s="25">
        <f>IF($A2900="","",IF(OR($B2900="",$C2900="",$D2900=""),"Preencher tudo",IF($F2900="Código não cadastrado","Código inválido","OK")))</f>
        <v>0</v>
      </c>
    </row>
    <row r="2901" spans="1:8">
      <c r="A2901" s="16"/>
      <c r="B2901" s="15"/>
      <c r="C2901" s="20"/>
      <c r="D2901" s="22"/>
      <c r="E2901" s="15"/>
      <c r="F2901" s="23">
        <f>IF($B2901="","",IFERROR(INDEX(ProdNome,MATCH($B2901,ProdCod,0)),"Código não cadastrado"))</f>
        <v>0</v>
      </c>
      <c r="G2901" s="24">
        <f>IF(OR($B2901="",$D2901=""),"",$D2901*IFERROR(INDEX(ProdCusto,MATCH($B2901,ProdCod,0)),0))</f>
        <v>0</v>
      </c>
      <c r="H2901" s="25">
        <f>IF($A2901="","",IF(OR($B2901="",$C2901="",$D2901=""),"Preencher tudo",IF($F2901="Código não cadastrado","Código inválido","OK")))</f>
        <v>0</v>
      </c>
    </row>
    <row r="2902" spans="1:8">
      <c r="A2902" s="16"/>
      <c r="B2902" s="15"/>
      <c r="C2902" s="20"/>
      <c r="D2902" s="22"/>
      <c r="E2902" s="15"/>
      <c r="F2902" s="23">
        <f>IF($B2902="","",IFERROR(INDEX(ProdNome,MATCH($B2902,ProdCod,0)),"Código não cadastrado"))</f>
        <v>0</v>
      </c>
      <c r="G2902" s="24">
        <f>IF(OR($B2902="",$D2902=""),"",$D2902*IFERROR(INDEX(ProdCusto,MATCH($B2902,ProdCod,0)),0))</f>
        <v>0</v>
      </c>
      <c r="H2902" s="25">
        <f>IF($A2902="","",IF(OR($B2902="",$C2902="",$D2902=""),"Preencher tudo",IF($F2902="Código não cadastrado","Código inválido","OK")))</f>
        <v>0</v>
      </c>
    </row>
    <row r="2903" spans="1:8">
      <c r="A2903" s="16"/>
      <c r="B2903" s="15"/>
      <c r="C2903" s="20"/>
      <c r="D2903" s="22"/>
      <c r="E2903" s="15"/>
      <c r="F2903" s="23">
        <f>IF($B2903="","",IFERROR(INDEX(ProdNome,MATCH($B2903,ProdCod,0)),"Código não cadastrado"))</f>
        <v>0</v>
      </c>
      <c r="G2903" s="24">
        <f>IF(OR($B2903="",$D2903=""),"",$D2903*IFERROR(INDEX(ProdCusto,MATCH($B2903,ProdCod,0)),0))</f>
        <v>0</v>
      </c>
      <c r="H2903" s="25">
        <f>IF($A2903="","",IF(OR($B2903="",$C2903="",$D2903=""),"Preencher tudo",IF($F2903="Código não cadastrado","Código inválido","OK")))</f>
        <v>0</v>
      </c>
    </row>
    <row r="2904" spans="1:8">
      <c r="A2904" s="16"/>
      <c r="B2904" s="15"/>
      <c r="C2904" s="20"/>
      <c r="D2904" s="22"/>
      <c r="E2904" s="15"/>
      <c r="F2904" s="23">
        <f>IF($B2904="","",IFERROR(INDEX(ProdNome,MATCH($B2904,ProdCod,0)),"Código não cadastrado"))</f>
        <v>0</v>
      </c>
      <c r="G2904" s="24">
        <f>IF(OR($B2904="",$D2904=""),"",$D2904*IFERROR(INDEX(ProdCusto,MATCH($B2904,ProdCod,0)),0))</f>
        <v>0</v>
      </c>
      <c r="H2904" s="25">
        <f>IF($A2904="","",IF(OR($B2904="",$C2904="",$D2904=""),"Preencher tudo",IF($F2904="Código não cadastrado","Código inválido","OK")))</f>
        <v>0</v>
      </c>
    </row>
    <row r="2905" spans="1:8">
      <c r="A2905" s="16"/>
      <c r="B2905" s="15"/>
      <c r="C2905" s="20"/>
      <c r="D2905" s="22"/>
      <c r="E2905" s="15"/>
      <c r="F2905" s="23">
        <f>IF($B2905="","",IFERROR(INDEX(ProdNome,MATCH($B2905,ProdCod,0)),"Código não cadastrado"))</f>
        <v>0</v>
      </c>
      <c r="G2905" s="24">
        <f>IF(OR($B2905="",$D2905=""),"",$D2905*IFERROR(INDEX(ProdCusto,MATCH($B2905,ProdCod,0)),0))</f>
        <v>0</v>
      </c>
      <c r="H2905" s="25">
        <f>IF($A2905="","",IF(OR($B2905="",$C2905="",$D2905=""),"Preencher tudo",IF($F2905="Código não cadastrado","Código inválido","OK")))</f>
        <v>0</v>
      </c>
    </row>
    <row r="2906" spans="1:8">
      <c r="A2906" s="16"/>
      <c r="B2906" s="15"/>
      <c r="C2906" s="20"/>
      <c r="D2906" s="22"/>
      <c r="E2906" s="15"/>
      <c r="F2906" s="23">
        <f>IF($B2906="","",IFERROR(INDEX(ProdNome,MATCH($B2906,ProdCod,0)),"Código não cadastrado"))</f>
        <v>0</v>
      </c>
      <c r="G2906" s="24">
        <f>IF(OR($B2906="",$D2906=""),"",$D2906*IFERROR(INDEX(ProdCusto,MATCH($B2906,ProdCod,0)),0))</f>
        <v>0</v>
      </c>
      <c r="H2906" s="25">
        <f>IF($A2906="","",IF(OR($B2906="",$C2906="",$D2906=""),"Preencher tudo",IF($F2906="Código não cadastrado","Código inválido","OK")))</f>
        <v>0</v>
      </c>
    </row>
    <row r="2907" spans="1:8">
      <c r="A2907" s="16"/>
      <c r="B2907" s="15"/>
      <c r="C2907" s="20"/>
      <c r="D2907" s="22"/>
      <c r="E2907" s="15"/>
      <c r="F2907" s="23">
        <f>IF($B2907="","",IFERROR(INDEX(ProdNome,MATCH($B2907,ProdCod,0)),"Código não cadastrado"))</f>
        <v>0</v>
      </c>
      <c r="G2907" s="24">
        <f>IF(OR($B2907="",$D2907=""),"",$D2907*IFERROR(INDEX(ProdCusto,MATCH($B2907,ProdCod,0)),0))</f>
        <v>0</v>
      </c>
      <c r="H2907" s="25">
        <f>IF($A2907="","",IF(OR($B2907="",$C2907="",$D2907=""),"Preencher tudo",IF($F2907="Código não cadastrado","Código inválido","OK")))</f>
        <v>0</v>
      </c>
    </row>
    <row r="2908" spans="1:8">
      <c r="A2908" s="16"/>
      <c r="B2908" s="15"/>
      <c r="C2908" s="20"/>
      <c r="D2908" s="22"/>
      <c r="E2908" s="15"/>
      <c r="F2908" s="23">
        <f>IF($B2908="","",IFERROR(INDEX(ProdNome,MATCH($B2908,ProdCod,0)),"Código não cadastrado"))</f>
        <v>0</v>
      </c>
      <c r="G2908" s="24">
        <f>IF(OR($B2908="",$D2908=""),"",$D2908*IFERROR(INDEX(ProdCusto,MATCH($B2908,ProdCod,0)),0))</f>
        <v>0</v>
      </c>
      <c r="H2908" s="25">
        <f>IF($A2908="","",IF(OR($B2908="",$C2908="",$D2908=""),"Preencher tudo",IF($F2908="Código não cadastrado","Código inválido","OK")))</f>
        <v>0</v>
      </c>
    </row>
    <row r="2909" spans="1:8">
      <c r="A2909" s="16"/>
      <c r="B2909" s="15"/>
      <c r="C2909" s="20"/>
      <c r="D2909" s="22"/>
      <c r="E2909" s="15"/>
      <c r="F2909" s="23">
        <f>IF($B2909="","",IFERROR(INDEX(ProdNome,MATCH($B2909,ProdCod,0)),"Código não cadastrado"))</f>
        <v>0</v>
      </c>
      <c r="G2909" s="24">
        <f>IF(OR($B2909="",$D2909=""),"",$D2909*IFERROR(INDEX(ProdCusto,MATCH($B2909,ProdCod,0)),0))</f>
        <v>0</v>
      </c>
      <c r="H2909" s="25">
        <f>IF($A2909="","",IF(OR($B2909="",$C2909="",$D2909=""),"Preencher tudo",IF($F2909="Código não cadastrado","Código inválido","OK")))</f>
        <v>0</v>
      </c>
    </row>
    <row r="2910" spans="1:8">
      <c r="A2910" s="16"/>
      <c r="B2910" s="15"/>
      <c r="C2910" s="20"/>
      <c r="D2910" s="22"/>
      <c r="E2910" s="15"/>
      <c r="F2910" s="23">
        <f>IF($B2910="","",IFERROR(INDEX(ProdNome,MATCH($B2910,ProdCod,0)),"Código não cadastrado"))</f>
        <v>0</v>
      </c>
      <c r="G2910" s="24">
        <f>IF(OR($B2910="",$D2910=""),"",$D2910*IFERROR(INDEX(ProdCusto,MATCH($B2910,ProdCod,0)),0))</f>
        <v>0</v>
      </c>
      <c r="H2910" s="25">
        <f>IF($A2910="","",IF(OR($B2910="",$C2910="",$D2910=""),"Preencher tudo",IF($F2910="Código não cadastrado","Código inválido","OK")))</f>
        <v>0</v>
      </c>
    </row>
    <row r="2911" spans="1:8">
      <c r="A2911" s="16"/>
      <c r="B2911" s="15"/>
      <c r="C2911" s="20"/>
      <c r="D2911" s="22"/>
      <c r="E2911" s="15"/>
      <c r="F2911" s="23">
        <f>IF($B2911="","",IFERROR(INDEX(ProdNome,MATCH($B2911,ProdCod,0)),"Código não cadastrado"))</f>
        <v>0</v>
      </c>
      <c r="G2911" s="24">
        <f>IF(OR($B2911="",$D2911=""),"",$D2911*IFERROR(INDEX(ProdCusto,MATCH($B2911,ProdCod,0)),0))</f>
        <v>0</v>
      </c>
      <c r="H2911" s="25">
        <f>IF($A2911="","",IF(OR($B2911="",$C2911="",$D2911=""),"Preencher tudo",IF($F2911="Código não cadastrado","Código inválido","OK")))</f>
        <v>0</v>
      </c>
    </row>
    <row r="2912" spans="1:8">
      <c r="A2912" s="16"/>
      <c r="B2912" s="15"/>
      <c r="C2912" s="20"/>
      <c r="D2912" s="22"/>
      <c r="E2912" s="15"/>
      <c r="F2912" s="23">
        <f>IF($B2912="","",IFERROR(INDEX(ProdNome,MATCH($B2912,ProdCod,0)),"Código não cadastrado"))</f>
        <v>0</v>
      </c>
      <c r="G2912" s="24">
        <f>IF(OR($B2912="",$D2912=""),"",$D2912*IFERROR(INDEX(ProdCusto,MATCH($B2912,ProdCod,0)),0))</f>
        <v>0</v>
      </c>
      <c r="H2912" s="25">
        <f>IF($A2912="","",IF(OR($B2912="",$C2912="",$D2912=""),"Preencher tudo",IF($F2912="Código não cadastrado","Código inválido","OK")))</f>
        <v>0</v>
      </c>
    </row>
    <row r="2913" spans="1:8">
      <c r="A2913" s="16"/>
      <c r="B2913" s="15"/>
      <c r="C2913" s="20"/>
      <c r="D2913" s="22"/>
      <c r="E2913" s="15"/>
      <c r="F2913" s="23">
        <f>IF($B2913="","",IFERROR(INDEX(ProdNome,MATCH($B2913,ProdCod,0)),"Código não cadastrado"))</f>
        <v>0</v>
      </c>
      <c r="G2913" s="24">
        <f>IF(OR($B2913="",$D2913=""),"",$D2913*IFERROR(INDEX(ProdCusto,MATCH($B2913,ProdCod,0)),0))</f>
        <v>0</v>
      </c>
      <c r="H2913" s="25">
        <f>IF($A2913="","",IF(OR($B2913="",$C2913="",$D2913=""),"Preencher tudo",IF($F2913="Código não cadastrado","Código inválido","OK")))</f>
        <v>0</v>
      </c>
    </row>
    <row r="2914" spans="1:8">
      <c r="A2914" s="16"/>
      <c r="B2914" s="15"/>
      <c r="C2914" s="20"/>
      <c r="D2914" s="22"/>
      <c r="E2914" s="15"/>
      <c r="F2914" s="23">
        <f>IF($B2914="","",IFERROR(INDEX(ProdNome,MATCH($B2914,ProdCod,0)),"Código não cadastrado"))</f>
        <v>0</v>
      </c>
      <c r="G2914" s="24">
        <f>IF(OR($B2914="",$D2914=""),"",$D2914*IFERROR(INDEX(ProdCusto,MATCH($B2914,ProdCod,0)),0))</f>
        <v>0</v>
      </c>
      <c r="H2914" s="25">
        <f>IF($A2914="","",IF(OR($B2914="",$C2914="",$D2914=""),"Preencher tudo",IF($F2914="Código não cadastrado","Código inválido","OK")))</f>
        <v>0</v>
      </c>
    </row>
    <row r="2915" spans="1:8">
      <c r="A2915" s="16"/>
      <c r="B2915" s="15"/>
      <c r="C2915" s="20"/>
      <c r="D2915" s="22"/>
      <c r="E2915" s="15"/>
      <c r="F2915" s="23">
        <f>IF($B2915="","",IFERROR(INDEX(ProdNome,MATCH($B2915,ProdCod,0)),"Código não cadastrado"))</f>
        <v>0</v>
      </c>
      <c r="G2915" s="24">
        <f>IF(OR($B2915="",$D2915=""),"",$D2915*IFERROR(INDEX(ProdCusto,MATCH($B2915,ProdCod,0)),0))</f>
        <v>0</v>
      </c>
      <c r="H2915" s="25">
        <f>IF($A2915="","",IF(OR($B2915="",$C2915="",$D2915=""),"Preencher tudo",IF($F2915="Código não cadastrado","Código inválido","OK")))</f>
        <v>0</v>
      </c>
    </row>
    <row r="2916" spans="1:8">
      <c r="A2916" s="16"/>
      <c r="B2916" s="15"/>
      <c r="C2916" s="20"/>
      <c r="D2916" s="22"/>
      <c r="E2916" s="15"/>
      <c r="F2916" s="23">
        <f>IF($B2916="","",IFERROR(INDEX(ProdNome,MATCH($B2916,ProdCod,0)),"Código não cadastrado"))</f>
        <v>0</v>
      </c>
      <c r="G2916" s="24">
        <f>IF(OR($B2916="",$D2916=""),"",$D2916*IFERROR(INDEX(ProdCusto,MATCH($B2916,ProdCod,0)),0))</f>
        <v>0</v>
      </c>
      <c r="H2916" s="25">
        <f>IF($A2916="","",IF(OR($B2916="",$C2916="",$D2916=""),"Preencher tudo",IF($F2916="Código não cadastrado","Código inválido","OK")))</f>
        <v>0</v>
      </c>
    </row>
    <row r="2917" spans="1:8">
      <c r="A2917" s="16"/>
      <c r="B2917" s="15"/>
      <c r="C2917" s="20"/>
      <c r="D2917" s="22"/>
      <c r="E2917" s="15"/>
      <c r="F2917" s="23">
        <f>IF($B2917="","",IFERROR(INDEX(ProdNome,MATCH($B2917,ProdCod,0)),"Código não cadastrado"))</f>
        <v>0</v>
      </c>
      <c r="G2917" s="24">
        <f>IF(OR($B2917="",$D2917=""),"",$D2917*IFERROR(INDEX(ProdCusto,MATCH($B2917,ProdCod,0)),0))</f>
        <v>0</v>
      </c>
      <c r="H2917" s="25">
        <f>IF($A2917="","",IF(OR($B2917="",$C2917="",$D2917=""),"Preencher tudo",IF($F2917="Código não cadastrado","Código inválido","OK")))</f>
        <v>0</v>
      </c>
    </row>
    <row r="2918" spans="1:8">
      <c r="A2918" s="16"/>
      <c r="B2918" s="15"/>
      <c r="C2918" s="20"/>
      <c r="D2918" s="22"/>
      <c r="E2918" s="15"/>
      <c r="F2918" s="23">
        <f>IF($B2918="","",IFERROR(INDEX(ProdNome,MATCH($B2918,ProdCod,0)),"Código não cadastrado"))</f>
        <v>0</v>
      </c>
      <c r="G2918" s="24">
        <f>IF(OR($B2918="",$D2918=""),"",$D2918*IFERROR(INDEX(ProdCusto,MATCH($B2918,ProdCod,0)),0))</f>
        <v>0</v>
      </c>
      <c r="H2918" s="25">
        <f>IF($A2918="","",IF(OR($B2918="",$C2918="",$D2918=""),"Preencher tudo",IF($F2918="Código não cadastrado","Código inválido","OK")))</f>
        <v>0</v>
      </c>
    </row>
    <row r="2919" spans="1:8">
      <c r="A2919" s="16"/>
      <c r="B2919" s="15"/>
      <c r="C2919" s="20"/>
      <c r="D2919" s="22"/>
      <c r="E2919" s="15"/>
      <c r="F2919" s="23">
        <f>IF($B2919="","",IFERROR(INDEX(ProdNome,MATCH($B2919,ProdCod,0)),"Código não cadastrado"))</f>
        <v>0</v>
      </c>
      <c r="G2919" s="24">
        <f>IF(OR($B2919="",$D2919=""),"",$D2919*IFERROR(INDEX(ProdCusto,MATCH($B2919,ProdCod,0)),0))</f>
        <v>0</v>
      </c>
      <c r="H2919" s="25">
        <f>IF($A2919="","",IF(OR($B2919="",$C2919="",$D2919=""),"Preencher tudo",IF($F2919="Código não cadastrado","Código inválido","OK")))</f>
        <v>0</v>
      </c>
    </row>
    <row r="2920" spans="1:8">
      <c r="A2920" s="16"/>
      <c r="B2920" s="15"/>
      <c r="C2920" s="20"/>
      <c r="D2920" s="22"/>
      <c r="E2920" s="15"/>
      <c r="F2920" s="23">
        <f>IF($B2920="","",IFERROR(INDEX(ProdNome,MATCH($B2920,ProdCod,0)),"Código não cadastrado"))</f>
        <v>0</v>
      </c>
      <c r="G2920" s="24">
        <f>IF(OR($B2920="",$D2920=""),"",$D2920*IFERROR(INDEX(ProdCusto,MATCH($B2920,ProdCod,0)),0))</f>
        <v>0</v>
      </c>
      <c r="H2920" s="25">
        <f>IF($A2920="","",IF(OR($B2920="",$C2920="",$D2920=""),"Preencher tudo",IF($F2920="Código não cadastrado","Código inválido","OK")))</f>
        <v>0</v>
      </c>
    </row>
    <row r="2921" spans="1:8">
      <c r="A2921" s="16"/>
      <c r="B2921" s="15"/>
      <c r="C2921" s="20"/>
      <c r="D2921" s="22"/>
      <c r="E2921" s="15"/>
      <c r="F2921" s="23">
        <f>IF($B2921="","",IFERROR(INDEX(ProdNome,MATCH($B2921,ProdCod,0)),"Código não cadastrado"))</f>
        <v>0</v>
      </c>
      <c r="G2921" s="24">
        <f>IF(OR($B2921="",$D2921=""),"",$D2921*IFERROR(INDEX(ProdCusto,MATCH($B2921,ProdCod,0)),0))</f>
        <v>0</v>
      </c>
      <c r="H2921" s="25">
        <f>IF($A2921="","",IF(OR($B2921="",$C2921="",$D2921=""),"Preencher tudo",IF($F2921="Código não cadastrado","Código inválido","OK")))</f>
        <v>0</v>
      </c>
    </row>
    <row r="2922" spans="1:8">
      <c r="A2922" s="16"/>
      <c r="B2922" s="15"/>
      <c r="C2922" s="20"/>
      <c r="D2922" s="22"/>
      <c r="E2922" s="15"/>
      <c r="F2922" s="23">
        <f>IF($B2922="","",IFERROR(INDEX(ProdNome,MATCH($B2922,ProdCod,0)),"Código não cadastrado"))</f>
        <v>0</v>
      </c>
      <c r="G2922" s="24">
        <f>IF(OR($B2922="",$D2922=""),"",$D2922*IFERROR(INDEX(ProdCusto,MATCH($B2922,ProdCod,0)),0))</f>
        <v>0</v>
      </c>
      <c r="H2922" s="25">
        <f>IF($A2922="","",IF(OR($B2922="",$C2922="",$D2922=""),"Preencher tudo",IF($F2922="Código não cadastrado","Código inválido","OK")))</f>
        <v>0</v>
      </c>
    </row>
    <row r="2923" spans="1:8">
      <c r="A2923" s="16"/>
      <c r="B2923" s="15"/>
      <c r="C2923" s="20"/>
      <c r="D2923" s="22"/>
      <c r="E2923" s="15"/>
      <c r="F2923" s="23">
        <f>IF($B2923="","",IFERROR(INDEX(ProdNome,MATCH($B2923,ProdCod,0)),"Código não cadastrado"))</f>
        <v>0</v>
      </c>
      <c r="G2923" s="24">
        <f>IF(OR($B2923="",$D2923=""),"",$D2923*IFERROR(INDEX(ProdCusto,MATCH($B2923,ProdCod,0)),0))</f>
        <v>0</v>
      </c>
      <c r="H2923" s="25">
        <f>IF($A2923="","",IF(OR($B2923="",$C2923="",$D2923=""),"Preencher tudo",IF($F2923="Código não cadastrado","Código inválido","OK")))</f>
        <v>0</v>
      </c>
    </row>
    <row r="2924" spans="1:8">
      <c r="A2924" s="16"/>
      <c r="B2924" s="15"/>
      <c r="C2924" s="20"/>
      <c r="D2924" s="22"/>
      <c r="E2924" s="15"/>
      <c r="F2924" s="23">
        <f>IF($B2924="","",IFERROR(INDEX(ProdNome,MATCH($B2924,ProdCod,0)),"Código não cadastrado"))</f>
        <v>0</v>
      </c>
      <c r="G2924" s="24">
        <f>IF(OR($B2924="",$D2924=""),"",$D2924*IFERROR(INDEX(ProdCusto,MATCH($B2924,ProdCod,0)),0))</f>
        <v>0</v>
      </c>
      <c r="H2924" s="25">
        <f>IF($A2924="","",IF(OR($B2924="",$C2924="",$D2924=""),"Preencher tudo",IF($F2924="Código não cadastrado","Código inválido","OK")))</f>
        <v>0</v>
      </c>
    </row>
    <row r="2925" spans="1:8">
      <c r="A2925" s="16"/>
      <c r="B2925" s="15"/>
      <c r="C2925" s="20"/>
      <c r="D2925" s="22"/>
      <c r="E2925" s="15"/>
      <c r="F2925" s="23">
        <f>IF($B2925="","",IFERROR(INDEX(ProdNome,MATCH($B2925,ProdCod,0)),"Código não cadastrado"))</f>
        <v>0</v>
      </c>
      <c r="G2925" s="24">
        <f>IF(OR($B2925="",$D2925=""),"",$D2925*IFERROR(INDEX(ProdCusto,MATCH($B2925,ProdCod,0)),0))</f>
        <v>0</v>
      </c>
      <c r="H2925" s="25">
        <f>IF($A2925="","",IF(OR($B2925="",$C2925="",$D2925=""),"Preencher tudo",IF($F2925="Código não cadastrado","Código inválido","OK")))</f>
        <v>0</v>
      </c>
    </row>
    <row r="2926" spans="1:8">
      <c r="A2926" s="16"/>
      <c r="B2926" s="15"/>
      <c r="C2926" s="20"/>
      <c r="D2926" s="22"/>
      <c r="E2926" s="15"/>
      <c r="F2926" s="23">
        <f>IF($B2926="","",IFERROR(INDEX(ProdNome,MATCH($B2926,ProdCod,0)),"Código não cadastrado"))</f>
        <v>0</v>
      </c>
      <c r="G2926" s="24">
        <f>IF(OR($B2926="",$D2926=""),"",$D2926*IFERROR(INDEX(ProdCusto,MATCH($B2926,ProdCod,0)),0))</f>
        <v>0</v>
      </c>
      <c r="H2926" s="25">
        <f>IF($A2926="","",IF(OR($B2926="",$C2926="",$D2926=""),"Preencher tudo",IF($F2926="Código não cadastrado","Código inválido","OK")))</f>
        <v>0</v>
      </c>
    </row>
    <row r="2927" spans="1:8">
      <c r="A2927" s="16"/>
      <c r="B2927" s="15"/>
      <c r="C2927" s="20"/>
      <c r="D2927" s="22"/>
      <c r="E2927" s="15"/>
      <c r="F2927" s="23">
        <f>IF($B2927="","",IFERROR(INDEX(ProdNome,MATCH($B2927,ProdCod,0)),"Código não cadastrado"))</f>
        <v>0</v>
      </c>
      <c r="G2927" s="24">
        <f>IF(OR($B2927="",$D2927=""),"",$D2927*IFERROR(INDEX(ProdCusto,MATCH($B2927,ProdCod,0)),0))</f>
        <v>0</v>
      </c>
      <c r="H2927" s="25">
        <f>IF($A2927="","",IF(OR($B2927="",$C2927="",$D2927=""),"Preencher tudo",IF($F2927="Código não cadastrado","Código inválido","OK")))</f>
        <v>0</v>
      </c>
    </row>
    <row r="2928" spans="1:8">
      <c r="A2928" s="16"/>
      <c r="B2928" s="15"/>
      <c r="C2928" s="20"/>
      <c r="D2928" s="22"/>
      <c r="E2928" s="15"/>
      <c r="F2928" s="23">
        <f>IF($B2928="","",IFERROR(INDEX(ProdNome,MATCH($B2928,ProdCod,0)),"Código não cadastrado"))</f>
        <v>0</v>
      </c>
      <c r="G2928" s="24">
        <f>IF(OR($B2928="",$D2928=""),"",$D2928*IFERROR(INDEX(ProdCusto,MATCH($B2928,ProdCod,0)),0))</f>
        <v>0</v>
      </c>
      <c r="H2928" s="25">
        <f>IF($A2928="","",IF(OR($B2928="",$C2928="",$D2928=""),"Preencher tudo",IF($F2928="Código não cadastrado","Código inválido","OK")))</f>
        <v>0</v>
      </c>
    </row>
    <row r="2929" spans="1:8">
      <c r="A2929" s="16"/>
      <c r="B2929" s="15"/>
      <c r="C2929" s="20"/>
      <c r="D2929" s="22"/>
      <c r="E2929" s="15"/>
      <c r="F2929" s="23">
        <f>IF($B2929="","",IFERROR(INDEX(ProdNome,MATCH($B2929,ProdCod,0)),"Código não cadastrado"))</f>
        <v>0</v>
      </c>
      <c r="G2929" s="24">
        <f>IF(OR($B2929="",$D2929=""),"",$D2929*IFERROR(INDEX(ProdCusto,MATCH($B2929,ProdCod,0)),0))</f>
        <v>0</v>
      </c>
      <c r="H2929" s="25">
        <f>IF($A2929="","",IF(OR($B2929="",$C2929="",$D2929=""),"Preencher tudo",IF($F2929="Código não cadastrado","Código inválido","OK")))</f>
        <v>0</v>
      </c>
    </row>
    <row r="2930" spans="1:8">
      <c r="A2930" s="16"/>
      <c r="B2930" s="15"/>
      <c r="C2930" s="20"/>
      <c r="D2930" s="22"/>
      <c r="E2930" s="15"/>
      <c r="F2930" s="23">
        <f>IF($B2930="","",IFERROR(INDEX(ProdNome,MATCH($B2930,ProdCod,0)),"Código não cadastrado"))</f>
        <v>0</v>
      </c>
      <c r="G2930" s="24">
        <f>IF(OR($B2930="",$D2930=""),"",$D2930*IFERROR(INDEX(ProdCusto,MATCH($B2930,ProdCod,0)),0))</f>
        <v>0</v>
      </c>
      <c r="H2930" s="25">
        <f>IF($A2930="","",IF(OR($B2930="",$C2930="",$D2930=""),"Preencher tudo",IF($F2930="Código não cadastrado","Código inválido","OK")))</f>
        <v>0</v>
      </c>
    </row>
    <row r="2931" spans="1:8">
      <c r="A2931" s="16"/>
      <c r="B2931" s="15"/>
      <c r="C2931" s="20"/>
      <c r="D2931" s="22"/>
      <c r="E2931" s="15"/>
      <c r="F2931" s="23">
        <f>IF($B2931="","",IFERROR(INDEX(ProdNome,MATCH($B2931,ProdCod,0)),"Código não cadastrado"))</f>
        <v>0</v>
      </c>
      <c r="G2931" s="24">
        <f>IF(OR($B2931="",$D2931=""),"",$D2931*IFERROR(INDEX(ProdCusto,MATCH($B2931,ProdCod,0)),0))</f>
        <v>0</v>
      </c>
      <c r="H2931" s="25">
        <f>IF($A2931="","",IF(OR($B2931="",$C2931="",$D2931=""),"Preencher tudo",IF($F2931="Código não cadastrado","Código inválido","OK")))</f>
        <v>0</v>
      </c>
    </row>
    <row r="2932" spans="1:8">
      <c r="A2932" s="16"/>
      <c r="B2932" s="15"/>
      <c r="C2932" s="20"/>
      <c r="D2932" s="22"/>
      <c r="E2932" s="15"/>
      <c r="F2932" s="23">
        <f>IF($B2932="","",IFERROR(INDEX(ProdNome,MATCH($B2932,ProdCod,0)),"Código não cadastrado"))</f>
        <v>0</v>
      </c>
      <c r="G2932" s="24">
        <f>IF(OR($B2932="",$D2932=""),"",$D2932*IFERROR(INDEX(ProdCusto,MATCH($B2932,ProdCod,0)),0))</f>
        <v>0</v>
      </c>
      <c r="H2932" s="25">
        <f>IF($A2932="","",IF(OR($B2932="",$C2932="",$D2932=""),"Preencher tudo",IF($F2932="Código não cadastrado","Código inválido","OK")))</f>
        <v>0</v>
      </c>
    </row>
    <row r="2933" spans="1:8">
      <c r="A2933" s="16"/>
      <c r="B2933" s="15"/>
      <c r="C2933" s="20"/>
      <c r="D2933" s="22"/>
      <c r="E2933" s="15"/>
      <c r="F2933" s="23">
        <f>IF($B2933="","",IFERROR(INDEX(ProdNome,MATCH($B2933,ProdCod,0)),"Código não cadastrado"))</f>
        <v>0</v>
      </c>
      <c r="G2933" s="24">
        <f>IF(OR($B2933="",$D2933=""),"",$D2933*IFERROR(INDEX(ProdCusto,MATCH($B2933,ProdCod,0)),0))</f>
        <v>0</v>
      </c>
      <c r="H2933" s="25">
        <f>IF($A2933="","",IF(OR($B2933="",$C2933="",$D2933=""),"Preencher tudo",IF($F2933="Código não cadastrado","Código inválido","OK")))</f>
        <v>0</v>
      </c>
    </row>
    <row r="2934" spans="1:8">
      <c r="A2934" s="16"/>
      <c r="B2934" s="15"/>
      <c r="C2934" s="20"/>
      <c r="D2934" s="22"/>
      <c r="E2934" s="15"/>
      <c r="F2934" s="23">
        <f>IF($B2934="","",IFERROR(INDEX(ProdNome,MATCH($B2934,ProdCod,0)),"Código não cadastrado"))</f>
        <v>0</v>
      </c>
      <c r="G2934" s="24">
        <f>IF(OR($B2934="",$D2934=""),"",$D2934*IFERROR(INDEX(ProdCusto,MATCH($B2934,ProdCod,0)),0))</f>
        <v>0</v>
      </c>
      <c r="H2934" s="25">
        <f>IF($A2934="","",IF(OR($B2934="",$C2934="",$D2934=""),"Preencher tudo",IF($F2934="Código não cadastrado","Código inválido","OK")))</f>
        <v>0</v>
      </c>
    </row>
    <row r="2935" spans="1:8">
      <c r="A2935" s="16"/>
      <c r="B2935" s="15"/>
      <c r="C2935" s="20"/>
      <c r="D2935" s="22"/>
      <c r="E2935" s="15"/>
      <c r="F2935" s="23">
        <f>IF($B2935="","",IFERROR(INDEX(ProdNome,MATCH($B2935,ProdCod,0)),"Código não cadastrado"))</f>
        <v>0</v>
      </c>
      <c r="G2935" s="24">
        <f>IF(OR($B2935="",$D2935=""),"",$D2935*IFERROR(INDEX(ProdCusto,MATCH($B2935,ProdCod,0)),0))</f>
        <v>0</v>
      </c>
      <c r="H2935" s="25">
        <f>IF($A2935="","",IF(OR($B2935="",$C2935="",$D2935=""),"Preencher tudo",IF($F2935="Código não cadastrado","Código inválido","OK")))</f>
        <v>0</v>
      </c>
    </row>
    <row r="2936" spans="1:8">
      <c r="A2936" s="16"/>
      <c r="B2936" s="15"/>
      <c r="C2936" s="20"/>
      <c r="D2936" s="22"/>
      <c r="E2936" s="15"/>
      <c r="F2936" s="23">
        <f>IF($B2936="","",IFERROR(INDEX(ProdNome,MATCH($B2936,ProdCod,0)),"Código não cadastrado"))</f>
        <v>0</v>
      </c>
      <c r="G2936" s="24">
        <f>IF(OR($B2936="",$D2936=""),"",$D2936*IFERROR(INDEX(ProdCusto,MATCH($B2936,ProdCod,0)),0))</f>
        <v>0</v>
      </c>
      <c r="H2936" s="25">
        <f>IF($A2936="","",IF(OR($B2936="",$C2936="",$D2936=""),"Preencher tudo",IF($F2936="Código não cadastrado","Código inválido","OK")))</f>
        <v>0</v>
      </c>
    </row>
    <row r="2937" spans="1:8">
      <c r="A2937" s="16"/>
      <c r="B2937" s="15"/>
      <c r="C2937" s="20"/>
      <c r="D2937" s="22"/>
      <c r="E2937" s="15"/>
      <c r="F2937" s="23">
        <f>IF($B2937="","",IFERROR(INDEX(ProdNome,MATCH($B2937,ProdCod,0)),"Código não cadastrado"))</f>
        <v>0</v>
      </c>
      <c r="G2937" s="24">
        <f>IF(OR($B2937="",$D2937=""),"",$D2937*IFERROR(INDEX(ProdCusto,MATCH($B2937,ProdCod,0)),0))</f>
        <v>0</v>
      </c>
      <c r="H2937" s="25">
        <f>IF($A2937="","",IF(OR($B2937="",$C2937="",$D2937=""),"Preencher tudo",IF($F2937="Código não cadastrado","Código inválido","OK")))</f>
        <v>0</v>
      </c>
    </row>
    <row r="2938" spans="1:8">
      <c r="A2938" s="16"/>
      <c r="B2938" s="15"/>
      <c r="C2938" s="20"/>
      <c r="D2938" s="22"/>
      <c r="E2938" s="15"/>
      <c r="F2938" s="23">
        <f>IF($B2938="","",IFERROR(INDEX(ProdNome,MATCH($B2938,ProdCod,0)),"Código não cadastrado"))</f>
        <v>0</v>
      </c>
      <c r="G2938" s="24">
        <f>IF(OR($B2938="",$D2938=""),"",$D2938*IFERROR(INDEX(ProdCusto,MATCH($B2938,ProdCod,0)),0))</f>
        <v>0</v>
      </c>
      <c r="H2938" s="25">
        <f>IF($A2938="","",IF(OR($B2938="",$C2938="",$D2938=""),"Preencher tudo",IF($F2938="Código não cadastrado","Código inválido","OK")))</f>
        <v>0</v>
      </c>
    </row>
    <row r="2939" spans="1:8">
      <c r="A2939" s="16"/>
      <c r="B2939" s="15"/>
      <c r="C2939" s="20"/>
      <c r="D2939" s="22"/>
      <c r="E2939" s="15"/>
      <c r="F2939" s="23">
        <f>IF($B2939="","",IFERROR(INDEX(ProdNome,MATCH($B2939,ProdCod,0)),"Código não cadastrado"))</f>
        <v>0</v>
      </c>
      <c r="G2939" s="24">
        <f>IF(OR($B2939="",$D2939=""),"",$D2939*IFERROR(INDEX(ProdCusto,MATCH($B2939,ProdCod,0)),0))</f>
        <v>0</v>
      </c>
      <c r="H2939" s="25">
        <f>IF($A2939="","",IF(OR($B2939="",$C2939="",$D2939=""),"Preencher tudo",IF($F2939="Código não cadastrado","Código inválido","OK")))</f>
        <v>0</v>
      </c>
    </row>
    <row r="2940" spans="1:8">
      <c r="A2940" s="16"/>
      <c r="B2940" s="15"/>
      <c r="C2940" s="20"/>
      <c r="D2940" s="22"/>
      <c r="E2940" s="15"/>
      <c r="F2940" s="23">
        <f>IF($B2940="","",IFERROR(INDEX(ProdNome,MATCH($B2940,ProdCod,0)),"Código não cadastrado"))</f>
        <v>0</v>
      </c>
      <c r="G2940" s="24">
        <f>IF(OR($B2940="",$D2940=""),"",$D2940*IFERROR(INDEX(ProdCusto,MATCH($B2940,ProdCod,0)),0))</f>
        <v>0</v>
      </c>
      <c r="H2940" s="25">
        <f>IF($A2940="","",IF(OR($B2940="",$C2940="",$D2940=""),"Preencher tudo",IF($F2940="Código não cadastrado","Código inválido","OK")))</f>
        <v>0</v>
      </c>
    </row>
    <row r="2941" spans="1:8">
      <c r="A2941" s="16"/>
      <c r="B2941" s="15"/>
      <c r="C2941" s="20"/>
      <c r="D2941" s="22"/>
      <c r="E2941" s="15"/>
      <c r="F2941" s="23">
        <f>IF($B2941="","",IFERROR(INDEX(ProdNome,MATCH($B2941,ProdCod,0)),"Código não cadastrado"))</f>
        <v>0</v>
      </c>
      <c r="G2941" s="24">
        <f>IF(OR($B2941="",$D2941=""),"",$D2941*IFERROR(INDEX(ProdCusto,MATCH($B2941,ProdCod,0)),0))</f>
        <v>0</v>
      </c>
      <c r="H2941" s="25">
        <f>IF($A2941="","",IF(OR($B2941="",$C2941="",$D2941=""),"Preencher tudo",IF($F2941="Código não cadastrado","Código inválido","OK")))</f>
        <v>0</v>
      </c>
    </row>
    <row r="2942" spans="1:8">
      <c r="A2942" s="16"/>
      <c r="B2942" s="15"/>
      <c r="C2942" s="20"/>
      <c r="D2942" s="22"/>
      <c r="E2942" s="15"/>
      <c r="F2942" s="23">
        <f>IF($B2942="","",IFERROR(INDEX(ProdNome,MATCH($B2942,ProdCod,0)),"Código não cadastrado"))</f>
        <v>0</v>
      </c>
      <c r="G2942" s="24">
        <f>IF(OR($B2942="",$D2942=""),"",$D2942*IFERROR(INDEX(ProdCusto,MATCH($B2942,ProdCod,0)),0))</f>
        <v>0</v>
      </c>
      <c r="H2942" s="25">
        <f>IF($A2942="","",IF(OR($B2942="",$C2942="",$D2942=""),"Preencher tudo",IF($F2942="Código não cadastrado","Código inválido","OK")))</f>
        <v>0</v>
      </c>
    </row>
    <row r="2943" spans="1:8">
      <c r="A2943" s="16"/>
      <c r="B2943" s="15"/>
      <c r="C2943" s="20"/>
      <c r="D2943" s="22"/>
      <c r="E2943" s="15"/>
      <c r="F2943" s="23">
        <f>IF($B2943="","",IFERROR(INDEX(ProdNome,MATCH($B2943,ProdCod,0)),"Código não cadastrado"))</f>
        <v>0</v>
      </c>
      <c r="G2943" s="24">
        <f>IF(OR($B2943="",$D2943=""),"",$D2943*IFERROR(INDEX(ProdCusto,MATCH($B2943,ProdCod,0)),0))</f>
        <v>0</v>
      </c>
      <c r="H2943" s="25">
        <f>IF($A2943="","",IF(OR($B2943="",$C2943="",$D2943=""),"Preencher tudo",IF($F2943="Código não cadastrado","Código inválido","OK")))</f>
        <v>0</v>
      </c>
    </row>
    <row r="2944" spans="1:8">
      <c r="A2944" s="16"/>
      <c r="B2944" s="15"/>
      <c r="C2944" s="20"/>
      <c r="D2944" s="22"/>
      <c r="E2944" s="15"/>
      <c r="F2944" s="23">
        <f>IF($B2944="","",IFERROR(INDEX(ProdNome,MATCH($B2944,ProdCod,0)),"Código não cadastrado"))</f>
        <v>0</v>
      </c>
      <c r="G2944" s="24">
        <f>IF(OR($B2944="",$D2944=""),"",$D2944*IFERROR(INDEX(ProdCusto,MATCH($B2944,ProdCod,0)),0))</f>
        <v>0</v>
      </c>
      <c r="H2944" s="25">
        <f>IF($A2944="","",IF(OR($B2944="",$C2944="",$D2944=""),"Preencher tudo",IF($F2944="Código não cadastrado","Código inválido","OK")))</f>
        <v>0</v>
      </c>
    </row>
    <row r="2945" spans="1:8">
      <c r="A2945" s="16"/>
      <c r="B2945" s="15"/>
      <c r="C2945" s="20"/>
      <c r="D2945" s="22"/>
      <c r="E2945" s="15"/>
      <c r="F2945" s="23">
        <f>IF($B2945="","",IFERROR(INDEX(ProdNome,MATCH($B2945,ProdCod,0)),"Código não cadastrado"))</f>
        <v>0</v>
      </c>
      <c r="G2945" s="24">
        <f>IF(OR($B2945="",$D2945=""),"",$D2945*IFERROR(INDEX(ProdCusto,MATCH($B2945,ProdCod,0)),0))</f>
        <v>0</v>
      </c>
      <c r="H2945" s="25">
        <f>IF($A2945="","",IF(OR($B2945="",$C2945="",$D2945=""),"Preencher tudo",IF($F2945="Código não cadastrado","Código inválido","OK")))</f>
        <v>0</v>
      </c>
    </row>
    <row r="2946" spans="1:8">
      <c r="A2946" s="16"/>
      <c r="B2946" s="15"/>
      <c r="C2946" s="20"/>
      <c r="D2946" s="22"/>
      <c r="E2946" s="15"/>
      <c r="F2946" s="23">
        <f>IF($B2946="","",IFERROR(INDEX(ProdNome,MATCH($B2946,ProdCod,0)),"Código não cadastrado"))</f>
        <v>0</v>
      </c>
      <c r="G2946" s="24">
        <f>IF(OR($B2946="",$D2946=""),"",$D2946*IFERROR(INDEX(ProdCusto,MATCH($B2946,ProdCod,0)),0))</f>
        <v>0</v>
      </c>
      <c r="H2946" s="25">
        <f>IF($A2946="","",IF(OR($B2946="",$C2946="",$D2946=""),"Preencher tudo",IF($F2946="Código não cadastrado","Código inválido","OK")))</f>
        <v>0</v>
      </c>
    </row>
    <row r="2947" spans="1:8">
      <c r="A2947" s="16"/>
      <c r="B2947" s="15"/>
      <c r="C2947" s="20"/>
      <c r="D2947" s="22"/>
      <c r="E2947" s="15"/>
      <c r="F2947" s="23">
        <f>IF($B2947="","",IFERROR(INDEX(ProdNome,MATCH($B2947,ProdCod,0)),"Código não cadastrado"))</f>
        <v>0</v>
      </c>
      <c r="G2947" s="24">
        <f>IF(OR($B2947="",$D2947=""),"",$D2947*IFERROR(INDEX(ProdCusto,MATCH($B2947,ProdCod,0)),0))</f>
        <v>0</v>
      </c>
      <c r="H2947" s="25">
        <f>IF($A2947="","",IF(OR($B2947="",$C2947="",$D2947=""),"Preencher tudo",IF($F2947="Código não cadastrado","Código inválido","OK")))</f>
        <v>0</v>
      </c>
    </row>
    <row r="2948" spans="1:8">
      <c r="A2948" s="16"/>
      <c r="B2948" s="15"/>
      <c r="C2948" s="20"/>
      <c r="D2948" s="22"/>
      <c r="E2948" s="15"/>
      <c r="F2948" s="23">
        <f>IF($B2948="","",IFERROR(INDEX(ProdNome,MATCH($B2948,ProdCod,0)),"Código não cadastrado"))</f>
        <v>0</v>
      </c>
      <c r="G2948" s="24">
        <f>IF(OR($B2948="",$D2948=""),"",$D2948*IFERROR(INDEX(ProdCusto,MATCH($B2948,ProdCod,0)),0))</f>
        <v>0</v>
      </c>
      <c r="H2948" s="25">
        <f>IF($A2948="","",IF(OR($B2948="",$C2948="",$D2948=""),"Preencher tudo",IF($F2948="Código não cadastrado","Código inválido","OK")))</f>
        <v>0</v>
      </c>
    </row>
    <row r="2949" spans="1:8">
      <c r="A2949" s="16"/>
      <c r="B2949" s="15"/>
      <c r="C2949" s="20"/>
      <c r="D2949" s="22"/>
      <c r="E2949" s="15"/>
      <c r="F2949" s="23">
        <f>IF($B2949="","",IFERROR(INDEX(ProdNome,MATCH($B2949,ProdCod,0)),"Código não cadastrado"))</f>
        <v>0</v>
      </c>
      <c r="G2949" s="24">
        <f>IF(OR($B2949="",$D2949=""),"",$D2949*IFERROR(INDEX(ProdCusto,MATCH($B2949,ProdCod,0)),0))</f>
        <v>0</v>
      </c>
      <c r="H2949" s="25">
        <f>IF($A2949="","",IF(OR($B2949="",$C2949="",$D2949=""),"Preencher tudo",IF($F2949="Código não cadastrado","Código inválido","OK")))</f>
        <v>0</v>
      </c>
    </row>
    <row r="2950" spans="1:8">
      <c r="A2950" s="16"/>
      <c r="B2950" s="15"/>
      <c r="C2950" s="20"/>
      <c r="D2950" s="22"/>
      <c r="E2950" s="15"/>
      <c r="F2950" s="23">
        <f>IF($B2950="","",IFERROR(INDEX(ProdNome,MATCH($B2950,ProdCod,0)),"Código não cadastrado"))</f>
        <v>0</v>
      </c>
      <c r="G2950" s="24">
        <f>IF(OR($B2950="",$D2950=""),"",$D2950*IFERROR(INDEX(ProdCusto,MATCH($B2950,ProdCod,0)),0))</f>
        <v>0</v>
      </c>
      <c r="H2950" s="25">
        <f>IF($A2950="","",IF(OR($B2950="",$C2950="",$D2950=""),"Preencher tudo",IF($F2950="Código não cadastrado","Código inválido","OK")))</f>
        <v>0</v>
      </c>
    </row>
    <row r="2951" spans="1:8">
      <c r="A2951" s="16"/>
      <c r="B2951" s="15"/>
      <c r="C2951" s="20"/>
      <c r="D2951" s="22"/>
      <c r="E2951" s="15"/>
      <c r="F2951" s="23">
        <f>IF($B2951="","",IFERROR(INDEX(ProdNome,MATCH($B2951,ProdCod,0)),"Código não cadastrado"))</f>
        <v>0</v>
      </c>
      <c r="G2951" s="24">
        <f>IF(OR($B2951="",$D2951=""),"",$D2951*IFERROR(INDEX(ProdCusto,MATCH($B2951,ProdCod,0)),0))</f>
        <v>0</v>
      </c>
      <c r="H2951" s="25">
        <f>IF($A2951="","",IF(OR($B2951="",$C2951="",$D2951=""),"Preencher tudo",IF($F2951="Código não cadastrado","Código inválido","OK")))</f>
        <v>0</v>
      </c>
    </row>
    <row r="2952" spans="1:8">
      <c r="A2952" s="16"/>
      <c r="B2952" s="15"/>
      <c r="C2952" s="20"/>
      <c r="D2952" s="22"/>
      <c r="E2952" s="15"/>
      <c r="F2952" s="23">
        <f>IF($B2952="","",IFERROR(INDEX(ProdNome,MATCH($B2952,ProdCod,0)),"Código não cadastrado"))</f>
        <v>0</v>
      </c>
      <c r="G2952" s="24">
        <f>IF(OR($B2952="",$D2952=""),"",$D2952*IFERROR(INDEX(ProdCusto,MATCH($B2952,ProdCod,0)),0))</f>
        <v>0</v>
      </c>
      <c r="H2952" s="25">
        <f>IF($A2952="","",IF(OR($B2952="",$C2952="",$D2952=""),"Preencher tudo",IF($F2952="Código não cadastrado","Código inválido","OK")))</f>
        <v>0</v>
      </c>
    </row>
    <row r="2953" spans="1:8">
      <c r="A2953" s="16"/>
      <c r="B2953" s="15"/>
      <c r="C2953" s="20"/>
      <c r="D2953" s="22"/>
      <c r="E2953" s="15"/>
      <c r="F2953" s="23">
        <f>IF($B2953="","",IFERROR(INDEX(ProdNome,MATCH($B2953,ProdCod,0)),"Código não cadastrado"))</f>
        <v>0</v>
      </c>
      <c r="G2953" s="24">
        <f>IF(OR($B2953="",$D2953=""),"",$D2953*IFERROR(INDEX(ProdCusto,MATCH($B2953,ProdCod,0)),0))</f>
        <v>0</v>
      </c>
      <c r="H2953" s="25">
        <f>IF($A2953="","",IF(OR($B2953="",$C2953="",$D2953=""),"Preencher tudo",IF($F2953="Código não cadastrado","Código inválido","OK")))</f>
        <v>0</v>
      </c>
    </row>
    <row r="2954" spans="1:8">
      <c r="A2954" s="16"/>
      <c r="B2954" s="15"/>
      <c r="C2954" s="20"/>
      <c r="D2954" s="22"/>
      <c r="E2954" s="15"/>
      <c r="F2954" s="23">
        <f>IF($B2954="","",IFERROR(INDEX(ProdNome,MATCH($B2954,ProdCod,0)),"Código não cadastrado"))</f>
        <v>0</v>
      </c>
      <c r="G2954" s="24">
        <f>IF(OR($B2954="",$D2954=""),"",$D2954*IFERROR(INDEX(ProdCusto,MATCH($B2954,ProdCod,0)),0))</f>
        <v>0</v>
      </c>
      <c r="H2954" s="25">
        <f>IF($A2954="","",IF(OR($B2954="",$C2954="",$D2954=""),"Preencher tudo",IF($F2954="Código não cadastrado","Código inválido","OK")))</f>
        <v>0</v>
      </c>
    </row>
    <row r="2955" spans="1:8">
      <c r="A2955" s="16"/>
      <c r="B2955" s="15"/>
      <c r="C2955" s="20"/>
      <c r="D2955" s="22"/>
      <c r="E2955" s="15"/>
      <c r="F2955" s="23">
        <f>IF($B2955="","",IFERROR(INDEX(ProdNome,MATCH($B2955,ProdCod,0)),"Código não cadastrado"))</f>
        <v>0</v>
      </c>
      <c r="G2955" s="24">
        <f>IF(OR($B2955="",$D2955=""),"",$D2955*IFERROR(INDEX(ProdCusto,MATCH($B2955,ProdCod,0)),0))</f>
        <v>0</v>
      </c>
      <c r="H2955" s="25">
        <f>IF($A2955="","",IF(OR($B2955="",$C2955="",$D2955=""),"Preencher tudo",IF($F2955="Código não cadastrado","Código inválido","OK")))</f>
        <v>0</v>
      </c>
    </row>
    <row r="2956" spans="1:8">
      <c r="A2956" s="16"/>
      <c r="B2956" s="15"/>
      <c r="C2956" s="20"/>
      <c r="D2956" s="22"/>
      <c r="E2956" s="15"/>
      <c r="F2956" s="23">
        <f>IF($B2956="","",IFERROR(INDEX(ProdNome,MATCH($B2956,ProdCod,0)),"Código não cadastrado"))</f>
        <v>0</v>
      </c>
      <c r="G2956" s="24">
        <f>IF(OR($B2956="",$D2956=""),"",$D2956*IFERROR(INDEX(ProdCusto,MATCH($B2956,ProdCod,0)),0))</f>
        <v>0</v>
      </c>
      <c r="H2956" s="25">
        <f>IF($A2956="","",IF(OR($B2956="",$C2956="",$D2956=""),"Preencher tudo",IF($F2956="Código não cadastrado","Código inválido","OK")))</f>
        <v>0</v>
      </c>
    </row>
    <row r="2957" spans="1:8">
      <c r="A2957" s="16"/>
      <c r="B2957" s="15"/>
      <c r="C2957" s="20"/>
      <c r="D2957" s="22"/>
      <c r="E2957" s="15"/>
      <c r="F2957" s="23">
        <f>IF($B2957="","",IFERROR(INDEX(ProdNome,MATCH($B2957,ProdCod,0)),"Código não cadastrado"))</f>
        <v>0</v>
      </c>
      <c r="G2957" s="24">
        <f>IF(OR($B2957="",$D2957=""),"",$D2957*IFERROR(INDEX(ProdCusto,MATCH($B2957,ProdCod,0)),0))</f>
        <v>0</v>
      </c>
      <c r="H2957" s="25">
        <f>IF($A2957="","",IF(OR($B2957="",$C2957="",$D2957=""),"Preencher tudo",IF($F2957="Código não cadastrado","Código inválido","OK")))</f>
        <v>0</v>
      </c>
    </row>
    <row r="2958" spans="1:8">
      <c r="A2958" s="16"/>
      <c r="B2958" s="15"/>
      <c r="C2958" s="20"/>
      <c r="D2958" s="22"/>
      <c r="E2958" s="15"/>
      <c r="F2958" s="23">
        <f>IF($B2958="","",IFERROR(INDEX(ProdNome,MATCH($B2958,ProdCod,0)),"Código não cadastrado"))</f>
        <v>0</v>
      </c>
      <c r="G2958" s="24">
        <f>IF(OR($B2958="",$D2958=""),"",$D2958*IFERROR(INDEX(ProdCusto,MATCH($B2958,ProdCod,0)),0))</f>
        <v>0</v>
      </c>
      <c r="H2958" s="25">
        <f>IF($A2958="","",IF(OR($B2958="",$C2958="",$D2958=""),"Preencher tudo",IF($F2958="Código não cadastrado","Código inválido","OK")))</f>
        <v>0</v>
      </c>
    </row>
    <row r="2959" spans="1:8">
      <c r="A2959" s="16"/>
      <c r="B2959" s="15"/>
      <c r="C2959" s="20"/>
      <c r="D2959" s="22"/>
      <c r="E2959" s="15"/>
      <c r="F2959" s="23">
        <f>IF($B2959="","",IFERROR(INDEX(ProdNome,MATCH($B2959,ProdCod,0)),"Código não cadastrado"))</f>
        <v>0</v>
      </c>
      <c r="G2959" s="24">
        <f>IF(OR($B2959="",$D2959=""),"",$D2959*IFERROR(INDEX(ProdCusto,MATCH($B2959,ProdCod,0)),0))</f>
        <v>0</v>
      </c>
      <c r="H2959" s="25">
        <f>IF($A2959="","",IF(OR($B2959="",$C2959="",$D2959=""),"Preencher tudo",IF($F2959="Código não cadastrado","Código inválido","OK")))</f>
        <v>0</v>
      </c>
    </row>
    <row r="2960" spans="1:8">
      <c r="A2960" s="16"/>
      <c r="B2960" s="15"/>
      <c r="C2960" s="20"/>
      <c r="D2960" s="22"/>
      <c r="E2960" s="15"/>
      <c r="F2960" s="23">
        <f>IF($B2960="","",IFERROR(INDEX(ProdNome,MATCH($B2960,ProdCod,0)),"Código não cadastrado"))</f>
        <v>0</v>
      </c>
      <c r="G2960" s="24">
        <f>IF(OR($B2960="",$D2960=""),"",$D2960*IFERROR(INDEX(ProdCusto,MATCH($B2960,ProdCod,0)),0))</f>
        <v>0</v>
      </c>
      <c r="H2960" s="25">
        <f>IF($A2960="","",IF(OR($B2960="",$C2960="",$D2960=""),"Preencher tudo",IF($F2960="Código não cadastrado","Código inválido","OK")))</f>
        <v>0</v>
      </c>
    </row>
    <row r="2961" spans="1:8">
      <c r="A2961" s="16"/>
      <c r="B2961" s="15"/>
      <c r="C2961" s="20"/>
      <c r="D2961" s="22"/>
      <c r="E2961" s="15"/>
      <c r="F2961" s="23">
        <f>IF($B2961="","",IFERROR(INDEX(ProdNome,MATCH($B2961,ProdCod,0)),"Código não cadastrado"))</f>
        <v>0</v>
      </c>
      <c r="G2961" s="24">
        <f>IF(OR($B2961="",$D2961=""),"",$D2961*IFERROR(INDEX(ProdCusto,MATCH($B2961,ProdCod,0)),0))</f>
        <v>0</v>
      </c>
      <c r="H2961" s="25">
        <f>IF($A2961="","",IF(OR($B2961="",$C2961="",$D2961=""),"Preencher tudo",IF($F2961="Código não cadastrado","Código inválido","OK")))</f>
        <v>0</v>
      </c>
    </row>
    <row r="2962" spans="1:8">
      <c r="A2962" s="16"/>
      <c r="B2962" s="15"/>
      <c r="C2962" s="20"/>
      <c r="D2962" s="22"/>
      <c r="E2962" s="15"/>
      <c r="F2962" s="23">
        <f>IF($B2962="","",IFERROR(INDEX(ProdNome,MATCH($B2962,ProdCod,0)),"Código não cadastrado"))</f>
        <v>0</v>
      </c>
      <c r="G2962" s="24">
        <f>IF(OR($B2962="",$D2962=""),"",$D2962*IFERROR(INDEX(ProdCusto,MATCH($B2962,ProdCod,0)),0))</f>
        <v>0</v>
      </c>
      <c r="H2962" s="25">
        <f>IF($A2962="","",IF(OR($B2962="",$C2962="",$D2962=""),"Preencher tudo",IF($F2962="Código não cadastrado","Código inválido","OK")))</f>
        <v>0</v>
      </c>
    </row>
    <row r="2963" spans="1:8">
      <c r="A2963" s="16"/>
      <c r="B2963" s="15"/>
      <c r="C2963" s="20"/>
      <c r="D2963" s="22"/>
      <c r="E2963" s="15"/>
      <c r="F2963" s="23">
        <f>IF($B2963="","",IFERROR(INDEX(ProdNome,MATCH($B2963,ProdCod,0)),"Código não cadastrado"))</f>
        <v>0</v>
      </c>
      <c r="G2963" s="24">
        <f>IF(OR($B2963="",$D2963=""),"",$D2963*IFERROR(INDEX(ProdCusto,MATCH($B2963,ProdCod,0)),0))</f>
        <v>0</v>
      </c>
      <c r="H2963" s="25">
        <f>IF($A2963="","",IF(OR($B2963="",$C2963="",$D2963=""),"Preencher tudo",IF($F2963="Código não cadastrado","Código inválido","OK")))</f>
        <v>0</v>
      </c>
    </row>
    <row r="2964" spans="1:8">
      <c r="A2964" s="16"/>
      <c r="B2964" s="15"/>
      <c r="C2964" s="20"/>
      <c r="D2964" s="22"/>
      <c r="E2964" s="15"/>
      <c r="F2964" s="23">
        <f>IF($B2964="","",IFERROR(INDEX(ProdNome,MATCH($B2964,ProdCod,0)),"Código não cadastrado"))</f>
        <v>0</v>
      </c>
      <c r="G2964" s="24">
        <f>IF(OR($B2964="",$D2964=""),"",$D2964*IFERROR(INDEX(ProdCusto,MATCH($B2964,ProdCod,0)),0))</f>
        <v>0</v>
      </c>
      <c r="H2964" s="25">
        <f>IF($A2964="","",IF(OR($B2964="",$C2964="",$D2964=""),"Preencher tudo",IF($F2964="Código não cadastrado","Código inválido","OK")))</f>
        <v>0</v>
      </c>
    </row>
    <row r="2965" spans="1:8">
      <c r="A2965" s="16"/>
      <c r="B2965" s="15"/>
      <c r="C2965" s="20"/>
      <c r="D2965" s="22"/>
      <c r="E2965" s="15"/>
      <c r="F2965" s="23">
        <f>IF($B2965="","",IFERROR(INDEX(ProdNome,MATCH($B2965,ProdCod,0)),"Código não cadastrado"))</f>
        <v>0</v>
      </c>
      <c r="G2965" s="24">
        <f>IF(OR($B2965="",$D2965=""),"",$D2965*IFERROR(INDEX(ProdCusto,MATCH($B2965,ProdCod,0)),0))</f>
        <v>0</v>
      </c>
      <c r="H2965" s="25">
        <f>IF($A2965="","",IF(OR($B2965="",$C2965="",$D2965=""),"Preencher tudo",IF($F2965="Código não cadastrado","Código inválido","OK")))</f>
        <v>0</v>
      </c>
    </row>
    <row r="2966" spans="1:8">
      <c r="A2966" s="16"/>
      <c r="B2966" s="15"/>
      <c r="C2966" s="20"/>
      <c r="D2966" s="22"/>
      <c r="E2966" s="15"/>
      <c r="F2966" s="23">
        <f>IF($B2966="","",IFERROR(INDEX(ProdNome,MATCH($B2966,ProdCod,0)),"Código não cadastrado"))</f>
        <v>0</v>
      </c>
      <c r="G2966" s="24">
        <f>IF(OR($B2966="",$D2966=""),"",$D2966*IFERROR(INDEX(ProdCusto,MATCH($B2966,ProdCod,0)),0))</f>
        <v>0</v>
      </c>
      <c r="H2966" s="25">
        <f>IF($A2966="","",IF(OR($B2966="",$C2966="",$D2966=""),"Preencher tudo",IF($F2966="Código não cadastrado","Código inválido","OK")))</f>
        <v>0</v>
      </c>
    </row>
    <row r="2967" spans="1:8">
      <c r="A2967" s="16"/>
      <c r="B2967" s="15"/>
      <c r="C2967" s="20"/>
      <c r="D2967" s="22"/>
      <c r="E2967" s="15"/>
      <c r="F2967" s="23">
        <f>IF($B2967="","",IFERROR(INDEX(ProdNome,MATCH($B2967,ProdCod,0)),"Código não cadastrado"))</f>
        <v>0</v>
      </c>
      <c r="G2967" s="24">
        <f>IF(OR($B2967="",$D2967=""),"",$D2967*IFERROR(INDEX(ProdCusto,MATCH($B2967,ProdCod,0)),0))</f>
        <v>0</v>
      </c>
      <c r="H2967" s="25">
        <f>IF($A2967="","",IF(OR($B2967="",$C2967="",$D2967=""),"Preencher tudo",IF($F2967="Código não cadastrado","Código inválido","OK")))</f>
        <v>0</v>
      </c>
    </row>
    <row r="2968" spans="1:8">
      <c r="A2968" s="16"/>
      <c r="B2968" s="15"/>
      <c r="C2968" s="20"/>
      <c r="D2968" s="22"/>
      <c r="E2968" s="15"/>
      <c r="F2968" s="23">
        <f>IF($B2968="","",IFERROR(INDEX(ProdNome,MATCH($B2968,ProdCod,0)),"Código não cadastrado"))</f>
        <v>0</v>
      </c>
      <c r="G2968" s="24">
        <f>IF(OR($B2968="",$D2968=""),"",$D2968*IFERROR(INDEX(ProdCusto,MATCH($B2968,ProdCod,0)),0))</f>
        <v>0</v>
      </c>
      <c r="H2968" s="25">
        <f>IF($A2968="","",IF(OR($B2968="",$C2968="",$D2968=""),"Preencher tudo",IF($F2968="Código não cadastrado","Código inválido","OK")))</f>
        <v>0</v>
      </c>
    </row>
    <row r="2969" spans="1:8">
      <c r="A2969" s="16"/>
      <c r="B2969" s="15"/>
      <c r="C2969" s="20"/>
      <c r="D2969" s="22"/>
      <c r="E2969" s="15"/>
      <c r="F2969" s="23">
        <f>IF($B2969="","",IFERROR(INDEX(ProdNome,MATCH($B2969,ProdCod,0)),"Código não cadastrado"))</f>
        <v>0</v>
      </c>
      <c r="G2969" s="24">
        <f>IF(OR($B2969="",$D2969=""),"",$D2969*IFERROR(INDEX(ProdCusto,MATCH($B2969,ProdCod,0)),0))</f>
        <v>0</v>
      </c>
      <c r="H2969" s="25">
        <f>IF($A2969="","",IF(OR($B2969="",$C2969="",$D2969=""),"Preencher tudo",IF($F2969="Código não cadastrado","Código inválido","OK")))</f>
        <v>0</v>
      </c>
    </row>
    <row r="2970" spans="1:8">
      <c r="A2970" s="16"/>
      <c r="B2970" s="15"/>
      <c r="C2970" s="20"/>
      <c r="D2970" s="22"/>
      <c r="E2970" s="15"/>
      <c r="F2970" s="23">
        <f>IF($B2970="","",IFERROR(INDEX(ProdNome,MATCH($B2970,ProdCod,0)),"Código não cadastrado"))</f>
        <v>0</v>
      </c>
      <c r="G2970" s="24">
        <f>IF(OR($B2970="",$D2970=""),"",$D2970*IFERROR(INDEX(ProdCusto,MATCH($B2970,ProdCod,0)),0))</f>
        <v>0</v>
      </c>
      <c r="H2970" s="25">
        <f>IF($A2970="","",IF(OR($B2970="",$C2970="",$D2970=""),"Preencher tudo",IF($F2970="Código não cadastrado","Código inválido","OK")))</f>
        <v>0</v>
      </c>
    </row>
    <row r="2971" spans="1:8">
      <c r="A2971" s="16"/>
      <c r="B2971" s="15"/>
      <c r="C2971" s="20"/>
      <c r="D2971" s="22"/>
      <c r="E2971" s="15"/>
      <c r="F2971" s="23">
        <f>IF($B2971="","",IFERROR(INDEX(ProdNome,MATCH($B2971,ProdCod,0)),"Código não cadastrado"))</f>
        <v>0</v>
      </c>
      <c r="G2971" s="24">
        <f>IF(OR($B2971="",$D2971=""),"",$D2971*IFERROR(INDEX(ProdCusto,MATCH($B2971,ProdCod,0)),0))</f>
        <v>0</v>
      </c>
      <c r="H2971" s="25">
        <f>IF($A2971="","",IF(OR($B2971="",$C2971="",$D2971=""),"Preencher tudo",IF($F2971="Código não cadastrado","Código inválido","OK")))</f>
        <v>0</v>
      </c>
    </row>
    <row r="2972" spans="1:8">
      <c r="A2972" s="16"/>
      <c r="B2972" s="15"/>
      <c r="C2972" s="20"/>
      <c r="D2972" s="22"/>
      <c r="E2972" s="15"/>
      <c r="F2972" s="23">
        <f>IF($B2972="","",IFERROR(INDEX(ProdNome,MATCH($B2972,ProdCod,0)),"Código não cadastrado"))</f>
        <v>0</v>
      </c>
      <c r="G2972" s="24">
        <f>IF(OR($B2972="",$D2972=""),"",$D2972*IFERROR(INDEX(ProdCusto,MATCH($B2972,ProdCod,0)),0))</f>
        <v>0</v>
      </c>
      <c r="H2972" s="25">
        <f>IF($A2972="","",IF(OR($B2972="",$C2972="",$D2972=""),"Preencher tudo",IF($F2972="Código não cadastrado","Código inválido","OK")))</f>
        <v>0</v>
      </c>
    </row>
    <row r="2973" spans="1:8">
      <c r="A2973" s="16"/>
      <c r="B2973" s="15"/>
      <c r="C2973" s="20"/>
      <c r="D2973" s="22"/>
      <c r="E2973" s="15"/>
      <c r="F2973" s="23">
        <f>IF($B2973="","",IFERROR(INDEX(ProdNome,MATCH($B2973,ProdCod,0)),"Código não cadastrado"))</f>
        <v>0</v>
      </c>
      <c r="G2973" s="24">
        <f>IF(OR($B2973="",$D2973=""),"",$D2973*IFERROR(INDEX(ProdCusto,MATCH($B2973,ProdCod,0)),0))</f>
        <v>0</v>
      </c>
      <c r="H2973" s="25">
        <f>IF($A2973="","",IF(OR($B2973="",$C2973="",$D2973=""),"Preencher tudo",IF($F2973="Código não cadastrado","Código inválido","OK")))</f>
        <v>0</v>
      </c>
    </row>
    <row r="2974" spans="1:8">
      <c r="A2974" s="16"/>
      <c r="B2974" s="15"/>
      <c r="C2974" s="20"/>
      <c r="D2974" s="22"/>
      <c r="E2974" s="15"/>
      <c r="F2974" s="23">
        <f>IF($B2974="","",IFERROR(INDEX(ProdNome,MATCH($B2974,ProdCod,0)),"Código não cadastrado"))</f>
        <v>0</v>
      </c>
      <c r="G2974" s="24">
        <f>IF(OR($B2974="",$D2974=""),"",$D2974*IFERROR(INDEX(ProdCusto,MATCH($B2974,ProdCod,0)),0))</f>
        <v>0</v>
      </c>
      <c r="H2974" s="25">
        <f>IF($A2974="","",IF(OR($B2974="",$C2974="",$D2974=""),"Preencher tudo",IF($F2974="Código não cadastrado","Código inválido","OK")))</f>
        <v>0</v>
      </c>
    </row>
    <row r="2975" spans="1:8">
      <c r="A2975" s="16"/>
      <c r="B2975" s="15"/>
      <c r="C2975" s="20"/>
      <c r="D2975" s="22"/>
      <c r="E2975" s="15"/>
      <c r="F2975" s="23">
        <f>IF($B2975="","",IFERROR(INDEX(ProdNome,MATCH($B2975,ProdCod,0)),"Código não cadastrado"))</f>
        <v>0</v>
      </c>
      <c r="G2975" s="24">
        <f>IF(OR($B2975="",$D2975=""),"",$D2975*IFERROR(INDEX(ProdCusto,MATCH($B2975,ProdCod,0)),0))</f>
        <v>0</v>
      </c>
      <c r="H2975" s="25">
        <f>IF($A2975="","",IF(OR($B2975="",$C2975="",$D2975=""),"Preencher tudo",IF($F2975="Código não cadastrado","Código inválido","OK")))</f>
        <v>0</v>
      </c>
    </row>
    <row r="2976" spans="1:8">
      <c r="A2976" s="16"/>
      <c r="B2976" s="15"/>
      <c r="C2976" s="20"/>
      <c r="D2976" s="22"/>
      <c r="E2976" s="15"/>
      <c r="F2976" s="23">
        <f>IF($B2976="","",IFERROR(INDEX(ProdNome,MATCH($B2976,ProdCod,0)),"Código não cadastrado"))</f>
        <v>0</v>
      </c>
      <c r="G2976" s="24">
        <f>IF(OR($B2976="",$D2976=""),"",$D2976*IFERROR(INDEX(ProdCusto,MATCH($B2976,ProdCod,0)),0))</f>
        <v>0</v>
      </c>
      <c r="H2976" s="25">
        <f>IF($A2976="","",IF(OR($B2976="",$C2976="",$D2976=""),"Preencher tudo",IF($F2976="Código não cadastrado","Código inválido","OK")))</f>
        <v>0</v>
      </c>
    </row>
    <row r="2977" spans="1:8">
      <c r="A2977" s="16"/>
      <c r="B2977" s="15"/>
      <c r="C2977" s="20"/>
      <c r="D2977" s="22"/>
      <c r="E2977" s="15"/>
      <c r="F2977" s="23">
        <f>IF($B2977="","",IFERROR(INDEX(ProdNome,MATCH($B2977,ProdCod,0)),"Código não cadastrado"))</f>
        <v>0</v>
      </c>
      <c r="G2977" s="24">
        <f>IF(OR($B2977="",$D2977=""),"",$D2977*IFERROR(INDEX(ProdCusto,MATCH($B2977,ProdCod,0)),0))</f>
        <v>0</v>
      </c>
      <c r="H2977" s="25">
        <f>IF($A2977="","",IF(OR($B2977="",$C2977="",$D2977=""),"Preencher tudo",IF($F2977="Código não cadastrado","Código inválido","OK")))</f>
        <v>0</v>
      </c>
    </row>
    <row r="2978" spans="1:8">
      <c r="A2978" s="16"/>
      <c r="B2978" s="15"/>
      <c r="C2978" s="20"/>
      <c r="D2978" s="22"/>
      <c r="E2978" s="15"/>
      <c r="F2978" s="23">
        <f>IF($B2978="","",IFERROR(INDEX(ProdNome,MATCH($B2978,ProdCod,0)),"Código não cadastrado"))</f>
        <v>0</v>
      </c>
      <c r="G2978" s="24">
        <f>IF(OR($B2978="",$D2978=""),"",$D2978*IFERROR(INDEX(ProdCusto,MATCH($B2978,ProdCod,0)),0))</f>
        <v>0</v>
      </c>
      <c r="H2978" s="25">
        <f>IF($A2978="","",IF(OR($B2978="",$C2978="",$D2978=""),"Preencher tudo",IF($F2978="Código não cadastrado","Código inválido","OK")))</f>
        <v>0</v>
      </c>
    </row>
    <row r="2979" spans="1:8">
      <c r="A2979" s="16"/>
      <c r="B2979" s="15"/>
      <c r="C2979" s="20"/>
      <c r="D2979" s="22"/>
      <c r="E2979" s="15"/>
      <c r="F2979" s="23">
        <f>IF($B2979="","",IFERROR(INDEX(ProdNome,MATCH($B2979,ProdCod,0)),"Código não cadastrado"))</f>
        <v>0</v>
      </c>
      <c r="G2979" s="24">
        <f>IF(OR($B2979="",$D2979=""),"",$D2979*IFERROR(INDEX(ProdCusto,MATCH($B2979,ProdCod,0)),0))</f>
        <v>0</v>
      </c>
      <c r="H2979" s="25">
        <f>IF($A2979="","",IF(OR($B2979="",$C2979="",$D2979=""),"Preencher tudo",IF($F2979="Código não cadastrado","Código inválido","OK")))</f>
        <v>0</v>
      </c>
    </row>
    <row r="2980" spans="1:8">
      <c r="A2980" s="16"/>
      <c r="B2980" s="15"/>
      <c r="C2980" s="20"/>
      <c r="D2980" s="22"/>
      <c r="E2980" s="15"/>
      <c r="F2980" s="23">
        <f>IF($B2980="","",IFERROR(INDEX(ProdNome,MATCH($B2980,ProdCod,0)),"Código não cadastrado"))</f>
        <v>0</v>
      </c>
      <c r="G2980" s="24">
        <f>IF(OR($B2980="",$D2980=""),"",$D2980*IFERROR(INDEX(ProdCusto,MATCH($B2980,ProdCod,0)),0))</f>
        <v>0</v>
      </c>
      <c r="H2980" s="25">
        <f>IF($A2980="","",IF(OR($B2980="",$C2980="",$D2980=""),"Preencher tudo",IF($F2980="Código não cadastrado","Código inválido","OK")))</f>
        <v>0</v>
      </c>
    </row>
    <row r="2981" spans="1:8">
      <c r="A2981" s="16"/>
      <c r="B2981" s="15"/>
      <c r="C2981" s="20"/>
      <c r="D2981" s="22"/>
      <c r="E2981" s="15"/>
      <c r="F2981" s="23">
        <f>IF($B2981="","",IFERROR(INDEX(ProdNome,MATCH($B2981,ProdCod,0)),"Código não cadastrado"))</f>
        <v>0</v>
      </c>
      <c r="G2981" s="24">
        <f>IF(OR($B2981="",$D2981=""),"",$D2981*IFERROR(INDEX(ProdCusto,MATCH($B2981,ProdCod,0)),0))</f>
        <v>0</v>
      </c>
      <c r="H2981" s="25">
        <f>IF($A2981="","",IF(OR($B2981="",$C2981="",$D2981=""),"Preencher tudo",IF($F2981="Código não cadastrado","Código inválido","OK")))</f>
        <v>0</v>
      </c>
    </row>
    <row r="2982" spans="1:8">
      <c r="A2982" s="16"/>
      <c r="B2982" s="15"/>
      <c r="C2982" s="20"/>
      <c r="D2982" s="22"/>
      <c r="E2982" s="15"/>
      <c r="F2982" s="23">
        <f>IF($B2982="","",IFERROR(INDEX(ProdNome,MATCH($B2982,ProdCod,0)),"Código não cadastrado"))</f>
        <v>0</v>
      </c>
      <c r="G2982" s="24">
        <f>IF(OR($B2982="",$D2982=""),"",$D2982*IFERROR(INDEX(ProdCusto,MATCH($B2982,ProdCod,0)),0))</f>
        <v>0</v>
      </c>
      <c r="H2982" s="25">
        <f>IF($A2982="","",IF(OR($B2982="",$C2982="",$D2982=""),"Preencher tudo",IF($F2982="Código não cadastrado","Código inválido","OK")))</f>
        <v>0</v>
      </c>
    </row>
    <row r="2983" spans="1:8">
      <c r="A2983" s="16"/>
      <c r="B2983" s="15"/>
      <c r="C2983" s="20"/>
      <c r="D2983" s="22"/>
      <c r="E2983" s="15"/>
      <c r="F2983" s="23">
        <f>IF($B2983="","",IFERROR(INDEX(ProdNome,MATCH($B2983,ProdCod,0)),"Código não cadastrado"))</f>
        <v>0</v>
      </c>
      <c r="G2983" s="24">
        <f>IF(OR($B2983="",$D2983=""),"",$D2983*IFERROR(INDEX(ProdCusto,MATCH($B2983,ProdCod,0)),0))</f>
        <v>0</v>
      </c>
      <c r="H2983" s="25">
        <f>IF($A2983="","",IF(OR($B2983="",$C2983="",$D2983=""),"Preencher tudo",IF($F2983="Código não cadastrado","Código inválido","OK")))</f>
        <v>0</v>
      </c>
    </row>
    <row r="2984" spans="1:8">
      <c r="A2984" s="16"/>
      <c r="B2984" s="15"/>
      <c r="C2984" s="20"/>
      <c r="D2984" s="22"/>
      <c r="E2984" s="15"/>
      <c r="F2984" s="23">
        <f>IF($B2984="","",IFERROR(INDEX(ProdNome,MATCH($B2984,ProdCod,0)),"Código não cadastrado"))</f>
        <v>0</v>
      </c>
      <c r="G2984" s="24">
        <f>IF(OR($B2984="",$D2984=""),"",$D2984*IFERROR(INDEX(ProdCusto,MATCH($B2984,ProdCod,0)),0))</f>
        <v>0</v>
      </c>
      <c r="H2984" s="25">
        <f>IF($A2984="","",IF(OR($B2984="",$C2984="",$D2984=""),"Preencher tudo",IF($F2984="Código não cadastrado","Código inválido","OK")))</f>
        <v>0</v>
      </c>
    </row>
    <row r="2985" spans="1:8">
      <c r="A2985" s="16"/>
      <c r="B2985" s="15"/>
      <c r="C2985" s="20"/>
      <c r="D2985" s="22"/>
      <c r="E2985" s="15"/>
      <c r="F2985" s="23">
        <f>IF($B2985="","",IFERROR(INDEX(ProdNome,MATCH($B2985,ProdCod,0)),"Código não cadastrado"))</f>
        <v>0</v>
      </c>
      <c r="G2985" s="24">
        <f>IF(OR($B2985="",$D2985=""),"",$D2985*IFERROR(INDEX(ProdCusto,MATCH($B2985,ProdCod,0)),0))</f>
        <v>0</v>
      </c>
      <c r="H2985" s="25">
        <f>IF($A2985="","",IF(OR($B2985="",$C2985="",$D2985=""),"Preencher tudo",IF($F2985="Código não cadastrado","Código inválido","OK")))</f>
        <v>0</v>
      </c>
    </row>
    <row r="2986" spans="1:8">
      <c r="A2986" s="16"/>
      <c r="B2986" s="15"/>
      <c r="C2986" s="20"/>
      <c r="D2986" s="22"/>
      <c r="E2986" s="15"/>
      <c r="F2986" s="23">
        <f>IF($B2986="","",IFERROR(INDEX(ProdNome,MATCH($B2986,ProdCod,0)),"Código não cadastrado"))</f>
        <v>0</v>
      </c>
      <c r="G2986" s="24">
        <f>IF(OR($B2986="",$D2986=""),"",$D2986*IFERROR(INDEX(ProdCusto,MATCH($B2986,ProdCod,0)),0))</f>
        <v>0</v>
      </c>
      <c r="H2986" s="25">
        <f>IF($A2986="","",IF(OR($B2986="",$C2986="",$D2986=""),"Preencher tudo",IF($F2986="Código não cadastrado","Código inválido","OK")))</f>
        <v>0</v>
      </c>
    </row>
    <row r="2987" spans="1:8">
      <c r="A2987" s="16"/>
      <c r="B2987" s="15"/>
      <c r="C2987" s="20"/>
      <c r="D2987" s="22"/>
      <c r="E2987" s="15"/>
      <c r="F2987" s="23">
        <f>IF($B2987="","",IFERROR(INDEX(ProdNome,MATCH($B2987,ProdCod,0)),"Código não cadastrado"))</f>
        <v>0</v>
      </c>
      <c r="G2987" s="24">
        <f>IF(OR($B2987="",$D2987=""),"",$D2987*IFERROR(INDEX(ProdCusto,MATCH($B2987,ProdCod,0)),0))</f>
        <v>0</v>
      </c>
      <c r="H2987" s="25">
        <f>IF($A2987="","",IF(OR($B2987="",$C2987="",$D2987=""),"Preencher tudo",IF($F2987="Código não cadastrado","Código inválido","OK")))</f>
        <v>0</v>
      </c>
    </row>
    <row r="2988" spans="1:8">
      <c r="A2988" s="16"/>
      <c r="B2988" s="15"/>
      <c r="C2988" s="20"/>
      <c r="D2988" s="22"/>
      <c r="E2988" s="15"/>
      <c r="F2988" s="23">
        <f>IF($B2988="","",IFERROR(INDEX(ProdNome,MATCH($B2988,ProdCod,0)),"Código não cadastrado"))</f>
        <v>0</v>
      </c>
      <c r="G2988" s="24">
        <f>IF(OR($B2988="",$D2988=""),"",$D2988*IFERROR(INDEX(ProdCusto,MATCH($B2988,ProdCod,0)),0))</f>
        <v>0</v>
      </c>
      <c r="H2988" s="25">
        <f>IF($A2988="","",IF(OR($B2988="",$C2988="",$D2988=""),"Preencher tudo",IF($F2988="Código não cadastrado","Código inválido","OK")))</f>
        <v>0</v>
      </c>
    </row>
    <row r="2989" spans="1:8">
      <c r="A2989" s="16"/>
      <c r="B2989" s="15"/>
      <c r="C2989" s="20"/>
      <c r="D2989" s="22"/>
      <c r="E2989" s="15"/>
      <c r="F2989" s="23">
        <f>IF($B2989="","",IFERROR(INDEX(ProdNome,MATCH($B2989,ProdCod,0)),"Código não cadastrado"))</f>
        <v>0</v>
      </c>
      <c r="G2989" s="24">
        <f>IF(OR($B2989="",$D2989=""),"",$D2989*IFERROR(INDEX(ProdCusto,MATCH($B2989,ProdCod,0)),0))</f>
        <v>0</v>
      </c>
      <c r="H2989" s="25">
        <f>IF($A2989="","",IF(OR($B2989="",$C2989="",$D2989=""),"Preencher tudo",IF($F2989="Código não cadastrado","Código inválido","OK")))</f>
        <v>0</v>
      </c>
    </row>
    <row r="2990" spans="1:8">
      <c r="A2990" s="16"/>
      <c r="B2990" s="15"/>
      <c r="C2990" s="20"/>
      <c r="D2990" s="22"/>
      <c r="E2990" s="15"/>
      <c r="F2990" s="23">
        <f>IF($B2990="","",IFERROR(INDEX(ProdNome,MATCH($B2990,ProdCod,0)),"Código não cadastrado"))</f>
        <v>0</v>
      </c>
      <c r="G2990" s="24">
        <f>IF(OR($B2990="",$D2990=""),"",$D2990*IFERROR(INDEX(ProdCusto,MATCH($B2990,ProdCod,0)),0))</f>
        <v>0</v>
      </c>
      <c r="H2990" s="25">
        <f>IF($A2990="","",IF(OR($B2990="",$C2990="",$D2990=""),"Preencher tudo",IF($F2990="Código não cadastrado","Código inválido","OK")))</f>
        <v>0</v>
      </c>
    </row>
    <row r="2991" spans="1:8">
      <c r="A2991" s="16"/>
      <c r="B2991" s="15"/>
      <c r="C2991" s="20"/>
      <c r="D2991" s="22"/>
      <c r="E2991" s="15"/>
      <c r="F2991" s="23">
        <f>IF($B2991="","",IFERROR(INDEX(ProdNome,MATCH($B2991,ProdCod,0)),"Código não cadastrado"))</f>
        <v>0</v>
      </c>
      <c r="G2991" s="24">
        <f>IF(OR($B2991="",$D2991=""),"",$D2991*IFERROR(INDEX(ProdCusto,MATCH($B2991,ProdCod,0)),0))</f>
        <v>0</v>
      </c>
      <c r="H2991" s="25">
        <f>IF($A2991="","",IF(OR($B2991="",$C2991="",$D2991=""),"Preencher tudo",IF($F2991="Código não cadastrado","Código inválido","OK")))</f>
        <v>0</v>
      </c>
    </row>
    <row r="2992" spans="1:8">
      <c r="A2992" s="16"/>
      <c r="B2992" s="15"/>
      <c r="C2992" s="20"/>
      <c r="D2992" s="22"/>
      <c r="E2992" s="15"/>
      <c r="F2992" s="23">
        <f>IF($B2992="","",IFERROR(INDEX(ProdNome,MATCH($B2992,ProdCod,0)),"Código não cadastrado"))</f>
        <v>0</v>
      </c>
      <c r="G2992" s="24">
        <f>IF(OR($B2992="",$D2992=""),"",$D2992*IFERROR(INDEX(ProdCusto,MATCH($B2992,ProdCod,0)),0))</f>
        <v>0</v>
      </c>
      <c r="H2992" s="25">
        <f>IF($A2992="","",IF(OR($B2992="",$C2992="",$D2992=""),"Preencher tudo",IF($F2992="Código não cadastrado","Código inválido","OK")))</f>
        <v>0</v>
      </c>
    </row>
    <row r="2993" spans="1:8">
      <c r="A2993" s="16"/>
      <c r="B2993" s="15"/>
      <c r="C2993" s="20"/>
      <c r="D2993" s="22"/>
      <c r="E2993" s="15"/>
      <c r="F2993" s="23">
        <f>IF($B2993="","",IFERROR(INDEX(ProdNome,MATCH($B2993,ProdCod,0)),"Código não cadastrado"))</f>
        <v>0</v>
      </c>
      <c r="G2993" s="24">
        <f>IF(OR($B2993="",$D2993=""),"",$D2993*IFERROR(INDEX(ProdCusto,MATCH($B2993,ProdCod,0)),0))</f>
        <v>0</v>
      </c>
      <c r="H2993" s="25">
        <f>IF($A2993="","",IF(OR($B2993="",$C2993="",$D2993=""),"Preencher tudo",IF($F2993="Código não cadastrado","Código inválido","OK")))</f>
        <v>0</v>
      </c>
    </row>
    <row r="2994" spans="1:8">
      <c r="A2994" s="16"/>
      <c r="B2994" s="15"/>
      <c r="C2994" s="20"/>
      <c r="D2994" s="22"/>
      <c r="E2994" s="15"/>
      <c r="F2994" s="23">
        <f>IF($B2994="","",IFERROR(INDEX(ProdNome,MATCH($B2994,ProdCod,0)),"Código não cadastrado"))</f>
        <v>0</v>
      </c>
      <c r="G2994" s="24">
        <f>IF(OR($B2994="",$D2994=""),"",$D2994*IFERROR(INDEX(ProdCusto,MATCH($B2994,ProdCod,0)),0))</f>
        <v>0</v>
      </c>
      <c r="H2994" s="25">
        <f>IF($A2994="","",IF(OR($B2994="",$C2994="",$D2994=""),"Preencher tudo",IF($F2994="Código não cadastrado","Código inválido","OK")))</f>
        <v>0</v>
      </c>
    </row>
    <row r="2995" spans="1:8">
      <c r="A2995" s="16"/>
      <c r="B2995" s="15"/>
      <c r="C2995" s="20"/>
      <c r="D2995" s="22"/>
      <c r="E2995" s="15"/>
      <c r="F2995" s="23">
        <f>IF($B2995="","",IFERROR(INDEX(ProdNome,MATCH($B2995,ProdCod,0)),"Código não cadastrado"))</f>
        <v>0</v>
      </c>
      <c r="G2995" s="24">
        <f>IF(OR($B2995="",$D2995=""),"",$D2995*IFERROR(INDEX(ProdCusto,MATCH($B2995,ProdCod,0)),0))</f>
        <v>0</v>
      </c>
      <c r="H2995" s="25">
        <f>IF($A2995="","",IF(OR($B2995="",$C2995="",$D2995=""),"Preencher tudo",IF($F2995="Código não cadastrado","Código inválido","OK")))</f>
        <v>0</v>
      </c>
    </row>
    <row r="2996" spans="1:8">
      <c r="A2996" s="16"/>
      <c r="B2996" s="15"/>
      <c r="C2996" s="20"/>
      <c r="D2996" s="22"/>
      <c r="E2996" s="15"/>
      <c r="F2996" s="23">
        <f>IF($B2996="","",IFERROR(INDEX(ProdNome,MATCH($B2996,ProdCod,0)),"Código não cadastrado"))</f>
        <v>0</v>
      </c>
      <c r="G2996" s="24">
        <f>IF(OR($B2996="",$D2996=""),"",$D2996*IFERROR(INDEX(ProdCusto,MATCH($B2996,ProdCod,0)),0))</f>
        <v>0</v>
      </c>
      <c r="H2996" s="25">
        <f>IF($A2996="","",IF(OR($B2996="",$C2996="",$D2996=""),"Preencher tudo",IF($F2996="Código não cadastrado","Código inválido","OK")))</f>
        <v>0</v>
      </c>
    </row>
    <row r="2997" spans="1:8">
      <c r="A2997" s="16"/>
      <c r="B2997" s="15"/>
      <c r="C2997" s="20"/>
      <c r="D2997" s="22"/>
      <c r="E2997" s="15"/>
      <c r="F2997" s="23">
        <f>IF($B2997="","",IFERROR(INDEX(ProdNome,MATCH($B2997,ProdCod,0)),"Código não cadastrado"))</f>
        <v>0</v>
      </c>
      <c r="G2997" s="24">
        <f>IF(OR($B2997="",$D2997=""),"",$D2997*IFERROR(INDEX(ProdCusto,MATCH($B2997,ProdCod,0)),0))</f>
        <v>0</v>
      </c>
      <c r="H2997" s="25">
        <f>IF($A2997="","",IF(OR($B2997="",$C2997="",$D2997=""),"Preencher tudo",IF($F2997="Código não cadastrado","Código inválido","OK")))</f>
        <v>0</v>
      </c>
    </row>
    <row r="2998" spans="1:8">
      <c r="A2998" s="16"/>
      <c r="B2998" s="15"/>
      <c r="C2998" s="20"/>
      <c r="D2998" s="22"/>
      <c r="E2998" s="15"/>
      <c r="F2998" s="23">
        <f>IF($B2998="","",IFERROR(INDEX(ProdNome,MATCH($B2998,ProdCod,0)),"Código não cadastrado"))</f>
        <v>0</v>
      </c>
      <c r="G2998" s="24">
        <f>IF(OR($B2998="",$D2998=""),"",$D2998*IFERROR(INDEX(ProdCusto,MATCH($B2998,ProdCod,0)),0))</f>
        <v>0</v>
      </c>
      <c r="H2998" s="25">
        <f>IF($A2998="","",IF(OR($B2998="",$C2998="",$D2998=""),"Preencher tudo",IF($F2998="Código não cadastrado","Código inválido","OK")))</f>
        <v>0</v>
      </c>
    </row>
    <row r="2999" spans="1:8">
      <c r="A2999" s="16"/>
      <c r="B2999" s="15"/>
      <c r="C2999" s="20"/>
      <c r="D2999" s="22"/>
      <c r="E2999" s="15"/>
      <c r="F2999" s="23">
        <f>IF($B2999="","",IFERROR(INDEX(ProdNome,MATCH($B2999,ProdCod,0)),"Código não cadastrado"))</f>
        <v>0</v>
      </c>
      <c r="G2999" s="24">
        <f>IF(OR($B2999="",$D2999=""),"",$D2999*IFERROR(INDEX(ProdCusto,MATCH($B2999,ProdCod,0)),0))</f>
        <v>0</v>
      </c>
      <c r="H2999" s="25">
        <f>IF($A2999="","",IF(OR($B2999="",$C2999="",$D2999=""),"Preencher tudo",IF($F2999="Código não cadastrado","Código inválido","OK")))</f>
        <v>0</v>
      </c>
    </row>
    <row r="3000" spans="1:8">
      <c r="A3000" s="16"/>
      <c r="B3000" s="15"/>
      <c r="C3000" s="20"/>
      <c r="D3000" s="22"/>
      <c r="E3000" s="15"/>
      <c r="F3000" s="23">
        <f>IF($B3000="","",IFERROR(INDEX(ProdNome,MATCH($B3000,ProdCod,0)),"Código não cadastrado"))</f>
        <v>0</v>
      </c>
      <c r="G3000" s="24">
        <f>IF(OR($B3000="",$D3000=""),"",$D3000*IFERROR(INDEX(ProdCusto,MATCH($B3000,ProdCod,0)),0))</f>
        <v>0</v>
      </c>
      <c r="H3000" s="25">
        <f>IF($A3000="","",IF(OR($B3000="",$C3000="",$D3000=""),"Preencher tudo",IF($F3000="Código não cadastrado","Código inválido","OK")))</f>
        <v>0</v>
      </c>
    </row>
    <row r="3001" spans="1:8">
      <c r="A3001" s="16"/>
      <c r="B3001" s="15"/>
      <c r="C3001" s="20"/>
      <c r="D3001" s="22"/>
      <c r="E3001" s="15"/>
      <c r="F3001" s="23">
        <f>IF($B3001="","",IFERROR(INDEX(ProdNome,MATCH($B3001,ProdCod,0)),"Código não cadastrado"))</f>
        <v>0</v>
      </c>
      <c r="G3001" s="24">
        <f>IF(OR($B3001="",$D3001=""),"",$D3001*IFERROR(INDEX(ProdCusto,MATCH($B3001,ProdCod,0)),0))</f>
        <v>0</v>
      </c>
      <c r="H3001" s="25">
        <f>IF($A3001="","",IF(OR($B3001="",$C3001="",$D3001=""),"Preencher tudo",IF($F3001="Código não cadastrado","Código inválido","OK")))</f>
        <v>0</v>
      </c>
    </row>
    <row r="3002" spans="1:8">
      <c r="A3002" s="16"/>
      <c r="B3002" s="15"/>
      <c r="C3002" s="20"/>
      <c r="D3002" s="22"/>
      <c r="E3002" s="15"/>
      <c r="F3002" s="23">
        <f>IF($B3002="","",IFERROR(INDEX(ProdNome,MATCH($B3002,ProdCod,0)),"Código não cadastrado"))</f>
        <v>0</v>
      </c>
      <c r="G3002" s="24">
        <f>IF(OR($B3002="",$D3002=""),"",$D3002*IFERROR(INDEX(ProdCusto,MATCH($B3002,ProdCod,0)),0))</f>
        <v>0</v>
      </c>
      <c r="H3002" s="25">
        <f>IF($A3002="","",IF(OR($B3002="",$C3002="",$D3002=""),"Preencher tudo",IF($F3002="Código não cadastrado","Código inválido","OK")))</f>
        <v>0</v>
      </c>
    </row>
    <row r="3003" spans="1:8">
      <c r="A3003" s="16"/>
      <c r="B3003" s="15"/>
      <c r="C3003" s="20"/>
      <c r="D3003" s="22"/>
      <c r="E3003" s="15"/>
      <c r="F3003" s="23">
        <f>IF($B3003="","",IFERROR(INDEX(ProdNome,MATCH($B3003,ProdCod,0)),"Código não cadastrado"))</f>
        <v>0</v>
      </c>
      <c r="G3003" s="24">
        <f>IF(OR($B3003="",$D3003=""),"",$D3003*IFERROR(INDEX(ProdCusto,MATCH($B3003,ProdCod,0)),0))</f>
        <v>0</v>
      </c>
      <c r="H3003" s="25">
        <f>IF($A3003="","",IF(OR($B3003="",$C3003="",$D3003=""),"Preencher tudo",IF($F3003="Código não cadastrado","Código inválido","OK")))</f>
        <v>0</v>
      </c>
    </row>
    <row r="3004" spans="1:8">
      <c r="A3004" s="16"/>
      <c r="B3004" s="15"/>
      <c r="C3004" s="20"/>
      <c r="D3004" s="22"/>
      <c r="E3004" s="15"/>
      <c r="F3004" s="23">
        <f>IF($B3004="","",IFERROR(INDEX(ProdNome,MATCH($B3004,ProdCod,0)),"Código não cadastrado"))</f>
        <v>0</v>
      </c>
      <c r="G3004" s="24">
        <f>IF(OR($B3004="",$D3004=""),"",$D3004*IFERROR(INDEX(ProdCusto,MATCH($B3004,ProdCod,0)),0))</f>
        <v>0</v>
      </c>
      <c r="H3004" s="25">
        <f>IF($A3004="","",IF(OR($B3004="",$C3004="",$D3004=""),"Preencher tudo",IF($F3004="Código não cadastrado","Código inválido","OK")))</f>
        <v>0</v>
      </c>
    </row>
  </sheetData>
  <autoFilter ref="A4:H3004"/>
  <mergeCells count="2">
    <mergeCell ref="A1:H1"/>
    <mergeCell ref="A2:H2"/>
  </mergeCells>
  <conditionalFormatting sqref="H5:H3004">
    <cfRule type="cellIs" dxfId="0" priority="1" operator="equal">
      <formula>"OK"</formula>
    </cfRule>
    <cfRule type="cellIs" dxfId="1" priority="2" operator="equal">
      <formula>"Código inválido"</formula>
    </cfRule>
    <cfRule type="cellIs" dxfId="2" priority="3" operator="equal">
      <formula>"Preencher tudo"</formula>
    </cfRule>
  </conditionalFormatting>
  <dataValidations count="4">
    <dataValidation type="date" operator="greaterThanOrEqual" allowBlank="1" showInputMessage="1" showErrorMessage="1" errorTitle="Data inválida" error="Digite uma data válida (dd/mm/aaaa)." promptTitle="Data" prompt="Digite a data no formato dd/mm/aaaa" sqref="A5:A3004">
      <formula1>36526</formula1>
    </dataValidation>
    <dataValidation type="list" allowBlank="1" showInputMessage="1" showErrorMessage="1" errorTitle="Valor inválido" error="Escolha um item da lista." sqref="B5:B3004">
      <formula1>ProdCod</formula1>
    </dataValidation>
    <dataValidation type="list" allowBlank="1" showInputMessage="1" showErrorMessage="1" errorTitle="Valor inválido" error="Escolha um item da lista." sqref="C5:C3004">
      <formula1>"Entrada,Saída"</formula1>
    </dataValidation>
    <dataValidation type="decimal" operator="greaterThanOrEqual" allowBlank="1" showInputMessage="1" showErrorMessage="1" errorTitle="Valor inválido" error="Digite um número maior ou igual a 0.0001." promptTitle="Dica" prompt="Quantidade sempre positiva" sqref="D5:D3004">
      <formula1>0.0001</formula1>
    </dataValidation>
  </dataValidations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X3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4.7109375" customWidth="1"/>
    <col min="3" max="3" width="13.7109375" customWidth="1"/>
    <col min="4" max="4" width="7.7109375" customWidth="1"/>
    <col min="5" max="7" width="9.7109375" customWidth="1"/>
    <col min="8" max="8" width="11.7109375" customWidth="1"/>
    <col min="9" max="10" width="9.7109375" customWidth="1"/>
    <col min="11" max="11" width="11.7109375" customWidth="1"/>
    <col min="12" max="12" width="14.7109375" customWidth="1"/>
    <col min="13" max="13" width="10.7109375" customWidth="1"/>
    <col min="14" max="14" width="9.7109375" customWidth="1"/>
    <col min="15" max="15" width="10.7109375" customWidth="1"/>
    <col min="16" max="17" width="12.7109375" customWidth="1"/>
    <col min="18" max="18" width="9.7109375" customWidth="1"/>
    <col min="19" max="19" width="12.7109375" customWidth="1"/>
    <col min="20" max="20" width="14.7109375" customWidth="1"/>
    <col min="21" max="21" width="0" hidden="1" customWidth="1"/>
    <col min="22" max="22" width="8.7109375" customWidth="1"/>
    <col min="23" max="23" width="12.7109375" customWidth="1"/>
    <col min="24" max="24" width="0" hidden="1" customWidth="1"/>
  </cols>
  <sheetData>
    <row r="1" spans="1:24" ht="36" customHeight="1">
      <c r="A1" s="1" t="s">
        <v>380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381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3" t="s">
        <v>45</v>
      </c>
    </row>
    <row r="4" spans="1:24" ht="44" customHeight="1">
      <c r="A4" s="11" t="s">
        <v>79</v>
      </c>
      <c r="B4" s="11" t="s">
        <v>80</v>
      </c>
      <c r="C4" s="11" t="s">
        <v>81</v>
      </c>
      <c r="D4" s="11" t="s">
        <v>382</v>
      </c>
      <c r="E4" s="11" t="s">
        <v>86</v>
      </c>
      <c r="F4" s="11" t="s">
        <v>383</v>
      </c>
      <c r="G4" s="11" t="s">
        <v>384</v>
      </c>
      <c r="H4" s="11" t="s">
        <v>385</v>
      </c>
      <c r="I4" s="11" t="s">
        <v>386</v>
      </c>
      <c r="J4" s="11" t="s">
        <v>387</v>
      </c>
      <c r="K4" s="11" t="s">
        <v>388</v>
      </c>
      <c r="L4" s="11" t="s">
        <v>389</v>
      </c>
      <c r="M4" s="11" t="s">
        <v>390</v>
      </c>
      <c r="N4" s="11" t="s">
        <v>391</v>
      </c>
      <c r="O4" s="11" t="s">
        <v>392</v>
      </c>
      <c r="P4" s="11" t="s">
        <v>393</v>
      </c>
      <c r="Q4" s="11" t="s">
        <v>394</v>
      </c>
      <c r="R4" s="11" t="s">
        <v>395</v>
      </c>
      <c r="S4" s="11" t="s">
        <v>396</v>
      </c>
      <c r="T4" s="11" t="s">
        <v>397</v>
      </c>
      <c r="U4" s="11" t="s">
        <v>398</v>
      </c>
      <c r="V4" s="11" t="s">
        <v>399</v>
      </c>
      <c r="W4" s="11" t="s">
        <v>400</v>
      </c>
      <c r="X4" s="11" t="s">
        <v>401</v>
      </c>
    </row>
    <row r="5" spans="1:24">
      <c r="A5" s="23" t="str">
        <f>IF(Produtos!A5="","",Produtos!A5)</f>
        <v>E001</v>
      </c>
      <c r="B5" s="23" t="str">
        <f>IF($A5="","",Produtos!B5&amp;"")</f>
        <v>Caderno universitário 10 matérias</v>
      </c>
      <c r="C5" s="23" t="str">
        <f>IF($A5="","",Produtos!C5&amp;"")</f>
        <v>Escolar</v>
      </c>
      <c r="D5" s="25" t="str">
        <f>IF($A5="","",Produtos!D5&amp;"")</f>
        <v>un</v>
      </c>
      <c r="E5" s="26">
        <f>IF($A5="","",N(Produtos!H5))</f>
        <v>72</v>
      </c>
      <c r="F5" s="26">
        <f>IF($A5="","",SUMIFS(MovQtd,MovCod,$A5,MovTipo,"Entrada"))</f>
        <v>445</v>
      </c>
      <c r="G5" s="26">
        <f>IF($A5="","",SUMIFS(MovQtd,MovCod,$A5,MovTipo,"Saída"))</f>
        <v>476</v>
      </c>
      <c r="H5" s="27">
        <f>IF($A5="","",E5+F5-G5)</f>
        <v>41</v>
      </c>
      <c r="I5" s="26">
        <f>IF($A5="","",N(Produtos!I5))</f>
        <v>36</v>
      </c>
      <c r="J5" s="26">
        <f>IF($A5="","",IF(I5&gt;0,ROUNDUP(I5*FatMax,0),""))</f>
        <v>72</v>
      </c>
      <c r="K5" s="24">
        <f>IF($A5="","",N(Produtos!F5))</f>
        <v>9.5</v>
      </c>
      <c r="L5" s="24">
        <f>IF($A5="","",H5*K5)</f>
        <v>389.5</v>
      </c>
      <c r="M5" s="26">
        <f>IF($A5="","",SUMIFS(MovQtd,MovCod,$A5,MovTipo,"Saída",MovData,"&gt;="&amp;(Hoje-DiasAn),MovData,"&lt;="&amp;Hoje))</f>
        <v>452</v>
      </c>
      <c r="N5" s="28">
        <f>IF($A5="","",M5/DiasAn)</f>
        <v>5.02222222222222</v>
      </c>
      <c r="O5" s="29">
        <f>IF($A5="","",IF(N5&gt;0,H5/N5,"sem giro"))</f>
        <v>8.16371681415929</v>
      </c>
      <c r="P5" s="30">
        <f>IF($A5="","",SUMPRODUCT(MAX((MovCod=$A5)*(MovTipo="Saída")*MovData)))</f>
        <v>46297.0</v>
      </c>
      <c r="Q5" s="31" t="str">
        <f>IF($A5="","",IF(H5&lt;=0,"RUPTURA",IF(AND(I5&gt;0,H5&lt;=I5),"REPOR",IF(AND(J5&lt;&gt;"",H5&gt;J5),"EXCESSO","OK"))))</f>
        <v>OK</v>
      </c>
      <c r="R5" s="25">
        <f>IF($A5="","",IF(AND(H5&gt;0,OR(P5=0,Hoje-P5&gt;DiasParado)),"Parado",""))</f>
        <v>0</v>
      </c>
      <c r="S5" s="26">
        <f>IF($A5="","",IF(OR(Q5="RUPTURA",Q5="REPOR"),IF(J5="",0,MAX(0,J5-H5)),0))</f>
        <v>0</v>
      </c>
      <c r="T5" s="24">
        <f>IF($A5="","",M5*IF(N(Produtos!G5)&gt;0,Produtos!G5,K5))</f>
        <v>8994.8</v>
      </c>
      <c r="U5" s="32">
        <f>IF($A5="","",IF(T5&gt;0,T5+ROW()/1000000000,""))</f>
        <v>8994.800000005</v>
      </c>
      <c r="V5" s="31" t="str">
        <f>IF($A5="","",IF(U5="","C",INDEX('Curva ABC'!$H$5:$H$304,MATCH(U5,'Curva ABC'!$B$5:$B$304,0))))</f>
        <v>A</v>
      </c>
      <c r="W5" s="24">
        <f>IF($A5="","",IF(R5="Parado",L5,0))</f>
        <v>0</v>
      </c>
      <c r="X5" s="33">
        <f>IF($A5="","",IF(OR(Q5="RUPTURA",Q5="REPOR"),COUNTIF($Q$5:Q5,"RUPTURA")+COUNTIF($Q$5:Q5,"REPOR"),""))</f>
        <v>0</v>
      </c>
    </row>
    <row r="6" spans="1:24">
      <c r="A6" s="23" t="str">
        <f>IF(Produtos!A6="","",Produtos!A6)</f>
        <v>E002</v>
      </c>
      <c r="B6" s="23" t="str">
        <f>IF($A6="","",Produtos!B6&amp;"")</f>
        <v>Caneta esferográfica azul (cx 50)</v>
      </c>
      <c r="C6" s="23" t="str">
        <f>IF($A6="","",Produtos!C6&amp;"")</f>
        <v>Papelaria</v>
      </c>
      <c r="D6" s="25" t="str">
        <f>IF($A6="","",Produtos!D6&amp;"")</f>
        <v>cx</v>
      </c>
      <c r="E6" s="26">
        <f>IF($A6="","",N(Produtos!H6))</f>
        <v>24</v>
      </c>
      <c r="F6" s="26">
        <f>IF($A6="","",SUMIFS(MovQtd,MovCod,$A6,MovTipo,"Entrada"))</f>
        <v>146</v>
      </c>
      <c r="G6" s="26">
        <f>IF($A6="","",SUMIFS(MovQtd,MovCod,$A6,MovTipo,"Saída"))</f>
        <v>146</v>
      </c>
      <c r="H6" s="27">
        <f>IF($A6="","",E6+F6-G6)</f>
        <v>24</v>
      </c>
      <c r="I6" s="26">
        <f>IF($A6="","",N(Produtos!I6))</f>
        <v>12</v>
      </c>
      <c r="J6" s="26">
        <f>IF($A6="","",IF(I6&gt;0,ROUNDUP(I6*FatMax,0),""))</f>
        <v>24</v>
      </c>
      <c r="K6" s="24">
        <f>IF($A6="","",N(Produtos!F6))</f>
        <v>22</v>
      </c>
      <c r="L6" s="24">
        <f>IF($A6="","",H6*K6)</f>
        <v>528</v>
      </c>
      <c r="M6" s="26">
        <f>IF($A6="","",SUMIFS(MovQtd,MovCod,$A6,MovTipo,"Saída",MovData,"&gt;="&amp;(Hoje-DiasAn),MovData,"&lt;="&amp;Hoje))</f>
        <v>126</v>
      </c>
      <c r="N6" s="28">
        <f>IF($A6="","",M6/DiasAn)</f>
        <v>1.4</v>
      </c>
      <c r="O6" s="29">
        <f>IF($A6="","",IF(N6&gt;0,H6/N6,"sem giro"))</f>
        <v>17.1428571428571</v>
      </c>
      <c r="P6" s="30">
        <f>IF($A6="","",SUMPRODUCT(MAX((MovCod=$A6)*(MovTipo="Saída")*MovData)))</f>
        <v>46298.0</v>
      </c>
      <c r="Q6" s="31" t="str">
        <f>IF($A6="","",IF(H6&lt;=0,"RUPTURA",IF(AND(I6&gt;0,H6&lt;=I6),"REPOR",IF(AND(J6&lt;&gt;"",H6&gt;J6),"EXCESSO","OK"))))</f>
        <v>OK</v>
      </c>
      <c r="R6" s="25">
        <f>IF($A6="","",IF(AND(H6&gt;0,OR(P6=0,Hoje-P6&gt;DiasParado)),"Parado",""))</f>
        <v>0</v>
      </c>
      <c r="S6" s="26">
        <f>IF($A6="","",IF(OR(Q6="RUPTURA",Q6="REPOR"),IF(J6="",0,MAX(0,J6-H6)),0))</f>
        <v>0</v>
      </c>
      <c r="T6" s="24">
        <f>IF($A6="","",M6*IF(N(Produtos!G6)&gt;0,Produtos!G6,K6))</f>
        <v>5657.4</v>
      </c>
      <c r="U6" s="32">
        <f>IF($A6="","",IF(T6&gt;0,T6+ROW()/1000000000,""))</f>
        <v>5657.400000006</v>
      </c>
      <c r="V6" s="31" t="str">
        <f>IF($A6="","",IF(U6="","C",INDEX('Curva ABC'!$H$5:$H$304,MATCH(U6,'Curva ABC'!$B$5:$B$304,0))))</f>
        <v>A</v>
      </c>
      <c r="W6" s="24">
        <f>IF($A6="","",IF(R6="Parado",L6,0))</f>
        <v>0</v>
      </c>
      <c r="X6" s="33">
        <f>IF($A6="","",IF(OR(Q6="RUPTURA",Q6="REPOR"),COUNTIF($Q$5:Q6,"RUPTURA")+COUNTIF($Q$5:Q6,"REPOR"),""))</f>
        <v>0</v>
      </c>
    </row>
    <row r="7" spans="1:24">
      <c r="A7" s="23" t="str">
        <f>IF(Produtos!A7="","",Produtos!A7)</f>
        <v>E003</v>
      </c>
      <c r="B7" s="23" t="str">
        <f>IF($A7="","",Produtos!B7&amp;"")</f>
        <v>Papel A4 75g (resma)</v>
      </c>
      <c r="C7" s="23" t="str">
        <f>IF($A7="","",Produtos!C7&amp;"")</f>
        <v>Escritório</v>
      </c>
      <c r="D7" s="25" t="str">
        <f>IF($A7="","",Produtos!D7&amp;"")</f>
        <v>pct</v>
      </c>
      <c r="E7" s="26">
        <f>IF($A7="","",N(Produtos!H7))</f>
        <v>96</v>
      </c>
      <c r="F7" s="26">
        <f>IF($A7="","",SUMIFS(MovQtd,MovCod,$A7,MovTipo,"Entrada"))</f>
        <v>653</v>
      </c>
      <c r="G7" s="26">
        <f>IF($A7="","",SUMIFS(MovQtd,MovCod,$A7,MovTipo,"Saída"))</f>
        <v>653</v>
      </c>
      <c r="H7" s="27">
        <f>IF($A7="","",E7+F7-G7)</f>
        <v>96</v>
      </c>
      <c r="I7" s="26">
        <f>IF($A7="","",N(Produtos!I7))</f>
        <v>48</v>
      </c>
      <c r="J7" s="26">
        <f>IF($A7="","",IF(I7&gt;0,ROUNDUP(I7*FatMax,0),""))</f>
        <v>96</v>
      </c>
      <c r="K7" s="24">
        <f>IF($A7="","",N(Produtos!F7))</f>
        <v>21.5</v>
      </c>
      <c r="L7" s="24">
        <f>IF($A7="","",H7*K7)</f>
        <v>2064</v>
      </c>
      <c r="M7" s="26">
        <f>IF($A7="","",SUMIFS(MovQtd,MovCod,$A7,MovTipo,"Saída",MovData,"&gt;="&amp;(Hoje-DiasAn),MovData,"&lt;="&amp;Hoje))</f>
        <v>599</v>
      </c>
      <c r="N7" s="28">
        <f>IF($A7="","",M7/DiasAn)</f>
        <v>6.65555555555556</v>
      </c>
      <c r="O7" s="29">
        <f>IF($A7="","",IF(N7&gt;0,H7/N7,"sem giro"))</f>
        <v>14.424040066778</v>
      </c>
      <c r="P7" s="30">
        <f>IF($A7="","",SUMPRODUCT(MAX((MovCod=$A7)*(MovTipo="Saída")*MovData)))</f>
        <v>46295.0</v>
      </c>
      <c r="Q7" s="31" t="str">
        <f>IF($A7="","",IF(H7&lt;=0,"RUPTURA",IF(AND(I7&gt;0,H7&lt;=I7),"REPOR",IF(AND(J7&lt;&gt;"",H7&gt;J7),"EXCESSO","OK"))))</f>
        <v>OK</v>
      </c>
      <c r="R7" s="25">
        <f>IF($A7="","",IF(AND(H7&gt;0,OR(P7=0,Hoje-P7&gt;DiasParado)),"Parado",""))</f>
        <v>0</v>
      </c>
      <c r="S7" s="26">
        <f>IF($A7="","",IF(OR(Q7="RUPTURA",Q7="REPOR"),IF(J7="",0,MAX(0,J7-H7)),0))</f>
        <v>0</v>
      </c>
      <c r="T7" s="24">
        <f>IF($A7="","",M7*IF(N(Produtos!G7)&gt;0,Produtos!G7,K7))</f>
        <v>19707.1</v>
      </c>
      <c r="U7" s="32">
        <f>IF($A7="","",IF(T7&gt;0,T7+ROW()/1000000000,""))</f>
        <v>19707.100000007</v>
      </c>
      <c r="V7" s="31" t="str">
        <f>IF($A7="","",IF(U7="","C",INDEX('Curva ABC'!$H$5:$H$304,MATCH(U7,'Curva ABC'!$B$5:$B$304,0))))</f>
        <v>A</v>
      </c>
      <c r="W7" s="24">
        <f>IF($A7="","",IF(R7="Parado",L7,0))</f>
        <v>0</v>
      </c>
      <c r="X7" s="33">
        <f>IF($A7="","",IF(OR(Q7="RUPTURA",Q7="REPOR"),COUNTIF($Q$5:Q7,"RUPTURA")+COUNTIF($Q$5:Q7,"REPOR"),""))</f>
        <v>0</v>
      </c>
    </row>
    <row r="8" spans="1:24">
      <c r="A8" s="23" t="str">
        <f>IF(Produtos!A8="","",Produtos!A8)</f>
        <v>E004</v>
      </c>
      <c r="B8" s="23" t="str">
        <f>IF($A8="","",Produtos!B8&amp;"")</f>
        <v>Pasta suspensa (pct 25)</v>
      </c>
      <c r="C8" s="23" t="str">
        <f>IF($A8="","",Produtos!C8&amp;"")</f>
        <v>Escritório</v>
      </c>
      <c r="D8" s="25" t="str">
        <f>IF($A8="","",Produtos!D8&amp;"")</f>
        <v>pct</v>
      </c>
      <c r="E8" s="26">
        <f>IF($A8="","",N(Produtos!H8))</f>
        <v>6</v>
      </c>
      <c r="F8" s="26">
        <f>IF($A8="","",SUMIFS(MovQtd,MovCod,$A8,MovTipo,"Entrada"))</f>
        <v>12</v>
      </c>
      <c r="G8" s="26">
        <f>IF($A8="","",SUMIFS(MovQtd,MovCod,$A8,MovTipo,"Saída"))</f>
        <v>14</v>
      </c>
      <c r="H8" s="27">
        <f>IF($A8="","",E8+F8-G8)</f>
        <v>4</v>
      </c>
      <c r="I8" s="26">
        <f>IF($A8="","",N(Produtos!I8))</f>
        <v>3</v>
      </c>
      <c r="J8" s="26">
        <f>IF($A8="","",IF(I8&gt;0,ROUNDUP(I8*FatMax,0),""))</f>
        <v>6</v>
      </c>
      <c r="K8" s="24">
        <f>IF($A8="","",N(Produtos!F8))</f>
        <v>28</v>
      </c>
      <c r="L8" s="24">
        <f>IF($A8="","",H8*K8)</f>
        <v>112</v>
      </c>
      <c r="M8" s="26">
        <f>IF($A8="","",SUMIFS(MovQtd,MovCod,$A8,MovTipo,"Saída",MovData,"&gt;="&amp;(Hoje-DiasAn),MovData,"&lt;="&amp;Hoje))</f>
        <v>12</v>
      </c>
      <c r="N8" s="28">
        <f>IF($A8="","",M8/DiasAn)</f>
        <v>0.133333333333333</v>
      </c>
      <c r="O8" s="29">
        <f>IF($A8="","",IF(N8&gt;0,H8/N8,"sem giro"))</f>
        <v>30</v>
      </c>
      <c r="P8" s="30">
        <f>IF($A8="","",SUMPRODUCT(MAX((MovCod=$A8)*(MovTipo="Saída")*MovData)))</f>
        <v>46298.0</v>
      </c>
      <c r="Q8" s="31" t="str">
        <f>IF($A8="","",IF(H8&lt;=0,"RUPTURA",IF(AND(I8&gt;0,H8&lt;=I8),"REPOR",IF(AND(J8&lt;&gt;"",H8&gt;J8),"EXCESSO","OK"))))</f>
        <v>OK</v>
      </c>
      <c r="R8" s="25">
        <f>IF($A8="","",IF(AND(H8&gt;0,OR(P8=0,Hoje-P8&gt;DiasParado)),"Parado",""))</f>
        <v>0</v>
      </c>
      <c r="S8" s="26">
        <f>IF($A8="","",IF(OR(Q8="RUPTURA",Q8="REPOR"),IF(J8="",0,MAX(0,J8-H8)),0))</f>
        <v>0</v>
      </c>
      <c r="T8" s="24">
        <f>IF($A8="","",M8*IF(N(Produtos!G8)&gt;0,Produtos!G8,K8))</f>
        <v>658.8</v>
      </c>
      <c r="U8" s="32">
        <f>IF($A8="","",IF(T8&gt;0,T8+ROW()/1000000000,""))</f>
        <v>658.800000008</v>
      </c>
      <c r="V8" s="31" t="str">
        <f>IF($A8="","",IF(U8="","C",INDEX('Curva ABC'!$H$5:$H$304,MATCH(U8,'Curva ABC'!$B$5:$B$304,0))))</f>
        <v>B</v>
      </c>
      <c r="W8" s="24">
        <f>IF($A8="","",IF(R8="Parado",L8,0))</f>
        <v>0</v>
      </c>
      <c r="X8" s="33">
        <f>IF($A8="","",IF(OR(Q8="RUPTURA",Q8="REPOR"),COUNTIF($Q$5:Q8,"RUPTURA")+COUNTIF($Q$5:Q8,"REPOR"),""))</f>
        <v>0</v>
      </c>
    </row>
    <row r="9" spans="1:24">
      <c r="A9" s="23" t="str">
        <f>IF(Produtos!A9="","",Produtos!A9)</f>
        <v>E005</v>
      </c>
      <c r="B9" s="23" t="str">
        <f>IF($A9="","",Produtos!B9&amp;"")</f>
        <v>Grampeador médio</v>
      </c>
      <c r="C9" s="23" t="str">
        <f>IF($A9="","",Produtos!C9&amp;"")</f>
        <v>Escritório</v>
      </c>
      <c r="D9" s="25" t="str">
        <f>IF($A9="","",Produtos!D9&amp;"")</f>
        <v>un</v>
      </c>
      <c r="E9" s="26">
        <f>IF($A9="","",N(Produtos!H9))</f>
        <v>6</v>
      </c>
      <c r="F9" s="26">
        <f>IF($A9="","",SUMIFS(MovQtd,MovCod,$A9,MovTipo,"Entrada"))</f>
        <v>3</v>
      </c>
      <c r="G9" s="26">
        <f>IF($A9="","",SUMIFS(MovQtd,MovCod,$A9,MovTipo,"Saída"))</f>
        <v>9</v>
      </c>
      <c r="H9" s="27">
        <f>IF($A9="","",E9+F9-G9)</f>
        <v>0</v>
      </c>
      <c r="I9" s="26">
        <f>IF($A9="","",N(Produtos!I9))</f>
        <v>3</v>
      </c>
      <c r="J9" s="26">
        <f>IF($A9="","",IF(I9&gt;0,ROUNDUP(I9*FatMax,0),""))</f>
        <v>6</v>
      </c>
      <c r="K9" s="24">
        <f>IF($A9="","",N(Produtos!F9))</f>
        <v>14</v>
      </c>
      <c r="L9" s="24">
        <f>IF($A9="","",H9*K9)</f>
        <v>0</v>
      </c>
      <c r="M9" s="26">
        <f>IF($A9="","",SUMIFS(MovQtd,MovCod,$A9,MovTipo,"Saída",MovData,"&gt;="&amp;(Hoje-DiasAn),MovData,"&lt;="&amp;Hoje))</f>
        <v>7</v>
      </c>
      <c r="N9" s="28">
        <f>IF($A9="","",M9/DiasAn)</f>
        <v>0.0777777777777778</v>
      </c>
      <c r="O9" s="29">
        <f>IF($A9="","",IF(N9&gt;0,H9/N9,"sem giro"))</f>
        <v>0</v>
      </c>
      <c r="P9" s="30">
        <f>IF($A9="","",SUMPRODUCT(MAX((MovCod=$A9)*(MovTipo="Saída")*MovData)))</f>
        <v>46262.0</v>
      </c>
      <c r="Q9" s="31" t="str">
        <f>IF($A9="","",IF(H9&lt;=0,"RUPTURA",IF(AND(I9&gt;0,H9&lt;=I9),"REPOR",IF(AND(J9&lt;&gt;"",H9&gt;J9),"EXCESSO","OK"))))</f>
        <v>RUPTURA</v>
      </c>
      <c r="R9" s="25">
        <f>IF($A9="","",IF(AND(H9&gt;0,OR(P9=0,Hoje-P9&gt;DiasParado)),"Parado",""))</f>
        <v>0</v>
      </c>
      <c r="S9" s="26">
        <f>IF($A9="","",IF(OR(Q9="RUPTURA",Q9="REPOR"),IF(J9="",0,MAX(0,J9-H9)),0))</f>
        <v>6</v>
      </c>
      <c r="T9" s="24">
        <f>IF($A9="","",M9*IF(N(Produtos!G9)&gt;0,Produtos!G9,K9))</f>
        <v>209.3</v>
      </c>
      <c r="U9" s="32">
        <f>IF($A9="","",IF(T9&gt;0,T9+ROW()/1000000000,""))</f>
        <v>209.300000009</v>
      </c>
      <c r="V9" s="31" t="str">
        <f>IF($A9="","",IF(U9="","C",INDEX('Curva ABC'!$H$5:$H$304,MATCH(U9,'Curva ABC'!$B$5:$B$304,0))))</f>
        <v>C</v>
      </c>
      <c r="W9" s="24">
        <f>IF($A9="","",IF(R9="Parado",L9,0))</f>
        <v>0</v>
      </c>
      <c r="X9" s="33">
        <f>IF($A9="","",IF(OR(Q9="RUPTURA",Q9="REPOR"),COUNTIF($Q$5:Q9,"RUPTURA")+COUNTIF($Q$5:Q9,"REPOR"),""))</f>
        <v>1</v>
      </c>
    </row>
    <row r="10" spans="1:24">
      <c r="A10" s="23" t="str">
        <f>IF(Produtos!A10="","",Produtos!A10)</f>
        <v>E006</v>
      </c>
      <c r="B10" s="23" t="str">
        <f>IF($A10="","",Produtos!B10&amp;"")</f>
        <v>Mouse óptico USB</v>
      </c>
      <c r="C10" s="23" t="str">
        <f>IF($A10="","",Produtos!C10&amp;"")</f>
        <v>Informática</v>
      </c>
      <c r="D10" s="25" t="str">
        <f>IF($A10="","",Produtos!D10&amp;"")</f>
        <v>un</v>
      </c>
      <c r="E10" s="26">
        <f>IF($A10="","",N(Produtos!H10))</f>
        <v>6</v>
      </c>
      <c r="F10" s="26">
        <f>IF($A10="","",SUMIFS(MovQtd,MovCod,$A10,MovTipo,"Entrada"))</f>
        <v>25</v>
      </c>
      <c r="G10" s="26">
        <f>IF($A10="","",SUMIFS(MovQtd,MovCod,$A10,MovTipo,"Saída"))</f>
        <v>26</v>
      </c>
      <c r="H10" s="27">
        <f>IF($A10="","",E10+F10-G10)</f>
        <v>5</v>
      </c>
      <c r="I10" s="26">
        <f>IF($A10="","",N(Produtos!I10))</f>
        <v>3</v>
      </c>
      <c r="J10" s="26">
        <f>IF($A10="","",IF(I10&gt;0,ROUNDUP(I10*FatMax,0),""))</f>
        <v>6</v>
      </c>
      <c r="K10" s="24">
        <f>IF($A10="","",N(Produtos!F10))</f>
        <v>11</v>
      </c>
      <c r="L10" s="24">
        <f>IF($A10="","",H10*K10)</f>
        <v>55</v>
      </c>
      <c r="M10" s="26">
        <f>IF($A10="","",SUMIFS(MovQtd,MovCod,$A10,MovTipo,"Saída",MovData,"&gt;="&amp;(Hoje-DiasAn),MovData,"&lt;="&amp;Hoje))</f>
        <v>25</v>
      </c>
      <c r="N10" s="28">
        <f>IF($A10="","",M10/DiasAn)</f>
        <v>0.277777777777778</v>
      </c>
      <c r="O10" s="29">
        <f>IF($A10="","",IF(N10&gt;0,H10/N10,"sem giro"))</f>
        <v>18</v>
      </c>
      <c r="P10" s="30">
        <f>IF($A10="","",SUMPRODUCT(MAX((MovCod=$A10)*(MovTipo="Saída")*MovData)))</f>
        <v>46303.0</v>
      </c>
      <c r="Q10" s="31" t="str">
        <f>IF($A10="","",IF(H10&lt;=0,"RUPTURA",IF(AND(I10&gt;0,H10&lt;=I10),"REPOR",IF(AND(J10&lt;&gt;"",H10&gt;J10),"EXCESSO","OK"))))</f>
        <v>OK</v>
      </c>
      <c r="R10" s="25">
        <f>IF($A10="","",IF(AND(H10&gt;0,OR(P10=0,Hoje-P10&gt;DiasParado)),"Parado",""))</f>
        <v>0</v>
      </c>
      <c r="S10" s="26">
        <f>IF($A10="","",IF(OR(Q10="RUPTURA",Q10="REPOR"),IF(J10="",0,MAX(0,J10-H10)),0))</f>
        <v>0</v>
      </c>
      <c r="T10" s="24">
        <f>IF($A10="","",M10*IF(N(Produtos!G10)&gt;0,Produtos!G10,K10))</f>
        <v>622.5</v>
      </c>
      <c r="U10" s="32">
        <f>IF($A10="","",IF(T10&gt;0,T10+ROW()/1000000000,""))</f>
        <v>622.50000001</v>
      </c>
      <c r="V10" s="31" t="str">
        <f>IF($A10="","",IF(U10="","C",INDEX('Curva ABC'!$H$5:$H$304,MATCH(U10,'Curva ABC'!$B$5:$B$304,0))))</f>
        <v>B</v>
      </c>
      <c r="W10" s="24">
        <f>IF($A10="","",IF(R10="Parado",L10,0))</f>
        <v>0</v>
      </c>
      <c r="X10" s="33">
        <f>IF($A10="","",IF(OR(Q10="RUPTURA",Q10="REPOR"),COUNTIF($Q$5:Q10,"RUPTURA")+COUNTIF($Q$5:Q10,"REPOR"),""))</f>
        <v>0</v>
      </c>
    </row>
    <row r="11" spans="1:24">
      <c r="A11" s="23" t="str">
        <f>IF(Produtos!A11="","",Produtos!A11)</f>
        <v>E007</v>
      </c>
      <c r="B11" s="23" t="str">
        <f>IF($A11="","",Produtos!B11&amp;"")</f>
        <v>Pen drive 32GB</v>
      </c>
      <c r="C11" s="23" t="str">
        <f>IF($A11="","",Produtos!C11&amp;"")</f>
        <v>Informática</v>
      </c>
      <c r="D11" s="25" t="str">
        <f>IF($A11="","",Produtos!D11&amp;"")</f>
        <v>un</v>
      </c>
      <c r="E11" s="26">
        <f>IF($A11="","",N(Produtos!H11))</f>
        <v>20</v>
      </c>
      <c r="F11" s="26">
        <f>IF($A11="","",SUMIFS(MovQtd,MovCod,$A11,MovTipo,"Entrada"))</f>
        <v>107</v>
      </c>
      <c r="G11" s="26">
        <f>IF($A11="","",SUMIFS(MovQtd,MovCod,$A11,MovTipo,"Saída"))</f>
        <v>107</v>
      </c>
      <c r="H11" s="27">
        <f>IF($A11="","",E11+F11-G11)</f>
        <v>20</v>
      </c>
      <c r="I11" s="26">
        <f>IF($A11="","",N(Produtos!I11))</f>
        <v>10</v>
      </c>
      <c r="J11" s="26">
        <f>IF($A11="","",IF(I11&gt;0,ROUNDUP(I11*FatMax,0),""))</f>
        <v>20</v>
      </c>
      <c r="K11" s="24">
        <f>IF($A11="","",N(Produtos!F11))</f>
        <v>22</v>
      </c>
      <c r="L11" s="24">
        <f>IF($A11="","",H11*K11)</f>
        <v>440</v>
      </c>
      <c r="M11" s="26">
        <f>IF($A11="","",SUMIFS(MovQtd,MovCod,$A11,MovTipo,"Saída",MovData,"&gt;="&amp;(Hoje-DiasAn),MovData,"&lt;="&amp;Hoje))</f>
        <v>101</v>
      </c>
      <c r="N11" s="28">
        <f>IF($A11="","",M11/DiasAn)</f>
        <v>1.12222222222222</v>
      </c>
      <c r="O11" s="29">
        <f>IF($A11="","",IF(N11&gt;0,H11/N11,"sem giro"))</f>
        <v>17.8217821782178</v>
      </c>
      <c r="P11" s="30">
        <f>IF($A11="","",SUMPRODUCT(MAX((MovCod=$A11)*(MovTipo="Saída")*MovData)))</f>
        <v>46298.0</v>
      </c>
      <c r="Q11" s="31" t="str">
        <f>IF($A11="","",IF(H11&lt;=0,"RUPTURA",IF(AND(I11&gt;0,H11&lt;=I11),"REPOR",IF(AND(J11&lt;&gt;"",H11&gt;J11),"EXCESSO","OK"))))</f>
        <v>OK</v>
      </c>
      <c r="R11" s="25">
        <f>IF($A11="","",IF(AND(H11&gt;0,OR(P11=0,Hoje-P11&gt;DiasParado)),"Parado",""))</f>
        <v>0</v>
      </c>
      <c r="S11" s="26">
        <f>IF($A11="","",IF(OR(Q11="RUPTURA",Q11="REPOR"),IF(J11="",0,MAX(0,J11-H11)),0))</f>
        <v>0</v>
      </c>
      <c r="T11" s="24">
        <f>IF($A11="","",M11*IF(N(Produtos!G11)&gt;0,Produtos!G11,K11))</f>
        <v>4534.9</v>
      </c>
      <c r="U11" s="32">
        <f>IF($A11="","",IF(T11&gt;0,T11+ROW()/1000000000,""))</f>
        <v>4534.900000011</v>
      </c>
      <c r="V11" s="31" t="str">
        <f>IF($A11="","",IF(U11="","C",INDEX('Curva ABC'!$H$5:$H$304,MATCH(U11,'Curva ABC'!$B$5:$B$304,0))))</f>
        <v>A</v>
      </c>
      <c r="W11" s="24">
        <f>IF($A11="","",IF(R11="Parado",L11,0))</f>
        <v>0</v>
      </c>
      <c r="X11" s="33">
        <f>IF($A11="","",IF(OR(Q11="RUPTURA",Q11="REPOR"),COUNTIF($Q$5:Q11,"RUPTURA")+COUNTIF($Q$5:Q11,"REPOR"),""))</f>
        <v>0</v>
      </c>
    </row>
    <row r="12" spans="1:24">
      <c r="A12" s="23" t="str">
        <f>IF(Produtos!A12="","",Produtos!A12)</f>
        <v>E008</v>
      </c>
      <c r="B12" s="23" t="str">
        <f>IF($A12="","",Produtos!B12&amp;"")</f>
        <v>Cabo USB-C 1m</v>
      </c>
      <c r="C12" s="23" t="str">
        <f>IF($A12="","",Produtos!C12&amp;"")</f>
        <v>Informática</v>
      </c>
      <c r="D12" s="25" t="str">
        <f>IF($A12="","",Produtos!D12&amp;"")</f>
        <v>un</v>
      </c>
      <c r="E12" s="26">
        <f>IF($A12="","",N(Produtos!H12))</f>
        <v>32</v>
      </c>
      <c r="F12" s="26">
        <f>IF($A12="","",SUMIFS(MovQtd,MovCod,$A12,MovTipo,"Entrada"))</f>
        <v>115</v>
      </c>
      <c r="G12" s="26">
        <f>IF($A12="","",SUMIFS(MovQtd,MovCod,$A12,MovTipo,"Saída"))</f>
        <v>147</v>
      </c>
      <c r="H12" s="27">
        <f>IF($A12="","",E12+F12-G12)</f>
        <v>0</v>
      </c>
      <c r="I12" s="26">
        <f>IF($A12="","",N(Produtos!I12))</f>
        <v>16</v>
      </c>
      <c r="J12" s="26">
        <f>IF($A12="","",IF(I12&gt;0,ROUNDUP(I12*FatMax,0),""))</f>
        <v>32</v>
      </c>
      <c r="K12" s="24">
        <f>IF($A12="","",N(Produtos!F12))</f>
        <v>6.5</v>
      </c>
      <c r="L12" s="24">
        <f>IF($A12="","",H12*K12)</f>
        <v>0</v>
      </c>
      <c r="M12" s="26">
        <f>IF($A12="","",SUMIFS(MovQtd,MovCod,$A12,MovTipo,"Saída",MovData,"&gt;="&amp;(Hoje-DiasAn),MovData,"&lt;="&amp;Hoje))</f>
        <v>123</v>
      </c>
      <c r="N12" s="28">
        <f>IF($A12="","",M12/DiasAn)</f>
        <v>1.36666666666667</v>
      </c>
      <c r="O12" s="29">
        <f>IF($A12="","",IF(N12&gt;0,H12/N12,"sem giro"))</f>
        <v>0</v>
      </c>
      <c r="P12" s="30">
        <f>IF($A12="","",SUMPRODUCT(MAX((MovCod=$A12)*(MovTipo="Saída")*MovData)))</f>
        <v>46281.0</v>
      </c>
      <c r="Q12" s="31" t="str">
        <f>IF($A12="","",IF(H12&lt;=0,"RUPTURA",IF(AND(I12&gt;0,H12&lt;=I12),"REPOR",IF(AND(J12&lt;&gt;"",H12&gt;J12),"EXCESSO","OK"))))</f>
        <v>RUPTURA</v>
      </c>
      <c r="R12" s="25">
        <f>IF($A12="","",IF(AND(H12&gt;0,OR(P12=0,Hoje-P12&gt;DiasParado)),"Parado",""))</f>
        <v>0</v>
      </c>
      <c r="S12" s="26">
        <f>IF($A12="","",IF(OR(Q12="RUPTURA",Q12="REPOR"),IF(J12="",0,MAX(0,J12-H12)),0))</f>
        <v>32</v>
      </c>
      <c r="T12" s="24">
        <f>IF($A12="","",M12*IF(N(Produtos!G12)&gt;0,Produtos!G12,K12))</f>
        <v>2447.7</v>
      </c>
      <c r="U12" s="32">
        <f>IF($A12="","",IF(T12&gt;0,T12+ROW()/1000000000,""))</f>
        <v>2447.700000012</v>
      </c>
      <c r="V12" s="31" t="str">
        <f>IF($A12="","",IF(U12="","C",INDEX('Curva ABC'!$H$5:$H$304,MATCH(U12,'Curva ABC'!$B$5:$B$304,0))))</f>
        <v>A</v>
      </c>
      <c r="W12" s="24">
        <f>IF($A12="","",IF(R12="Parado",L12,0))</f>
        <v>0</v>
      </c>
      <c r="X12" s="33">
        <f>IF($A12="","",IF(OR(Q12="RUPTURA",Q12="REPOR"),COUNTIF($Q$5:Q12,"RUPTURA")+COUNTIF($Q$5:Q12,"REPOR"),""))</f>
        <v>2</v>
      </c>
    </row>
    <row r="13" spans="1:24">
      <c r="A13" s="23" t="str">
        <f>IF(Produtos!A13="","",Produtos!A13)</f>
        <v>E009</v>
      </c>
      <c r="B13" s="23" t="str">
        <f>IF($A13="","",Produtos!B13&amp;"")</f>
        <v>Mochila escolar 20L</v>
      </c>
      <c r="C13" s="23" t="str">
        <f>IF($A13="","",Produtos!C13&amp;"")</f>
        <v>Escolar</v>
      </c>
      <c r="D13" s="25" t="str">
        <f>IF($A13="","",Produtos!D13&amp;"")</f>
        <v>un</v>
      </c>
      <c r="E13" s="26">
        <f>IF($A13="","",N(Produtos!H13))</f>
        <v>12</v>
      </c>
      <c r="F13" s="26">
        <f>IF($A13="","",SUMIFS(MovQtd,MovCod,$A13,MovTipo,"Entrada"))</f>
        <v>72</v>
      </c>
      <c r="G13" s="26">
        <f>IF($A13="","",SUMIFS(MovQtd,MovCod,$A13,MovTipo,"Saída"))</f>
        <v>77</v>
      </c>
      <c r="H13" s="27">
        <f>IF($A13="","",E13+F13-G13)</f>
        <v>7</v>
      </c>
      <c r="I13" s="26">
        <f>IF($A13="","",N(Produtos!I13))</f>
        <v>6</v>
      </c>
      <c r="J13" s="26">
        <f>IF($A13="","",IF(I13&gt;0,ROUNDUP(I13*FatMax,0),""))</f>
        <v>12</v>
      </c>
      <c r="K13" s="24">
        <f>IF($A13="","",N(Produtos!F13))</f>
        <v>46</v>
      </c>
      <c r="L13" s="24">
        <f>IF($A13="","",H13*K13)</f>
        <v>322</v>
      </c>
      <c r="M13" s="26">
        <f>IF($A13="","",SUMIFS(MovQtd,MovCod,$A13,MovTipo,"Saída",MovData,"&gt;="&amp;(Hoje-DiasAn),MovData,"&lt;="&amp;Hoje))</f>
        <v>71</v>
      </c>
      <c r="N13" s="28">
        <f>IF($A13="","",M13/DiasAn)</f>
        <v>0.788888888888889</v>
      </c>
      <c r="O13" s="29">
        <f>IF($A13="","",IF(N13&gt;0,H13/N13,"sem giro"))</f>
        <v>8.87323943661972</v>
      </c>
      <c r="P13" s="30">
        <f>IF($A13="","",SUMPRODUCT(MAX((MovCod=$A13)*(MovTipo="Saída")*MovData)))</f>
        <v>46302.0</v>
      </c>
      <c r="Q13" s="31" t="str">
        <f>IF($A13="","",IF(H13&lt;=0,"RUPTURA",IF(AND(I13&gt;0,H13&lt;=I13),"REPOR",IF(AND(J13&lt;&gt;"",H13&gt;J13),"EXCESSO","OK"))))</f>
        <v>OK</v>
      </c>
      <c r="R13" s="25">
        <f>IF($A13="","",IF(AND(H13&gt;0,OR(P13=0,Hoje-P13&gt;DiasParado)),"Parado",""))</f>
        <v>0</v>
      </c>
      <c r="S13" s="26">
        <f>IF($A13="","",IF(OR(Q13="RUPTURA",Q13="REPOR"),IF(J13="",0,MAX(0,J13-H13)),0))</f>
        <v>0</v>
      </c>
      <c r="T13" s="24">
        <f>IF($A13="","",M13*IF(N(Produtos!G13)&gt;0,Produtos!G13,K13))</f>
        <v>7092.9</v>
      </c>
      <c r="U13" s="32">
        <f>IF($A13="","",IF(T13&gt;0,T13+ROW()/1000000000,""))</f>
        <v>7092.900000013</v>
      </c>
      <c r="V13" s="31" t="str">
        <f>IF($A13="","",IF(U13="","C",INDEX('Curva ABC'!$H$5:$H$304,MATCH(U13,'Curva ABC'!$B$5:$B$304,0))))</f>
        <v>A</v>
      </c>
      <c r="W13" s="24">
        <f>IF($A13="","",IF(R13="Parado",L13,0))</f>
        <v>0</v>
      </c>
      <c r="X13" s="33">
        <f>IF($A13="","",IF(OR(Q13="RUPTURA",Q13="REPOR"),COUNTIF($Q$5:Q13,"RUPTURA")+COUNTIF($Q$5:Q13,"REPOR"),""))</f>
        <v>0</v>
      </c>
    </row>
    <row r="14" spans="1:24">
      <c r="A14" s="23" t="str">
        <f>IF(Produtos!A14="","",Produtos!A14)</f>
        <v>E010</v>
      </c>
      <c r="B14" s="23" t="str">
        <f>IF($A14="","",Produtos!B14&amp;"")</f>
        <v>Estojo duplo</v>
      </c>
      <c r="C14" s="23" t="str">
        <f>IF($A14="","",Produtos!C14&amp;"")</f>
        <v>Escolar</v>
      </c>
      <c r="D14" s="25" t="str">
        <f>IF($A14="","",Produtos!D14&amp;"")</f>
        <v>un</v>
      </c>
      <c r="E14" s="26">
        <f>IF($A14="","",N(Produtos!H14))</f>
        <v>6</v>
      </c>
      <c r="F14" s="26">
        <f>IF($A14="","",SUMIFS(MovQtd,MovCod,$A14,MovTipo,"Entrada"))</f>
        <v>29</v>
      </c>
      <c r="G14" s="26">
        <f>IF($A14="","",SUMIFS(MovQtd,MovCod,$A14,MovTipo,"Saída"))</f>
        <v>31</v>
      </c>
      <c r="H14" s="27">
        <f>IF($A14="","",E14+F14-G14)</f>
        <v>4</v>
      </c>
      <c r="I14" s="26">
        <f>IF($A14="","",N(Produtos!I14))</f>
        <v>3</v>
      </c>
      <c r="J14" s="26">
        <f>IF($A14="","",IF(I14&gt;0,ROUNDUP(I14*FatMax,0),""))</f>
        <v>6</v>
      </c>
      <c r="K14" s="24">
        <f>IF($A14="","",N(Produtos!F14))</f>
        <v>8.5</v>
      </c>
      <c r="L14" s="24">
        <f>IF($A14="","",H14*K14)</f>
        <v>34</v>
      </c>
      <c r="M14" s="26">
        <f>IF($A14="","",SUMIFS(MovQtd,MovCod,$A14,MovTipo,"Saída",MovData,"&gt;="&amp;(Hoje-DiasAn),MovData,"&lt;="&amp;Hoje))</f>
        <v>29</v>
      </c>
      <c r="N14" s="28">
        <f>IF($A14="","",M14/DiasAn)</f>
        <v>0.322222222222222</v>
      </c>
      <c r="O14" s="29">
        <f>IF($A14="","",IF(N14&gt;0,H14/N14,"sem giro"))</f>
        <v>12.4137931034483</v>
      </c>
      <c r="P14" s="30">
        <f>IF($A14="","",SUMPRODUCT(MAX((MovCod=$A14)*(MovTipo="Saída")*MovData)))</f>
        <v>46298.0</v>
      </c>
      <c r="Q14" s="31" t="str">
        <f>IF($A14="","",IF(H14&lt;=0,"RUPTURA",IF(AND(I14&gt;0,H14&lt;=I14),"REPOR",IF(AND(J14&lt;&gt;"",H14&gt;J14),"EXCESSO","OK"))))</f>
        <v>OK</v>
      </c>
      <c r="R14" s="25">
        <f>IF($A14="","",IF(AND(H14&gt;0,OR(P14=0,Hoje-P14&gt;DiasParado)),"Parado",""))</f>
        <v>0</v>
      </c>
      <c r="S14" s="26">
        <f>IF($A14="","",IF(OR(Q14="RUPTURA",Q14="REPOR"),IF(J14="",0,MAX(0,J14-H14)),0))</f>
        <v>0</v>
      </c>
      <c r="T14" s="24">
        <f>IF($A14="","",M14*IF(N(Produtos!G14)&gt;0,Produtos!G14,K14))</f>
        <v>635.1</v>
      </c>
      <c r="U14" s="32">
        <f>IF($A14="","",IF(T14&gt;0,T14+ROW()/1000000000,""))</f>
        <v>635.100000014</v>
      </c>
      <c r="V14" s="31" t="str">
        <f>IF($A14="","",IF(U14="","C",INDEX('Curva ABC'!$H$5:$H$304,MATCH(U14,'Curva ABC'!$B$5:$B$304,0))))</f>
        <v>B</v>
      </c>
      <c r="W14" s="24">
        <f>IF($A14="","",IF(R14="Parado",L14,0))</f>
        <v>0</v>
      </c>
      <c r="X14" s="33">
        <f>IF($A14="","",IF(OR(Q14="RUPTURA",Q14="REPOR"),COUNTIF($Q$5:Q14,"RUPTURA")+COUNTIF($Q$5:Q14,"REPOR"),""))</f>
        <v>0</v>
      </c>
    </row>
    <row r="15" spans="1:24">
      <c r="A15" s="23" t="str">
        <f>IF(Produtos!A15="","",Produtos!A15)</f>
        <v>E011</v>
      </c>
      <c r="B15" s="23" t="str">
        <f>IF($A15="","",Produtos!B15&amp;"")</f>
        <v>Lápis de cor (cx 24)</v>
      </c>
      <c r="C15" s="23" t="str">
        <f>IF($A15="","",Produtos!C15&amp;"")</f>
        <v>Escolar</v>
      </c>
      <c r="D15" s="25" t="str">
        <f>IF($A15="","",Produtos!D15&amp;"")</f>
        <v>cx</v>
      </c>
      <c r="E15" s="26">
        <f>IF($A15="","",N(Produtos!H15))</f>
        <v>10</v>
      </c>
      <c r="F15" s="26">
        <f>IF($A15="","",SUMIFS(MovQtd,MovCod,$A15,MovTipo,"Entrada"))</f>
        <v>16</v>
      </c>
      <c r="G15" s="26">
        <f>IF($A15="","",SUMIFS(MovQtd,MovCod,$A15,MovTipo,"Saída"))</f>
        <v>26</v>
      </c>
      <c r="H15" s="27">
        <f>IF($A15="","",E15+F15-G15)</f>
        <v>0</v>
      </c>
      <c r="I15" s="26">
        <f>IF($A15="","",N(Produtos!I15))</f>
        <v>5</v>
      </c>
      <c r="J15" s="26">
        <f>IF($A15="","",IF(I15&gt;0,ROUNDUP(I15*FatMax,0),""))</f>
        <v>10</v>
      </c>
      <c r="K15" s="24">
        <f>IF($A15="","",N(Produtos!F15))</f>
        <v>7.9</v>
      </c>
      <c r="L15" s="24">
        <f>IF($A15="","",H15*K15)</f>
        <v>0</v>
      </c>
      <c r="M15" s="26">
        <f>IF($A15="","",SUMIFS(MovQtd,MovCod,$A15,MovTipo,"Saída",MovData,"&gt;="&amp;(Hoje-DiasAn),MovData,"&lt;="&amp;Hoje))</f>
        <v>22</v>
      </c>
      <c r="N15" s="28">
        <f>IF($A15="","",M15/DiasAn)</f>
        <v>0.244444444444444</v>
      </c>
      <c r="O15" s="29">
        <f>IF($A15="","",IF(N15&gt;0,H15/N15,"sem giro"))</f>
        <v>0</v>
      </c>
      <c r="P15" s="30">
        <f>IF($A15="","",SUMPRODUCT(MAX((MovCod=$A15)*(MovTipo="Saída")*MovData)))</f>
        <v>46249.0</v>
      </c>
      <c r="Q15" s="31" t="str">
        <f>IF($A15="","",IF(H15&lt;=0,"RUPTURA",IF(AND(I15&gt;0,H15&lt;=I15),"REPOR",IF(AND(J15&lt;&gt;"",H15&gt;J15),"EXCESSO","OK"))))</f>
        <v>RUPTURA</v>
      </c>
      <c r="R15" s="25">
        <f>IF($A15="","",IF(AND(H15&gt;0,OR(P15=0,Hoje-P15&gt;DiasParado)),"Parado",""))</f>
        <v>0</v>
      </c>
      <c r="S15" s="26">
        <f>IF($A15="","",IF(OR(Q15="RUPTURA",Q15="REPOR"),IF(J15="",0,MAX(0,J15-H15)),0))</f>
        <v>10</v>
      </c>
      <c r="T15" s="24">
        <f>IF($A15="","",M15*IF(N(Produtos!G15)&gt;0,Produtos!G15,K15))</f>
        <v>415.8</v>
      </c>
      <c r="U15" s="32">
        <f>IF($A15="","",IF(T15&gt;0,T15+ROW()/1000000000,""))</f>
        <v>415.800000015</v>
      </c>
      <c r="V15" s="31" t="str">
        <f>IF($A15="","",IF(U15="","C",INDEX('Curva ABC'!$H$5:$H$304,MATCH(U15,'Curva ABC'!$B$5:$B$304,0))))</f>
        <v>B</v>
      </c>
      <c r="W15" s="24">
        <f>IF($A15="","",IF(R15="Parado",L15,0))</f>
        <v>0</v>
      </c>
      <c r="X15" s="33">
        <f>IF($A15="","",IF(OR(Q15="RUPTURA",Q15="REPOR"),COUNTIF($Q$5:Q15,"RUPTURA")+COUNTIF($Q$5:Q15,"REPOR"),""))</f>
        <v>3</v>
      </c>
    </row>
    <row r="16" spans="1:24">
      <c r="A16" s="23" t="str">
        <f>IF(Produtos!A16="","",Produtos!A16)</f>
        <v>E012</v>
      </c>
      <c r="B16" s="23" t="str">
        <f>IF($A16="","",Produtos!B16&amp;"")</f>
        <v>Cola branca 90g</v>
      </c>
      <c r="C16" s="23" t="str">
        <f>IF($A16="","",Produtos!C16&amp;"")</f>
        <v>Escolar</v>
      </c>
      <c r="D16" s="25" t="str">
        <f>IF($A16="","",Produtos!D16&amp;"")</f>
        <v>un</v>
      </c>
      <c r="E16" s="26">
        <f>IF($A16="","",N(Produtos!H16))</f>
        <v>22</v>
      </c>
      <c r="F16" s="26">
        <f>IF($A16="","",SUMIFS(MovQtd,MovCod,$A16,MovTipo,"Entrada"))</f>
        <v>115</v>
      </c>
      <c r="G16" s="26">
        <f>IF($A16="","",SUMIFS(MovQtd,MovCod,$A16,MovTipo,"Saída"))</f>
        <v>123</v>
      </c>
      <c r="H16" s="27">
        <f>IF($A16="","",E16+F16-G16)</f>
        <v>14</v>
      </c>
      <c r="I16" s="26">
        <f>IF($A16="","",N(Produtos!I16))</f>
        <v>11</v>
      </c>
      <c r="J16" s="26">
        <f>IF($A16="","",IF(I16&gt;0,ROUNDUP(I16*FatMax,0),""))</f>
        <v>22</v>
      </c>
      <c r="K16" s="24">
        <f>IF($A16="","",N(Produtos!F16))</f>
        <v>1.9</v>
      </c>
      <c r="L16" s="24">
        <f>IF($A16="","",H16*K16)</f>
        <v>26.6</v>
      </c>
      <c r="M16" s="26">
        <f>IF($A16="","",SUMIFS(MovQtd,MovCod,$A16,MovTipo,"Saída",MovData,"&gt;="&amp;(Hoje-DiasAn),MovData,"&lt;="&amp;Hoje))</f>
        <v>117</v>
      </c>
      <c r="N16" s="28">
        <f>IF($A16="","",M16/DiasAn)</f>
        <v>1.3</v>
      </c>
      <c r="O16" s="29">
        <f>IF($A16="","",IF(N16&gt;0,H16/N16,"sem giro"))</f>
        <v>10.7692307692308</v>
      </c>
      <c r="P16" s="30">
        <f>IF($A16="","",SUMPRODUCT(MAX((MovCod=$A16)*(MovTipo="Saída")*MovData)))</f>
        <v>46298.0</v>
      </c>
      <c r="Q16" s="31" t="str">
        <f>IF($A16="","",IF(H16&lt;=0,"RUPTURA",IF(AND(I16&gt;0,H16&lt;=I16),"REPOR",IF(AND(J16&lt;&gt;"",H16&gt;J16),"EXCESSO","OK"))))</f>
        <v>OK</v>
      </c>
      <c r="R16" s="25">
        <f>IF($A16="","",IF(AND(H16&gt;0,OR(P16=0,Hoje-P16&gt;DiasParado)),"Parado",""))</f>
        <v>0</v>
      </c>
      <c r="S16" s="26">
        <f>IF($A16="","",IF(OR(Q16="RUPTURA",Q16="REPOR"),IF(J16="",0,MAX(0,J16-H16)),0))</f>
        <v>0</v>
      </c>
      <c r="T16" s="24">
        <f>IF($A16="","",M16*IF(N(Produtos!G16)&gt;0,Produtos!G16,K16))</f>
        <v>573.3</v>
      </c>
      <c r="U16" s="32">
        <f>IF($A16="","",IF(T16&gt;0,T16+ROW()/1000000000,""))</f>
        <v>573.300000016</v>
      </c>
      <c r="V16" s="31" t="str">
        <f>IF($A16="","",IF(U16="","C",INDEX('Curva ABC'!$H$5:$H$304,MATCH(U16,'Curva ABC'!$B$5:$B$304,0))))</f>
        <v>B</v>
      </c>
      <c r="W16" s="24">
        <f>IF($A16="","",IF(R16="Parado",L16,0))</f>
        <v>0</v>
      </c>
      <c r="X16" s="33">
        <f>IF($A16="","",IF(OR(Q16="RUPTURA",Q16="REPOR"),COUNTIF($Q$5:Q16,"RUPTURA")+COUNTIF($Q$5:Q16,"REPOR"),""))</f>
        <v>0</v>
      </c>
    </row>
    <row r="17" spans="1:24">
      <c r="A17" s="23" t="str">
        <f>IF(Produtos!A17="","",Produtos!A17)</f>
        <v>E013</v>
      </c>
      <c r="B17" s="23" t="str">
        <f>IF($A17="","",Produtos!B17&amp;"")</f>
        <v>Tesoura escolar</v>
      </c>
      <c r="C17" s="23" t="str">
        <f>IF($A17="","",Produtos!C17&amp;"")</f>
        <v>Escolar</v>
      </c>
      <c r="D17" s="25" t="str">
        <f>IF($A17="","",Produtos!D17&amp;"")</f>
        <v>un</v>
      </c>
      <c r="E17" s="26">
        <f>IF($A17="","",N(Produtos!H17))</f>
        <v>12</v>
      </c>
      <c r="F17" s="26">
        <f>IF($A17="","",SUMIFS(MovQtd,MovCod,$A17,MovTipo,"Entrada"))</f>
        <v>66</v>
      </c>
      <c r="G17" s="26">
        <f>IF($A17="","",SUMIFS(MovQtd,MovCod,$A17,MovTipo,"Saída"))</f>
        <v>70</v>
      </c>
      <c r="H17" s="27">
        <f>IF($A17="","",E17+F17-G17)</f>
        <v>8</v>
      </c>
      <c r="I17" s="26">
        <f>IF($A17="","",N(Produtos!I17))</f>
        <v>6</v>
      </c>
      <c r="J17" s="26">
        <f>IF($A17="","",IF(I17&gt;0,ROUNDUP(I17*FatMax,0),""))</f>
        <v>12</v>
      </c>
      <c r="K17" s="24">
        <f>IF($A17="","",N(Produtos!F17))</f>
        <v>2.8</v>
      </c>
      <c r="L17" s="24">
        <f>IF($A17="","",H17*K17)</f>
        <v>22.4</v>
      </c>
      <c r="M17" s="26">
        <f>IF($A17="","",SUMIFS(MovQtd,MovCod,$A17,MovTipo,"Saída",MovData,"&gt;="&amp;(Hoje-DiasAn),MovData,"&lt;="&amp;Hoje))</f>
        <v>64</v>
      </c>
      <c r="N17" s="28">
        <f>IF($A17="","",M17/DiasAn)</f>
        <v>0.711111111111111</v>
      </c>
      <c r="O17" s="29">
        <f>IF($A17="","",IF(N17&gt;0,H17/N17,"sem giro"))</f>
        <v>11.25</v>
      </c>
      <c r="P17" s="30">
        <f>IF($A17="","",SUMPRODUCT(MAX((MovCod=$A17)*(MovTipo="Saída")*MovData)))</f>
        <v>46299.0</v>
      </c>
      <c r="Q17" s="31" t="str">
        <f>IF($A17="","",IF(H17&lt;=0,"RUPTURA",IF(AND(I17&gt;0,H17&lt;=I17),"REPOR",IF(AND(J17&lt;&gt;"",H17&gt;J17),"EXCESSO","OK"))))</f>
        <v>OK</v>
      </c>
      <c r="R17" s="25">
        <f>IF($A17="","",IF(AND(H17&gt;0,OR(P17=0,Hoje-P17&gt;DiasParado)),"Parado",""))</f>
        <v>0</v>
      </c>
      <c r="S17" s="26">
        <f>IF($A17="","",IF(OR(Q17="RUPTURA",Q17="REPOR"),IF(J17="",0,MAX(0,J17-H17)),0))</f>
        <v>0</v>
      </c>
      <c r="T17" s="24">
        <f>IF($A17="","",M17*IF(N(Produtos!G17)&gt;0,Produtos!G17,K17))</f>
        <v>505.6</v>
      </c>
      <c r="U17" s="32">
        <f>IF($A17="","",IF(T17&gt;0,T17+ROW()/1000000000,""))</f>
        <v>505.600000017</v>
      </c>
      <c r="V17" s="31" t="str">
        <f>IF($A17="","",IF(U17="","C",INDEX('Curva ABC'!$H$5:$H$304,MATCH(U17,'Curva ABC'!$B$5:$B$304,0))))</f>
        <v>B</v>
      </c>
      <c r="W17" s="24">
        <f>IF($A17="","",IF(R17="Parado",L17,0))</f>
        <v>0</v>
      </c>
      <c r="X17" s="33">
        <f>IF($A17="","",IF(OR(Q17="RUPTURA",Q17="REPOR"),COUNTIF($Q$5:Q17,"RUPTURA")+COUNTIF($Q$5:Q17,"REPOR"),""))</f>
        <v>0</v>
      </c>
    </row>
    <row r="18" spans="1:24">
      <c r="A18" s="23" t="str">
        <f>IF(Produtos!A18="","",Produtos!A18)</f>
        <v>E014</v>
      </c>
      <c r="B18" s="23" t="str">
        <f>IF($A18="","",Produtos!B18&amp;"")</f>
        <v>Fita adesiva transparente</v>
      </c>
      <c r="C18" s="23" t="str">
        <f>IF($A18="","",Produtos!C18&amp;"")</f>
        <v>Embalagens</v>
      </c>
      <c r="D18" s="25" t="str">
        <f>IF($A18="","",Produtos!D18&amp;"")</f>
        <v>un</v>
      </c>
      <c r="E18" s="26">
        <f>IF($A18="","",N(Produtos!H18))</f>
        <v>30</v>
      </c>
      <c r="F18" s="26">
        <f>IF($A18="","",SUMIFS(MovQtd,MovCod,$A18,MovTipo,"Entrada"))</f>
        <v>150</v>
      </c>
      <c r="G18" s="26">
        <f>IF($A18="","",SUMIFS(MovQtd,MovCod,$A18,MovTipo,"Saída"))</f>
        <v>173</v>
      </c>
      <c r="H18" s="27">
        <f>IF($A18="","",E18+F18-G18)</f>
        <v>7</v>
      </c>
      <c r="I18" s="26">
        <f>IF($A18="","",N(Produtos!I18))</f>
        <v>15</v>
      </c>
      <c r="J18" s="26">
        <f>IF($A18="","",IF(I18&gt;0,ROUNDUP(I18*FatMax,0),""))</f>
        <v>30</v>
      </c>
      <c r="K18" s="24">
        <f>IF($A18="","",N(Produtos!F18))</f>
        <v>1.6</v>
      </c>
      <c r="L18" s="24">
        <f>IF($A18="","",H18*K18)</f>
        <v>11.2</v>
      </c>
      <c r="M18" s="26">
        <f>IF($A18="","",SUMIFS(MovQtd,MovCod,$A18,MovTipo,"Saída",MovData,"&gt;="&amp;(Hoje-DiasAn),MovData,"&lt;="&amp;Hoje))</f>
        <v>166</v>
      </c>
      <c r="N18" s="28">
        <f>IF($A18="","",M18/DiasAn)</f>
        <v>1.84444444444444</v>
      </c>
      <c r="O18" s="29">
        <f>IF($A18="","",IF(N18&gt;0,H18/N18,"sem giro"))</f>
        <v>3.79518072289157</v>
      </c>
      <c r="P18" s="30">
        <f>IF($A18="","",SUMPRODUCT(MAX((MovCod=$A18)*(MovTipo="Saída")*MovData)))</f>
        <v>46303.0</v>
      </c>
      <c r="Q18" s="31" t="str">
        <f>IF($A18="","",IF(H18&lt;=0,"RUPTURA",IF(AND(I18&gt;0,H18&lt;=I18),"REPOR",IF(AND(J18&lt;&gt;"",H18&gt;J18),"EXCESSO","OK"))))</f>
        <v>REPOR</v>
      </c>
      <c r="R18" s="25">
        <f>IF($A18="","",IF(AND(H18&gt;0,OR(P18=0,Hoje-P18&gt;DiasParado)),"Parado",""))</f>
        <v>0</v>
      </c>
      <c r="S18" s="26">
        <f>IF($A18="","",IF(OR(Q18="RUPTURA",Q18="REPOR"),IF(J18="",0,MAX(0,J18-H18)),0))</f>
        <v>23</v>
      </c>
      <c r="T18" s="24">
        <f>IF($A18="","",M18*IF(N(Produtos!G18)&gt;0,Produtos!G18,K18))</f>
        <v>747</v>
      </c>
      <c r="U18" s="32">
        <f>IF($A18="","",IF(T18&gt;0,T18+ROW()/1000000000,""))</f>
        <v>747.000000018</v>
      </c>
      <c r="V18" s="31" t="str">
        <f>IF($A18="","",IF(U18="","C",INDEX('Curva ABC'!$H$5:$H$304,MATCH(U18,'Curva ABC'!$B$5:$B$304,0))))</f>
        <v>A</v>
      </c>
      <c r="W18" s="24">
        <f>IF($A18="","",IF(R18="Parado",L18,0))</f>
        <v>0</v>
      </c>
      <c r="X18" s="33">
        <f>IF($A18="","",IF(OR(Q18="RUPTURA",Q18="REPOR"),COUNTIF($Q$5:Q18,"RUPTURA")+COUNTIF($Q$5:Q18,"REPOR"),""))</f>
        <v>4</v>
      </c>
    </row>
    <row r="19" spans="1:24">
      <c r="A19" s="23" t="str">
        <f>IF(Produtos!A19="","",Produtos!A19)</f>
        <v>E015</v>
      </c>
      <c r="B19" s="23" t="str">
        <f>IF($A19="","",Produtos!B19&amp;"")</f>
        <v>Caixa de papelão M (pct 10)</v>
      </c>
      <c r="C19" s="23" t="str">
        <f>IF($A19="","",Produtos!C19&amp;"")</f>
        <v>Embalagens</v>
      </c>
      <c r="D19" s="25" t="str">
        <f>IF($A19="","",Produtos!D19&amp;"")</f>
        <v>pct</v>
      </c>
      <c r="E19" s="26">
        <f>IF($A19="","",N(Produtos!H19))</f>
        <v>18</v>
      </c>
      <c r="F19" s="26">
        <f>IF($A19="","",SUMIFS(MovQtd,MovCod,$A19,MovTipo,"Entrada"))</f>
        <v>0</v>
      </c>
      <c r="G19" s="26">
        <f>IF($A19="","",SUMIFS(MovQtd,MovCod,$A19,MovTipo,"Saída"))</f>
        <v>14</v>
      </c>
      <c r="H19" s="27">
        <f>IF($A19="","",E19+F19-G19)</f>
        <v>4</v>
      </c>
      <c r="I19" s="26">
        <f>IF($A19="","",N(Produtos!I19))</f>
        <v>3</v>
      </c>
      <c r="J19" s="26">
        <f>IF($A19="","",IF(I19&gt;0,ROUNDUP(I19*FatMax,0),""))</f>
        <v>6</v>
      </c>
      <c r="K19" s="24">
        <f>IF($A19="","",N(Produtos!F19))</f>
        <v>15</v>
      </c>
      <c r="L19" s="24">
        <f>IF($A19="","",H19*K19)</f>
        <v>60</v>
      </c>
      <c r="M19" s="26">
        <f>IF($A19="","",SUMIFS(MovQtd,MovCod,$A19,MovTipo,"Saída",MovData,"&gt;="&amp;(Hoje-DiasAn),MovData,"&lt;="&amp;Hoje))</f>
        <v>12</v>
      </c>
      <c r="N19" s="28">
        <f>IF($A19="","",M19/DiasAn)</f>
        <v>0.133333333333333</v>
      </c>
      <c r="O19" s="29">
        <f>IF($A19="","",IF(N19&gt;0,H19/N19,"sem giro"))</f>
        <v>30</v>
      </c>
      <c r="P19" s="30">
        <f>IF($A19="","",SUMPRODUCT(MAX((MovCod=$A19)*(MovTipo="Saída")*MovData)))</f>
        <v>46299.0</v>
      </c>
      <c r="Q19" s="31" t="str">
        <f>IF($A19="","",IF(H19&lt;=0,"RUPTURA",IF(AND(I19&gt;0,H19&lt;=I19),"REPOR",IF(AND(J19&lt;&gt;"",H19&gt;J19),"EXCESSO","OK"))))</f>
        <v>OK</v>
      </c>
      <c r="R19" s="25">
        <f>IF($A19="","",IF(AND(H19&gt;0,OR(P19=0,Hoje-P19&gt;DiasParado)),"Parado",""))</f>
        <v>0</v>
      </c>
      <c r="S19" s="26">
        <f>IF($A19="","",IF(OR(Q19="RUPTURA",Q19="REPOR"),IF(J19="",0,MAX(0,J19-H19)),0))</f>
        <v>0</v>
      </c>
      <c r="T19" s="24">
        <f>IF($A19="","",M19*IF(N(Produtos!G19)&gt;0,Produtos!G19,K19))</f>
        <v>358.8</v>
      </c>
      <c r="U19" s="32">
        <f>IF($A19="","",IF(T19&gt;0,T19+ROW()/1000000000,""))</f>
        <v>358.800000019</v>
      </c>
      <c r="V19" s="31" t="str">
        <f>IF($A19="","",IF(U19="","C",INDEX('Curva ABC'!$H$5:$H$304,MATCH(U19,'Curva ABC'!$B$5:$B$304,0))))</f>
        <v>C</v>
      </c>
      <c r="W19" s="24">
        <f>IF($A19="","",IF(R19="Parado",L19,0))</f>
        <v>0</v>
      </c>
      <c r="X19" s="33">
        <f>IF($A19="","",IF(OR(Q19="RUPTURA",Q19="REPOR"),COUNTIF($Q$5:Q19,"RUPTURA")+COUNTIF($Q$5:Q19,"REPOR"),""))</f>
        <v>0</v>
      </c>
    </row>
    <row r="20" spans="1:24">
      <c r="A20" s="23" t="str">
        <f>IF(Produtos!A20="","",Produtos!A20)</f>
        <v>E016</v>
      </c>
      <c r="B20" s="23" t="str">
        <f>IF($A20="","",Produtos!B20&amp;"")</f>
        <v>Plástico bolha (rolo 50m)</v>
      </c>
      <c r="C20" s="23" t="str">
        <f>IF($A20="","",Produtos!C20&amp;"")</f>
        <v>Embalagens</v>
      </c>
      <c r="D20" s="25" t="str">
        <f>IF($A20="","",Produtos!D20&amp;"")</f>
        <v>un</v>
      </c>
      <c r="E20" s="26">
        <f>IF($A20="","",N(Produtos!H20))</f>
        <v>6</v>
      </c>
      <c r="F20" s="26">
        <f>IF($A20="","",SUMIFS(MovQtd,MovCod,$A20,MovTipo,"Entrada"))</f>
        <v>12</v>
      </c>
      <c r="G20" s="26">
        <f>IF($A20="","",SUMIFS(MovQtd,MovCod,$A20,MovTipo,"Saída"))</f>
        <v>13</v>
      </c>
      <c r="H20" s="27">
        <f>IF($A20="","",E20+F20-G20)</f>
        <v>5</v>
      </c>
      <c r="I20" s="26">
        <f>IF($A20="","",N(Produtos!I20))</f>
        <v>3</v>
      </c>
      <c r="J20" s="26">
        <f>IF($A20="","",IF(I20&gt;0,ROUNDUP(I20*FatMax,0),""))</f>
        <v>6</v>
      </c>
      <c r="K20" s="24">
        <f>IF($A20="","",N(Produtos!F20))</f>
        <v>32</v>
      </c>
      <c r="L20" s="24">
        <f>IF($A20="","",H20*K20)</f>
        <v>160</v>
      </c>
      <c r="M20" s="26">
        <f>IF($A20="","",SUMIFS(MovQtd,MovCod,$A20,MovTipo,"Saída",MovData,"&gt;="&amp;(Hoje-DiasAn),MovData,"&lt;="&amp;Hoje))</f>
        <v>12</v>
      </c>
      <c r="N20" s="28">
        <f>IF($A20="","",M20/DiasAn)</f>
        <v>0.133333333333333</v>
      </c>
      <c r="O20" s="29">
        <f>IF($A20="","",IF(N20&gt;0,H20/N20,"sem giro"))</f>
        <v>37.5</v>
      </c>
      <c r="P20" s="30">
        <f>IF($A20="","",SUMPRODUCT(MAX((MovCod=$A20)*(MovTipo="Saída")*MovData)))</f>
        <v>46298.0</v>
      </c>
      <c r="Q20" s="31" t="str">
        <f>IF($A20="","",IF(H20&lt;=0,"RUPTURA",IF(AND(I20&gt;0,H20&lt;=I20),"REPOR",IF(AND(J20&lt;&gt;"",H20&gt;J20),"EXCESSO","OK"))))</f>
        <v>OK</v>
      </c>
      <c r="R20" s="25">
        <f>IF($A20="","",IF(AND(H20&gt;0,OR(P20=0,Hoje-P20&gt;DiasParado)),"Parado",""))</f>
        <v>0</v>
      </c>
      <c r="S20" s="26">
        <f>IF($A20="","",IF(OR(Q20="RUPTURA",Q20="REPOR"),IF(J20="",0,MAX(0,J20-H20)),0))</f>
        <v>0</v>
      </c>
      <c r="T20" s="24">
        <f>IF($A20="","",M20*IF(N(Produtos!G20)&gt;0,Produtos!G20,K20))</f>
        <v>718.8</v>
      </c>
      <c r="U20" s="32">
        <f>IF($A20="","",IF(T20&gt;0,T20+ROW()/1000000000,""))</f>
        <v>718.80000002</v>
      </c>
      <c r="V20" s="31" t="str">
        <f>IF($A20="","",IF(U20="","C",INDEX('Curva ABC'!$H$5:$H$304,MATCH(U20,'Curva ABC'!$B$5:$B$304,0))))</f>
        <v>B</v>
      </c>
      <c r="W20" s="24">
        <f>IF($A20="","",IF(R20="Parado",L20,0))</f>
        <v>0</v>
      </c>
      <c r="X20" s="33">
        <f>IF($A20="","",IF(OR(Q20="RUPTURA",Q20="REPOR"),COUNTIF($Q$5:Q20,"RUPTURA")+COUNTIF($Q$5:Q20,"REPOR"),""))</f>
        <v>0</v>
      </c>
    </row>
    <row r="21" spans="1:24">
      <c r="A21" s="23" t="str">
        <f>IF(Produtos!A21="","",Produtos!A21)</f>
        <v>E017</v>
      </c>
      <c r="B21" s="23" t="str">
        <f>IF($A21="","",Produtos!B21&amp;"")</f>
        <v>Sacola kraft G (pct 50)</v>
      </c>
      <c r="C21" s="23" t="str">
        <f>IF($A21="","",Produtos!C21&amp;"")</f>
        <v>Embalagens</v>
      </c>
      <c r="D21" s="25" t="str">
        <f>IF($A21="","",Produtos!D21&amp;"")</f>
        <v>pct</v>
      </c>
      <c r="E21" s="26">
        <f>IF($A21="","",N(Produtos!H21))</f>
        <v>6</v>
      </c>
      <c r="F21" s="26">
        <f>IF($A21="","",SUMIFS(MovQtd,MovCod,$A21,MovTipo,"Entrada"))</f>
        <v>15</v>
      </c>
      <c r="G21" s="26">
        <f>IF($A21="","",SUMIFS(MovQtd,MovCod,$A21,MovTipo,"Saída"))</f>
        <v>17</v>
      </c>
      <c r="H21" s="27">
        <f>IF($A21="","",E21+F21-G21)</f>
        <v>4</v>
      </c>
      <c r="I21" s="26">
        <f>IF($A21="","",N(Produtos!I21))</f>
        <v>3</v>
      </c>
      <c r="J21" s="26">
        <f>IF($A21="","",IF(I21&gt;0,ROUNDUP(I21*FatMax,0),""))</f>
        <v>6</v>
      </c>
      <c r="K21" s="24">
        <f>IF($A21="","",N(Produtos!F21))</f>
        <v>24</v>
      </c>
      <c r="L21" s="24">
        <f>IF($A21="","",H21*K21)</f>
        <v>96</v>
      </c>
      <c r="M21" s="26">
        <f>IF($A21="","",SUMIFS(MovQtd,MovCod,$A21,MovTipo,"Saída",MovData,"&gt;="&amp;(Hoje-DiasAn),MovData,"&lt;="&amp;Hoje))</f>
        <v>14</v>
      </c>
      <c r="N21" s="28">
        <f>IF($A21="","",M21/DiasAn)</f>
        <v>0.155555555555556</v>
      </c>
      <c r="O21" s="29">
        <f>IF($A21="","",IF(N21&gt;0,H21/N21,"sem giro"))</f>
        <v>25.7142857142857</v>
      </c>
      <c r="P21" s="30">
        <f>IF($A21="","",SUMPRODUCT(MAX((MovCod=$A21)*(MovTipo="Saída")*MovData)))</f>
        <v>46296.0</v>
      </c>
      <c r="Q21" s="31" t="str">
        <f>IF($A21="","",IF(H21&lt;=0,"RUPTURA",IF(AND(I21&gt;0,H21&lt;=I21),"REPOR",IF(AND(J21&lt;&gt;"",H21&gt;J21),"EXCESSO","OK"))))</f>
        <v>OK</v>
      </c>
      <c r="R21" s="25">
        <f>IF($A21="","",IF(AND(H21&gt;0,OR(P21=0,Hoje-P21&gt;DiasParado)),"Parado",""))</f>
        <v>0</v>
      </c>
      <c r="S21" s="26">
        <f>IF($A21="","",IF(OR(Q21="RUPTURA",Q21="REPOR"),IF(J21="",0,MAX(0,J21-H21)),0))</f>
        <v>0</v>
      </c>
      <c r="T21" s="24">
        <f>IF($A21="","",M21*IF(N(Produtos!G21)&gt;0,Produtos!G21,K21))</f>
        <v>670.6</v>
      </c>
      <c r="U21" s="32">
        <f>IF($A21="","",IF(T21&gt;0,T21+ROW()/1000000000,""))</f>
        <v>670.600000021</v>
      </c>
      <c r="V21" s="31" t="str">
        <f>IF($A21="","",IF(U21="","C",INDEX('Curva ABC'!$H$5:$H$304,MATCH(U21,'Curva ABC'!$B$5:$B$304,0))))</f>
        <v>B</v>
      </c>
      <c r="W21" s="24">
        <f>IF($A21="","",IF(R21="Parado",L21,0))</f>
        <v>0</v>
      </c>
      <c r="X21" s="33">
        <f>IF($A21="","",IF(OR(Q21="RUPTURA",Q21="REPOR"),COUNTIF($Q$5:Q21,"RUPTURA")+COUNTIF($Q$5:Q21,"REPOR"),""))</f>
        <v>0</v>
      </c>
    </row>
    <row r="22" spans="1:24">
      <c r="A22" s="23" t="str">
        <f>IF(Produtos!A22="","",Produtos!A22)</f>
        <v>E018</v>
      </c>
      <c r="B22" s="23" t="str">
        <f>IF($A22="","",Produtos!B22&amp;"")</f>
        <v>Álcool 70% 1L</v>
      </c>
      <c r="C22" s="23" t="str">
        <f>IF($A22="","",Produtos!C22&amp;"")</f>
        <v>Limpeza</v>
      </c>
      <c r="D22" s="25" t="str">
        <f>IF($A22="","",Produtos!D22&amp;"")</f>
        <v>L</v>
      </c>
      <c r="E22" s="26">
        <f>IF($A22="","",N(Produtos!H22))</f>
        <v>10</v>
      </c>
      <c r="F22" s="26">
        <f>IF($A22="","",SUMIFS(MovQtd,MovCod,$A22,MovTipo,"Entrada"))</f>
        <v>18</v>
      </c>
      <c r="G22" s="26">
        <f>IF($A22="","",SUMIFS(MovQtd,MovCod,$A22,MovTipo,"Saída"))</f>
        <v>28</v>
      </c>
      <c r="H22" s="27">
        <f>IF($A22="","",E22+F22-G22)</f>
        <v>0</v>
      </c>
      <c r="I22" s="26">
        <f>IF($A22="","",N(Produtos!I22))</f>
        <v>5</v>
      </c>
      <c r="J22" s="26">
        <f>IF($A22="","",IF(I22&gt;0,ROUNDUP(I22*FatMax,0),""))</f>
        <v>10</v>
      </c>
      <c r="K22" s="24">
        <f>IF($A22="","",N(Produtos!F22))</f>
        <v>6.2</v>
      </c>
      <c r="L22" s="24">
        <f>IF($A22="","",H22*K22)</f>
        <v>0</v>
      </c>
      <c r="M22" s="26">
        <f>IF($A22="","",SUMIFS(MovQtd,MovCod,$A22,MovTipo,"Saída",MovData,"&gt;="&amp;(Hoje-DiasAn),MovData,"&lt;="&amp;Hoje))</f>
        <v>25</v>
      </c>
      <c r="N22" s="28">
        <f>IF($A22="","",M22/DiasAn)</f>
        <v>0.277777777777778</v>
      </c>
      <c r="O22" s="29">
        <f>IF($A22="","",IF(N22&gt;0,H22/N22,"sem giro"))</f>
        <v>0</v>
      </c>
      <c r="P22" s="30">
        <f>IF($A22="","",SUMPRODUCT(MAX((MovCod=$A22)*(MovTipo="Saída")*MovData)))</f>
        <v>46256.0</v>
      </c>
      <c r="Q22" s="31" t="str">
        <f>IF($A22="","",IF(H22&lt;=0,"RUPTURA",IF(AND(I22&gt;0,H22&lt;=I22),"REPOR",IF(AND(J22&lt;&gt;"",H22&gt;J22),"EXCESSO","OK"))))</f>
        <v>RUPTURA</v>
      </c>
      <c r="R22" s="25">
        <f>IF($A22="","",IF(AND(H22&gt;0,OR(P22=0,Hoje-P22&gt;DiasParado)),"Parado",""))</f>
        <v>0</v>
      </c>
      <c r="S22" s="26">
        <f>IF($A22="","",IF(OR(Q22="RUPTURA",Q22="REPOR"),IF(J22="",0,MAX(0,J22-H22)),0))</f>
        <v>10</v>
      </c>
      <c r="T22" s="24">
        <f>IF($A22="","",M22*IF(N(Produtos!G22)&gt;0,Produtos!G22,K22))</f>
        <v>322.5</v>
      </c>
      <c r="U22" s="32">
        <f>IF($A22="","",IF(T22&gt;0,T22+ROW()/1000000000,""))</f>
        <v>322.500000022</v>
      </c>
      <c r="V22" s="31" t="str">
        <f>IF($A22="","",IF(U22="","C",INDEX('Curva ABC'!$H$5:$H$304,MATCH(U22,'Curva ABC'!$B$5:$B$304,0))))</f>
        <v>C</v>
      </c>
      <c r="W22" s="24">
        <f>IF($A22="","",IF(R22="Parado",L22,0))</f>
        <v>0</v>
      </c>
      <c r="X22" s="33">
        <f>IF($A22="","",IF(OR(Q22="RUPTURA",Q22="REPOR"),COUNTIF($Q$5:Q22,"RUPTURA")+COUNTIF($Q$5:Q22,"REPOR"),""))</f>
        <v>5</v>
      </c>
    </row>
    <row r="23" spans="1:24">
      <c r="A23" s="23" t="str">
        <f>IF(Produtos!A23="","",Produtos!A23)</f>
        <v>E019</v>
      </c>
      <c r="B23" s="23" t="str">
        <f>IF($A23="","",Produtos!B23&amp;"")</f>
        <v>Papel toalha (pct 2)</v>
      </c>
      <c r="C23" s="23" t="str">
        <f>IF($A23="","",Produtos!C23&amp;"")</f>
        <v>Limpeza</v>
      </c>
      <c r="D23" s="25" t="str">
        <f>IF($A23="","",Produtos!D23&amp;"")</f>
        <v>pct</v>
      </c>
      <c r="E23" s="26">
        <f>IF($A23="","",N(Produtos!H23))</f>
        <v>12</v>
      </c>
      <c r="F23" s="26">
        <f>IF($A23="","",SUMIFS(MovQtd,MovCod,$A23,MovTipo,"Entrada"))</f>
        <v>61</v>
      </c>
      <c r="G23" s="26">
        <f>IF($A23="","",SUMIFS(MovQtd,MovCod,$A23,MovTipo,"Saída"))</f>
        <v>68</v>
      </c>
      <c r="H23" s="27">
        <f>IF($A23="","",E23+F23-G23)</f>
        <v>5</v>
      </c>
      <c r="I23" s="26">
        <f>IF($A23="","",N(Produtos!I23))</f>
        <v>6</v>
      </c>
      <c r="J23" s="26">
        <f>IF($A23="","",IF(I23&gt;0,ROUNDUP(I23*FatMax,0),""))</f>
        <v>12</v>
      </c>
      <c r="K23" s="24">
        <f>IF($A23="","",N(Produtos!F23))</f>
        <v>5.9</v>
      </c>
      <c r="L23" s="24">
        <f>IF($A23="","",H23*K23)</f>
        <v>29.5</v>
      </c>
      <c r="M23" s="26">
        <f>IF($A23="","",SUMIFS(MovQtd,MovCod,$A23,MovTipo,"Saída",MovData,"&gt;="&amp;(Hoje-DiasAn),MovData,"&lt;="&amp;Hoje))</f>
        <v>65</v>
      </c>
      <c r="N23" s="28">
        <f>IF($A23="","",M23/DiasAn)</f>
        <v>0.722222222222222</v>
      </c>
      <c r="O23" s="29">
        <f>IF($A23="","",IF(N23&gt;0,H23/N23,"sem giro"))</f>
        <v>6.92307692307692</v>
      </c>
      <c r="P23" s="30">
        <f>IF($A23="","",SUMPRODUCT(MAX((MovCod=$A23)*(MovTipo="Saída")*MovData)))</f>
        <v>46302.0</v>
      </c>
      <c r="Q23" s="31" t="str">
        <f>IF($A23="","",IF(H23&lt;=0,"RUPTURA",IF(AND(I23&gt;0,H23&lt;=I23),"REPOR",IF(AND(J23&lt;&gt;"",H23&gt;J23),"EXCESSO","OK"))))</f>
        <v>REPOR</v>
      </c>
      <c r="R23" s="25">
        <f>IF($A23="","",IF(AND(H23&gt;0,OR(P23=0,Hoje-P23&gt;DiasParado)),"Parado",""))</f>
        <v>0</v>
      </c>
      <c r="S23" s="26">
        <f>IF($A23="","",IF(OR(Q23="RUPTURA",Q23="REPOR"),IF(J23="",0,MAX(0,J23-H23)),0))</f>
        <v>7</v>
      </c>
      <c r="T23" s="24">
        <f>IF($A23="","",M23*IF(N(Produtos!G23)&gt;0,Produtos!G23,K23))</f>
        <v>773.5</v>
      </c>
      <c r="U23" s="32">
        <f>IF($A23="","",IF(T23&gt;0,T23+ROW()/1000000000,""))</f>
        <v>773.500000023</v>
      </c>
      <c r="V23" s="31" t="str">
        <f>IF($A23="","",IF(U23="","C",INDEX('Curva ABC'!$H$5:$H$304,MATCH(U23,'Curva ABC'!$B$5:$B$304,0))))</f>
        <v>A</v>
      </c>
      <c r="W23" s="24">
        <f>IF($A23="","",IF(R23="Parado",L23,0))</f>
        <v>0</v>
      </c>
      <c r="X23" s="33">
        <f>IF($A23="","",IF(OR(Q23="RUPTURA",Q23="REPOR"),COUNTIF($Q$5:Q23,"RUPTURA")+COUNTIF($Q$5:Q23,"REPOR"),""))</f>
        <v>6</v>
      </c>
    </row>
    <row r="24" spans="1:24">
      <c r="A24" s="23" t="str">
        <f>IF(Produtos!A24="","",Produtos!A24)</f>
        <v>E020</v>
      </c>
      <c r="B24" s="23" t="str">
        <f>IF($A24="","",Produtos!B24&amp;"")</f>
        <v>Pilha AA (cartela 4)</v>
      </c>
      <c r="C24" s="23" t="str">
        <f>IF($A24="","",Produtos!C24&amp;"")</f>
        <v>Presentes</v>
      </c>
      <c r="D24" s="25" t="str">
        <f>IF($A24="","",Produtos!D24&amp;"")</f>
        <v>un</v>
      </c>
      <c r="E24" s="26">
        <f>IF($A24="","",N(Produtos!H24))</f>
        <v>8</v>
      </c>
      <c r="F24" s="26">
        <f>IF($A24="","",SUMIFS(MovQtd,MovCod,$A24,MovTipo,"Entrada"))</f>
        <v>23</v>
      </c>
      <c r="G24" s="26">
        <f>IF($A24="","",SUMIFS(MovQtd,MovCod,$A24,MovTipo,"Saída"))</f>
        <v>31</v>
      </c>
      <c r="H24" s="27">
        <f>IF($A24="","",E24+F24-G24)</f>
        <v>0</v>
      </c>
      <c r="I24" s="26">
        <f>IF($A24="","",N(Produtos!I24))</f>
        <v>4</v>
      </c>
      <c r="J24" s="26">
        <f>IF($A24="","",IF(I24&gt;0,ROUNDUP(I24*FatMax,0),""))</f>
        <v>8</v>
      </c>
      <c r="K24" s="24">
        <f>IF($A24="","",N(Produtos!F24))</f>
        <v>7.5</v>
      </c>
      <c r="L24" s="24">
        <f>IF($A24="","",H24*K24)</f>
        <v>0</v>
      </c>
      <c r="M24" s="26">
        <f>IF($A24="","",SUMIFS(MovQtd,MovCod,$A24,MovTipo,"Saída",MovData,"&gt;="&amp;(Hoje-DiasAn),MovData,"&lt;="&amp;Hoje))</f>
        <v>24</v>
      </c>
      <c r="N24" s="28">
        <f>IF($A24="","",M24/DiasAn)</f>
        <v>0.266666666666667</v>
      </c>
      <c r="O24" s="29">
        <f>IF($A24="","",IF(N24&gt;0,H24/N24,"sem giro"))</f>
        <v>0</v>
      </c>
      <c r="P24" s="30">
        <f>IF($A24="","",SUMPRODUCT(MAX((MovCod=$A24)*(MovTipo="Saída")*MovData)))</f>
        <v>46275.0</v>
      </c>
      <c r="Q24" s="31" t="str">
        <f>IF($A24="","",IF(H24&lt;=0,"RUPTURA",IF(AND(I24&gt;0,H24&lt;=I24),"REPOR",IF(AND(J24&lt;&gt;"",H24&gt;J24),"EXCESSO","OK"))))</f>
        <v>RUPTURA</v>
      </c>
      <c r="R24" s="25">
        <f>IF($A24="","",IF(AND(H24&gt;0,OR(P24=0,Hoje-P24&gt;DiasParado)),"Parado",""))</f>
        <v>0</v>
      </c>
      <c r="S24" s="26">
        <f>IF($A24="","",IF(OR(Q24="RUPTURA",Q24="REPOR"),IF(J24="",0,MAX(0,J24-H24)),0))</f>
        <v>8</v>
      </c>
      <c r="T24" s="24">
        <f>IF($A24="","",M24*IF(N(Produtos!G24)&gt;0,Produtos!G24,K24))</f>
        <v>405.6</v>
      </c>
      <c r="U24" s="32">
        <f>IF($A24="","",IF(T24&gt;0,T24+ROW()/1000000000,""))</f>
        <v>405.600000024</v>
      </c>
      <c r="V24" s="31" t="str">
        <f>IF($A24="","",IF(U24="","C",INDEX('Curva ABC'!$H$5:$H$304,MATCH(U24,'Curva ABC'!$B$5:$B$304,0))))</f>
        <v>B</v>
      </c>
      <c r="W24" s="24">
        <f>IF($A24="","",IF(R24="Parado",L24,0))</f>
        <v>0</v>
      </c>
      <c r="X24" s="33">
        <f>IF($A24="","",IF(OR(Q24="RUPTURA",Q24="REPOR"),COUNTIF($Q$5:Q24,"RUPTURA")+COUNTIF($Q$5:Q24,"REPOR"),""))</f>
        <v>7</v>
      </c>
    </row>
    <row r="25" spans="1:24">
      <c r="A25" s="23" t="str">
        <f>IF(Produtos!A25="","",Produtos!A25)</f>
        <v>E021</v>
      </c>
      <c r="B25" s="23" t="str">
        <f>IF($A25="","",Produtos!B25&amp;"")</f>
        <v>Caneca branca para sublimação</v>
      </c>
      <c r="C25" s="23" t="str">
        <f>IF($A25="","",Produtos!C25&amp;"")</f>
        <v>Presentes</v>
      </c>
      <c r="D25" s="25" t="str">
        <f>IF($A25="","",Produtos!D25&amp;"")</f>
        <v>un</v>
      </c>
      <c r="E25" s="26">
        <f>IF($A25="","",N(Produtos!H25))</f>
        <v>12</v>
      </c>
      <c r="F25" s="26">
        <f>IF($A25="","",SUMIFS(MovQtd,MovCod,$A25,MovTipo,"Entrada"))</f>
        <v>67</v>
      </c>
      <c r="G25" s="26">
        <f>IF($A25="","",SUMIFS(MovQtd,MovCod,$A25,MovTipo,"Saída"))</f>
        <v>67</v>
      </c>
      <c r="H25" s="27">
        <f>IF($A25="","",E25+F25-G25)</f>
        <v>12</v>
      </c>
      <c r="I25" s="26">
        <f>IF($A25="","",N(Produtos!I25))</f>
        <v>6</v>
      </c>
      <c r="J25" s="26">
        <f>IF($A25="","",IF(I25&gt;0,ROUNDUP(I25*FatMax,0),""))</f>
        <v>12</v>
      </c>
      <c r="K25" s="24">
        <f>IF($A25="","",N(Produtos!F25))</f>
        <v>4.2</v>
      </c>
      <c r="L25" s="24">
        <f>IF($A25="","",H25*K25)</f>
        <v>50.4</v>
      </c>
      <c r="M25" s="26">
        <f>IF($A25="","",SUMIFS(MovQtd,MovCod,$A25,MovTipo,"Saída",MovData,"&gt;="&amp;(Hoje-DiasAn),MovData,"&lt;="&amp;Hoje))</f>
        <v>61</v>
      </c>
      <c r="N25" s="28">
        <f>IF($A25="","",M25/DiasAn)</f>
        <v>0.677777777777778</v>
      </c>
      <c r="O25" s="29">
        <f>IF($A25="","",IF(N25&gt;0,H25/N25,"sem giro"))</f>
        <v>17.7049180327869</v>
      </c>
      <c r="P25" s="30">
        <f>IF($A25="","",SUMPRODUCT(MAX((MovCod=$A25)*(MovTipo="Saída")*MovData)))</f>
        <v>46299.0</v>
      </c>
      <c r="Q25" s="31" t="str">
        <f>IF($A25="","",IF(H25&lt;=0,"RUPTURA",IF(AND(I25&gt;0,H25&lt;=I25),"REPOR",IF(AND(J25&lt;&gt;"",H25&gt;J25),"EXCESSO","OK"))))</f>
        <v>OK</v>
      </c>
      <c r="R25" s="25">
        <f>IF($A25="","",IF(AND(H25&gt;0,OR(P25=0,Hoje-P25&gt;DiasParado)),"Parado",""))</f>
        <v>0</v>
      </c>
      <c r="S25" s="26">
        <f>IF($A25="","",IF(OR(Q25="RUPTURA",Q25="REPOR"),IF(J25="",0,MAX(0,J25-H25)),0))</f>
        <v>0</v>
      </c>
      <c r="T25" s="24">
        <f>IF($A25="","",M25*IF(N(Produtos!G25)&gt;0,Produtos!G25,K25))</f>
        <v>786.9</v>
      </c>
      <c r="U25" s="32">
        <f>IF($A25="","",IF(T25&gt;0,T25+ROW()/1000000000,""))</f>
        <v>786.900000025</v>
      </c>
      <c r="V25" s="31" t="str">
        <f>IF($A25="","",IF(U25="","C",INDEX('Curva ABC'!$H$5:$H$304,MATCH(U25,'Curva ABC'!$B$5:$B$304,0))))</f>
        <v>A</v>
      </c>
      <c r="W25" s="24">
        <f>IF($A25="","",IF(R25="Parado",L25,0))</f>
        <v>0</v>
      </c>
      <c r="X25" s="33">
        <f>IF($A25="","",IF(OR(Q25="RUPTURA",Q25="REPOR"),COUNTIF($Q$5:Q25,"RUPTURA")+COUNTIF($Q$5:Q25,"REPOR"),""))</f>
        <v>0</v>
      </c>
    </row>
    <row r="26" spans="1:24">
      <c r="A26" s="23" t="str">
        <f>IF(Produtos!A26="","",Produtos!A26)</f>
        <v>E022</v>
      </c>
      <c r="B26" s="23" t="str">
        <f>IF($A26="","",Produtos!B26&amp;"")</f>
        <v>Garrafa squeeze 600ml</v>
      </c>
      <c r="C26" s="23" t="str">
        <f>IF($A26="","",Produtos!C26&amp;"")</f>
        <v>Presentes</v>
      </c>
      <c r="D26" s="25" t="str">
        <f>IF($A26="","",Produtos!D26&amp;"")</f>
        <v>un</v>
      </c>
      <c r="E26" s="26">
        <f>IF($A26="","",N(Produtos!H26))</f>
        <v>6</v>
      </c>
      <c r="F26" s="26">
        <f>IF($A26="","",SUMIFS(MovQtd,MovCod,$A26,MovTipo,"Entrada"))</f>
        <v>25</v>
      </c>
      <c r="G26" s="26">
        <f>IF($A26="","",SUMIFS(MovQtd,MovCod,$A26,MovTipo,"Saída"))</f>
        <v>27</v>
      </c>
      <c r="H26" s="27">
        <f>IF($A26="","",E26+F26-G26)</f>
        <v>4</v>
      </c>
      <c r="I26" s="26">
        <f>IF($A26="","",N(Produtos!I26))</f>
        <v>3</v>
      </c>
      <c r="J26" s="26">
        <f>IF($A26="","",IF(I26&gt;0,ROUNDUP(I26*FatMax,0),""))</f>
        <v>6</v>
      </c>
      <c r="K26" s="24">
        <f>IF($A26="","",N(Produtos!F26))</f>
        <v>9.9</v>
      </c>
      <c r="L26" s="24">
        <f>IF($A26="","",H26*K26)</f>
        <v>39.6</v>
      </c>
      <c r="M26" s="26">
        <f>IF($A26="","",SUMIFS(MovQtd,MovCod,$A26,MovTipo,"Saída",MovData,"&gt;="&amp;(Hoje-DiasAn),MovData,"&lt;="&amp;Hoje))</f>
        <v>24</v>
      </c>
      <c r="N26" s="28">
        <f>IF($A26="","",M26/DiasAn)</f>
        <v>0.266666666666667</v>
      </c>
      <c r="O26" s="29">
        <f>IF($A26="","",IF(N26&gt;0,H26/N26,"sem giro"))</f>
        <v>15</v>
      </c>
      <c r="P26" s="30">
        <f>IF($A26="","",SUMPRODUCT(MAX((MovCod=$A26)*(MovTipo="Saída")*MovData)))</f>
        <v>46303.0</v>
      </c>
      <c r="Q26" s="31" t="str">
        <f>IF($A26="","",IF(H26&lt;=0,"RUPTURA",IF(AND(I26&gt;0,H26&lt;=I26),"REPOR",IF(AND(J26&lt;&gt;"",H26&gt;J26),"EXCESSO","OK"))))</f>
        <v>OK</v>
      </c>
      <c r="R26" s="25">
        <f>IF($A26="","",IF(AND(H26&gt;0,OR(P26=0,Hoje-P26&gt;DiasParado)),"Parado",""))</f>
        <v>0</v>
      </c>
      <c r="S26" s="26">
        <f>IF($A26="","",IF(OR(Q26="RUPTURA",Q26="REPOR"),IF(J26="",0,MAX(0,J26-H26)),0))</f>
        <v>0</v>
      </c>
      <c r="T26" s="24">
        <f>IF($A26="","",M26*IF(N(Produtos!G26)&gt;0,Produtos!G26,K26))</f>
        <v>597.6</v>
      </c>
      <c r="U26" s="32">
        <f>IF($A26="","",IF(T26&gt;0,T26+ROW()/1000000000,""))</f>
        <v>597.600000026</v>
      </c>
      <c r="V26" s="31" t="str">
        <f>IF($A26="","",IF(U26="","C",INDEX('Curva ABC'!$H$5:$H$304,MATCH(U26,'Curva ABC'!$B$5:$B$304,0))))</f>
        <v>B</v>
      </c>
      <c r="W26" s="24">
        <f>IF($A26="","",IF(R26="Parado",L26,0))</f>
        <v>0</v>
      </c>
      <c r="X26" s="33">
        <f>IF($A26="","",IF(OR(Q26="RUPTURA",Q26="REPOR"),COUNTIF($Q$5:Q26,"RUPTURA")+COUNTIF($Q$5:Q26,"REPOR"),""))</f>
        <v>0</v>
      </c>
    </row>
    <row r="27" spans="1:24">
      <c r="A27" s="23" t="str">
        <f>IF(Produtos!A27="","",Produtos!A27)</f>
        <v>E023</v>
      </c>
      <c r="B27" s="23" t="str">
        <f>IF($A27="","",Produtos!B27&amp;"")</f>
        <v>Agenda 2027</v>
      </c>
      <c r="C27" s="23" t="str">
        <f>IF($A27="","",Produtos!C27&amp;"")</f>
        <v>Papelaria</v>
      </c>
      <c r="D27" s="25" t="str">
        <f>IF($A27="","",Produtos!D27&amp;"")</f>
        <v>un</v>
      </c>
      <c r="E27" s="26">
        <f>IF($A27="","",N(Produtos!H27))</f>
        <v>18</v>
      </c>
      <c r="F27" s="26">
        <f>IF($A27="","",SUMIFS(MovQtd,MovCod,$A27,MovTipo,"Entrada"))</f>
        <v>0</v>
      </c>
      <c r="G27" s="26">
        <f>IF($A27="","",SUMIFS(MovQtd,MovCod,$A27,MovTipo,"Saída"))</f>
        <v>15</v>
      </c>
      <c r="H27" s="27">
        <f>IF($A27="","",E27+F27-G27)</f>
        <v>3</v>
      </c>
      <c r="I27" s="26">
        <f>IF($A27="","",N(Produtos!I27))</f>
        <v>3</v>
      </c>
      <c r="J27" s="26">
        <f>IF($A27="","",IF(I27&gt;0,ROUNDUP(I27*FatMax,0),""))</f>
        <v>6</v>
      </c>
      <c r="K27" s="24">
        <f>IF($A27="","",N(Produtos!F27))</f>
        <v>14</v>
      </c>
      <c r="L27" s="24">
        <f>IF($A27="","",H27*K27)</f>
        <v>42</v>
      </c>
      <c r="M27" s="26">
        <f>IF($A27="","",SUMIFS(MovQtd,MovCod,$A27,MovTipo,"Saída",MovData,"&gt;="&amp;(Hoje-DiasAn),MovData,"&lt;="&amp;Hoje))</f>
        <v>13</v>
      </c>
      <c r="N27" s="28">
        <f>IF($A27="","",M27/DiasAn)</f>
        <v>0.144444444444444</v>
      </c>
      <c r="O27" s="29">
        <f>IF($A27="","",IF(N27&gt;0,H27/N27,"sem giro"))</f>
        <v>20.7692307692308</v>
      </c>
      <c r="P27" s="30">
        <f>IF($A27="","",SUMPRODUCT(MAX((MovCod=$A27)*(MovTipo="Saída")*MovData)))</f>
        <v>46302.0</v>
      </c>
      <c r="Q27" s="31" t="str">
        <f>IF($A27="","",IF(H27&lt;=0,"RUPTURA",IF(AND(I27&gt;0,H27&lt;=I27),"REPOR",IF(AND(J27&lt;&gt;"",H27&gt;J27),"EXCESSO","OK"))))</f>
        <v>REPOR</v>
      </c>
      <c r="R27" s="25">
        <f>IF($A27="","",IF(AND(H27&gt;0,OR(P27=0,Hoje-P27&gt;DiasParado)),"Parado",""))</f>
        <v>0</v>
      </c>
      <c r="S27" s="26">
        <f>IF($A27="","",IF(OR(Q27="RUPTURA",Q27="REPOR"),IF(J27="",0,MAX(0,J27-H27)),0))</f>
        <v>3</v>
      </c>
      <c r="T27" s="24">
        <f>IF($A27="","",M27*IF(N(Produtos!G27)&gt;0,Produtos!G27,K27))</f>
        <v>453.7</v>
      </c>
      <c r="U27" s="32">
        <f>IF($A27="","",IF(T27&gt;0,T27+ROW()/1000000000,""))</f>
        <v>453.700000027</v>
      </c>
      <c r="V27" s="31" t="str">
        <f>IF($A27="","",IF(U27="","C",INDEX('Curva ABC'!$H$5:$H$304,MATCH(U27,'Curva ABC'!$B$5:$B$304,0))))</f>
        <v>B</v>
      </c>
      <c r="W27" s="24">
        <f>IF($A27="","",IF(R27="Parado",L27,0))</f>
        <v>0</v>
      </c>
      <c r="X27" s="33">
        <f>IF($A27="","",IF(OR(Q27="RUPTURA",Q27="REPOR"),COUNTIF($Q$5:Q27,"RUPTURA")+COUNTIF($Q$5:Q27,"REPOR"),""))</f>
        <v>8</v>
      </c>
    </row>
    <row r="28" spans="1:24">
      <c r="A28" s="23" t="str">
        <f>IF(Produtos!A28="","",Produtos!A28)</f>
        <v>E024</v>
      </c>
      <c r="B28" s="23" t="str">
        <f>IF($A28="","",Produtos!B28&amp;"")</f>
        <v>Marca-texto (cx 6)</v>
      </c>
      <c r="C28" s="23" t="str">
        <f>IF($A28="","",Produtos!C28&amp;"")</f>
        <v>Papelaria</v>
      </c>
      <c r="D28" s="25" t="str">
        <f>IF($A28="","",Produtos!D28&amp;"")</f>
        <v>cx</v>
      </c>
      <c r="E28" s="26">
        <f>IF($A28="","",N(Produtos!H28))</f>
        <v>6</v>
      </c>
      <c r="F28" s="26">
        <f>IF($A28="","",SUMIFS(MovQtd,MovCod,$A28,MovTipo,"Entrada"))</f>
        <v>24</v>
      </c>
      <c r="G28" s="26">
        <f>IF($A28="","",SUMIFS(MovQtd,MovCod,$A28,MovTipo,"Saída"))</f>
        <v>24</v>
      </c>
      <c r="H28" s="27">
        <f>IF($A28="","",E28+F28-G28)</f>
        <v>6</v>
      </c>
      <c r="I28" s="26">
        <f>IF($A28="","",N(Produtos!I28))</f>
        <v>3</v>
      </c>
      <c r="J28" s="26">
        <f>IF($A28="","",IF(I28&gt;0,ROUNDUP(I28*FatMax,0),""))</f>
        <v>6</v>
      </c>
      <c r="K28" s="24">
        <f>IF($A28="","",N(Produtos!F28))</f>
        <v>9.8</v>
      </c>
      <c r="L28" s="24">
        <f>IF($A28="","",H28*K28)</f>
        <v>58.8</v>
      </c>
      <c r="M28" s="26">
        <f>IF($A28="","",SUMIFS(MovQtd,MovCod,$A28,MovTipo,"Saída",MovData,"&gt;="&amp;(Hoje-DiasAn),MovData,"&lt;="&amp;Hoje))</f>
        <v>22</v>
      </c>
      <c r="N28" s="28">
        <f>IF($A28="","",M28/DiasAn)</f>
        <v>0.244444444444444</v>
      </c>
      <c r="O28" s="29">
        <f>IF($A28="","",IF(N28&gt;0,H28/N28,"sem giro"))</f>
        <v>24.5454545454545</v>
      </c>
      <c r="P28" s="30">
        <f>IF($A28="","",SUMPRODUCT(MAX((MovCod=$A28)*(MovTipo="Saída")*MovData)))</f>
        <v>46300.0</v>
      </c>
      <c r="Q28" s="31" t="str">
        <f>IF($A28="","",IF(H28&lt;=0,"RUPTURA",IF(AND(I28&gt;0,H28&lt;=I28),"REPOR",IF(AND(J28&lt;&gt;"",H28&gt;J28),"EXCESSO","OK"))))</f>
        <v>OK</v>
      </c>
      <c r="R28" s="25">
        <f>IF($A28="","",IF(AND(H28&gt;0,OR(P28=0,Hoje-P28&gt;DiasParado)),"Parado",""))</f>
        <v>0</v>
      </c>
      <c r="S28" s="26">
        <f>IF($A28="","",IF(OR(Q28="RUPTURA",Q28="REPOR"),IF(J28="",0,MAX(0,J28-H28)),0))</f>
        <v>0</v>
      </c>
      <c r="T28" s="24">
        <f>IF($A28="","",M28*IF(N(Produtos!G28)&gt;0,Produtos!G28,K28))</f>
        <v>503.8</v>
      </c>
      <c r="U28" s="32">
        <f>IF($A28="","",IF(T28&gt;0,T28+ROW()/1000000000,""))</f>
        <v>503.800000028</v>
      </c>
      <c r="V28" s="31" t="str">
        <f>IF($A28="","",IF(U28="","C",INDEX('Curva ABC'!$H$5:$H$304,MATCH(U28,'Curva ABC'!$B$5:$B$304,0))))</f>
        <v>B</v>
      </c>
      <c r="W28" s="24">
        <f>IF($A28="","",IF(R28="Parado",L28,0))</f>
        <v>0</v>
      </c>
      <c r="X28" s="33">
        <f>IF($A28="","",IF(OR(Q28="RUPTURA",Q28="REPOR"),COUNTIF($Q$5:Q28,"RUPTURA")+COUNTIF($Q$5:Q28,"REPOR"),""))</f>
        <v>0</v>
      </c>
    </row>
    <row r="29" spans="1:24">
      <c r="A29" s="23" t="str">
        <f>IF(Produtos!A29="","",Produtos!A29)</f>
        <v>E025</v>
      </c>
      <c r="B29" s="23" t="str">
        <f>IF($A29="","",Produtos!B29&amp;"")</f>
        <v>Bloco de notas adesivas</v>
      </c>
      <c r="C29" s="23" t="str">
        <f>IF($A29="","",Produtos!C29&amp;"")</f>
        <v>Papelaria</v>
      </c>
      <c r="D29" s="25" t="str">
        <f>IF($A29="","",Produtos!D29&amp;"")</f>
        <v>pct</v>
      </c>
      <c r="E29" s="26">
        <f>IF($A29="","",N(Produtos!H29))</f>
        <v>16</v>
      </c>
      <c r="F29" s="26">
        <f>IF($A29="","",SUMIFS(MovQtd,MovCod,$A29,MovTipo,"Entrada"))</f>
        <v>30</v>
      </c>
      <c r="G29" s="26">
        <f>IF($A29="","",SUMIFS(MovQtd,MovCod,$A29,MovTipo,"Saída"))</f>
        <v>46</v>
      </c>
      <c r="H29" s="27">
        <f>IF($A29="","",E29+F29-G29)</f>
        <v>0</v>
      </c>
      <c r="I29" s="26">
        <f>IF($A29="","",N(Produtos!I29))</f>
        <v>8</v>
      </c>
      <c r="J29" s="26">
        <f>IF($A29="","",IF(I29&gt;0,ROUNDUP(I29*FatMax,0),""))</f>
        <v>16</v>
      </c>
      <c r="K29" s="24">
        <f>IF($A29="","",N(Produtos!F29))</f>
        <v>3.4</v>
      </c>
      <c r="L29" s="24">
        <f>IF($A29="","",H29*K29)</f>
        <v>0</v>
      </c>
      <c r="M29" s="26">
        <f>IF($A29="","",SUMIFS(MovQtd,MovCod,$A29,MovTipo,"Saída",MovData,"&gt;="&amp;(Hoje-DiasAn),MovData,"&lt;="&amp;Hoje))</f>
        <v>38</v>
      </c>
      <c r="N29" s="28">
        <f>IF($A29="","",M29/DiasAn)</f>
        <v>0.422222222222222</v>
      </c>
      <c r="O29" s="29">
        <f>IF($A29="","",IF(N29&gt;0,H29/N29,"sem giro"))</f>
        <v>0</v>
      </c>
      <c r="P29" s="30">
        <f>IF($A29="","",SUMPRODUCT(MAX((MovCod=$A29)*(MovTipo="Saída")*MovData)))</f>
        <v>46253.0</v>
      </c>
      <c r="Q29" s="31" t="str">
        <f>IF($A29="","",IF(H29&lt;=0,"RUPTURA",IF(AND(I29&gt;0,H29&lt;=I29),"REPOR",IF(AND(J29&lt;&gt;"",H29&gt;J29),"EXCESSO","OK"))))</f>
        <v>RUPTURA</v>
      </c>
      <c r="R29" s="25">
        <f>IF($A29="","",IF(AND(H29&gt;0,OR(P29=0,Hoje-P29&gt;DiasParado)),"Parado",""))</f>
        <v>0</v>
      </c>
      <c r="S29" s="26">
        <f>IF($A29="","",IF(OR(Q29="RUPTURA",Q29="REPOR"),IF(J29="",0,MAX(0,J29-H29)),0))</f>
        <v>16</v>
      </c>
      <c r="T29" s="24">
        <f>IF($A29="","",M29*IF(N(Produtos!G29)&gt;0,Produtos!G29,K29))</f>
        <v>338.2</v>
      </c>
      <c r="U29" s="32">
        <f>IF($A29="","",IF(T29&gt;0,T29+ROW()/1000000000,""))</f>
        <v>338.200000029</v>
      </c>
      <c r="V29" s="31" t="str">
        <f>IF($A29="","",IF(U29="","C",INDEX('Curva ABC'!$H$5:$H$304,MATCH(U29,'Curva ABC'!$B$5:$B$304,0))))</f>
        <v>C</v>
      </c>
      <c r="W29" s="24">
        <f>IF($A29="","",IF(R29="Parado",L29,0))</f>
        <v>0</v>
      </c>
      <c r="X29" s="33">
        <f>IF($A29="","",IF(OR(Q29="RUPTURA",Q29="REPOR"),COUNTIF($Q$5:Q29,"RUPTURA")+COUNTIF($Q$5:Q29,"REPOR"),""))</f>
        <v>9</v>
      </c>
    </row>
    <row r="30" spans="1:24">
      <c r="A30" s="23" t="str">
        <f>IF(Produtos!A30="","",Produtos!A30)</f>
        <v>E026</v>
      </c>
      <c r="B30" s="23" t="str">
        <f>IF($A30="","",Produtos!B30&amp;"")</f>
        <v>Calculadora de mesa</v>
      </c>
      <c r="C30" s="23" t="str">
        <f>IF($A30="","",Produtos!C30&amp;"")</f>
        <v>Escritório</v>
      </c>
      <c r="D30" s="25" t="str">
        <f>IF($A30="","",Produtos!D30&amp;"")</f>
        <v>un</v>
      </c>
      <c r="E30" s="26">
        <f>IF($A30="","",N(Produtos!H30))</f>
        <v>6</v>
      </c>
      <c r="F30" s="26">
        <f>IF($A30="","",SUMIFS(MovQtd,MovCod,$A30,MovTipo,"Entrada"))</f>
        <v>12</v>
      </c>
      <c r="G30" s="26">
        <f>IF($A30="","",SUMIFS(MovQtd,MovCod,$A30,MovTipo,"Saída"))</f>
        <v>14</v>
      </c>
      <c r="H30" s="27">
        <f>IF($A30="","",E30+F30-G30)</f>
        <v>4</v>
      </c>
      <c r="I30" s="26">
        <f>IF($A30="","",N(Produtos!I30))</f>
        <v>3</v>
      </c>
      <c r="J30" s="26">
        <f>IF($A30="","",IF(I30&gt;0,ROUNDUP(I30*FatMax,0),""))</f>
        <v>6</v>
      </c>
      <c r="K30" s="24">
        <f>IF($A30="","",N(Produtos!F30))</f>
        <v>17</v>
      </c>
      <c r="L30" s="24">
        <f>IF($A30="","",H30*K30)</f>
        <v>68</v>
      </c>
      <c r="M30" s="26">
        <f>IF($A30="","",SUMIFS(MovQtd,MovCod,$A30,MovTipo,"Saída",MovData,"&gt;="&amp;(Hoje-DiasAn),MovData,"&lt;="&amp;Hoje))</f>
        <v>13</v>
      </c>
      <c r="N30" s="28">
        <f>IF($A30="","",M30/DiasAn)</f>
        <v>0.144444444444444</v>
      </c>
      <c r="O30" s="29">
        <f>IF($A30="","",IF(N30&gt;0,H30/N30,"sem giro"))</f>
        <v>27.6923076923077</v>
      </c>
      <c r="P30" s="30">
        <f>IF($A30="","",SUMPRODUCT(MAX((MovCod=$A30)*(MovTipo="Saída")*MovData)))</f>
        <v>46296.0</v>
      </c>
      <c r="Q30" s="31" t="str">
        <f>IF($A30="","",IF(H30&lt;=0,"RUPTURA",IF(AND(I30&gt;0,H30&lt;=I30),"REPOR",IF(AND(J30&lt;&gt;"",H30&gt;J30),"EXCESSO","OK"))))</f>
        <v>OK</v>
      </c>
      <c r="R30" s="25">
        <f>IF($A30="","",IF(AND(H30&gt;0,OR(P30=0,Hoje-P30&gt;DiasParado)),"Parado",""))</f>
        <v>0</v>
      </c>
      <c r="S30" s="26">
        <f>IF($A30="","",IF(OR(Q30="RUPTURA",Q30="REPOR"),IF(J30="",0,MAX(0,J30-H30)),0))</f>
        <v>0</v>
      </c>
      <c r="T30" s="24">
        <f>IF($A30="","",M30*IF(N(Produtos!G30)&gt;0,Produtos!G30,K30))</f>
        <v>518.7</v>
      </c>
      <c r="U30" s="32">
        <f>IF($A30="","",IF(T30&gt;0,T30+ROW()/1000000000,""))</f>
        <v>518.70000003</v>
      </c>
      <c r="V30" s="31" t="str">
        <f>IF($A30="","",IF(U30="","C",INDEX('Curva ABC'!$H$5:$H$304,MATCH(U30,'Curva ABC'!$B$5:$B$304,0))))</f>
        <v>B</v>
      </c>
      <c r="W30" s="24">
        <f>IF($A30="","",IF(R30="Parado",L30,0))</f>
        <v>0</v>
      </c>
      <c r="X30" s="33">
        <f>IF($A30="","",IF(OR(Q30="RUPTURA",Q30="REPOR"),COUNTIF($Q$5:Q30,"RUPTURA")+COUNTIF($Q$5:Q30,"REPOR"),""))</f>
        <v>0</v>
      </c>
    </row>
    <row r="31" spans="1:24">
      <c r="A31" s="23" t="str">
        <f>IF(Produtos!A31="","",Produtos!A31)</f>
        <v>E027</v>
      </c>
      <c r="B31" s="23" t="str">
        <f>IF($A31="","",Produtos!B31&amp;"")</f>
        <v>Fichário argolado</v>
      </c>
      <c r="C31" s="23" t="str">
        <f>IF($A31="","",Produtos!C31&amp;"")</f>
        <v>Escolar</v>
      </c>
      <c r="D31" s="25" t="str">
        <f>IF($A31="","",Produtos!D31&amp;"")</f>
        <v>un</v>
      </c>
      <c r="E31" s="26">
        <f>IF($A31="","",N(Produtos!H31))</f>
        <v>6</v>
      </c>
      <c r="F31" s="26">
        <f>IF($A31="","",SUMIFS(MovQtd,MovCod,$A31,MovTipo,"Entrada"))</f>
        <v>16</v>
      </c>
      <c r="G31" s="26">
        <f>IF($A31="","",SUMIFS(MovQtd,MovCod,$A31,MovTipo,"Saída"))</f>
        <v>17</v>
      </c>
      <c r="H31" s="27">
        <f>IF($A31="","",E31+F31-G31)</f>
        <v>5</v>
      </c>
      <c r="I31" s="26">
        <f>IF($A31="","",N(Produtos!I31))</f>
        <v>3</v>
      </c>
      <c r="J31" s="26">
        <f>IF($A31="","",IF(I31&gt;0,ROUNDUP(I31*FatMax,0),""))</f>
        <v>6</v>
      </c>
      <c r="K31" s="24">
        <f>IF($A31="","",N(Produtos!F31))</f>
        <v>21</v>
      </c>
      <c r="L31" s="24">
        <f>IF($A31="","",H31*K31)</f>
        <v>105</v>
      </c>
      <c r="M31" s="26">
        <f>IF($A31="","",SUMIFS(MovQtd,MovCod,$A31,MovTipo,"Saída",MovData,"&gt;="&amp;(Hoje-DiasAn),MovData,"&lt;="&amp;Hoje))</f>
        <v>16</v>
      </c>
      <c r="N31" s="28">
        <f>IF($A31="","",M31/DiasAn)</f>
        <v>0.177777777777778</v>
      </c>
      <c r="O31" s="29">
        <f>IF($A31="","",IF(N31&gt;0,H31/N31,"sem giro"))</f>
        <v>28.125</v>
      </c>
      <c r="P31" s="30">
        <f>IF($A31="","",SUMPRODUCT(MAX((MovCod=$A31)*(MovTipo="Saída")*MovData)))</f>
        <v>46296.0</v>
      </c>
      <c r="Q31" s="31" t="str">
        <f>IF($A31="","",IF(H31&lt;=0,"RUPTURA",IF(AND(I31&gt;0,H31&lt;=I31),"REPOR",IF(AND(J31&lt;&gt;"",H31&gt;J31),"EXCESSO","OK"))))</f>
        <v>OK</v>
      </c>
      <c r="R31" s="25">
        <f>IF($A31="","",IF(AND(H31&gt;0,OR(P31=0,Hoje-P31&gt;DiasParado)),"Parado",""))</f>
        <v>0</v>
      </c>
      <c r="S31" s="26">
        <f>IF($A31="","",IF(OR(Q31="RUPTURA",Q31="REPOR"),IF(J31="",0,MAX(0,J31-H31)),0))</f>
        <v>0</v>
      </c>
      <c r="T31" s="24">
        <f>IF($A31="","",M31*IF(N(Produtos!G31)&gt;0,Produtos!G31,K31))</f>
        <v>718.4</v>
      </c>
      <c r="U31" s="32">
        <f>IF($A31="","",IF(T31&gt;0,T31+ROW()/1000000000,""))</f>
        <v>718.400000031</v>
      </c>
      <c r="V31" s="31" t="str">
        <f>IF($A31="","",IF(U31="","C",INDEX('Curva ABC'!$H$5:$H$304,MATCH(U31,'Curva ABC'!$B$5:$B$304,0))))</f>
        <v>B</v>
      </c>
      <c r="W31" s="24">
        <f>IF($A31="","",IF(R31="Parado",L31,0))</f>
        <v>0</v>
      </c>
      <c r="X31" s="33">
        <f>IF($A31="","",IF(OR(Q31="RUPTURA",Q31="REPOR"),COUNTIF($Q$5:Q31,"RUPTURA")+COUNTIF($Q$5:Q31,"REPOR"),""))</f>
        <v>0</v>
      </c>
    </row>
    <row r="32" spans="1:24">
      <c r="A32" s="23" t="str">
        <f>IF(Produtos!A32="","",Produtos!A32)</f>
        <v>E028</v>
      </c>
      <c r="B32" s="23" t="str">
        <f>IF($A32="","",Produtos!B32&amp;"")</f>
        <v>Régua 30cm</v>
      </c>
      <c r="C32" s="23" t="str">
        <f>IF($A32="","",Produtos!C32&amp;"")</f>
        <v>Escolar</v>
      </c>
      <c r="D32" s="25" t="str">
        <f>IF($A32="","",Produtos!D32&amp;"")</f>
        <v>un</v>
      </c>
      <c r="E32" s="26">
        <f>IF($A32="","",N(Produtos!H32))</f>
        <v>18</v>
      </c>
      <c r="F32" s="26">
        <f>IF($A32="","",SUMIFS(MovQtd,MovCod,$A32,MovTipo,"Entrada"))</f>
        <v>96</v>
      </c>
      <c r="G32" s="26">
        <f>IF($A32="","",SUMIFS(MovQtd,MovCod,$A32,MovTipo,"Saída"))</f>
        <v>102</v>
      </c>
      <c r="H32" s="27">
        <f>IF($A32="","",E32+F32-G32)</f>
        <v>12</v>
      </c>
      <c r="I32" s="26">
        <f>IF($A32="","",N(Produtos!I32))</f>
        <v>9</v>
      </c>
      <c r="J32" s="26">
        <f>IF($A32="","",IF(I32&gt;0,ROUNDUP(I32*FatMax,0),""))</f>
        <v>18</v>
      </c>
      <c r="K32" s="24">
        <f>IF($A32="","",N(Produtos!F32))</f>
        <v>0.9</v>
      </c>
      <c r="L32" s="24">
        <f>IF($A32="","",H32*K32)</f>
        <v>10.8</v>
      </c>
      <c r="M32" s="26">
        <f>IF($A32="","",SUMIFS(MovQtd,MovCod,$A32,MovTipo,"Saída",MovData,"&gt;="&amp;(Hoje-DiasAn),MovData,"&lt;="&amp;Hoje))</f>
        <v>85</v>
      </c>
      <c r="N32" s="28">
        <f>IF($A32="","",M32/DiasAn)</f>
        <v>0.944444444444444</v>
      </c>
      <c r="O32" s="29">
        <f>IF($A32="","",IF(N32&gt;0,H32/N32,"sem giro"))</f>
        <v>12.7058823529412</v>
      </c>
      <c r="P32" s="30">
        <f>IF($A32="","",SUMPRODUCT(MAX((MovCod=$A32)*(MovTipo="Saída")*MovData)))</f>
        <v>46295.0</v>
      </c>
      <c r="Q32" s="31" t="str">
        <f>IF($A32="","",IF(H32&lt;=0,"RUPTURA",IF(AND(I32&gt;0,H32&lt;=I32),"REPOR",IF(AND(J32&lt;&gt;"",H32&gt;J32),"EXCESSO","OK"))))</f>
        <v>OK</v>
      </c>
      <c r="R32" s="25">
        <f>IF($A32="","",IF(AND(H32&gt;0,OR(P32=0,Hoje-P32&gt;DiasParado)),"Parado",""))</f>
        <v>0</v>
      </c>
      <c r="S32" s="26">
        <f>IF($A32="","",IF(OR(Q32="RUPTURA",Q32="REPOR"),IF(J32="",0,MAX(0,J32-H32)),0))</f>
        <v>0</v>
      </c>
      <c r="T32" s="24">
        <f>IF($A32="","",M32*IF(N(Produtos!G32)&gt;0,Produtos!G32,K32))</f>
        <v>297.5</v>
      </c>
      <c r="U32" s="32">
        <f>IF($A32="","",IF(T32&gt;0,T32+ROW()/1000000000,""))</f>
        <v>297.500000032</v>
      </c>
      <c r="V32" s="31" t="str">
        <f>IF($A32="","",IF(U32="","C",INDEX('Curva ABC'!$H$5:$H$304,MATCH(U32,'Curva ABC'!$B$5:$B$304,0))))</f>
        <v>C</v>
      </c>
      <c r="W32" s="24">
        <f>IF($A32="","",IF(R32="Parado",L32,0))</f>
        <v>0</v>
      </c>
      <c r="X32" s="33">
        <f>IF($A32="","",IF(OR(Q32="RUPTURA",Q32="REPOR"),COUNTIF($Q$5:Q32,"RUPTURA")+COUNTIF($Q$5:Q32,"REPOR"),""))</f>
        <v>0</v>
      </c>
    </row>
    <row r="33" spans="1:24">
      <c r="A33" s="23" t="str">
        <f>IF(Produtos!A33="","",Produtos!A33)</f>
        <v>E029</v>
      </c>
      <c r="B33" s="23" t="str">
        <f>IF($A33="","",Produtos!B33&amp;"")</f>
        <v>Etiqueta adesiva (pct 100)</v>
      </c>
      <c r="C33" s="23" t="str">
        <f>IF($A33="","",Produtos!C33&amp;"")</f>
        <v>Escritório</v>
      </c>
      <c r="D33" s="25" t="str">
        <f>IF($A33="","",Produtos!D33&amp;"")</f>
        <v>pct</v>
      </c>
      <c r="E33" s="26">
        <f>IF($A33="","",N(Produtos!H33))</f>
        <v>9</v>
      </c>
      <c r="F33" s="26">
        <f>IF($A33="","",SUMIFS(MovQtd,MovCod,$A33,MovTipo,"Entrada"))</f>
        <v>0</v>
      </c>
      <c r="G33" s="26">
        <f>IF($A33="","",SUMIFS(MovQtd,MovCod,$A33,MovTipo,"Saída"))</f>
        <v>2</v>
      </c>
      <c r="H33" s="27">
        <f>IF($A33="","",E33+F33-G33)</f>
        <v>7</v>
      </c>
      <c r="I33" s="26">
        <f>IF($A33="","",N(Produtos!I33))</f>
        <v>3</v>
      </c>
      <c r="J33" s="26">
        <f>IF($A33="","",IF(I33&gt;0,ROUNDUP(I33*FatMax,0),""))</f>
        <v>6</v>
      </c>
      <c r="K33" s="24">
        <f>IF($A33="","",N(Produtos!F33))</f>
        <v>6.4</v>
      </c>
      <c r="L33" s="24">
        <f>IF($A33="","",H33*K33)</f>
        <v>44.8</v>
      </c>
      <c r="M33" s="26">
        <f>IF($A33="","",SUMIFS(MovQtd,MovCod,$A33,MovTipo,"Saída",MovData,"&gt;="&amp;(Hoje-DiasAn),MovData,"&lt;="&amp;Hoje))</f>
        <v>0</v>
      </c>
      <c r="N33" s="28">
        <f>IF($A33="","",M33/DiasAn)</f>
        <v>0</v>
      </c>
      <c r="O33" s="29" t="str">
        <f>IF($A33="","",IF(N33&gt;0,H33/N33,"sem giro"))</f>
        <v>sem giro</v>
      </c>
      <c r="P33" s="30">
        <f>IF($A33="","",SUMPRODUCT(MAX((MovCod=$A33)*(MovTipo="Saída")*MovData)))</f>
        <v>46206.0</v>
      </c>
      <c r="Q33" s="31" t="str">
        <f>IF($A33="","",IF(H33&lt;=0,"RUPTURA",IF(AND(I33&gt;0,H33&lt;=I33),"REPOR",IF(AND(J33&lt;&gt;"",H33&gt;J33),"EXCESSO","OK"))))</f>
        <v>EXCESSO</v>
      </c>
      <c r="R33" s="25" t="str">
        <f>IF($A33="","",IF(AND(H33&gt;0,OR(P33=0,Hoje-P33&gt;DiasParado)),"Parado",""))</f>
        <v>Parado</v>
      </c>
      <c r="S33" s="26">
        <f>IF($A33="","",IF(OR(Q33="RUPTURA",Q33="REPOR"),IF(J33="",0,MAX(0,J33-H33)),0))</f>
        <v>0</v>
      </c>
      <c r="T33" s="24">
        <f>IF($A33="","",M33*IF(N(Produtos!G33)&gt;0,Produtos!G33,K33))</f>
        <v>0</v>
      </c>
      <c r="U33" s="32">
        <f>IF($A33="","",IF(T33&gt;0,T33+ROW()/1000000000,""))</f>
        <v>0</v>
      </c>
      <c r="V33" s="31" t="str">
        <f>IF($A33="","",IF(U33="","C",INDEX('Curva ABC'!$H$5:$H$304,MATCH(U33,'Curva ABC'!$B$5:$B$304,0))))</f>
        <v>C</v>
      </c>
      <c r="W33" s="24">
        <f>IF($A33="","",IF(R33="Parado",L33,0))</f>
        <v>44.8</v>
      </c>
      <c r="X33" s="33">
        <f>IF($A33="","",IF(OR(Q33="RUPTURA",Q33="REPOR"),COUNTIF($Q$5:Q33,"RUPTURA")+COUNTIF($Q$5:Q33,"REPOR"),""))</f>
        <v>0</v>
      </c>
    </row>
    <row r="34" spans="1:24">
      <c r="A34" s="23" t="str">
        <f>IF(Produtos!A34="","",Produtos!A34)</f>
        <v>E030</v>
      </c>
      <c r="B34" s="23" t="str">
        <f>IF($A34="","",Produtos!B34&amp;"")</f>
        <v>Toner genérico preto</v>
      </c>
      <c r="C34" s="23" t="str">
        <f>IF($A34="","",Produtos!C34&amp;"")</f>
        <v>Informática</v>
      </c>
      <c r="D34" s="25" t="str">
        <f>IF($A34="","",Produtos!D34&amp;"")</f>
        <v>un</v>
      </c>
      <c r="E34" s="26">
        <f>IF($A34="","",N(Produtos!H34))</f>
        <v>6</v>
      </c>
      <c r="F34" s="26">
        <f>IF($A34="","",SUMIFS(MovQtd,MovCod,$A34,MovTipo,"Entrada"))</f>
        <v>9</v>
      </c>
      <c r="G34" s="26">
        <f>IF($A34="","",SUMIFS(MovQtd,MovCod,$A34,MovTipo,"Saída"))</f>
        <v>10</v>
      </c>
      <c r="H34" s="27">
        <f>IF($A34="","",E34+F34-G34)</f>
        <v>5</v>
      </c>
      <c r="I34" s="26">
        <f>IF($A34="","",N(Produtos!I34))</f>
        <v>3</v>
      </c>
      <c r="J34" s="26">
        <f>IF($A34="","",IF(I34&gt;0,ROUNDUP(I34*FatMax,0),""))</f>
        <v>6</v>
      </c>
      <c r="K34" s="24">
        <f>IF($A34="","",N(Produtos!F34))</f>
        <v>62</v>
      </c>
      <c r="L34" s="24">
        <f>IF($A34="","",H34*K34)</f>
        <v>310</v>
      </c>
      <c r="M34" s="26">
        <f>IF($A34="","",SUMIFS(MovQtd,MovCod,$A34,MovTipo,"Saída",MovData,"&gt;="&amp;(Hoje-DiasAn),MovData,"&lt;="&amp;Hoje))</f>
        <v>9</v>
      </c>
      <c r="N34" s="28">
        <f>IF($A34="","",M34/DiasAn)</f>
        <v>0.1</v>
      </c>
      <c r="O34" s="29">
        <f>IF($A34="","",IF(N34&gt;0,H34/N34,"sem giro"))</f>
        <v>50</v>
      </c>
      <c r="P34" s="30">
        <f>IF($A34="","",SUMPRODUCT(MAX((MovCod=$A34)*(MovTipo="Saída")*MovData)))</f>
        <v>46296.0</v>
      </c>
      <c r="Q34" s="31" t="str">
        <f>IF($A34="","",IF(H34&lt;=0,"RUPTURA",IF(AND(I34&gt;0,H34&lt;=I34),"REPOR",IF(AND(J34&lt;&gt;"",H34&gt;J34),"EXCESSO","OK"))))</f>
        <v>OK</v>
      </c>
      <c r="R34" s="25">
        <f>IF($A34="","",IF(AND(H34&gt;0,OR(P34=0,Hoje-P34&gt;DiasParado)),"Parado",""))</f>
        <v>0</v>
      </c>
      <c r="S34" s="26">
        <f>IF($A34="","",IF(OR(Q34="RUPTURA",Q34="REPOR"),IF(J34="",0,MAX(0,J34-H34)),0))</f>
        <v>0</v>
      </c>
      <c r="T34" s="24">
        <f>IF($A34="","",M34*IF(N(Produtos!G34)&gt;0,Produtos!G34,K34))</f>
        <v>1079.1</v>
      </c>
      <c r="U34" s="32">
        <f>IF($A34="","",IF(T34&gt;0,T34+ROW()/1000000000,""))</f>
        <v>1079.100000034</v>
      </c>
      <c r="V34" s="31" t="str">
        <f>IF($A34="","",IF(U34="","C",INDEX('Curva ABC'!$H$5:$H$304,MATCH(U34,'Curva ABC'!$B$5:$B$304,0))))</f>
        <v>A</v>
      </c>
      <c r="W34" s="24">
        <f>IF($A34="","",IF(R34="Parado",L34,0))</f>
        <v>0</v>
      </c>
      <c r="X34" s="33">
        <f>IF($A34="","",IF(OR(Q34="RUPTURA",Q34="REPOR"),COUNTIF($Q$5:Q34,"RUPTURA")+COUNTIF($Q$5:Q34,"REPOR"),""))</f>
        <v>0</v>
      </c>
    </row>
    <row r="35" spans="1:24">
      <c r="A35" s="23" t="str">
        <f>IF(Produtos!A35="","",Produtos!A35)</f>
        <v>E031</v>
      </c>
      <c r="B35" s="23" t="str">
        <f>IF($A35="","",Produtos!B35&amp;"")</f>
        <v>Mouse pad</v>
      </c>
      <c r="C35" s="23" t="str">
        <f>IF($A35="","",Produtos!C35&amp;"")</f>
        <v>Informática</v>
      </c>
      <c r="D35" s="25" t="str">
        <f>IF($A35="","",Produtos!D35&amp;"")</f>
        <v>un</v>
      </c>
      <c r="E35" s="26">
        <f>IF($A35="","",N(Produtos!H35))</f>
        <v>6</v>
      </c>
      <c r="F35" s="26">
        <f>IF($A35="","",SUMIFS(MovQtd,MovCod,$A35,MovTipo,"Entrada"))</f>
        <v>35</v>
      </c>
      <c r="G35" s="26">
        <f>IF($A35="","",SUMIFS(MovQtd,MovCod,$A35,MovTipo,"Saída"))</f>
        <v>35</v>
      </c>
      <c r="H35" s="27">
        <f>IF($A35="","",E35+F35-G35)</f>
        <v>6</v>
      </c>
      <c r="I35" s="26">
        <f>IF($A35="","",N(Produtos!I35))</f>
        <v>3</v>
      </c>
      <c r="J35" s="26">
        <f>IF($A35="","",IF(I35&gt;0,ROUNDUP(I35*FatMax,0),""))</f>
        <v>6</v>
      </c>
      <c r="K35" s="24">
        <f>IF($A35="","",N(Produtos!F35))</f>
        <v>4.9</v>
      </c>
      <c r="L35" s="24">
        <f>IF($A35="","",H35*K35)</f>
        <v>29.4</v>
      </c>
      <c r="M35" s="26">
        <f>IF($A35="","",SUMIFS(MovQtd,MovCod,$A35,MovTipo,"Saída",MovData,"&gt;="&amp;(Hoje-DiasAn),MovData,"&lt;="&amp;Hoje))</f>
        <v>30</v>
      </c>
      <c r="N35" s="28">
        <f>IF($A35="","",M35/DiasAn)</f>
        <v>0.333333333333333</v>
      </c>
      <c r="O35" s="29">
        <f>IF($A35="","",IF(N35&gt;0,H35/N35,"sem giro"))</f>
        <v>18</v>
      </c>
      <c r="P35" s="30">
        <f>IF($A35="","",SUMPRODUCT(MAX((MovCod=$A35)*(MovTipo="Saída")*MovData)))</f>
        <v>46300.0</v>
      </c>
      <c r="Q35" s="31" t="str">
        <f>IF($A35="","",IF(H35&lt;=0,"RUPTURA",IF(AND(I35&gt;0,H35&lt;=I35),"REPOR",IF(AND(J35&lt;&gt;"",H35&gt;J35),"EXCESSO","OK"))))</f>
        <v>OK</v>
      </c>
      <c r="R35" s="25">
        <f>IF($A35="","",IF(AND(H35&gt;0,OR(P35=0,Hoje-P35&gt;DiasParado)),"Parado",""))</f>
        <v>0</v>
      </c>
      <c r="S35" s="26">
        <f>IF($A35="","",IF(OR(Q35="RUPTURA",Q35="REPOR"),IF(J35="",0,MAX(0,J35-H35)),0))</f>
        <v>0</v>
      </c>
      <c r="T35" s="24">
        <f>IF($A35="","",M35*IF(N(Produtos!G35)&gt;0,Produtos!G35,K35))</f>
        <v>447</v>
      </c>
      <c r="U35" s="32">
        <f>IF($A35="","",IF(T35&gt;0,T35+ROW()/1000000000,""))</f>
        <v>447.000000035</v>
      </c>
      <c r="V35" s="31" t="str">
        <f>IF($A35="","",IF(U35="","C",INDEX('Curva ABC'!$H$5:$H$304,MATCH(U35,'Curva ABC'!$B$5:$B$304,0))))</f>
        <v>B</v>
      </c>
      <c r="W35" s="24">
        <f>IF($A35="","",IF(R35="Parado",L35,0))</f>
        <v>0</v>
      </c>
      <c r="X35" s="33">
        <f>IF($A35="","",IF(OR(Q35="RUPTURA",Q35="REPOR"),COUNTIF($Q$5:Q35,"RUPTURA")+COUNTIF($Q$5:Q35,"REPOR"),""))</f>
        <v>0</v>
      </c>
    </row>
    <row r="36" spans="1:24">
      <c r="A36" s="23" t="str">
        <f>IF(Produtos!A36="","",Produtos!A36)</f>
        <v>E032</v>
      </c>
      <c r="B36" s="23" t="str">
        <f>IF($A36="","",Produtos!B36&amp;"")</f>
        <v>Clips 2/0 (cx 100)</v>
      </c>
      <c r="C36" s="23" t="str">
        <f>IF($A36="","",Produtos!C36&amp;"")</f>
        <v>Escritório</v>
      </c>
      <c r="D36" s="25" t="str">
        <f>IF($A36="","",Produtos!D36&amp;"")</f>
        <v>cx</v>
      </c>
      <c r="E36" s="26">
        <f>IF($A36="","",N(Produtos!H36))</f>
        <v>18</v>
      </c>
      <c r="F36" s="26">
        <f>IF($A36="","",SUMIFS(MovQtd,MovCod,$A36,MovTipo,"Entrada"))</f>
        <v>0</v>
      </c>
      <c r="G36" s="26">
        <f>IF($A36="","",SUMIFS(MovQtd,MovCod,$A36,MovTipo,"Saída"))</f>
        <v>2</v>
      </c>
      <c r="H36" s="27">
        <f>IF($A36="","",E36+F36-G36)</f>
        <v>16</v>
      </c>
      <c r="I36" s="26">
        <f>IF($A36="","",N(Produtos!I36))</f>
        <v>6</v>
      </c>
      <c r="J36" s="26">
        <f>IF($A36="","",IF(I36&gt;0,ROUNDUP(I36*FatMax,0),""))</f>
        <v>12</v>
      </c>
      <c r="K36" s="24">
        <f>IF($A36="","",N(Produtos!F36))</f>
        <v>1.8</v>
      </c>
      <c r="L36" s="24">
        <f>IF($A36="","",H36*K36)</f>
        <v>28.8</v>
      </c>
      <c r="M36" s="26">
        <f>IF($A36="","",SUMIFS(MovQtd,MovCod,$A36,MovTipo,"Saída",MovData,"&gt;="&amp;(Hoje-DiasAn),MovData,"&lt;="&amp;Hoje))</f>
        <v>0</v>
      </c>
      <c r="N36" s="28">
        <f>IF($A36="","",M36/DiasAn)</f>
        <v>0</v>
      </c>
      <c r="O36" s="29" t="str">
        <f>IF($A36="","",IF(N36&gt;0,H36/N36,"sem giro"))</f>
        <v>sem giro</v>
      </c>
      <c r="P36" s="30">
        <f>IF($A36="","",SUMPRODUCT(MAX((MovCod=$A36)*(MovTipo="Saída")*MovData)))</f>
        <v>46206.0</v>
      </c>
      <c r="Q36" s="31" t="str">
        <f>IF($A36="","",IF(H36&lt;=0,"RUPTURA",IF(AND(I36&gt;0,H36&lt;=I36),"REPOR",IF(AND(J36&lt;&gt;"",H36&gt;J36),"EXCESSO","OK"))))</f>
        <v>EXCESSO</v>
      </c>
      <c r="R36" s="25" t="str">
        <f>IF($A36="","",IF(AND(H36&gt;0,OR(P36=0,Hoje-P36&gt;DiasParado)),"Parado",""))</f>
        <v>Parado</v>
      </c>
      <c r="S36" s="26">
        <f>IF($A36="","",IF(OR(Q36="RUPTURA",Q36="REPOR"),IF(J36="",0,MAX(0,J36-H36)),0))</f>
        <v>0</v>
      </c>
      <c r="T36" s="24">
        <f>IF($A36="","",M36*IF(N(Produtos!G36)&gt;0,Produtos!G36,K36))</f>
        <v>0</v>
      </c>
      <c r="U36" s="32">
        <f>IF($A36="","",IF(T36&gt;0,T36+ROW()/1000000000,""))</f>
        <v>0</v>
      </c>
      <c r="V36" s="31" t="str">
        <f>IF($A36="","",IF(U36="","C",INDEX('Curva ABC'!$H$5:$H$304,MATCH(U36,'Curva ABC'!$B$5:$B$304,0))))</f>
        <v>C</v>
      </c>
      <c r="W36" s="24">
        <f>IF($A36="","",IF(R36="Parado",L36,0))</f>
        <v>28.8</v>
      </c>
      <c r="X36" s="33">
        <f>IF($A36="","",IF(OR(Q36="RUPTURA",Q36="REPOR"),COUNTIF($Q$5:Q36,"RUPTURA")+COUNTIF($Q$5:Q36,"REPOR"),""))</f>
        <v>0</v>
      </c>
    </row>
    <row r="37" spans="1:24">
      <c r="A37" s="23" t="str">
        <f>IF(Produtos!A37="","",Produtos!A37)</f>
        <v>E033</v>
      </c>
      <c r="B37" s="23" t="str">
        <f>IF($A37="","",Produtos!B37&amp;"")</f>
        <v>Envelope A4 (pct 50)</v>
      </c>
      <c r="C37" s="23" t="str">
        <f>IF($A37="","",Produtos!C37&amp;"")</f>
        <v>Escritório</v>
      </c>
      <c r="D37" s="25" t="str">
        <f>IF($A37="","",Produtos!D37&amp;"")</f>
        <v>pct</v>
      </c>
      <c r="E37" s="26">
        <f>IF($A37="","",N(Produtos!H37))</f>
        <v>6</v>
      </c>
      <c r="F37" s="26">
        <f>IF($A37="","",SUMIFS(MovQtd,MovCod,$A37,MovTipo,"Entrada"))</f>
        <v>12</v>
      </c>
      <c r="G37" s="26">
        <f>IF($A37="","",SUMIFS(MovQtd,MovCod,$A37,MovTipo,"Saída"))</f>
        <v>14</v>
      </c>
      <c r="H37" s="27">
        <f>IF($A37="","",E37+F37-G37)</f>
        <v>4</v>
      </c>
      <c r="I37" s="26">
        <f>IF($A37="","",N(Produtos!I37))</f>
        <v>3</v>
      </c>
      <c r="J37" s="26">
        <f>IF($A37="","",IF(I37&gt;0,ROUNDUP(I37*FatMax,0),""))</f>
        <v>6</v>
      </c>
      <c r="K37" s="24">
        <f>IF($A37="","",N(Produtos!F37))</f>
        <v>14</v>
      </c>
      <c r="L37" s="24">
        <f>IF($A37="","",H37*K37)</f>
        <v>56</v>
      </c>
      <c r="M37" s="26">
        <f>IF($A37="","",SUMIFS(MovQtd,MovCod,$A37,MovTipo,"Saída",MovData,"&gt;="&amp;(Hoje-DiasAn),MovData,"&lt;="&amp;Hoje))</f>
        <v>12</v>
      </c>
      <c r="N37" s="28">
        <f>IF($A37="","",M37/DiasAn)</f>
        <v>0.133333333333333</v>
      </c>
      <c r="O37" s="29">
        <f>IF($A37="","",IF(N37&gt;0,H37/N37,"sem giro"))</f>
        <v>30</v>
      </c>
      <c r="P37" s="30">
        <f>IF($A37="","",SUMPRODUCT(MAX((MovCod=$A37)*(MovTipo="Saída")*MovData)))</f>
        <v>46297.0</v>
      </c>
      <c r="Q37" s="31" t="str">
        <f>IF($A37="","",IF(H37&lt;=0,"RUPTURA",IF(AND(I37&gt;0,H37&lt;=I37),"REPOR",IF(AND(J37&lt;&gt;"",H37&gt;J37),"EXCESSO","OK"))))</f>
        <v>OK</v>
      </c>
      <c r="R37" s="25">
        <f>IF($A37="","",IF(AND(H37&gt;0,OR(P37=0,Hoje-P37&gt;DiasParado)),"Parado",""))</f>
        <v>0</v>
      </c>
      <c r="S37" s="26">
        <f>IF($A37="","",IF(OR(Q37="RUPTURA",Q37="REPOR"),IF(J37="",0,MAX(0,J37-H37)),0))</f>
        <v>0</v>
      </c>
      <c r="T37" s="24">
        <f>IF($A37="","",M37*IF(N(Produtos!G37)&gt;0,Produtos!G37,K37))</f>
        <v>358.8</v>
      </c>
      <c r="U37" s="32">
        <f>IF($A37="","",IF(T37&gt;0,T37+ROW()/1000000000,""))</f>
        <v>358.800000037</v>
      </c>
      <c r="V37" s="31" t="str">
        <f>IF($A37="","",IF(U37="","C",INDEX('Curva ABC'!$H$5:$H$304,MATCH(U37,'Curva ABC'!$B$5:$B$304,0))))</f>
        <v>C</v>
      </c>
      <c r="W37" s="24">
        <f>IF($A37="","",IF(R37="Parado",L37,0))</f>
        <v>0</v>
      </c>
      <c r="X37" s="33">
        <f>IF($A37="","",IF(OR(Q37="RUPTURA",Q37="REPOR"),COUNTIF($Q$5:Q37,"RUPTURA")+COUNTIF($Q$5:Q37,"REPOR"),""))</f>
        <v>0</v>
      </c>
    </row>
    <row r="38" spans="1:24">
      <c r="A38" s="23" t="str">
        <f>IF(Produtos!A38="","",Produtos!A38)</f>
        <v>E034</v>
      </c>
      <c r="B38" s="23" t="str">
        <f>IF($A38="","",Produtos!B38&amp;"")</f>
        <v>Tinta guache (kit 6)</v>
      </c>
      <c r="C38" s="23" t="str">
        <f>IF($A38="","",Produtos!C38&amp;"")</f>
        <v>Escolar</v>
      </c>
      <c r="D38" s="25" t="str">
        <f>IF($A38="","",Produtos!D38&amp;"")</f>
        <v>cx</v>
      </c>
      <c r="E38" s="26">
        <f>IF($A38="","",N(Produtos!H38))</f>
        <v>6</v>
      </c>
      <c r="F38" s="26">
        <f>IF($A38="","",SUMIFS(MovQtd,MovCod,$A38,MovTipo,"Entrada"))</f>
        <v>20</v>
      </c>
      <c r="G38" s="26">
        <f>IF($A38="","",SUMIFS(MovQtd,MovCod,$A38,MovTipo,"Saída"))</f>
        <v>26</v>
      </c>
      <c r="H38" s="27">
        <f>IF($A38="","",E38+F38-G38)</f>
        <v>0</v>
      </c>
      <c r="I38" s="26">
        <f>IF($A38="","",N(Produtos!I38))</f>
        <v>3</v>
      </c>
      <c r="J38" s="26">
        <f>IF($A38="","",IF(I38&gt;0,ROUNDUP(I38*FatMax,0),""))</f>
        <v>6</v>
      </c>
      <c r="K38" s="24">
        <f>IF($A38="","",N(Produtos!F38))</f>
        <v>8.7</v>
      </c>
      <c r="L38" s="24">
        <f>IF($A38="","",H38*K38)</f>
        <v>0</v>
      </c>
      <c r="M38" s="26">
        <f>IF($A38="","",SUMIFS(MovQtd,MovCod,$A38,MovTipo,"Saída",MovData,"&gt;="&amp;(Hoje-DiasAn),MovData,"&lt;="&amp;Hoje))</f>
        <v>23</v>
      </c>
      <c r="N38" s="28">
        <f>IF($A38="","",M38/DiasAn)</f>
        <v>0.255555555555556</v>
      </c>
      <c r="O38" s="29">
        <f>IF($A38="","",IF(N38&gt;0,H38/N38,"sem giro"))</f>
        <v>0</v>
      </c>
      <c r="P38" s="30">
        <f>IF($A38="","",SUMPRODUCT(MAX((MovCod=$A38)*(MovTipo="Saída")*MovData)))</f>
        <v>46285.0</v>
      </c>
      <c r="Q38" s="31" t="str">
        <f>IF($A38="","",IF(H38&lt;=0,"RUPTURA",IF(AND(I38&gt;0,H38&lt;=I38),"REPOR",IF(AND(J38&lt;&gt;"",H38&gt;J38),"EXCESSO","OK"))))</f>
        <v>RUPTURA</v>
      </c>
      <c r="R38" s="25">
        <f>IF($A38="","",IF(AND(H38&gt;0,OR(P38=0,Hoje-P38&gt;DiasParado)),"Parado",""))</f>
        <v>0</v>
      </c>
      <c r="S38" s="26">
        <f>IF($A38="","",IF(OR(Q38="RUPTURA",Q38="REPOR"),IF(J38="",0,MAX(0,J38-H38)),0))</f>
        <v>6</v>
      </c>
      <c r="T38" s="24">
        <f>IF($A38="","",M38*IF(N(Produtos!G38)&gt;0,Produtos!G38,K38))</f>
        <v>457.7</v>
      </c>
      <c r="U38" s="32">
        <f>IF($A38="","",IF(T38&gt;0,T38+ROW()/1000000000,""))</f>
        <v>457.700000038</v>
      </c>
      <c r="V38" s="31" t="str">
        <f>IF($A38="","",IF(U38="","C",INDEX('Curva ABC'!$H$5:$H$304,MATCH(U38,'Curva ABC'!$B$5:$B$304,0))))</f>
        <v>B</v>
      </c>
      <c r="W38" s="24">
        <f>IF($A38="","",IF(R38="Parado",L38,0))</f>
        <v>0</v>
      </c>
      <c r="X38" s="33">
        <f>IF($A38="","",IF(OR(Q38="RUPTURA",Q38="REPOR"),COUNTIF($Q$5:Q38,"RUPTURA")+COUNTIF($Q$5:Q38,"REPOR"),""))</f>
        <v>10</v>
      </c>
    </row>
    <row r="39" spans="1:24">
      <c r="A39" s="23" t="str">
        <f>IF(Produtos!A39="","",Produtos!A39)</f>
        <v>E035</v>
      </c>
      <c r="B39" s="23" t="str">
        <f>IF($A39="","",Produtos!B39&amp;"")</f>
        <v>Papel fotográfico A4 (pct 20)</v>
      </c>
      <c r="C39" s="23" t="str">
        <f>IF($A39="","",Produtos!C39&amp;"")</f>
        <v>Informática</v>
      </c>
      <c r="D39" s="25" t="str">
        <f>IF($A39="","",Produtos!D39&amp;"")</f>
        <v>pct</v>
      </c>
      <c r="E39" s="26">
        <f>IF($A39="","",N(Produtos!H39))</f>
        <v>6</v>
      </c>
      <c r="F39" s="26">
        <f>IF($A39="","",SUMIFS(MovQtd,MovCod,$A39,MovTipo,"Entrada"))</f>
        <v>12</v>
      </c>
      <c r="G39" s="26">
        <f>IF($A39="","",SUMIFS(MovQtd,MovCod,$A39,MovTipo,"Saída"))</f>
        <v>15</v>
      </c>
      <c r="H39" s="27">
        <f>IF($A39="","",E39+F39-G39)</f>
        <v>3</v>
      </c>
      <c r="I39" s="26">
        <f>IF($A39="","",N(Produtos!I39))</f>
        <v>3</v>
      </c>
      <c r="J39" s="26">
        <f>IF($A39="","",IF(I39&gt;0,ROUNDUP(I39*FatMax,0),""))</f>
        <v>6</v>
      </c>
      <c r="K39" s="24">
        <f>IF($A39="","",N(Produtos!F39))</f>
        <v>12.5</v>
      </c>
      <c r="L39" s="24">
        <f>IF($A39="","",H39*K39)</f>
        <v>37.5</v>
      </c>
      <c r="M39" s="26">
        <f>IF($A39="","",SUMIFS(MovQtd,MovCod,$A39,MovTipo,"Saída",MovData,"&gt;="&amp;(Hoje-DiasAn),MovData,"&lt;="&amp;Hoje))</f>
        <v>14</v>
      </c>
      <c r="N39" s="28">
        <f>IF($A39="","",M39/DiasAn)</f>
        <v>0.155555555555556</v>
      </c>
      <c r="O39" s="29">
        <f>IF($A39="","",IF(N39&gt;0,H39/N39,"sem giro"))</f>
        <v>19.2857142857143</v>
      </c>
      <c r="P39" s="30">
        <f>IF($A39="","",SUMPRODUCT(MAX((MovCod=$A39)*(MovTipo="Saída")*MovData)))</f>
        <v>46302.0</v>
      </c>
      <c r="Q39" s="31" t="str">
        <f>IF($A39="","",IF(H39&lt;=0,"RUPTURA",IF(AND(I39&gt;0,H39&lt;=I39),"REPOR",IF(AND(J39&lt;&gt;"",H39&gt;J39),"EXCESSO","OK"))))</f>
        <v>REPOR</v>
      </c>
      <c r="R39" s="25">
        <f>IF($A39="","",IF(AND(H39&gt;0,OR(P39=0,Hoje-P39&gt;DiasParado)),"Parado",""))</f>
        <v>0</v>
      </c>
      <c r="S39" s="26">
        <f>IF($A39="","",IF(OR(Q39="RUPTURA",Q39="REPOR"),IF(J39="",0,MAX(0,J39-H39)),0))</f>
        <v>3</v>
      </c>
      <c r="T39" s="24">
        <f>IF($A39="","",M39*IF(N(Produtos!G39)&gt;0,Produtos!G39,K39))</f>
        <v>390.6</v>
      </c>
      <c r="U39" s="32">
        <f>IF($A39="","",IF(T39&gt;0,T39+ROW()/1000000000,""))</f>
        <v>390.600000039</v>
      </c>
      <c r="V39" s="31" t="str">
        <f>IF($A39="","",IF(U39="","C",INDEX('Curva ABC'!$H$5:$H$304,MATCH(U39,'Curva ABC'!$B$5:$B$304,0))))</f>
        <v>C</v>
      </c>
      <c r="W39" s="24">
        <f>IF($A39="","",IF(R39="Parado",L39,0))</f>
        <v>0</v>
      </c>
      <c r="X39" s="33">
        <f>IF($A39="","",IF(OR(Q39="RUPTURA",Q39="REPOR"),COUNTIF($Q$5:Q39,"RUPTURA")+COUNTIF($Q$5:Q39,"REPOR"),""))</f>
        <v>11</v>
      </c>
    </row>
    <row r="40" spans="1:24">
      <c r="A40" s="23" t="str">
        <f>IF(Produtos!A40="","",Produtos!A40)</f>
        <v>E036</v>
      </c>
      <c r="B40" s="23" t="str">
        <f>IF($A40="","",Produtos!B40&amp;"")</f>
        <v>Luva descartável (cx 100)</v>
      </c>
      <c r="C40" s="23" t="str">
        <f>IF($A40="","",Produtos!C40&amp;"")</f>
        <v>Limpeza</v>
      </c>
      <c r="D40" s="25" t="str">
        <f>IF($A40="","",Produtos!D40&amp;"")</f>
        <v>cx</v>
      </c>
      <c r="E40" s="26">
        <f>IF($A40="","",N(Produtos!H40))</f>
        <v>6</v>
      </c>
      <c r="F40" s="26">
        <f>IF($A40="","",SUMIFS(MovQtd,MovCod,$A40,MovTipo,"Entrada"))</f>
        <v>12</v>
      </c>
      <c r="G40" s="26">
        <f>IF($A40="","",SUMIFS(MovQtd,MovCod,$A40,MovTipo,"Saída"))</f>
        <v>14</v>
      </c>
      <c r="H40" s="27">
        <f>IF($A40="","",E40+F40-G40)</f>
        <v>4</v>
      </c>
      <c r="I40" s="26">
        <f>IF($A40="","",N(Produtos!I40))</f>
        <v>3</v>
      </c>
      <c r="J40" s="26">
        <f>IF($A40="","",IF(I40&gt;0,ROUNDUP(I40*FatMax,0),""))</f>
        <v>6</v>
      </c>
      <c r="K40" s="24">
        <f>IF($A40="","",N(Produtos!F40))</f>
        <v>21</v>
      </c>
      <c r="L40" s="24">
        <f>IF($A40="","",H40*K40)</f>
        <v>84</v>
      </c>
      <c r="M40" s="26">
        <f>IF($A40="","",SUMIFS(MovQtd,MovCod,$A40,MovTipo,"Saída",MovData,"&gt;="&amp;(Hoje-DiasAn),MovData,"&lt;="&amp;Hoje))</f>
        <v>13</v>
      </c>
      <c r="N40" s="28">
        <f>IF($A40="","",M40/DiasAn)</f>
        <v>0.144444444444444</v>
      </c>
      <c r="O40" s="29">
        <f>IF($A40="","",IF(N40&gt;0,H40/N40,"sem giro"))</f>
        <v>27.6923076923077</v>
      </c>
      <c r="P40" s="30">
        <f>IF($A40="","",SUMPRODUCT(MAX((MovCod=$A40)*(MovTipo="Saída")*MovData)))</f>
        <v>46297.0</v>
      </c>
      <c r="Q40" s="31" t="str">
        <f>IF($A40="","",IF(H40&lt;=0,"RUPTURA",IF(AND(I40&gt;0,H40&lt;=I40),"REPOR",IF(AND(J40&lt;&gt;"",H40&gt;J40),"EXCESSO","OK"))))</f>
        <v>OK</v>
      </c>
      <c r="R40" s="25">
        <f>IF($A40="","",IF(AND(H40&gt;0,OR(P40=0,Hoje-P40&gt;DiasParado)),"Parado",""))</f>
        <v>0</v>
      </c>
      <c r="S40" s="26">
        <f>IF($A40="","",IF(OR(Q40="RUPTURA",Q40="REPOR"),IF(J40="",0,MAX(0,J40-H40)),0))</f>
        <v>0</v>
      </c>
      <c r="T40" s="24">
        <f>IF($A40="","",M40*IF(N(Produtos!G40)&gt;0,Produtos!G40,K40))</f>
        <v>518.7</v>
      </c>
      <c r="U40" s="32">
        <f>IF($A40="","",IF(T40&gt;0,T40+ROW()/1000000000,""))</f>
        <v>518.70000004</v>
      </c>
      <c r="V40" s="31" t="str">
        <f>IF($A40="","",IF(U40="","C",INDEX('Curva ABC'!$H$5:$H$304,MATCH(U40,'Curva ABC'!$B$5:$B$304,0))))</f>
        <v>B</v>
      </c>
      <c r="W40" s="24">
        <f>IF($A40="","",IF(R40="Parado",L40,0))</f>
        <v>0</v>
      </c>
      <c r="X40" s="33">
        <f>IF($A40="","",IF(OR(Q40="RUPTURA",Q40="REPOR"),COUNTIF($Q$5:Q40,"RUPTURA")+COUNTIF($Q$5:Q40,"REPOR"),""))</f>
        <v>0</v>
      </c>
    </row>
    <row r="41" spans="1:24">
      <c r="A41" s="23" t="str">
        <f>IF(Produtos!A41="","",Produtos!A41)</f>
        <v>E037</v>
      </c>
      <c r="B41" s="23" t="str">
        <f>IF($A41="","",Produtos!B41&amp;"")</f>
        <v>Pote plástico 500ml (pct 12)</v>
      </c>
      <c r="C41" s="23" t="str">
        <f>IF($A41="","",Produtos!C41&amp;"")</f>
        <v>Embalagens</v>
      </c>
      <c r="D41" s="25" t="str">
        <f>IF($A41="","",Produtos!D41&amp;"")</f>
        <v>pct</v>
      </c>
      <c r="E41" s="26">
        <f>IF($A41="","",N(Produtos!H41))</f>
        <v>18</v>
      </c>
      <c r="F41" s="26">
        <f>IF($A41="","",SUMIFS(MovQtd,MovCod,$A41,MovTipo,"Entrada"))</f>
        <v>0</v>
      </c>
      <c r="G41" s="26">
        <f>IF($A41="","",SUMIFS(MovQtd,MovCod,$A41,MovTipo,"Saída"))</f>
        <v>14</v>
      </c>
      <c r="H41" s="27">
        <f>IF($A41="","",E41+F41-G41)</f>
        <v>4</v>
      </c>
      <c r="I41" s="26">
        <f>IF($A41="","",N(Produtos!I41))</f>
        <v>3</v>
      </c>
      <c r="J41" s="26">
        <f>IF($A41="","",IF(I41&gt;0,ROUNDUP(I41*FatMax,0),""))</f>
        <v>6</v>
      </c>
      <c r="K41" s="24">
        <f>IF($A41="","",N(Produtos!F41))</f>
        <v>11</v>
      </c>
      <c r="L41" s="24">
        <f>IF($A41="","",H41*K41)</f>
        <v>44</v>
      </c>
      <c r="M41" s="26">
        <f>IF($A41="","",SUMIFS(MovQtd,MovCod,$A41,MovTipo,"Saída",MovData,"&gt;="&amp;(Hoje-DiasAn),MovData,"&lt;="&amp;Hoje))</f>
        <v>13</v>
      </c>
      <c r="N41" s="28">
        <f>IF($A41="","",M41/DiasAn)</f>
        <v>0.144444444444444</v>
      </c>
      <c r="O41" s="29">
        <f>IF($A41="","",IF(N41&gt;0,H41/N41,"sem giro"))</f>
        <v>27.6923076923077</v>
      </c>
      <c r="P41" s="30">
        <f>IF($A41="","",SUMPRODUCT(MAX((MovCod=$A41)*(MovTipo="Saída")*MovData)))</f>
        <v>46298.0</v>
      </c>
      <c r="Q41" s="31" t="str">
        <f>IF($A41="","",IF(H41&lt;=0,"RUPTURA",IF(AND(I41&gt;0,H41&lt;=I41),"REPOR",IF(AND(J41&lt;&gt;"",H41&gt;J41),"EXCESSO","OK"))))</f>
        <v>OK</v>
      </c>
      <c r="R41" s="25">
        <f>IF($A41="","",IF(AND(H41&gt;0,OR(P41=0,Hoje-P41&gt;DiasParado)),"Parado",""))</f>
        <v>0</v>
      </c>
      <c r="S41" s="26">
        <f>IF($A41="","",IF(OR(Q41="RUPTURA",Q41="REPOR"),IF(J41="",0,MAX(0,J41-H41)),0))</f>
        <v>0</v>
      </c>
      <c r="T41" s="24">
        <f>IF($A41="","",M41*IF(N(Produtos!G41)&gt;0,Produtos!G41,K41))</f>
        <v>323.7</v>
      </c>
      <c r="U41" s="32">
        <f>IF($A41="","",IF(T41&gt;0,T41+ROW()/1000000000,""))</f>
        <v>323.700000041</v>
      </c>
      <c r="V41" s="31" t="str">
        <f>IF($A41="","",IF(U41="","C",INDEX('Curva ABC'!$H$5:$H$304,MATCH(U41,'Curva ABC'!$B$5:$B$304,0))))</f>
        <v>C</v>
      </c>
      <c r="W41" s="24">
        <f>IF($A41="","",IF(R41="Parado",L41,0))</f>
        <v>0</v>
      </c>
      <c r="X41" s="33">
        <f>IF($A41="","",IF(OR(Q41="RUPTURA",Q41="REPOR"),COUNTIF($Q$5:Q41,"RUPTURA")+COUNTIF($Q$5:Q41,"REPOR"),""))</f>
        <v>0</v>
      </c>
    </row>
    <row r="42" spans="1:24">
      <c r="A42" s="23" t="str">
        <f>IF(Produtos!A42="","",Produtos!A42)</f>
        <v>E038</v>
      </c>
      <c r="B42" s="23" t="str">
        <f>IF($A42="","",Produtos!B42&amp;"")</f>
        <v>Caixa organizadora</v>
      </c>
      <c r="C42" s="23" t="str">
        <f>IF($A42="","",Produtos!C42&amp;"")</f>
        <v>Presentes</v>
      </c>
      <c r="D42" s="25" t="str">
        <f>IF($A42="","",Produtos!D42&amp;"")</f>
        <v>un</v>
      </c>
      <c r="E42" s="26">
        <f>IF($A42="","",N(Produtos!H42))</f>
        <v>6</v>
      </c>
      <c r="F42" s="26">
        <f>IF($A42="","",SUMIFS(MovQtd,MovCod,$A42,MovTipo,"Entrada"))</f>
        <v>12</v>
      </c>
      <c r="G42" s="26">
        <f>IF($A42="","",SUMIFS(MovQtd,MovCod,$A42,MovTipo,"Saída"))</f>
        <v>15</v>
      </c>
      <c r="H42" s="27">
        <f>IF($A42="","",E42+F42-G42)</f>
        <v>3</v>
      </c>
      <c r="I42" s="26">
        <f>IF($A42="","",N(Produtos!I42))</f>
        <v>3</v>
      </c>
      <c r="J42" s="26">
        <f>IF($A42="","",IF(I42&gt;0,ROUNDUP(I42*FatMax,0),""))</f>
        <v>6</v>
      </c>
      <c r="K42" s="24">
        <f>IF($A42="","",N(Produtos!F42))</f>
        <v>18</v>
      </c>
      <c r="L42" s="24">
        <f>IF($A42="","",H42*K42)</f>
        <v>54</v>
      </c>
      <c r="M42" s="26">
        <f>IF($A42="","",SUMIFS(MovQtd,MovCod,$A42,MovTipo,"Saída",MovData,"&gt;="&amp;(Hoje-DiasAn),MovData,"&lt;="&amp;Hoje))</f>
        <v>14</v>
      </c>
      <c r="N42" s="28">
        <f>IF($A42="","",M42/DiasAn)</f>
        <v>0.155555555555556</v>
      </c>
      <c r="O42" s="29">
        <f>IF($A42="","",IF(N42&gt;0,H42/N42,"sem giro"))</f>
        <v>19.2857142857143</v>
      </c>
      <c r="P42" s="30">
        <f>IF($A42="","",SUMPRODUCT(MAX((MovCod=$A42)*(MovTipo="Saída")*MovData)))</f>
        <v>46302.0</v>
      </c>
      <c r="Q42" s="31" t="str">
        <f>IF($A42="","",IF(H42&lt;=0,"RUPTURA",IF(AND(I42&gt;0,H42&lt;=I42),"REPOR",IF(AND(J42&lt;&gt;"",H42&gt;J42),"EXCESSO","OK"))))</f>
        <v>REPOR</v>
      </c>
      <c r="R42" s="25">
        <f>IF($A42="","",IF(AND(H42&gt;0,OR(P42=0,Hoje-P42&gt;DiasParado)),"Parado",""))</f>
        <v>0</v>
      </c>
      <c r="S42" s="26">
        <f>IF($A42="","",IF(OR(Q42="RUPTURA",Q42="REPOR"),IF(J42="",0,MAX(0,J42-H42)),0))</f>
        <v>3</v>
      </c>
      <c r="T42" s="24">
        <f>IF($A42="","",M42*IF(N(Produtos!G42)&gt;0,Produtos!G42,K42))</f>
        <v>600.6</v>
      </c>
      <c r="U42" s="32">
        <f>IF($A42="","",IF(T42&gt;0,T42+ROW()/1000000000,""))</f>
        <v>600.600000042</v>
      </c>
      <c r="V42" s="31" t="str">
        <f>IF($A42="","",IF(U42="","C",INDEX('Curva ABC'!$H$5:$H$304,MATCH(U42,'Curva ABC'!$B$5:$B$304,0))))</f>
        <v>B</v>
      </c>
      <c r="W42" s="24">
        <f>IF($A42="","",IF(R42="Parado",L42,0))</f>
        <v>0</v>
      </c>
      <c r="X42" s="33">
        <f>IF($A42="","",IF(OR(Q42="RUPTURA",Q42="REPOR"),COUNTIF($Q$5:Q42,"RUPTURA")+COUNTIF($Q$5:Q42,"REPOR"),""))</f>
        <v>12</v>
      </c>
    </row>
    <row r="43" spans="1:24">
      <c r="A43" s="23" t="str">
        <f>IF(Produtos!A43="","",Produtos!A43)</f>
        <v>E039</v>
      </c>
      <c r="B43" s="23" t="str">
        <f>IF($A43="","",Produtos!B43&amp;"")</f>
        <v>Apontador com depósito</v>
      </c>
      <c r="C43" s="23" t="str">
        <f>IF($A43="","",Produtos!C43&amp;"")</f>
        <v>Escolar</v>
      </c>
      <c r="D43" s="25" t="str">
        <f>IF($A43="","",Produtos!D43&amp;"")</f>
        <v>un</v>
      </c>
      <c r="E43" s="26">
        <f>IF($A43="","",N(Produtos!H43))</f>
        <v>27</v>
      </c>
      <c r="F43" s="26">
        <f>IF($A43="","",SUMIFS(MovQtd,MovCod,$A43,MovTipo,"Entrada"))</f>
        <v>0</v>
      </c>
      <c r="G43" s="26">
        <f>IF($A43="","",SUMIFS(MovQtd,MovCod,$A43,MovTipo,"Saída"))</f>
        <v>2</v>
      </c>
      <c r="H43" s="27">
        <f>IF($A43="","",E43+F43-G43)</f>
        <v>25</v>
      </c>
      <c r="I43" s="26">
        <f>IF($A43="","",N(Produtos!I43))</f>
        <v>9</v>
      </c>
      <c r="J43" s="26">
        <f>IF($A43="","",IF(I43&gt;0,ROUNDUP(I43*FatMax,0),""))</f>
        <v>18</v>
      </c>
      <c r="K43" s="24">
        <f>IF($A43="","",N(Produtos!F43))</f>
        <v>1.4</v>
      </c>
      <c r="L43" s="24">
        <f>IF($A43="","",H43*K43)</f>
        <v>35</v>
      </c>
      <c r="M43" s="26">
        <f>IF($A43="","",SUMIFS(MovQtd,MovCod,$A43,MovTipo,"Saída",MovData,"&gt;="&amp;(Hoje-DiasAn),MovData,"&lt;="&amp;Hoje))</f>
        <v>0</v>
      </c>
      <c r="N43" s="28">
        <f>IF($A43="","",M43/DiasAn)</f>
        <v>0</v>
      </c>
      <c r="O43" s="29" t="str">
        <f>IF($A43="","",IF(N43&gt;0,H43/N43,"sem giro"))</f>
        <v>sem giro</v>
      </c>
      <c r="P43" s="30">
        <f>IF($A43="","",SUMPRODUCT(MAX((MovCod=$A43)*(MovTipo="Saída")*MovData)))</f>
        <v>46206.0</v>
      </c>
      <c r="Q43" s="31" t="str">
        <f>IF($A43="","",IF(H43&lt;=0,"RUPTURA",IF(AND(I43&gt;0,H43&lt;=I43),"REPOR",IF(AND(J43&lt;&gt;"",H43&gt;J43),"EXCESSO","OK"))))</f>
        <v>EXCESSO</v>
      </c>
      <c r="R43" s="25" t="str">
        <f>IF($A43="","",IF(AND(H43&gt;0,OR(P43=0,Hoje-P43&gt;DiasParado)),"Parado",""))</f>
        <v>Parado</v>
      </c>
      <c r="S43" s="26">
        <f>IF($A43="","",IF(OR(Q43="RUPTURA",Q43="REPOR"),IF(J43="",0,MAX(0,J43-H43)),0))</f>
        <v>0</v>
      </c>
      <c r="T43" s="24">
        <f>IF($A43="","",M43*IF(N(Produtos!G43)&gt;0,Produtos!G43,K43))</f>
        <v>0</v>
      </c>
      <c r="U43" s="32">
        <f>IF($A43="","",IF(T43&gt;0,T43+ROW()/1000000000,""))</f>
        <v>0</v>
      </c>
      <c r="V43" s="31" t="str">
        <f>IF($A43="","",IF(U43="","C",INDEX('Curva ABC'!$H$5:$H$304,MATCH(U43,'Curva ABC'!$B$5:$B$304,0))))</f>
        <v>C</v>
      </c>
      <c r="W43" s="24">
        <f>IF($A43="","",IF(R43="Parado",L43,0))</f>
        <v>35</v>
      </c>
      <c r="X43" s="33">
        <f>IF($A43="","",IF(OR(Q43="RUPTURA",Q43="REPOR"),COUNTIF($Q$5:Q43,"RUPTURA")+COUNTIF($Q$5:Q43,"REPOR"),""))</f>
        <v>0</v>
      </c>
    </row>
    <row r="44" spans="1:24">
      <c r="A44" s="23" t="str">
        <f>IF(Produtos!A44="","",Produtos!A44)</f>
        <v>E040</v>
      </c>
      <c r="B44" s="23" t="str">
        <f>IF($A44="","",Produtos!B44&amp;"")</f>
        <v>Porta-retrato 10x15</v>
      </c>
      <c r="C44" s="23" t="str">
        <f>IF($A44="","",Produtos!C44&amp;"")</f>
        <v>Presentes</v>
      </c>
      <c r="D44" s="25" t="str">
        <f>IF($A44="","",Produtos!D44&amp;"")</f>
        <v>un</v>
      </c>
      <c r="E44" s="26">
        <f>IF($A44="","",N(Produtos!H44))</f>
        <v>6</v>
      </c>
      <c r="F44" s="26">
        <f>IF($A44="","",SUMIFS(MovQtd,MovCod,$A44,MovTipo,"Entrada"))</f>
        <v>18</v>
      </c>
      <c r="G44" s="26">
        <f>IF($A44="","",SUMIFS(MovQtd,MovCod,$A44,MovTipo,"Saída"))</f>
        <v>18</v>
      </c>
      <c r="H44" s="27">
        <f>IF($A44="","",E44+F44-G44)</f>
        <v>6</v>
      </c>
      <c r="I44" s="26">
        <f>IF($A44="","",N(Produtos!I44))</f>
        <v>3</v>
      </c>
      <c r="J44" s="26">
        <f>IF($A44="","",IF(I44&gt;0,ROUNDUP(I44*FatMax,0),""))</f>
        <v>6</v>
      </c>
      <c r="K44" s="24">
        <f>IF($A44="","",N(Produtos!F44))</f>
        <v>6.2</v>
      </c>
      <c r="L44" s="24">
        <f>IF($A44="","",H44*K44)</f>
        <v>37.2</v>
      </c>
      <c r="M44" s="26">
        <f>IF($A44="","",SUMIFS(MovQtd,MovCod,$A44,MovTipo,"Saída",MovData,"&gt;="&amp;(Hoje-DiasAn),MovData,"&lt;="&amp;Hoje))</f>
        <v>16</v>
      </c>
      <c r="N44" s="28">
        <f>IF($A44="","",M44/DiasAn)</f>
        <v>0.177777777777778</v>
      </c>
      <c r="O44" s="29">
        <f>IF($A44="","",IF(N44&gt;0,H44/N44,"sem giro"))</f>
        <v>33.75</v>
      </c>
      <c r="P44" s="30">
        <f>IF($A44="","",SUMPRODUCT(MAX((MovCod=$A44)*(MovTipo="Saída")*MovData)))</f>
        <v>46297.0</v>
      </c>
      <c r="Q44" s="31" t="str">
        <f>IF($A44="","",IF(H44&lt;=0,"RUPTURA",IF(AND(I44&gt;0,H44&lt;=I44),"REPOR",IF(AND(J44&lt;&gt;"",H44&gt;J44),"EXCESSO","OK"))))</f>
        <v>OK</v>
      </c>
      <c r="R44" s="25">
        <f>IF($A44="","",IF(AND(H44&gt;0,OR(P44=0,Hoje-P44&gt;DiasParado)),"Parado",""))</f>
        <v>0</v>
      </c>
      <c r="S44" s="26">
        <f>IF($A44="","",IF(OR(Q44="RUPTURA",Q44="REPOR"),IF(J44="",0,MAX(0,J44-H44)),0))</f>
        <v>0</v>
      </c>
      <c r="T44" s="24">
        <f>IF($A44="","",M44*IF(N(Produtos!G44)&gt;0,Produtos!G44,K44))</f>
        <v>286.4</v>
      </c>
      <c r="U44" s="32">
        <f>IF($A44="","",IF(T44&gt;0,T44+ROW()/1000000000,""))</f>
        <v>286.400000044</v>
      </c>
      <c r="V44" s="31" t="str">
        <f>IF($A44="","",IF(U44="","C",INDEX('Curva ABC'!$H$5:$H$304,MATCH(U44,'Curva ABC'!$B$5:$B$304,0))))</f>
        <v>C</v>
      </c>
      <c r="W44" s="24">
        <f>IF($A44="","",IF(R44="Parado",L44,0))</f>
        <v>0</v>
      </c>
      <c r="X44" s="33">
        <f>IF($A44="","",IF(OR(Q44="RUPTURA",Q44="REPOR"),COUNTIF($Q$5:Q44,"RUPTURA")+COUNTIF($Q$5:Q44,"REPOR"),""))</f>
        <v>0</v>
      </c>
    </row>
    <row r="45" spans="1:24">
      <c r="A45" s="23">
        <f>IF(Produtos!A45="","",Produtos!A45)</f>
        <v>0</v>
      </c>
      <c r="B45" s="23">
        <f>IF($A45="","",Produtos!B45&amp;"")</f>
        <v>0</v>
      </c>
      <c r="C45" s="23">
        <f>IF($A45="","",Produtos!C45&amp;"")</f>
        <v>0</v>
      </c>
      <c r="D45" s="25">
        <f>IF($A45="","",Produtos!D45&amp;"")</f>
        <v>0</v>
      </c>
      <c r="E45" s="26">
        <f>IF($A45="","",N(Produtos!H45))</f>
        <v>0</v>
      </c>
      <c r="F45" s="26">
        <f>IF($A45="","",SUMIFS(MovQtd,MovCod,$A45,MovTipo,"Entrada"))</f>
        <v>0</v>
      </c>
      <c r="G45" s="26">
        <f>IF($A45="","",SUMIFS(MovQtd,MovCod,$A45,MovTipo,"Saída"))</f>
        <v>0</v>
      </c>
      <c r="H45" s="27">
        <f>IF($A45="","",E45+F45-G45)</f>
        <v>0</v>
      </c>
      <c r="I45" s="26">
        <f>IF($A45="","",N(Produtos!I45))</f>
        <v>0</v>
      </c>
      <c r="J45" s="26">
        <f>IF($A45="","",IF(I45&gt;0,ROUNDUP(I45*FatMax,0),""))</f>
        <v>0</v>
      </c>
      <c r="K45" s="24">
        <f>IF($A45="","",N(Produtos!F45))</f>
        <v>0</v>
      </c>
      <c r="L45" s="24">
        <f>IF($A45="","",H45*K45)</f>
        <v>0</v>
      </c>
      <c r="M45" s="26">
        <f>IF($A45="","",SUMIFS(MovQtd,MovCod,$A45,MovTipo,"Saída",MovData,"&gt;="&amp;(Hoje-DiasAn),MovData,"&lt;="&amp;Hoje))</f>
        <v>0</v>
      </c>
      <c r="N45" s="28">
        <f>IF($A45="","",M45/DiasAn)</f>
        <v>0</v>
      </c>
      <c r="O45" s="29">
        <f>IF($A45="","",IF(N45&gt;0,H45/N45,"sem giro"))</f>
        <v>0</v>
      </c>
      <c r="P45" s="30">
        <f>IF($A45="","",SUMPRODUCT(MAX((MovCod=$A45)*(MovTipo="Saída")*MovData)))</f>
        <v>0</v>
      </c>
      <c r="Q45" s="31">
        <f>IF($A45="","",IF(H45&lt;=0,"RUPTURA",IF(AND(I45&gt;0,H45&lt;=I45),"REPOR",IF(AND(J45&lt;&gt;"",H45&gt;J45),"EXCESSO","OK"))))</f>
        <v>0</v>
      </c>
      <c r="R45" s="25">
        <f>IF($A45="","",IF(AND(H45&gt;0,OR(P45=0,Hoje-P45&gt;DiasParado)),"Parado",""))</f>
        <v>0</v>
      </c>
      <c r="S45" s="26">
        <f>IF($A45="","",IF(OR(Q45="RUPTURA",Q45="REPOR"),IF(J45="",0,MAX(0,J45-H45)),0))</f>
        <v>0</v>
      </c>
      <c r="T45" s="24">
        <f>IF($A45="","",M45*IF(N(Produtos!G45)&gt;0,Produtos!G45,K45))</f>
        <v>0</v>
      </c>
      <c r="U45" s="32">
        <f>IF($A45="","",IF(T45&gt;0,T45+ROW()/1000000000,""))</f>
        <v>0</v>
      </c>
      <c r="V45" s="31">
        <f>IF($A45="","",IF(U45="","C",INDEX('Curva ABC'!$H$5:$H$304,MATCH(U45,'Curva ABC'!$B$5:$B$304,0))))</f>
        <v>0</v>
      </c>
      <c r="W45" s="24">
        <f>IF($A45="","",IF(R45="Parado",L45,0))</f>
        <v>0</v>
      </c>
      <c r="X45" s="33">
        <f>IF($A45="","",IF(OR(Q45="RUPTURA",Q45="REPOR"),COUNTIF($Q$5:Q45,"RUPTURA")+COUNTIF($Q$5:Q45,"REPOR"),""))</f>
        <v>0</v>
      </c>
    </row>
    <row r="46" spans="1:24">
      <c r="A46" s="23">
        <f>IF(Produtos!A46="","",Produtos!A46)</f>
        <v>0</v>
      </c>
      <c r="B46" s="23">
        <f>IF($A46="","",Produtos!B46&amp;"")</f>
        <v>0</v>
      </c>
      <c r="C46" s="23">
        <f>IF($A46="","",Produtos!C46&amp;"")</f>
        <v>0</v>
      </c>
      <c r="D46" s="25">
        <f>IF($A46="","",Produtos!D46&amp;"")</f>
        <v>0</v>
      </c>
      <c r="E46" s="26">
        <f>IF($A46="","",N(Produtos!H46))</f>
        <v>0</v>
      </c>
      <c r="F46" s="26">
        <f>IF($A46="","",SUMIFS(MovQtd,MovCod,$A46,MovTipo,"Entrada"))</f>
        <v>0</v>
      </c>
      <c r="G46" s="26">
        <f>IF($A46="","",SUMIFS(MovQtd,MovCod,$A46,MovTipo,"Saída"))</f>
        <v>0</v>
      </c>
      <c r="H46" s="27">
        <f>IF($A46="","",E46+F46-G46)</f>
        <v>0</v>
      </c>
      <c r="I46" s="26">
        <f>IF($A46="","",N(Produtos!I46))</f>
        <v>0</v>
      </c>
      <c r="J46" s="26">
        <f>IF($A46="","",IF(I46&gt;0,ROUNDUP(I46*FatMax,0),""))</f>
        <v>0</v>
      </c>
      <c r="K46" s="24">
        <f>IF($A46="","",N(Produtos!F46))</f>
        <v>0</v>
      </c>
      <c r="L46" s="24">
        <f>IF($A46="","",H46*K46)</f>
        <v>0</v>
      </c>
      <c r="M46" s="26">
        <f>IF($A46="","",SUMIFS(MovQtd,MovCod,$A46,MovTipo,"Saída",MovData,"&gt;="&amp;(Hoje-DiasAn),MovData,"&lt;="&amp;Hoje))</f>
        <v>0</v>
      </c>
      <c r="N46" s="28">
        <f>IF($A46="","",M46/DiasAn)</f>
        <v>0</v>
      </c>
      <c r="O46" s="29">
        <f>IF($A46="","",IF(N46&gt;0,H46/N46,"sem giro"))</f>
        <v>0</v>
      </c>
      <c r="P46" s="30">
        <f>IF($A46="","",SUMPRODUCT(MAX((MovCod=$A46)*(MovTipo="Saída")*MovData)))</f>
        <v>0</v>
      </c>
      <c r="Q46" s="31">
        <f>IF($A46="","",IF(H46&lt;=0,"RUPTURA",IF(AND(I46&gt;0,H46&lt;=I46),"REPOR",IF(AND(J46&lt;&gt;"",H46&gt;J46),"EXCESSO","OK"))))</f>
        <v>0</v>
      </c>
      <c r="R46" s="25">
        <f>IF($A46="","",IF(AND(H46&gt;0,OR(P46=0,Hoje-P46&gt;DiasParado)),"Parado",""))</f>
        <v>0</v>
      </c>
      <c r="S46" s="26">
        <f>IF($A46="","",IF(OR(Q46="RUPTURA",Q46="REPOR"),IF(J46="",0,MAX(0,J46-H46)),0))</f>
        <v>0</v>
      </c>
      <c r="T46" s="24">
        <f>IF($A46="","",M46*IF(N(Produtos!G46)&gt;0,Produtos!G46,K46))</f>
        <v>0</v>
      </c>
      <c r="U46" s="32">
        <f>IF($A46="","",IF(T46&gt;0,T46+ROW()/1000000000,""))</f>
        <v>0</v>
      </c>
      <c r="V46" s="31">
        <f>IF($A46="","",IF(U46="","C",INDEX('Curva ABC'!$H$5:$H$304,MATCH(U46,'Curva ABC'!$B$5:$B$304,0))))</f>
        <v>0</v>
      </c>
      <c r="W46" s="24">
        <f>IF($A46="","",IF(R46="Parado",L46,0))</f>
        <v>0</v>
      </c>
      <c r="X46" s="33">
        <f>IF($A46="","",IF(OR(Q46="RUPTURA",Q46="REPOR"),COUNTIF($Q$5:Q46,"RUPTURA")+COUNTIF($Q$5:Q46,"REPOR"),""))</f>
        <v>0</v>
      </c>
    </row>
    <row r="47" spans="1:24">
      <c r="A47" s="23">
        <f>IF(Produtos!A47="","",Produtos!A47)</f>
        <v>0</v>
      </c>
      <c r="B47" s="23">
        <f>IF($A47="","",Produtos!B47&amp;"")</f>
        <v>0</v>
      </c>
      <c r="C47" s="23">
        <f>IF($A47="","",Produtos!C47&amp;"")</f>
        <v>0</v>
      </c>
      <c r="D47" s="25">
        <f>IF($A47="","",Produtos!D47&amp;"")</f>
        <v>0</v>
      </c>
      <c r="E47" s="26">
        <f>IF($A47="","",N(Produtos!H47))</f>
        <v>0</v>
      </c>
      <c r="F47" s="26">
        <f>IF($A47="","",SUMIFS(MovQtd,MovCod,$A47,MovTipo,"Entrada"))</f>
        <v>0</v>
      </c>
      <c r="G47" s="26">
        <f>IF($A47="","",SUMIFS(MovQtd,MovCod,$A47,MovTipo,"Saída"))</f>
        <v>0</v>
      </c>
      <c r="H47" s="27">
        <f>IF($A47="","",E47+F47-G47)</f>
        <v>0</v>
      </c>
      <c r="I47" s="26">
        <f>IF($A47="","",N(Produtos!I47))</f>
        <v>0</v>
      </c>
      <c r="J47" s="26">
        <f>IF($A47="","",IF(I47&gt;0,ROUNDUP(I47*FatMax,0),""))</f>
        <v>0</v>
      </c>
      <c r="K47" s="24">
        <f>IF($A47="","",N(Produtos!F47))</f>
        <v>0</v>
      </c>
      <c r="L47" s="24">
        <f>IF($A47="","",H47*K47)</f>
        <v>0</v>
      </c>
      <c r="M47" s="26">
        <f>IF($A47="","",SUMIFS(MovQtd,MovCod,$A47,MovTipo,"Saída",MovData,"&gt;="&amp;(Hoje-DiasAn),MovData,"&lt;="&amp;Hoje))</f>
        <v>0</v>
      </c>
      <c r="N47" s="28">
        <f>IF($A47="","",M47/DiasAn)</f>
        <v>0</v>
      </c>
      <c r="O47" s="29">
        <f>IF($A47="","",IF(N47&gt;0,H47/N47,"sem giro"))</f>
        <v>0</v>
      </c>
      <c r="P47" s="30">
        <f>IF($A47="","",SUMPRODUCT(MAX((MovCod=$A47)*(MovTipo="Saída")*MovData)))</f>
        <v>0</v>
      </c>
      <c r="Q47" s="31">
        <f>IF($A47="","",IF(H47&lt;=0,"RUPTURA",IF(AND(I47&gt;0,H47&lt;=I47),"REPOR",IF(AND(J47&lt;&gt;"",H47&gt;J47),"EXCESSO","OK"))))</f>
        <v>0</v>
      </c>
      <c r="R47" s="25">
        <f>IF($A47="","",IF(AND(H47&gt;0,OR(P47=0,Hoje-P47&gt;DiasParado)),"Parado",""))</f>
        <v>0</v>
      </c>
      <c r="S47" s="26">
        <f>IF($A47="","",IF(OR(Q47="RUPTURA",Q47="REPOR"),IF(J47="",0,MAX(0,J47-H47)),0))</f>
        <v>0</v>
      </c>
      <c r="T47" s="24">
        <f>IF($A47="","",M47*IF(N(Produtos!G47)&gt;0,Produtos!G47,K47))</f>
        <v>0</v>
      </c>
      <c r="U47" s="32">
        <f>IF($A47="","",IF(T47&gt;0,T47+ROW()/1000000000,""))</f>
        <v>0</v>
      </c>
      <c r="V47" s="31">
        <f>IF($A47="","",IF(U47="","C",INDEX('Curva ABC'!$H$5:$H$304,MATCH(U47,'Curva ABC'!$B$5:$B$304,0))))</f>
        <v>0</v>
      </c>
      <c r="W47" s="24">
        <f>IF($A47="","",IF(R47="Parado",L47,0))</f>
        <v>0</v>
      </c>
      <c r="X47" s="33">
        <f>IF($A47="","",IF(OR(Q47="RUPTURA",Q47="REPOR"),COUNTIF($Q$5:Q47,"RUPTURA")+COUNTIF($Q$5:Q47,"REPOR"),""))</f>
        <v>0</v>
      </c>
    </row>
    <row r="48" spans="1:24">
      <c r="A48" s="23">
        <f>IF(Produtos!A48="","",Produtos!A48)</f>
        <v>0</v>
      </c>
      <c r="B48" s="23">
        <f>IF($A48="","",Produtos!B48&amp;"")</f>
        <v>0</v>
      </c>
      <c r="C48" s="23">
        <f>IF($A48="","",Produtos!C48&amp;"")</f>
        <v>0</v>
      </c>
      <c r="D48" s="25">
        <f>IF($A48="","",Produtos!D48&amp;"")</f>
        <v>0</v>
      </c>
      <c r="E48" s="26">
        <f>IF($A48="","",N(Produtos!H48))</f>
        <v>0</v>
      </c>
      <c r="F48" s="26">
        <f>IF($A48="","",SUMIFS(MovQtd,MovCod,$A48,MovTipo,"Entrada"))</f>
        <v>0</v>
      </c>
      <c r="G48" s="26">
        <f>IF($A48="","",SUMIFS(MovQtd,MovCod,$A48,MovTipo,"Saída"))</f>
        <v>0</v>
      </c>
      <c r="H48" s="27">
        <f>IF($A48="","",E48+F48-G48)</f>
        <v>0</v>
      </c>
      <c r="I48" s="26">
        <f>IF($A48="","",N(Produtos!I48))</f>
        <v>0</v>
      </c>
      <c r="J48" s="26">
        <f>IF($A48="","",IF(I48&gt;0,ROUNDUP(I48*FatMax,0),""))</f>
        <v>0</v>
      </c>
      <c r="K48" s="24">
        <f>IF($A48="","",N(Produtos!F48))</f>
        <v>0</v>
      </c>
      <c r="L48" s="24">
        <f>IF($A48="","",H48*K48)</f>
        <v>0</v>
      </c>
      <c r="M48" s="26">
        <f>IF($A48="","",SUMIFS(MovQtd,MovCod,$A48,MovTipo,"Saída",MovData,"&gt;="&amp;(Hoje-DiasAn),MovData,"&lt;="&amp;Hoje))</f>
        <v>0</v>
      </c>
      <c r="N48" s="28">
        <f>IF($A48="","",M48/DiasAn)</f>
        <v>0</v>
      </c>
      <c r="O48" s="29">
        <f>IF($A48="","",IF(N48&gt;0,H48/N48,"sem giro"))</f>
        <v>0</v>
      </c>
      <c r="P48" s="30">
        <f>IF($A48="","",SUMPRODUCT(MAX((MovCod=$A48)*(MovTipo="Saída")*MovData)))</f>
        <v>0</v>
      </c>
      <c r="Q48" s="31">
        <f>IF($A48="","",IF(H48&lt;=0,"RUPTURA",IF(AND(I48&gt;0,H48&lt;=I48),"REPOR",IF(AND(J48&lt;&gt;"",H48&gt;J48),"EXCESSO","OK"))))</f>
        <v>0</v>
      </c>
      <c r="R48" s="25">
        <f>IF($A48="","",IF(AND(H48&gt;0,OR(P48=0,Hoje-P48&gt;DiasParado)),"Parado",""))</f>
        <v>0</v>
      </c>
      <c r="S48" s="26">
        <f>IF($A48="","",IF(OR(Q48="RUPTURA",Q48="REPOR"),IF(J48="",0,MAX(0,J48-H48)),0))</f>
        <v>0</v>
      </c>
      <c r="T48" s="24">
        <f>IF($A48="","",M48*IF(N(Produtos!G48)&gt;0,Produtos!G48,K48))</f>
        <v>0</v>
      </c>
      <c r="U48" s="32">
        <f>IF($A48="","",IF(T48&gt;0,T48+ROW()/1000000000,""))</f>
        <v>0</v>
      </c>
      <c r="V48" s="31">
        <f>IF($A48="","",IF(U48="","C",INDEX('Curva ABC'!$H$5:$H$304,MATCH(U48,'Curva ABC'!$B$5:$B$304,0))))</f>
        <v>0</v>
      </c>
      <c r="W48" s="24">
        <f>IF($A48="","",IF(R48="Parado",L48,0))</f>
        <v>0</v>
      </c>
      <c r="X48" s="33">
        <f>IF($A48="","",IF(OR(Q48="RUPTURA",Q48="REPOR"),COUNTIF($Q$5:Q48,"RUPTURA")+COUNTIF($Q$5:Q48,"REPOR"),""))</f>
        <v>0</v>
      </c>
    </row>
    <row r="49" spans="1:24">
      <c r="A49" s="23">
        <f>IF(Produtos!A49="","",Produtos!A49)</f>
        <v>0</v>
      </c>
      <c r="B49" s="23">
        <f>IF($A49="","",Produtos!B49&amp;"")</f>
        <v>0</v>
      </c>
      <c r="C49" s="23">
        <f>IF($A49="","",Produtos!C49&amp;"")</f>
        <v>0</v>
      </c>
      <c r="D49" s="25">
        <f>IF($A49="","",Produtos!D49&amp;"")</f>
        <v>0</v>
      </c>
      <c r="E49" s="26">
        <f>IF($A49="","",N(Produtos!H49))</f>
        <v>0</v>
      </c>
      <c r="F49" s="26">
        <f>IF($A49="","",SUMIFS(MovQtd,MovCod,$A49,MovTipo,"Entrada"))</f>
        <v>0</v>
      </c>
      <c r="G49" s="26">
        <f>IF($A49="","",SUMIFS(MovQtd,MovCod,$A49,MovTipo,"Saída"))</f>
        <v>0</v>
      </c>
      <c r="H49" s="27">
        <f>IF($A49="","",E49+F49-G49)</f>
        <v>0</v>
      </c>
      <c r="I49" s="26">
        <f>IF($A49="","",N(Produtos!I49))</f>
        <v>0</v>
      </c>
      <c r="J49" s="26">
        <f>IF($A49="","",IF(I49&gt;0,ROUNDUP(I49*FatMax,0),""))</f>
        <v>0</v>
      </c>
      <c r="K49" s="24">
        <f>IF($A49="","",N(Produtos!F49))</f>
        <v>0</v>
      </c>
      <c r="L49" s="24">
        <f>IF($A49="","",H49*K49)</f>
        <v>0</v>
      </c>
      <c r="M49" s="26">
        <f>IF($A49="","",SUMIFS(MovQtd,MovCod,$A49,MovTipo,"Saída",MovData,"&gt;="&amp;(Hoje-DiasAn),MovData,"&lt;="&amp;Hoje))</f>
        <v>0</v>
      </c>
      <c r="N49" s="28">
        <f>IF($A49="","",M49/DiasAn)</f>
        <v>0</v>
      </c>
      <c r="O49" s="29">
        <f>IF($A49="","",IF(N49&gt;0,H49/N49,"sem giro"))</f>
        <v>0</v>
      </c>
      <c r="P49" s="30">
        <f>IF($A49="","",SUMPRODUCT(MAX((MovCod=$A49)*(MovTipo="Saída")*MovData)))</f>
        <v>0</v>
      </c>
      <c r="Q49" s="31">
        <f>IF($A49="","",IF(H49&lt;=0,"RUPTURA",IF(AND(I49&gt;0,H49&lt;=I49),"REPOR",IF(AND(J49&lt;&gt;"",H49&gt;J49),"EXCESSO","OK"))))</f>
        <v>0</v>
      </c>
      <c r="R49" s="25">
        <f>IF($A49="","",IF(AND(H49&gt;0,OR(P49=0,Hoje-P49&gt;DiasParado)),"Parado",""))</f>
        <v>0</v>
      </c>
      <c r="S49" s="26">
        <f>IF($A49="","",IF(OR(Q49="RUPTURA",Q49="REPOR"),IF(J49="",0,MAX(0,J49-H49)),0))</f>
        <v>0</v>
      </c>
      <c r="T49" s="24">
        <f>IF($A49="","",M49*IF(N(Produtos!G49)&gt;0,Produtos!G49,K49))</f>
        <v>0</v>
      </c>
      <c r="U49" s="32">
        <f>IF($A49="","",IF(T49&gt;0,T49+ROW()/1000000000,""))</f>
        <v>0</v>
      </c>
      <c r="V49" s="31">
        <f>IF($A49="","",IF(U49="","C",INDEX('Curva ABC'!$H$5:$H$304,MATCH(U49,'Curva ABC'!$B$5:$B$304,0))))</f>
        <v>0</v>
      </c>
      <c r="W49" s="24">
        <f>IF($A49="","",IF(R49="Parado",L49,0))</f>
        <v>0</v>
      </c>
      <c r="X49" s="33">
        <f>IF($A49="","",IF(OR(Q49="RUPTURA",Q49="REPOR"),COUNTIF($Q$5:Q49,"RUPTURA")+COUNTIF($Q$5:Q49,"REPOR"),""))</f>
        <v>0</v>
      </c>
    </row>
    <row r="50" spans="1:24">
      <c r="A50" s="23">
        <f>IF(Produtos!A50="","",Produtos!A50)</f>
        <v>0</v>
      </c>
      <c r="B50" s="23">
        <f>IF($A50="","",Produtos!B50&amp;"")</f>
        <v>0</v>
      </c>
      <c r="C50" s="23">
        <f>IF($A50="","",Produtos!C50&amp;"")</f>
        <v>0</v>
      </c>
      <c r="D50" s="25">
        <f>IF($A50="","",Produtos!D50&amp;"")</f>
        <v>0</v>
      </c>
      <c r="E50" s="26">
        <f>IF($A50="","",N(Produtos!H50))</f>
        <v>0</v>
      </c>
      <c r="F50" s="26">
        <f>IF($A50="","",SUMIFS(MovQtd,MovCod,$A50,MovTipo,"Entrada"))</f>
        <v>0</v>
      </c>
      <c r="G50" s="26">
        <f>IF($A50="","",SUMIFS(MovQtd,MovCod,$A50,MovTipo,"Saída"))</f>
        <v>0</v>
      </c>
      <c r="H50" s="27">
        <f>IF($A50="","",E50+F50-G50)</f>
        <v>0</v>
      </c>
      <c r="I50" s="26">
        <f>IF($A50="","",N(Produtos!I50))</f>
        <v>0</v>
      </c>
      <c r="J50" s="26">
        <f>IF($A50="","",IF(I50&gt;0,ROUNDUP(I50*FatMax,0),""))</f>
        <v>0</v>
      </c>
      <c r="K50" s="24">
        <f>IF($A50="","",N(Produtos!F50))</f>
        <v>0</v>
      </c>
      <c r="L50" s="24">
        <f>IF($A50="","",H50*K50)</f>
        <v>0</v>
      </c>
      <c r="M50" s="26">
        <f>IF($A50="","",SUMIFS(MovQtd,MovCod,$A50,MovTipo,"Saída",MovData,"&gt;="&amp;(Hoje-DiasAn),MovData,"&lt;="&amp;Hoje))</f>
        <v>0</v>
      </c>
      <c r="N50" s="28">
        <f>IF($A50="","",M50/DiasAn)</f>
        <v>0</v>
      </c>
      <c r="O50" s="29">
        <f>IF($A50="","",IF(N50&gt;0,H50/N50,"sem giro"))</f>
        <v>0</v>
      </c>
      <c r="P50" s="30">
        <f>IF($A50="","",SUMPRODUCT(MAX((MovCod=$A50)*(MovTipo="Saída")*MovData)))</f>
        <v>0</v>
      </c>
      <c r="Q50" s="31">
        <f>IF($A50="","",IF(H50&lt;=0,"RUPTURA",IF(AND(I50&gt;0,H50&lt;=I50),"REPOR",IF(AND(J50&lt;&gt;"",H50&gt;J50),"EXCESSO","OK"))))</f>
        <v>0</v>
      </c>
      <c r="R50" s="25">
        <f>IF($A50="","",IF(AND(H50&gt;0,OR(P50=0,Hoje-P50&gt;DiasParado)),"Parado",""))</f>
        <v>0</v>
      </c>
      <c r="S50" s="26">
        <f>IF($A50="","",IF(OR(Q50="RUPTURA",Q50="REPOR"),IF(J50="",0,MAX(0,J50-H50)),0))</f>
        <v>0</v>
      </c>
      <c r="T50" s="24">
        <f>IF($A50="","",M50*IF(N(Produtos!G50)&gt;0,Produtos!G50,K50))</f>
        <v>0</v>
      </c>
      <c r="U50" s="32">
        <f>IF($A50="","",IF(T50&gt;0,T50+ROW()/1000000000,""))</f>
        <v>0</v>
      </c>
      <c r="V50" s="31">
        <f>IF($A50="","",IF(U50="","C",INDEX('Curva ABC'!$H$5:$H$304,MATCH(U50,'Curva ABC'!$B$5:$B$304,0))))</f>
        <v>0</v>
      </c>
      <c r="W50" s="24">
        <f>IF($A50="","",IF(R50="Parado",L50,0))</f>
        <v>0</v>
      </c>
      <c r="X50" s="33">
        <f>IF($A50="","",IF(OR(Q50="RUPTURA",Q50="REPOR"),COUNTIF($Q$5:Q50,"RUPTURA")+COUNTIF($Q$5:Q50,"REPOR"),""))</f>
        <v>0</v>
      </c>
    </row>
    <row r="51" spans="1:24">
      <c r="A51" s="23">
        <f>IF(Produtos!A51="","",Produtos!A51)</f>
        <v>0</v>
      </c>
      <c r="B51" s="23">
        <f>IF($A51="","",Produtos!B51&amp;"")</f>
        <v>0</v>
      </c>
      <c r="C51" s="23">
        <f>IF($A51="","",Produtos!C51&amp;"")</f>
        <v>0</v>
      </c>
      <c r="D51" s="25">
        <f>IF($A51="","",Produtos!D51&amp;"")</f>
        <v>0</v>
      </c>
      <c r="E51" s="26">
        <f>IF($A51="","",N(Produtos!H51))</f>
        <v>0</v>
      </c>
      <c r="F51" s="26">
        <f>IF($A51="","",SUMIFS(MovQtd,MovCod,$A51,MovTipo,"Entrada"))</f>
        <v>0</v>
      </c>
      <c r="G51" s="26">
        <f>IF($A51="","",SUMIFS(MovQtd,MovCod,$A51,MovTipo,"Saída"))</f>
        <v>0</v>
      </c>
      <c r="H51" s="27">
        <f>IF($A51="","",E51+F51-G51)</f>
        <v>0</v>
      </c>
      <c r="I51" s="26">
        <f>IF($A51="","",N(Produtos!I51))</f>
        <v>0</v>
      </c>
      <c r="J51" s="26">
        <f>IF($A51="","",IF(I51&gt;0,ROUNDUP(I51*FatMax,0),""))</f>
        <v>0</v>
      </c>
      <c r="K51" s="24">
        <f>IF($A51="","",N(Produtos!F51))</f>
        <v>0</v>
      </c>
      <c r="L51" s="24">
        <f>IF($A51="","",H51*K51)</f>
        <v>0</v>
      </c>
      <c r="M51" s="26">
        <f>IF($A51="","",SUMIFS(MovQtd,MovCod,$A51,MovTipo,"Saída",MovData,"&gt;="&amp;(Hoje-DiasAn),MovData,"&lt;="&amp;Hoje))</f>
        <v>0</v>
      </c>
      <c r="N51" s="28">
        <f>IF($A51="","",M51/DiasAn)</f>
        <v>0</v>
      </c>
      <c r="O51" s="29">
        <f>IF($A51="","",IF(N51&gt;0,H51/N51,"sem giro"))</f>
        <v>0</v>
      </c>
      <c r="P51" s="30">
        <f>IF($A51="","",SUMPRODUCT(MAX((MovCod=$A51)*(MovTipo="Saída")*MovData)))</f>
        <v>0</v>
      </c>
      <c r="Q51" s="31">
        <f>IF($A51="","",IF(H51&lt;=0,"RUPTURA",IF(AND(I51&gt;0,H51&lt;=I51),"REPOR",IF(AND(J51&lt;&gt;"",H51&gt;J51),"EXCESSO","OK"))))</f>
        <v>0</v>
      </c>
      <c r="R51" s="25">
        <f>IF($A51="","",IF(AND(H51&gt;0,OR(P51=0,Hoje-P51&gt;DiasParado)),"Parado",""))</f>
        <v>0</v>
      </c>
      <c r="S51" s="26">
        <f>IF($A51="","",IF(OR(Q51="RUPTURA",Q51="REPOR"),IF(J51="",0,MAX(0,J51-H51)),0))</f>
        <v>0</v>
      </c>
      <c r="T51" s="24">
        <f>IF($A51="","",M51*IF(N(Produtos!G51)&gt;0,Produtos!G51,K51))</f>
        <v>0</v>
      </c>
      <c r="U51" s="32">
        <f>IF($A51="","",IF(T51&gt;0,T51+ROW()/1000000000,""))</f>
        <v>0</v>
      </c>
      <c r="V51" s="31">
        <f>IF($A51="","",IF(U51="","C",INDEX('Curva ABC'!$H$5:$H$304,MATCH(U51,'Curva ABC'!$B$5:$B$304,0))))</f>
        <v>0</v>
      </c>
      <c r="W51" s="24">
        <f>IF($A51="","",IF(R51="Parado",L51,0))</f>
        <v>0</v>
      </c>
      <c r="X51" s="33">
        <f>IF($A51="","",IF(OR(Q51="RUPTURA",Q51="REPOR"),COUNTIF($Q$5:Q51,"RUPTURA")+COUNTIF($Q$5:Q51,"REPOR"),""))</f>
        <v>0</v>
      </c>
    </row>
    <row r="52" spans="1:24">
      <c r="A52" s="23">
        <f>IF(Produtos!A52="","",Produtos!A52)</f>
        <v>0</v>
      </c>
      <c r="B52" s="23">
        <f>IF($A52="","",Produtos!B52&amp;"")</f>
        <v>0</v>
      </c>
      <c r="C52" s="23">
        <f>IF($A52="","",Produtos!C52&amp;"")</f>
        <v>0</v>
      </c>
      <c r="D52" s="25">
        <f>IF($A52="","",Produtos!D52&amp;"")</f>
        <v>0</v>
      </c>
      <c r="E52" s="26">
        <f>IF($A52="","",N(Produtos!H52))</f>
        <v>0</v>
      </c>
      <c r="F52" s="26">
        <f>IF($A52="","",SUMIFS(MovQtd,MovCod,$A52,MovTipo,"Entrada"))</f>
        <v>0</v>
      </c>
      <c r="G52" s="26">
        <f>IF($A52="","",SUMIFS(MovQtd,MovCod,$A52,MovTipo,"Saída"))</f>
        <v>0</v>
      </c>
      <c r="H52" s="27">
        <f>IF($A52="","",E52+F52-G52)</f>
        <v>0</v>
      </c>
      <c r="I52" s="26">
        <f>IF($A52="","",N(Produtos!I52))</f>
        <v>0</v>
      </c>
      <c r="J52" s="26">
        <f>IF($A52="","",IF(I52&gt;0,ROUNDUP(I52*FatMax,0),""))</f>
        <v>0</v>
      </c>
      <c r="K52" s="24">
        <f>IF($A52="","",N(Produtos!F52))</f>
        <v>0</v>
      </c>
      <c r="L52" s="24">
        <f>IF($A52="","",H52*K52)</f>
        <v>0</v>
      </c>
      <c r="M52" s="26">
        <f>IF($A52="","",SUMIFS(MovQtd,MovCod,$A52,MovTipo,"Saída",MovData,"&gt;="&amp;(Hoje-DiasAn),MovData,"&lt;="&amp;Hoje))</f>
        <v>0</v>
      </c>
      <c r="N52" s="28">
        <f>IF($A52="","",M52/DiasAn)</f>
        <v>0</v>
      </c>
      <c r="O52" s="29">
        <f>IF($A52="","",IF(N52&gt;0,H52/N52,"sem giro"))</f>
        <v>0</v>
      </c>
      <c r="P52" s="30">
        <f>IF($A52="","",SUMPRODUCT(MAX((MovCod=$A52)*(MovTipo="Saída")*MovData)))</f>
        <v>0</v>
      </c>
      <c r="Q52" s="31">
        <f>IF($A52="","",IF(H52&lt;=0,"RUPTURA",IF(AND(I52&gt;0,H52&lt;=I52),"REPOR",IF(AND(J52&lt;&gt;"",H52&gt;J52),"EXCESSO","OK"))))</f>
        <v>0</v>
      </c>
      <c r="R52" s="25">
        <f>IF($A52="","",IF(AND(H52&gt;0,OR(P52=0,Hoje-P52&gt;DiasParado)),"Parado",""))</f>
        <v>0</v>
      </c>
      <c r="S52" s="26">
        <f>IF($A52="","",IF(OR(Q52="RUPTURA",Q52="REPOR"),IF(J52="",0,MAX(0,J52-H52)),0))</f>
        <v>0</v>
      </c>
      <c r="T52" s="24">
        <f>IF($A52="","",M52*IF(N(Produtos!G52)&gt;0,Produtos!G52,K52))</f>
        <v>0</v>
      </c>
      <c r="U52" s="32">
        <f>IF($A52="","",IF(T52&gt;0,T52+ROW()/1000000000,""))</f>
        <v>0</v>
      </c>
      <c r="V52" s="31">
        <f>IF($A52="","",IF(U52="","C",INDEX('Curva ABC'!$H$5:$H$304,MATCH(U52,'Curva ABC'!$B$5:$B$304,0))))</f>
        <v>0</v>
      </c>
      <c r="W52" s="24">
        <f>IF($A52="","",IF(R52="Parado",L52,0))</f>
        <v>0</v>
      </c>
      <c r="X52" s="33">
        <f>IF($A52="","",IF(OR(Q52="RUPTURA",Q52="REPOR"),COUNTIF($Q$5:Q52,"RUPTURA")+COUNTIF($Q$5:Q52,"REPOR"),""))</f>
        <v>0</v>
      </c>
    </row>
    <row r="53" spans="1:24">
      <c r="A53" s="23">
        <f>IF(Produtos!A53="","",Produtos!A53)</f>
        <v>0</v>
      </c>
      <c r="B53" s="23">
        <f>IF($A53="","",Produtos!B53&amp;"")</f>
        <v>0</v>
      </c>
      <c r="C53" s="23">
        <f>IF($A53="","",Produtos!C53&amp;"")</f>
        <v>0</v>
      </c>
      <c r="D53" s="25">
        <f>IF($A53="","",Produtos!D53&amp;"")</f>
        <v>0</v>
      </c>
      <c r="E53" s="26">
        <f>IF($A53="","",N(Produtos!H53))</f>
        <v>0</v>
      </c>
      <c r="F53" s="26">
        <f>IF($A53="","",SUMIFS(MovQtd,MovCod,$A53,MovTipo,"Entrada"))</f>
        <v>0</v>
      </c>
      <c r="G53" s="26">
        <f>IF($A53="","",SUMIFS(MovQtd,MovCod,$A53,MovTipo,"Saída"))</f>
        <v>0</v>
      </c>
      <c r="H53" s="27">
        <f>IF($A53="","",E53+F53-G53)</f>
        <v>0</v>
      </c>
      <c r="I53" s="26">
        <f>IF($A53="","",N(Produtos!I53))</f>
        <v>0</v>
      </c>
      <c r="J53" s="26">
        <f>IF($A53="","",IF(I53&gt;0,ROUNDUP(I53*FatMax,0),""))</f>
        <v>0</v>
      </c>
      <c r="K53" s="24">
        <f>IF($A53="","",N(Produtos!F53))</f>
        <v>0</v>
      </c>
      <c r="L53" s="24">
        <f>IF($A53="","",H53*K53)</f>
        <v>0</v>
      </c>
      <c r="M53" s="26">
        <f>IF($A53="","",SUMIFS(MovQtd,MovCod,$A53,MovTipo,"Saída",MovData,"&gt;="&amp;(Hoje-DiasAn),MovData,"&lt;="&amp;Hoje))</f>
        <v>0</v>
      </c>
      <c r="N53" s="28">
        <f>IF($A53="","",M53/DiasAn)</f>
        <v>0</v>
      </c>
      <c r="O53" s="29">
        <f>IF($A53="","",IF(N53&gt;0,H53/N53,"sem giro"))</f>
        <v>0</v>
      </c>
      <c r="P53" s="30">
        <f>IF($A53="","",SUMPRODUCT(MAX((MovCod=$A53)*(MovTipo="Saída")*MovData)))</f>
        <v>0</v>
      </c>
      <c r="Q53" s="31">
        <f>IF($A53="","",IF(H53&lt;=0,"RUPTURA",IF(AND(I53&gt;0,H53&lt;=I53),"REPOR",IF(AND(J53&lt;&gt;"",H53&gt;J53),"EXCESSO","OK"))))</f>
        <v>0</v>
      </c>
      <c r="R53" s="25">
        <f>IF($A53="","",IF(AND(H53&gt;0,OR(P53=0,Hoje-P53&gt;DiasParado)),"Parado",""))</f>
        <v>0</v>
      </c>
      <c r="S53" s="26">
        <f>IF($A53="","",IF(OR(Q53="RUPTURA",Q53="REPOR"),IF(J53="",0,MAX(0,J53-H53)),0))</f>
        <v>0</v>
      </c>
      <c r="T53" s="24">
        <f>IF($A53="","",M53*IF(N(Produtos!G53)&gt;0,Produtos!G53,K53))</f>
        <v>0</v>
      </c>
      <c r="U53" s="32">
        <f>IF($A53="","",IF(T53&gt;0,T53+ROW()/1000000000,""))</f>
        <v>0</v>
      </c>
      <c r="V53" s="31">
        <f>IF($A53="","",IF(U53="","C",INDEX('Curva ABC'!$H$5:$H$304,MATCH(U53,'Curva ABC'!$B$5:$B$304,0))))</f>
        <v>0</v>
      </c>
      <c r="W53" s="24">
        <f>IF($A53="","",IF(R53="Parado",L53,0))</f>
        <v>0</v>
      </c>
      <c r="X53" s="33">
        <f>IF($A53="","",IF(OR(Q53="RUPTURA",Q53="REPOR"),COUNTIF($Q$5:Q53,"RUPTURA")+COUNTIF($Q$5:Q53,"REPOR"),""))</f>
        <v>0</v>
      </c>
    </row>
    <row r="54" spans="1:24">
      <c r="A54" s="23">
        <f>IF(Produtos!A54="","",Produtos!A54)</f>
        <v>0</v>
      </c>
      <c r="B54" s="23">
        <f>IF($A54="","",Produtos!B54&amp;"")</f>
        <v>0</v>
      </c>
      <c r="C54" s="23">
        <f>IF($A54="","",Produtos!C54&amp;"")</f>
        <v>0</v>
      </c>
      <c r="D54" s="25">
        <f>IF($A54="","",Produtos!D54&amp;"")</f>
        <v>0</v>
      </c>
      <c r="E54" s="26">
        <f>IF($A54="","",N(Produtos!H54))</f>
        <v>0</v>
      </c>
      <c r="F54" s="26">
        <f>IF($A54="","",SUMIFS(MovQtd,MovCod,$A54,MovTipo,"Entrada"))</f>
        <v>0</v>
      </c>
      <c r="G54" s="26">
        <f>IF($A54="","",SUMIFS(MovQtd,MovCod,$A54,MovTipo,"Saída"))</f>
        <v>0</v>
      </c>
      <c r="H54" s="27">
        <f>IF($A54="","",E54+F54-G54)</f>
        <v>0</v>
      </c>
      <c r="I54" s="26">
        <f>IF($A54="","",N(Produtos!I54))</f>
        <v>0</v>
      </c>
      <c r="J54" s="26">
        <f>IF($A54="","",IF(I54&gt;0,ROUNDUP(I54*FatMax,0),""))</f>
        <v>0</v>
      </c>
      <c r="K54" s="24">
        <f>IF($A54="","",N(Produtos!F54))</f>
        <v>0</v>
      </c>
      <c r="L54" s="24">
        <f>IF($A54="","",H54*K54)</f>
        <v>0</v>
      </c>
      <c r="M54" s="26">
        <f>IF($A54="","",SUMIFS(MovQtd,MovCod,$A54,MovTipo,"Saída",MovData,"&gt;="&amp;(Hoje-DiasAn),MovData,"&lt;="&amp;Hoje))</f>
        <v>0</v>
      </c>
      <c r="N54" s="28">
        <f>IF($A54="","",M54/DiasAn)</f>
        <v>0</v>
      </c>
      <c r="O54" s="29">
        <f>IF($A54="","",IF(N54&gt;0,H54/N54,"sem giro"))</f>
        <v>0</v>
      </c>
      <c r="P54" s="30">
        <f>IF($A54="","",SUMPRODUCT(MAX((MovCod=$A54)*(MovTipo="Saída")*MovData)))</f>
        <v>0</v>
      </c>
      <c r="Q54" s="31">
        <f>IF($A54="","",IF(H54&lt;=0,"RUPTURA",IF(AND(I54&gt;0,H54&lt;=I54),"REPOR",IF(AND(J54&lt;&gt;"",H54&gt;J54),"EXCESSO","OK"))))</f>
        <v>0</v>
      </c>
      <c r="R54" s="25">
        <f>IF($A54="","",IF(AND(H54&gt;0,OR(P54=0,Hoje-P54&gt;DiasParado)),"Parado",""))</f>
        <v>0</v>
      </c>
      <c r="S54" s="26">
        <f>IF($A54="","",IF(OR(Q54="RUPTURA",Q54="REPOR"),IF(J54="",0,MAX(0,J54-H54)),0))</f>
        <v>0</v>
      </c>
      <c r="T54" s="24">
        <f>IF($A54="","",M54*IF(N(Produtos!G54)&gt;0,Produtos!G54,K54))</f>
        <v>0</v>
      </c>
      <c r="U54" s="32">
        <f>IF($A54="","",IF(T54&gt;0,T54+ROW()/1000000000,""))</f>
        <v>0</v>
      </c>
      <c r="V54" s="31">
        <f>IF($A54="","",IF(U54="","C",INDEX('Curva ABC'!$H$5:$H$304,MATCH(U54,'Curva ABC'!$B$5:$B$304,0))))</f>
        <v>0</v>
      </c>
      <c r="W54" s="24">
        <f>IF($A54="","",IF(R54="Parado",L54,0))</f>
        <v>0</v>
      </c>
      <c r="X54" s="33">
        <f>IF($A54="","",IF(OR(Q54="RUPTURA",Q54="REPOR"),COUNTIF($Q$5:Q54,"RUPTURA")+COUNTIF($Q$5:Q54,"REPOR"),""))</f>
        <v>0</v>
      </c>
    </row>
    <row r="55" spans="1:24">
      <c r="A55" s="23">
        <f>IF(Produtos!A55="","",Produtos!A55)</f>
        <v>0</v>
      </c>
      <c r="B55" s="23">
        <f>IF($A55="","",Produtos!B55&amp;"")</f>
        <v>0</v>
      </c>
      <c r="C55" s="23">
        <f>IF($A55="","",Produtos!C55&amp;"")</f>
        <v>0</v>
      </c>
      <c r="D55" s="25">
        <f>IF($A55="","",Produtos!D55&amp;"")</f>
        <v>0</v>
      </c>
      <c r="E55" s="26">
        <f>IF($A55="","",N(Produtos!H55))</f>
        <v>0</v>
      </c>
      <c r="F55" s="26">
        <f>IF($A55="","",SUMIFS(MovQtd,MovCod,$A55,MovTipo,"Entrada"))</f>
        <v>0</v>
      </c>
      <c r="G55" s="26">
        <f>IF($A55="","",SUMIFS(MovQtd,MovCod,$A55,MovTipo,"Saída"))</f>
        <v>0</v>
      </c>
      <c r="H55" s="27">
        <f>IF($A55="","",E55+F55-G55)</f>
        <v>0</v>
      </c>
      <c r="I55" s="26">
        <f>IF($A55="","",N(Produtos!I55))</f>
        <v>0</v>
      </c>
      <c r="J55" s="26">
        <f>IF($A55="","",IF(I55&gt;0,ROUNDUP(I55*FatMax,0),""))</f>
        <v>0</v>
      </c>
      <c r="K55" s="24">
        <f>IF($A55="","",N(Produtos!F55))</f>
        <v>0</v>
      </c>
      <c r="L55" s="24">
        <f>IF($A55="","",H55*K55)</f>
        <v>0</v>
      </c>
      <c r="M55" s="26">
        <f>IF($A55="","",SUMIFS(MovQtd,MovCod,$A55,MovTipo,"Saída",MovData,"&gt;="&amp;(Hoje-DiasAn),MovData,"&lt;="&amp;Hoje))</f>
        <v>0</v>
      </c>
      <c r="N55" s="28">
        <f>IF($A55="","",M55/DiasAn)</f>
        <v>0</v>
      </c>
      <c r="O55" s="29">
        <f>IF($A55="","",IF(N55&gt;0,H55/N55,"sem giro"))</f>
        <v>0</v>
      </c>
      <c r="P55" s="30">
        <f>IF($A55="","",SUMPRODUCT(MAX((MovCod=$A55)*(MovTipo="Saída")*MovData)))</f>
        <v>0</v>
      </c>
      <c r="Q55" s="31">
        <f>IF($A55="","",IF(H55&lt;=0,"RUPTURA",IF(AND(I55&gt;0,H55&lt;=I55),"REPOR",IF(AND(J55&lt;&gt;"",H55&gt;J55),"EXCESSO","OK"))))</f>
        <v>0</v>
      </c>
      <c r="R55" s="25">
        <f>IF($A55="","",IF(AND(H55&gt;0,OR(P55=0,Hoje-P55&gt;DiasParado)),"Parado",""))</f>
        <v>0</v>
      </c>
      <c r="S55" s="26">
        <f>IF($A55="","",IF(OR(Q55="RUPTURA",Q55="REPOR"),IF(J55="",0,MAX(0,J55-H55)),0))</f>
        <v>0</v>
      </c>
      <c r="T55" s="24">
        <f>IF($A55="","",M55*IF(N(Produtos!G55)&gt;0,Produtos!G55,K55))</f>
        <v>0</v>
      </c>
      <c r="U55" s="32">
        <f>IF($A55="","",IF(T55&gt;0,T55+ROW()/1000000000,""))</f>
        <v>0</v>
      </c>
      <c r="V55" s="31">
        <f>IF($A55="","",IF(U55="","C",INDEX('Curva ABC'!$H$5:$H$304,MATCH(U55,'Curva ABC'!$B$5:$B$304,0))))</f>
        <v>0</v>
      </c>
      <c r="W55" s="24">
        <f>IF($A55="","",IF(R55="Parado",L55,0))</f>
        <v>0</v>
      </c>
      <c r="X55" s="33">
        <f>IF($A55="","",IF(OR(Q55="RUPTURA",Q55="REPOR"),COUNTIF($Q$5:Q55,"RUPTURA")+COUNTIF($Q$5:Q55,"REPOR"),""))</f>
        <v>0</v>
      </c>
    </row>
    <row r="56" spans="1:24">
      <c r="A56" s="23">
        <f>IF(Produtos!A56="","",Produtos!A56)</f>
        <v>0</v>
      </c>
      <c r="B56" s="23">
        <f>IF($A56="","",Produtos!B56&amp;"")</f>
        <v>0</v>
      </c>
      <c r="C56" s="23">
        <f>IF($A56="","",Produtos!C56&amp;"")</f>
        <v>0</v>
      </c>
      <c r="D56" s="25">
        <f>IF($A56="","",Produtos!D56&amp;"")</f>
        <v>0</v>
      </c>
      <c r="E56" s="26">
        <f>IF($A56="","",N(Produtos!H56))</f>
        <v>0</v>
      </c>
      <c r="F56" s="26">
        <f>IF($A56="","",SUMIFS(MovQtd,MovCod,$A56,MovTipo,"Entrada"))</f>
        <v>0</v>
      </c>
      <c r="G56" s="26">
        <f>IF($A56="","",SUMIFS(MovQtd,MovCod,$A56,MovTipo,"Saída"))</f>
        <v>0</v>
      </c>
      <c r="H56" s="27">
        <f>IF($A56="","",E56+F56-G56)</f>
        <v>0</v>
      </c>
      <c r="I56" s="26">
        <f>IF($A56="","",N(Produtos!I56))</f>
        <v>0</v>
      </c>
      <c r="J56" s="26">
        <f>IF($A56="","",IF(I56&gt;0,ROUNDUP(I56*FatMax,0),""))</f>
        <v>0</v>
      </c>
      <c r="K56" s="24">
        <f>IF($A56="","",N(Produtos!F56))</f>
        <v>0</v>
      </c>
      <c r="L56" s="24">
        <f>IF($A56="","",H56*K56)</f>
        <v>0</v>
      </c>
      <c r="M56" s="26">
        <f>IF($A56="","",SUMIFS(MovQtd,MovCod,$A56,MovTipo,"Saída",MovData,"&gt;="&amp;(Hoje-DiasAn),MovData,"&lt;="&amp;Hoje))</f>
        <v>0</v>
      </c>
      <c r="N56" s="28">
        <f>IF($A56="","",M56/DiasAn)</f>
        <v>0</v>
      </c>
      <c r="O56" s="29">
        <f>IF($A56="","",IF(N56&gt;0,H56/N56,"sem giro"))</f>
        <v>0</v>
      </c>
      <c r="P56" s="30">
        <f>IF($A56="","",SUMPRODUCT(MAX((MovCod=$A56)*(MovTipo="Saída")*MovData)))</f>
        <v>0</v>
      </c>
      <c r="Q56" s="31">
        <f>IF($A56="","",IF(H56&lt;=0,"RUPTURA",IF(AND(I56&gt;0,H56&lt;=I56),"REPOR",IF(AND(J56&lt;&gt;"",H56&gt;J56),"EXCESSO","OK"))))</f>
        <v>0</v>
      </c>
      <c r="R56" s="25">
        <f>IF($A56="","",IF(AND(H56&gt;0,OR(P56=0,Hoje-P56&gt;DiasParado)),"Parado",""))</f>
        <v>0</v>
      </c>
      <c r="S56" s="26">
        <f>IF($A56="","",IF(OR(Q56="RUPTURA",Q56="REPOR"),IF(J56="",0,MAX(0,J56-H56)),0))</f>
        <v>0</v>
      </c>
      <c r="T56" s="24">
        <f>IF($A56="","",M56*IF(N(Produtos!G56)&gt;0,Produtos!G56,K56))</f>
        <v>0</v>
      </c>
      <c r="U56" s="32">
        <f>IF($A56="","",IF(T56&gt;0,T56+ROW()/1000000000,""))</f>
        <v>0</v>
      </c>
      <c r="V56" s="31">
        <f>IF($A56="","",IF(U56="","C",INDEX('Curva ABC'!$H$5:$H$304,MATCH(U56,'Curva ABC'!$B$5:$B$304,0))))</f>
        <v>0</v>
      </c>
      <c r="W56" s="24">
        <f>IF($A56="","",IF(R56="Parado",L56,0))</f>
        <v>0</v>
      </c>
      <c r="X56" s="33">
        <f>IF($A56="","",IF(OR(Q56="RUPTURA",Q56="REPOR"),COUNTIF($Q$5:Q56,"RUPTURA")+COUNTIF($Q$5:Q56,"REPOR"),""))</f>
        <v>0</v>
      </c>
    </row>
    <row r="57" spans="1:24">
      <c r="A57" s="23">
        <f>IF(Produtos!A57="","",Produtos!A57)</f>
        <v>0</v>
      </c>
      <c r="B57" s="23">
        <f>IF($A57="","",Produtos!B57&amp;"")</f>
        <v>0</v>
      </c>
      <c r="C57" s="23">
        <f>IF($A57="","",Produtos!C57&amp;"")</f>
        <v>0</v>
      </c>
      <c r="D57" s="25">
        <f>IF($A57="","",Produtos!D57&amp;"")</f>
        <v>0</v>
      </c>
      <c r="E57" s="26">
        <f>IF($A57="","",N(Produtos!H57))</f>
        <v>0</v>
      </c>
      <c r="F57" s="26">
        <f>IF($A57="","",SUMIFS(MovQtd,MovCod,$A57,MovTipo,"Entrada"))</f>
        <v>0</v>
      </c>
      <c r="G57" s="26">
        <f>IF($A57="","",SUMIFS(MovQtd,MovCod,$A57,MovTipo,"Saída"))</f>
        <v>0</v>
      </c>
      <c r="H57" s="27">
        <f>IF($A57="","",E57+F57-G57)</f>
        <v>0</v>
      </c>
      <c r="I57" s="26">
        <f>IF($A57="","",N(Produtos!I57))</f>
        <v>0</v>
      </c>
      <c r="J57" s="26">
        <f>IF($A57="","",IF(I57&gt;0,ROUNDUP(I57*FatMax,0),""))</f>
        <v>0</v>
      </c>
      <c r="K57" s="24">
        <f>IF($A57="","",N(Produtos!F57))</f>
        <v>0</v>
      </c>
      <c r="L57" s="24">
        <f>IF($A57="","",H57*K57)</f>
        <v>0</v>
      </c>
      <c r="M57" s="26">
        <f>IF($A57="","",SUMIFS(MovQtd,MovCod,$A57,MovTipo,"Saída",MovData,"&gt;="&amp;(Hoje-DiasAn),MovData,"&lt;="&amp;Hoje))</f>
        <v>0</v>
      </c>
      <c r="N57" s="28">
        <f>IF($A57="","",M57/DiasAn)</f>
        <v>0</v>
      </c>
      <c r="O57" s="29">
        <f>IF($A57="","",IF(N57&gt;0,H57/N57,"sem giro"))</f>
        <v>0</v>
      </c>
      <c r="P57" s="30">
        <f>IF($A57="","",SUMPRODUCT(MAX((MovCod=$A57)*(MovTipo="Saída")*MovData)))</f>
        <v>0</v>
      </c>
      <c r="Q57" s="31">
        <f>IF($A57="","",IF(H57&lt;=0,"RUPTURA",IF(AND(I57&gt;0,H57&lt;=I57),"REPOR",IF(AND(J57&lt;&gt;"",H57&gt;J57),"EXCESSO","OK"))))</f>
        <v>0</v>
      </c>
      <c r="R57" s="25">
        <f>IF($A57="","",IF(AND(H57&gt;0,OR(P57=0,Hoje-P57&gt;DiasParado)),"Parado",""))</f>
        <v>0</v>
      </c>
      <c r="S57" s="26">
        <f>IF($A57="","",IF(OR(Q57="RUPTURA",Q57="REPOR"),IF(J57="",0,MAX(0,J57-H57)),0))</f>
        <v>0</v>
      </c>
      <c r="T57" s="24">
        <f>IF($A57="","",M57*IF(N(Produtos!G57)&gt;0,Produtos!G57,K57))</f>
        <v>0</v>
      </c>
      <c r="U57" s="32">
        <f>IF($A57="","",IF(T57&gt;0,T57+ROW()/1000000000,""))</f>
        <v>0</v>
      </c>
      <c r="V57" s="31">
        <f>IF($A57="","",IF(U57="","C",INDEX('Curva ABC'!$H$5:$H$304,MATCH(U57,'Curva ABC'!$B$5:$B$304,0))))</f>
        <v>0</v>
      </c>
      <c r="W57" s="24">
        <f>IF($A57="","",IF(R57="Parado",L57,0))</f>
        <v>0</v>
      </c>
      <c r="X57" s="33">
        <f>IF($A57="","",IF(OR(Q57="RUPTURA",Q57="REPOR"),COUNTIF($Q$5:Q57,"RUPTURA")+COUNTIF($Q$5:Q57,"REPOR"),""))</f>
        <v>0</v>
      </c>
    </row>
    <row r="58" spans="1:24">
      <c r="A58" s="23">
        <f>IF(Produtos!A58="","",Produtos!A58)</f>
        <v>0</v>
      </c>
      <c r="B58" s="23">
        <f>IF($A58="","",Produtos!B58&amp;"")</f>
        <v>0</v>
      </c>
      <c r="C58" s="23">
        <f>IF($A58="","",Produtos!C58&amp;"")</f>
        <v>0</v>
      </c>
      <c r="D58" s="25">
        <f>IF($A58="","",Produtos!D58&amp;"")</f>
        <v>0</v>
      </c>
      <c r="E58" s="26">
        <f>IF($A58="","",N(Produtos!H58))</f>
        <v>0</v>
      </c>
      <c r="F58" s="26">
        <f>IF($A58="","",SUMIFS(MovQtd,MovCod,$A58,MovTipo,"Entrada"))</f>
        <v>0</v>
      </c>
      <c r="G58" s="26">
        <f>IF($A58="","",SUMIFS(MovQtd,MovCod,$A58,MovTipo,"Saída"))</f>
        <v>0</v>
      </c>
      <c r="H58" s="27">
        <f>IF($A58="","",E58+F58-G58)</f>
        <v>0</v>
      </c>
      <c r="I58" s="26">
        <f>IF($A58="","",N(Produtos!I58))</f>
        <v>0</v>
      </c>
      <c r="J58" s="26">
        <f>IF($A58="","",IF(I58&gt;0,ROUNDUP(I58*FatMax,0),""))</f>
        <v>0</v>
      </c>
      <c r="K58" s="24">
        <f>IF($A58="","",N(Produtos!F58))</f>
        <v>0</v>
      </c>
      <c r="L58" s="24">
        <f>IF($A58="","",H58*K58)</f>
        <v>0</v>
      </c>
      <c r="M58" s="26">
        <f>IF($A58="","",SUMIFS(MovQtd,MovCod,$A58,MovTipo,"Saída",MovData,"&gt;="&amp;(Hoje-DiasAn),MovData,"&lt;="&amp;Hoje))</f>
        <v>0</v>
      </c>
      <c r="N58" s="28">
        <f>IF($A58="","",M58/DiasAn)</f>
        <v>0</v>
      </c>
      <c r="O58" s="29">
        <f>IF($A58="","",IF(N58&gt;0,H58/N58,"sem giro"))</f>
        <v>0</v>
      </c>
      <c r="P58" s="30">
        <f>IF($A58="","",SUMPRODUCT(MAX((MovCod=$A58)*(MovTipo="Saída")*MovData)))</f>
        <v>0</v>
      </c>
      <c r="Q58" s="31">
        <f>IF($A58="","",IF(H58&lt;=0,"RUPTURA",IF(AND(I58&gt;0,H58&lt;=I58),"REPOR",IF(AND(J58&lt;&gt;"",H58&gt;J58),"EXCESSO","OK"))))</f>
        <v>0</v>
      </c>
      <c r="R58" s="25">
        <f>IF($A58="","",IF(AND(H58&gt;0,OR(P58=0,Hoje-P58&gt;DiasParado)),"Parado",""))</f>
        <v>0</v>
      </c>
      <c r="S58" s="26">
        <f>IF($A58="","",IF(OR(Q58="RUPTURA",Q58="REPOR"),IF(J58="",0,MAX(0,J58-H58)),0))</f>
        <v>0</v>
      </c>
      <c r="T58" s="24">
        <f>IF($A58="","",M58*IF(N(Produtos!G58)&gt;0,Produtos!G58,K58))</f>
        <v>0</v>
      </c>
      <c r="U58" s="32">
        <f>IF($A58="","",IF(T58&gt;0,T58+ROW()/1000000000,""))</f>
        <v>0</v>
      </c>
      <c r="V58" s="31">
        <f>IF($A58="","",IF(U58="","C",INDEX('Curva ABC'!$H$5:$H$304,MATCH(U58,'Curva ABC'!$B$5:$B$304,0))))</f>
        <v>0</v>
      </c>
      <c r="W58" s="24">
        <f>IF($A58="","",IF(R58="Parado",L58,0))</f>
        <v>0</v>
      </c>
      <c r="X58" s="33">
        <f>IF($A58="","",IF(OR(Q58="RUPTURA",Q58="REPOR"),COUNTIF($Q$5:Q58,"RUPTURA")+COUNTIF($Q$5:Q58,"REPOR"),""))</f>
        <v>0</v>
      </c>
    </row>
    <row r="59" spans="1:24">
      <c r="A59" s="23">
        <f>IF(Produtos!A59="","",Produtos!A59)</f>
        <v>0</v>
      </c>
      <c r="B59" s="23">
        <f>IF($A59="","",Produtos!B59&amp;"")</f>
        <v>0</v>
      </c>
      <c r="C59" s="23">
        <f>IF($A59="","",Produtos!C59&amp;"")</f>
        <v>0</v>
      </c>
      <c r="D59" s="25">
        <f>IF($A59="","",Produtos!D59&amp;"")</f>
        <v>0</v>
      </c>
      <c r="E59" s="26">
        <f>IF($A59="","",N(Produtos!H59))</f>
        <v>0</v>
      </c>
      <c r="F59" s="26">
        <f>IF($A59="","",SUMIFS(MovQtd,MovCod,$A59,MovTipo,"Entrada"))</f>
        <v>0</v>
      </c>
      <c r="G59" s="26">
        <f>IF($A59="","",SUMIFS(MovQtd,MovCod,$A59,MovTipo,"Saída"))</f>
        <v>0</v>
      </c>
      <c r="H59" s="27">
        <f>IF($A59="","",E59+F59-G59)</f>
        <v>0</v>
      </c>
      <c r="I59" s="26">
        <f>IF($A59="","",N(Produtos!I59))</f>
        <v>0</v>
      </c>
      <c r="J59" s="26">
        <f>IF($A59="","",IF(I59&gt;0,ROUNDUP(I59*FatMax,0),""))</f>
        <v>0</v>
      </c>
      <c r="K59" s="24">
        <f>IF($A59="","",N(Produtos!F59))</f>
        <v>0</v>
      </c>
      <c r="L59" s="24">
        <f>IF($A59="","",H59*K59)</f>
        <v>0</v>
      </c>
      <c r="M59" s="26">
        <f>IF($A59="","",SUMIFS(MovQtd,MovCod,$A59,MovTipo,"Saída",MovData,"&gt;="&amp;(Hoje-DiasAn),MovData,"&lt;="&amp;Hoje))</f>
        <v>0</v>
      </c>
      <c r="N59" s="28">
        <f>IF($A59="","",M59/DiasAn)</f>
        <v>0</v>
      </c>
      <c r="O59" s="29">
        <f>IF($A59="","",IF(N59&gt;0,H59/N59,"sem giro"))</f>
        <v>0</v>
      </c>
      <c r="P59" s="30">
        <f>IF($A59="","",SUMPRODUCT(MAX((MovCod=$A59)*(MovTipo="Saída")*MovData)))</f>
        <v>0</v>
      </c>
      <c r="Q59" s="31">
        <f>IF($A59="","",IF(H59&lt;=0,"RUPTURA",IF(AND(I59&gt;0,H59&lt;=I59),"REPOR",IF(AND(J59&lt;&gt;"",H59&gt;J59),"EXCESSO","OK"))))</f>
        <v>0</v>
      </c>
      <c r="R59" s="25">
        <f>IF($A59="","",IF(AND(H59&gt;0,OR(P59=0,Hoje-P59&gt;DiasParado)),"Parado",""))</f>
        <v>0</v>
      </c>
      <c r="S59" s="26">
        <f>IF($A59="","",IF(OR(Q59="RUPTURA",Q59="REPOR"),IF(J59="",0,MAX(0,J59-H59)),0))</f>
        <v>0</v>
      </c>
      <c r="T59" s="24">
        <f>IF($A59="","",M59*IF(N(Produtos!G59)&gt;0,Produtos!G59,K59))</f>
        <v>0</v>
      </c>
      <c r="U59" s="32">
        <f>IF($A59="","",IF(T59&gt;0,T59+ROW()/1000000000,""))</f>
        <v>0</v>
      </c>
      <c r="V59" s="31">
        <f>IF($A59="","",IF(U59="","C",INDEX('Curva ABC'!$H$5:$H$304,MATCH(U59,'Curva ABC'!$B$5:$B$304,0))))</f>
        <v>0</v>
      </c>
      <c r="W59" s="24">
        <f>IF($A59="","",IF(R59="Parado",L59,0))</f>
        <v>0</v>
      </c>
      <c r="X59" s="33">
        <f>IF($A59="","",IF(OR(Q59="RUPTURA",Q59="REPOR"),COUNTIF($Q$5:Q59,"RUPTURA")+COUNTIF($Q$5:Q59,"REPOR"),""))</f>
        <v>0</v>
      </c>
    </row>
    <row r="60" spans="1:24">
      <c r="A60" s="23">
        <f>IF(Produtos!A60="","",Produtos!A60)</f>
        <v>0</v>
      </c>
      <c r="B60" s="23">
        <f>IF($A60="","",Produtos!B60&amp;"")</f>
        <v>0</v>
      </c>
      <c r="C60" s="23">
        <f>IF($A60="","",Produtos!C60&amp;"")</f>
        <v>0</v>
      </c>
      <c r="D60" s="25">
        <f>IF($A60="","",Produtos!D60&amp;"")</f>
        <v>0</v>
      </c>
      <c r="E60" s="26">
        <f>IF($A60="","",N(Produtos!H60))</f>
        <v>0</v>
      </c>
      <c r="F60" s="26">
        <f>IF($A60="","",SUMIFS(MovQtd,MovCod,$A60,MovTipo,"Entrada"))</f>
        <v>0</v>
      </c>
      <c r="G60" s="26">
        <f>IF($A60="","",SUMIFS(MovQtd,MovCod,$A60,MovTipo,"Saída"))</f>
        <v>0</v>
      </c>
      <c r="H60" s="27">
        <f>IF($A60="","",E60+F60-G60)</f>
        <v>0</v>
      </c>
      <c r="I60" s="26">
        <f>IF($A60="","",N(Produtos!I60))</f>
        <v>0</v>
      </c>
      <c r="J60" s="26">
        <f>IF($A60="","",IF(I60&gt;0,ROUNDUP(I60*FatMax,0),""))</f>
        <v>0</v>
      </c>
      <c r="K60" s="24">
        <f>IF($A60="","",N(Produtos!F60))</f>
        <v>0</v>
      </c>
      <c r="L60" s="24">
        <f>IF($A60="","",H60*K60)</f>
        <v>0</v>
      </c>
      <c r="M60" s="26">
        <f>IF($A60="","",SUMIFS(MovQtd,MovCod,$A60,MovTipo,"Saída",MovData,"&gt;="&amp;(Hoje-DiasAn),MovData,"&lt;="&amp;Hoje))</f>
        <v>0</v>
      </c>
      <c r="N60" s="28">
        <f>IF($A60="","",M60/DiasAn)</f>
        <v>0</v>
      </c>
      <c r="O60" s="29">
        <f>IF($A60="","",IF(N60&gt;0,H60/N60,"sem giro"))</f>
        <v>0</v>
      </c>
      <c r="P60" s="30">
        <f>IF($A60="","",SUMPRODUCT(MAX((MovCod=$A60)*(MovTipo="Saída")*MovData)))</f>
        <v>0</v>
      </c>
      <c r="Q60" s="31">
        <f>IF($A60="","",IF(H60&lt;=0,"RUPTURA",IF(AND(I60&gt;0,H60&lt;=I60),"REPOR",IF(AND(J60&lt;&gt;"",H60&gt;J60),"EXCESSO","OK"))))</f>
        <v>0</v>
      </c>
      <c r="R60" s="25">
        <f>IF($A60="","",IF(AND(H60&gt;0,OR(P60=0,Hoje-P60&gt;DiasParado)),"Parado",""))</f>
        <v>0</v>
      </c>
      <c r="S60" s="26">
        <f>IF($A60="","",IF(OR(Q60="RUPTURA",Q60="REPOR"),IF(J60="",0,MAX(0,J60-H60)),0))</f>
        <v>0</v>
      </c>
      <c r="T60" s="24">
        <f>IF($A60="","",M60*IF(N(Produtos!G60)&gt;0,Produtos!G60,K60))</f>
        <v>0</v>
      </c>
      <c r="U60" s="32">
        <f>IF($A60="","",IF(T60&gt;0,T60+ROW()/1000000000,""))</f>
        <v>0</v>
      </c>
      <c r="V60" s="31">
        <f>IF($A60="","",IF(U60="","C",INDEX('Curva ABC'!$H$5:$H$304,MATCH(U60,'Curva ABC'!$B$5:$B$304,0))))</f>
        <v>0</v>
      </c>
      <c r="W60" s="24">
        <f>IF($A60="","",IF(R60="Parado",L60,0))</f>
        <v>0</v>
      </c>
      <c r="X60" s="33">
        <f>IF($A60="","",IF(OR(Q60="RUPTURA",Q60="REPOR"),COUNTIF($Q$5:Q60,"RUPTURA")+COUNTIF($Q$5:Q60,"REPOR"),""))</f>
        <v>0</v>
      </c>
    </row>
    <row r="61" spans="1:24">
      <c r="A61" s="23">
        <f>IF(Produtos!A61="","",Produtos!A61)</f>
        <v>0</v>
      </c>
      <c r="B61" s="23">
        <f>IF($A61="","",Produtos!B61&amp;"")</f>
        <v>0</v>
      </c>
      <c r="C61" s="23">
        <f>IF($A61="","",Produtos!C61&amp;"")</f>
        <v>0</v>
      </c>
      <c r="D61" s="25">
        <f>IF($A61="","",Produtos!D61&amp;"")</f>
        <v>0</v>
      </c>
      <c r="E61" s="26">
        <f>IF($A61="","",N(Produtos!H61))</f>
        <v>0</v>
      </c>
      <c r="F61" s="26">
        <f>IF($A61="","",SUMIFS(MovQtd,MovCod,$A61,MovTipo,"Entrada"))</f>
        <v>0</v>
      </c>
      <c r="G61" s="26">
        <f>IF($A61="","",SUMIFS(MovQtd,MovCod,$A61,MovTipo,"Saída"))</f>
        <v>0</v>
      </c>
      <c r="H61" s="27">
        <f>IF($A61="","",E61+F61-G61)</f>
        <v>0</v>
      </c>
      <c r="I61" s="26">
        <f>IF($A61="","",N(Produtos!I61))</f>
        <v>0</v>
      </c>
      <c r="J61" s="26">
        <f>IF($A61="","",IF(I61&gt;0,ROUNDUP(I61*FatMax,0),""))</f>
        <v>0</v>
      </c>
      <c r="K61" s="24">
        <f>IF($A61="","",N(Produtos!F61))</f>
        <v>0</v>
      </c>
      <c r="L61" s="24">
        <f>IF($A61="","",H61*K61)</f>
        <v>0</v>
      </c>
      <c r="M61" s="26">
        <f>IF($A61="","",SUMIFS(MovQtd,MovCod,$A61,MovTipo,"Saída",MovData,"&gt;="&amp;(Hoje-DiasAn),MovData,"&lt;="&amp;Hoje))</f>
        <v>0</v>
      </c>
      <c r="N61" s="28">
        <f>IF($A61="","",M61/DiasAn)</f>
        <v>0</v>
      </c>
      <c r="O61" s="29">
        <f>IF($A61="","",IF(N61&gt;0,H61/N61,"sem giro"))</f>
        <v>0</v>
      </c>
      <c r="P61" s="30">
        <f>IF($A61="","",SUMPRODUCT(MAX((MovCod=$A61)*(MovTipo="Saída")*MovData)))</f>
        <v>0</v>
      </c>
      <c r="Q61" s="31">
        <f>IF($A61="","",IF(H61&lt;=0,"RUPTURA",IF(AND(I61&gt;0,H61&lt;=I61),"REPOR",IF(AND(J61&lt;&gt;"",H61&gt;J61),"EXCESSO","OK"))))</f>
        <v>0</v>
      </c>
      <c r="R61" s="25">
        <f>IF($A61="","",IF(AND(H61&gt;0,OR(P61=0,Hoje-P61&gt;DiasParado)),"Parado",""))</f>
        <v>0</v>
      </c>
      <c r="S61" s="26">
        <f>IF($A61="","",IF(OR(Q61="RUPTURA",Q61="REPOR"),IF(J61="",0,MAX(0,J61-H61)),0))</f>
        <v>0</v>
      </c>
      <c r="T61" s="24">
        <f>IF($A61="","",M61*IF(N(Produtos!G61)&gt;0,Produtos!G61,K61))</f>
        <v>0</v>
      </c>
      <c r="U61" s="32">
        <f>IF($A61="","",IF(T61&gt;0,T61+ROW()/1000000000,""))</f>
        <v>0</v>
      </c>
      <c r="V61" s="31">
        <f>IF($A61="","",IF(U61="","C",INDEX('Curva ABC'!$H$5:$H$304,MATCH(U61,'Curva ABC'!$B$5:$B$304,0))))</f>
        <v>0</v>
      </c>
      <c r="W61" s="24">
        <f>IF($A61="","",IF(R61="Parado",L61,0))</f>
        <v>0</v>
      </c>
      <c r="X61" s="33">
        <f>IF($A61="","",IF(OR(Q61="RUPTURA",Q61="REPOR"),COUNTIF($Q$5:Q61,"RUPTURA")+COUNTIF($Q$5:Q61,"REPOR"),""))</f>
        <v>0</v>
      </c>
    </row>
    <row r="62" spans="1:24">
      <c r="A62" s="23">
        <f>IF(Produtos!A62="","",Produtos!A62)</f>
        <v>0</v>
      </c>
      <c r="B62" s="23">
        <f>IF($A62="","",Produtos!B62&amp;"")</f>
        <v>0</v>
      </c>
      <c r="C62" s="23">
        <f>IF($A62="","",Produtos!C62&amp;"")</f>
        <v>0</v>
      </c>
      <c r="D62" s="25">
        <f>IF($A62="","",Produtos!D62&amp;"")</f>
        <v>0</v>
      </c>
      <c r="E62" s="26">
        <f>IF($A62="","",N(Produtos!H62))</f>
        <v>0</v>
      </c>
      <c r="F62" s="26">
        <f>IF($A62="","",SUMIFS(MovQtd,MovCod,$A62,MovTipo,"Entrada"))</f>
        <v>0</v>
      </c>
      <c r="G62" s="26">
        <f>IF($A62="","",SUMIFS(MovQtd,MovCod,$A62,MovTipo,"Saída"))</f>
        <v>0</v>
      </c>
      <c r="H62" s="27">
        <f>IF($A62="","",E62+F62-G62)</f>
        <v>0</v>
      </c>
      <c r="I62" s="26">
        <f>IF($A62="","",N(Produtos!I62))</f>
        <v>0</v>
      </c>
      <c r="J62" s="26">
        <f>IF($A62="","",IF(I62&gt;0,ROUNDUP(I62*FatMax,0),""))</f>
        <v>0</v>
      </c>
      <c r="K62" s="24">
        <f>IF($A62="","",N(Produtos!F62))</f>
        <v>0</v>
      </c>
      <c r="L62" s="24">
        <f>IF($A62="","",H62*K62)</f>
        <v>0</v>
      </c>
      <c r="M62" s="26">
        <f>IF($A62="","",SUMIFS(MovQtd,MovCod,$A62,MovTipo,"Saída",MovData,"&gt;="&amp;(Hoje-DiasAn),MovData,"&lt;="&amp;Hoje))</f>
        <v>0</v>
      </c>
      <c r="N62" s="28">
        <f>IF($A62="","",M62/DiasAn)</f>
        <v>0</v>
      </c>
      <c r="O62" s="29">
        <f>IF($A62="","",IF(N62&gt;0,H62/N62,"sem giro"))</f>
        <v>0</v>
      </c>
      <c r="P62" s="30">
        <f>IF($A62="","",SUMPRODUCT(MAX((MovCod=$A62)*(MovTipo="Saída")*MovData)))</f>
        <v>0</v>
      </c>
      <c r="Q62" s="31">
        <f>IF($A62="","",IF(H62&lt;=0,"RUPTURA",IF(AND(I62&gt;0,H62&lt;=I62),"REPOR",IF(AND(J62&lt;&gt;"",H62&gt;J62),"EXCESSO","OK"))))</f>
        <v>0</v>
      </c>
      <c r="R62" s="25">
        <f>IF($A62="","",IF(AND(H62&gt;0,OR(P62=0,Hoje-P62&gt;DiasParado)),"Parado",""))</f>
        <v>0</v>
      </c>
      <c r="S62" s="26">
        <f>IF($A62="","",IF(OR(Q62="RUPTURA",Q62="REPOR"),IF(J62="",0,MAX(0,J62-H62)),0))</f>
        <v>0</v>
      </c>
      <c r="T62" s="24">
        <f>IF($A62="","",M62*IF(N(Produtos!G62)&gt;0,Produtos!G62,K62))</f>
        <v>0</v>
      </c>
      <c r="U62" s="32">
        <f>IF($A62="","",IF(T62&gt;0,T62+ROW()/1000000000,""))</f>
        <v>0</v>
      </c>
      <c r="V62" s="31">
        <f>IF($A62="","",IF(U62="","C",INDEX('Curva ABC'!$H$5:$H$304,MATCH(U62,'Curva ABC'!$B$5:$B$304,0))))</f>
        <v>0</v>
      </c>
      <c r="W62" s="24">
        <f>IF($A62="","",IF(R62="Parado",L62,0))</f>
        <v>0</v>
      </c>
      <c r="X62" s="33">
        <f>IF($A62="","",IF(OR(Q62="RUPTURA",Q62="REPOR"),COUNTIF($Q$5:Q62,"RUPTURA")+COUNTIF($Q$5:Q62,"REPOR"),""))</f>
        <v>0</v>
      </c>
    </row>
    <row r="63" spans="1:24">
      <c r="A63" s="23">
        <f>IF(Produtos!A63="","",Produtos!A63)</f>
        <v>0</v>
      </c>
      <c r="B63" s="23">
        <f>IF($A63="","",Produtos!B63&amp;"")</f>
        <v>0</v>
      </c>
      <c r="C63" s="23">
        <f>IF($A63="","",Produtos!C63&amp;"")</f>
        <v>0</v>
      </c>
      <c r="D63" s="25">
        <f>IF($A63="","",Produtos!D63&amp;"")</f>
        <v>0</v>
      </c>
      <c r="E63" s="26">
        <f>IF($A63="","",N(Produtos!H63))</f>
        <v>0</v>
      </c>
      <c r="F63" s="26">
        <f>IF($A63="","",SUMIFS(MovQtd,MovCod,$A63,MovTipo,"Entrada"))</f>
        <v>0</v>
      </c>
      <c r="G63" s="26">
        <f>IF($A63="","",SUMIFS(MovQtd,MovCod,$A63,MovTipo,"Saída"))</f>
        <v>0</v>
      </c>
      <c r="H63" s="27">
        <f>IF($A63="","",E63+F63-G63)</f>
        <v>0</v>
      </c>
      <c r="I63" s="26">
        <f>IF($A63="","",N(Produtos!I63))</f>
        <v>0</v>
      </c>
      <c r="J63" s="26">
        <f>IF($A63="","",IF(I63&gt;0,ROUNDUP(I63*FatMax,0),""))</f>
        <v>0</v>
      </c>
      <c r="K63" s="24">
        <f>IF($A63="","",N(Produtos!F63))</f>
        <v>0</v>
      </c>
      <c r="L63" s="24">
        <f>IF($A63="","",H63*K63)</f>
        <v>0</v>
      </c>
      <c r="M63" s="26">
        <f>IF($A63="","",SUMIFS(MovQtd,MovCod,$A63,MovTipo,"Saída",MovData,"&gt;="&amp;(Hoje-DiasAn),MovData,"&lt;="&amp;Hoje))</f>
        <v>0</v>
      </c>
      <c r="N63" s="28">
        <f>IF($A63="","",M63/DiasAn)</f>
        <v>0</v>
      </c>
      <c r="O63" s="29">
        <f>IF($A63="","",IF(N63&gt;0,H63/N63,"sem giro"))</f>
        <v>0</v>
      </c>
      <c r="P63" s="30">
        <f>IF($A63="","",SUMPRODUCT(MAX((MovCod=$A63)*(MovTipo="Saída")*MovData)))</f>
        <v>0</v>
      </c>
      <c r="Q63" s="31">
        <f>IF($A63="","",IF(H63&lt;=0,"RUPTURA",IF(AND(I63&gt;0,H63&lt;=I63),"REPOR",IF(AND(J63&lt;&gt;"",H63&gt;J63),"EXCESSO","OK"))))</f>
        <v>0</v>
      </c>
      <c r="R63" s="25">
        <f>IF($A63="","",IF(AND(H63&gt;0,OR(P63=0,Hoje-P63&gt;DiasParado)),"Parado",""))</f>
        <v>0</v>
      </c>
      <c r="S63" s="26">
        <f>IF($A63="","",IF(OR(Q63="RUPTURA",Q63="REPOR"),IF(J63="",0,MAX(0,J63-H63)),0))</f>
        <v>0</v>
      </c>
      <c r="T63" s="24">
        <f>IF($A63="","",M63*IF(N(Produtos!G63)&gt;0,Produtos!G63,K63))</f>
        <v>0</v>
      </c>
      <c r="U63" s="32">
        <f>IF($A63="","",IF(T63&gt;0,T63+ROW()/1000000000,""))</f>
        <v>0</v>
      </c>
      <c r="V63" s="31">
        <f>IF($A63="","",IF(U63="","C",INDEX('Curva ABC'!$H$5:$H$304,MATCH(U63,'Curva ABC'!$B$5:$B$304,0))))</f>
        <v>0</v>
      </c>
      <c r="W63" s="24">
        <f>IF($A63="","",IF(R63="Parado",L63,0))</f>
        <v>0</v>
      </c>
      <c r="X63" s="33">
        <f>IF($A63="","",IF(OR(Q63="RUPTURA",Q63="REPOR"),COUNTIF($Q$5:Q63,"RUPTURA")+COUNTIF($Q$5:Q63,"REPOR"),""))</f>
        <v>0</v>
      </c>
    </row>
    <row r="64" spans="1:24">
      <c r="A64" s="23">
        <f>IF(Produtos!A64="","",Produtos!A64)</f>
        <v>0</v>
      </c>
      <c r="B64" s="23">
        <f>IF($A64="","",Produtos!B64&amp;"")</f>
        <v>0</v>
      </c>
      <c r="C64" s="23">
        <f>IF($A64="","",Produtos!C64&amp;"")</f>
        <v>0</v>
      </c>
      <c r="D64" s="25">
        <f>IF($A64="","",Produtos!D64&amp;"")</f>
        <v>0</v>
      </c>
      <c r="E64" s="26">
        <f>IF($A64="","",N(Produtos!H64))</f>
        <v>0</v>
      </c>
      <c r="F64" s="26">
        <f>IF($A64="","",SUMIFS(MovQtd,MovCod,$A64,MovTipo,"Entrada"))</f>
        <v>0</v>
      </c>
      <c r="G64" s="26">
        <f>IF($A64="","",SUMIFS(MovQtd,MovCod,$A64,MovTipo,"Saída"))</f>
        <v>0</v>
      </c>
      <c r="H64" s="27">
        <f>IF($A64="","",E64+F64-G64)</f>
        <v>0</v>
      </c>
      <c r="I64" s="26">
        <f>IF($A64="","",N(Produtos!I64))</f>
        <v>0</v>
      </c>
      <c r="J64" s="26">
        <f>IF($A64="","",IF(I64&gt;0,ROUNDUP(I64*FatMax,0),""))</f>
        <v>0</v>
      </c>
      <c r="K64" s="24">
        <f>IF($A64="","",N(Produtos!F64))</f>
        <v>0</v>
      </c>
      <c r="L64" s="24">
        <f>IF($A64="","",H64*K64)</f>
        <v>0</v>
      </c>
      <c r="M64" s="26">
        <f>IF($A64="","",SUMIFS(MovQtd,MovCod,$A64,MovTipo,"Saída",MovData,"&gt;="&amp;(Hoje-DiasAn),MovData,"&lt;="&amp;Hoje))</f>
        <v>0</v>
      </c>
      <c r="N64" s="28">
        <f>IF($A64="","",M64/DiasAn)</f>
        <v>0</v>
      </c>
      <c r="O64" s="29">
        <f>IF($A64="","",IF(N64&gt;0,H64/N64,"sem giro"))</f>
        <v>0</v>
      </c>
      <c r="P64" s="30">
        <f>IF($A64="","",SUMPRODUCT(MAX((MovCod=$A64)*(MovTipo="Saída")*MovData)))</f>
        <v>0</v>
      </c>
      <c r="Q64" s="31">
        <f>IF($A64="","",IF(H64&lt;=0,"RUPTURA",IF(AND(I64&gt;0,H64&lt;=I64),"REPOR",IF(AND(J64&lt;&gt;"",H64&gt;J64),"EXCESSO","OK"))))</f>
        <v>0</v>
      </c>
      <c r="R64" s="25">
        <f>IF($A64="","",IF(AND(H64&gt;0,OR(P64=0,Hoje-P64&gt;DiasParado)),"Parado",""))</f>
        <v>0</v>
      </c>
      <c r="S64" s="26">
        <f>IF($A64="","",IF(OR(Q64="RUPTURA",Q64="REPOR"),IF(J64="",0,MAX(0,J64-H64)),0))</f>
        <v>0</v>
      </c>
      <c r="T64" s="24">
        <f>IF($A64="","",M64*IF(N(Produtos!G64)&gt;0,Produtos!G64,K64))</f>
        <v>0</v>
      </c>
      <c r="U64" s="32">
        <f>IF($A64="","",IF(T64&gt;0,T64+ROW()/1000000000,""))</f>
        <v>0</v>
      </c>
      <c r="V64" s="31">
        <f>IF($A64="","",IF(U64="","C",INDEX('Curva ABC'!$H$5:$H$304,MATCH(U64,'Curva ABC'!$B$5:$B$304,0))))</f>
        <v>0</v>
      </c>
      <c r="W64" s="24">
        <f>IF($A64="","",IF(R64="Parado",L64,0))</f>
        <v>0</v>
      </c>
      <c r="X64" s="33">
        <f>IF($A64="","",IF(OR(Q64="RUPTURA",Q64="REPOR"),COUNTIF($Q$5:Q64,"RUPTURA")+COUNTIF($Q$5:Q64,"REPOR"),""))</f>
        <v>0</v>
      </c>
    </row>
    <row r="65" spans="1:24">
      <c r="A65" s="23">
        <f>IF(Produtos!A65="","",Produtos!A65)</f>
        <v>0</v>
      </c>
      <c r="B65" s="23">
        <f>IF($A65="","",Produtos!B65&amp;"")</f>
        <v>0</v>
      </c>
      <c r="C65" s="23">
        <f>IF($A65="","",Produtos!C65&amp;"")</f>
        <v>0</v>
      </c>
      <c r="D65" s="25">
        <f>IF($A65="","",Produtos!D65&amp;"")</f>
        <v>0</v>
      </c>
      <c r="E65" s="26">
        <f>IF($A65="","",N(Produtos!H65))</f>
        <v>0</v>
      </c>
      <c r="F65" s="26">
        <f>IF($A65="","",SUMIFS(MovQtd,MovCod,$A65,MovTipo,"Entrada"))</f>
        <v>0</v>
      </c>
      <c r="G65" s="26">
        <f>IF($A65="","",SUMIFS(MovQtd,MovCod,$A65,MovTipo,"Saída"))</f>
        <v>0</v>
      </c>
      <c r="H65" s="27">
        <f>IF($A65="","",E65+F65-G65)</f>
        <v>0</v>
      </c>
      <c r="I65" s="26">
        <f>IF($A65="","",N(Produtos!I65))</f>
        <v>0</v>
      </c>
      <c r="J65" s="26">
        <f>IF($A65="","",IF(I65&gt;0,ROUNDUP(I65*FatMax,0),""))</f>
        <v>0</v>
      </c>
      <c r="K65" s="24">
        <f>IF($A65="","",N(Produtos!F65))</f>
        <v>0</v>
      </c>
      <c r="L65" s="24">
        <f>IF($A65="","",H65*K65)</f>
        <v>0</v>
      </c>
      <c r="M65" s="26">
        <f>IF($A65="","",SUMIFS(MovQtd,MovCod,$A65,MovTipo,"Saída",MovData,"&gt;="&amp;(Hoje-DiasAn),MovData,"&lt;="&amp;Hoje))</f>
        <v>0</v>
      </c>
      <c r="N65" s="28">
        <f>IF($A65="","",M65/DiasAn)</f>
        <v>0</v>
      </c>
      <c r="O65" s="29">
        <f>IF($A65="","",IF(N65&gt;0,H65/N65,"sem giro"))</f>
        <v>0</v>
      </c>
      <c r="P65" s="30">
        <f>IF($A65="","",SUMPRODUCT(MAX((MovCod=$A65)*(MovTipo="Saída")*MovData)))</f>
        <v>0</v>
      </c>
      <c r="Q65" s="31">
        <f>IF($A65="","",IF(H65&lt;=0,"RUPTURA",IF(AND(I65&gt;0,H65&lt;=I65),"REPOR",IF(AND(J65&lt;&gt;"",H65&gt;J65),"EXCESSO","OK"))))</f>
        <v>0</v>
      </c>
      <c r="R65" s="25">
        <f>IF($A65="","",IF(AND(H65&gt;0,OR(P65=0,Hoje-P65&gt;DiasParado)),"Parado",""))</f>
        <v>0</v>
      </c>
      <c r="S65" s="26">
        <f>IF($A65="","",IF(OR(Q65="RUPTURA",Q65="REPOR"),IF(J65="",0,MAX(0,J65-H65)),0))</f>
        <v>0</v>
      </c>
      <c r="T65" s="24">
        <f>IF($A65="","",M65*IF(N(Produtos!G65)&gt;0,Produtos!G65,K65))</f>
        <v>0</v>
      </c>
      <c r="U65" s="32">
        <f>IF($A65="","",IF(T65&gt;0,T65+ROW()/1000000000,""))</f>
        <v>0</v>
      </c>
      <c r="V65" s="31">
        <f>IF($A65="","",IF(U65="","C",INDEX('Curva ABC'!$H$5:$H$304,MATCH(U65,'Curva ABC'!$B$5:$B$304,0))))</f>
        <v>0</v>
      </c>
      <c r="W65" s="24">
        <f>IF($A65="","",IF(R65="Parado",L65,0))</f>
        <v>0</v>
      </c>
      <c r="X65" s="33">
        <f>IF($A65="","",IF(OR(Q65="RUPTURA",Q65="REPOR"),COUNTIF($Q$5:Q65,"RUPTURA")+COUNTIF($Q$5:Q65,"REPOR"),""))</f>
        <v>0</v>
      </c>
    </row>
    <row r="66" spans="1:24">
      <c r="A66" s="23">
        <f>IF(Produtos!A66="","",Produtos!A66)</f>
        <v>0</v>
      </c>
      <c r="B66" s="23">
        <f>IF($A66="","",Produtos!B66&amp;"")</f>
        <v>0</v>
      </c>
      <c r="C66" s="23">
        <f>IF($A66="","",Produtos!C66&amp;"")</f>
        <v>0</v>
      </c>
      <c r="D66" s="25">
        <f>IF($A66="","",Produtos!D66&amp;"")</f>
        <v>0</v>
      </c>
      <c r="E66" s="26">
        <f>IF($A66="","",N(Produtos!H66))</f>
        <v>0</v>
      </c>
      <c r="F66" s="26">
        <f>IF($A66="","",SUMIFS(MovQtd,MovCod,$A66,MovTipo,"Entrada"))</f>
        <v>0</v>
      </c>
      <c r="G66" s="26">
        <f>IF($A66="","",SUMIFS(MovQtd,MovCod,$A66,MovTipo,"Saída"))</f>
        <v>0</v>
      </c>
      <c r="H66" s="27">
        <f>IF($A66="","",E66+F66-G66)</f>
        <v>0</v>
      </c>
      <c r="I66" s="26">
        <f>IF($A66="","",N(Produtos!I66))</f>
        <v>0</v>
      </c>
      <c r="J66" s="26">
        <f>IF($A66="","",IF(I66&gt;0,ROUNDUP(I66*FatMax,0),""))</f>
        <v>0</v>
      </c>
      <c r="K66" s="24">
        <f>IF($A66="","",N(Produtos!F66))</f>
        <v>0</v>
      </c>
      <c r="L66" s="24">
        <f>IF($A66="","",H66*K66)</f>
        <v>0</v>
      </c>
      <c r="M66" s="26">
        <f>IF($A66="","",SUMIFS(MovQtd,MovCod,$A66,MovTipo,"Saída",MovData,"&gt;="&amp;(Hoje-DiasAn),MovData,"&lt;="&amp;Hoje))</f>
        <v>0</v>
      </c>
      <c r="N66" s="28">
        <f>IF($A66="","",M66/DiasAn)</f>
        <v>0</v>
      </c>
      <c r="O66" s="29">
        <f>IF($A66="","",IF(N66&gt;0,H66/N66,"sem giro"))</f>
        <v>0</v>
      </c>
      <c r="P66" s="30">
        <f>IF($A66="","",SUMPRODUCT(MAX((MovCod=$A66)*(MovTipo="Saída")*MovData)))</f>
        <v>0</v>
      </c>
      <c r="Q66" s="31">
        <f>IF($A66="","",IF(H66&lt;=0,"RUPTURA",IF(AND(I66&gt;0,H66&lt;=I66),"REPOR",IF(AND(J66&lt;&gt;"",H66&gt;J66),"EXCESSO","OK"))))</f>
        <v>0</v>
      </c>
      <c r="R66" s="25">
        <f>IF($A66="","",IF(AND(H66&gt;0,OR(P66=0,Hoje-P66&gt;DiasParado)),"Parado",""))</f>
        <v>0</v>
      </c>
      <c r="S66" s="26">
        <f>IF($A66="","",IF(OR(Q66="RUPTURA",Q66="REPOR"),IF(J66="",0,MAX(0,J66-H66)),0))</f>
        <v>0</v>
      </c>
      <c r="T66" s="24">
        <f>IF($A66="","",M66*IF(N(Produtos!G66)&gt;0,Produtos!G66,K66))</f>
        <v>0</v>
      </c>
      <c r="U66" s="32">
        <f>IF($A66="","",IF(T66&gt;0,T66+ROW()/1000000000,""))</f>
        <v>0</v>
      </c>
      <c r="V66" s="31">
        <f>IF($A66="","",IF(U66="","C",INDEX('Curva ABC'!$H$5:$H$304,MATCH(U66,'Curva ABC'!$B$5:$B$304,0))))</f>
        <v>0</v>
      </c>
      <c r="W66" s="24">
        <f>IF($A66="","",IF(R66="Parado",L66,0))</f>
        <v>0</v>
      </c>
      <c r="X66" s="33">
        <f>IF($A66="","",IF(OR(Q66="RUPTURA",Q66="REPOR"),COUNTIF($Q$5:Q66,"RUPTURA")+COUNTIF($Q$5:Q66,"REPOR"),""))</f>
        <v>0</v>
      </c>
    </row>
    <row r="67" spans="1:24">
      <c r="A67" s="23">
        <f>IF(Produtos!A67="","",Produtos!A67)</f>
        <v>0</v>
      </c>
      <c r="B67" s="23">
        <f>IF($A67="","",Produtos!B67&amp;"")</f>
        <v>0</v>
      </c>
      <c r="C67" s="23">
        <f>IF($A67="","",Produtos!C67&amp;"")</f>
        <v>0</v>
      </c>
      <c r="D67" s="25">
        <f>IF($A67="","",Produtos!D67&amp;"")</f>
        <v>0</v>
      </c>
      <c r="E67" s="26">
        <f>IF($A67="","",N(Produtos!H67))</f>
        <v>0</v>
      </c>
      <c r="F67" s="26">
        <f>IF($A67="","",SUMIFS(MovQtd,MovCod,$A67,MovTipo,"Entrada"))</f>
        <v>0</v>
      </c>
      <c r="G67" s="26">
        <f>IF($A67="","",SUMIFS(MovQtd,MovCod,$A67,MovTipo,"Saída"))</f>
        <v>0</v>
      </c>
      <c r="H67" s="27">
        <f>IF($A67="","",E67+F67-G67)</f>
        <v>0</v>
      </c>
      <c r="I67" s="26">
        <f>IF($A67="","",N(Produtos!I67))</f>
        <v>0</v>
      </c>
      <c r="J67" s="26">
        <f>IF($A67="","",IF(I67&gt;0,ROUNDUP(I67*FatMax,0),""))</f>
        <v>0</v>
      </c>
      <c r="K67" s="24">
        <f>IF($A67="","",N(Produtos!F67))</f>
        <v>0</v>
      </c>
      <c r="L67" s="24">
        <f>IF($A67="","",H67*K67)</f>
        <v>0</v>
      </c>
      <c r="M67" s="26">
        <f>IF($A67="","",SUMIFS(MovQtd,MovCod,$A67,MovTipo,"Saída",MovData,"&gt;="&amp;(Hoje-DiasAn),MovData,"&lt;="&amp;Hoje))</f>
        <v>0</v>
      </c>
      <c r="N67" s="28">
        <f>IF($A67="","",M67/DiasAn)</f>
        <v>0</v>
      </c>
      <c r="O67" s="29">
        <f>IF($A67="","",IF(N67&gt;0,H67/N67,"sem giro"))</f>
        <v>0</v>
      </c>
      <c r="P67" s="30">
        <f>IF($A67="","",SUMPRODUCT(MAX((MovCod=$A67)*(MovTipo="Saída")*MovData)))</f>
        <v>0</v>
      </c>
      <c r="Q67" s="31">
        <f>IF($A67="","",IF(H67&lt;=0,"RUPTURA",IF(AND(I67&gt;0,H67&lt;=I67),"REPOR",IF(AND(J67&lt;&gt;"",H67&gt;J67),"EXCESSO","OK"))))</f>
        <v>0</v>
      </c>
      <c r="R67" s="25">
        <f>IF($A67="","",IF(AND(H67&gt;0,OR(P67=0,Hoje-P67&gt;DiasParado)),"Parado",""))</f>
        <v>0</v>
      </c>
      <c r="S67" s="26">
        <f>IF($A67="","",IF(OR(Q67="RUPTURA",Q67="REPOR"),IF(J67="",0,MAX(0,J67-H67)),0))</f>
        <v>0</v>
      </c>
      <c r="T67" s="24">
        <f>IF($A67="","",M67*IF(N(Produtos!G67)&gt;0,Produtos!G67,K67))</f>
        <v>0</v>
      </c>
      <c r="U67" s="32">
        <f>IF($A67="","",IF(T67&gt;0,T67+ROW()/1000000000,""))</f>
        <v>0</v>
      </c>
      <c r="V67" s="31">
        <f>IF($A67="","",IF(U67="","C",INDEX('Curva ABC'!$H$5:$H$304,MATCH(U67,'Curva ABC'!$B$5:$B$304,0))))</f>
        <v>0</v>
      </c>
      <c r="W67" s="24">
        <f>IF($A67="","",IF(R67="Parado",L67,0))</f>
        <v>0</v>
      </c>
      <c r="X67" s="33">
        <f>IF($A67="","",IF(OR(Q67="RUPTURA",Q67="REPOR"),COUNTIF($Q$5:Q67,"RUPTURA")+COUNTIF($Q$5:Q67,"REPOR"),""))</f>
        <v>0</v>
      </c>
    </row>
    <row r="68" spans="1:24">
      <c r="A68" s="23">
        <f>IF(Produtos!A68="","",Produtos!A68)</f>
        <v>0</v>
      </c>
      <c r="B68" s="23">
        <f>IF($A68="","",Produtos!B68&amp;"")</f>
        <v>0</v>
      </c>
      <c r="C68" s="23">
        <f>IF($A68="","",Produtos!C68&amp;"")</f>
        <v>0</v>
      </c>
      <c r="D68" s="25">
        <f>IF($A68="","",Produtos!D68&amp;"")</f>
        <v>0</v>
      </c>
      <c r="E68" s="26">
        <f>IF($A68="","",N(Produtos!H68))</f>
        <v>0</v>
      </c>
      <c r="F68" s="26">
        <f>IF($A68="","",SUMIFS(MovQtd,MovCod,$A68,MovTipo,"Entrada"))</f>
        <v>0</v>
      </c>
      <c r="G68" s="26">
        <f>IF($A68="","",SUMIFS(MovQtd,MovCod,$A68,MovTipo,"Saída"))</f>
        <v>0</v>
      </c>
      <c r="H68" s="27">
        <f>IF($A68="","",E68+F68-G68)</f>
        <v>0</v>
      </c>
      <c r="I68" s="26">
        <f>IF($A68="","",N(Produtos!I68))</f>
        <v>0</v>
      </c>
      <c r="J68" s="26">
        <f>IF($A68="","",IF(I68&gt;0,ROUNDUP(I68*FatMax,0),""))</f>
        <v>0</v>
      </c>
      <c r="K68" s="24">
        <f>IF($A68="","",N(Produtos!F68))</f>
        <v>0</v>
      </c>
      <c r="L68" s="24">
        <f>IF($A68="","",H68*K68)</f>
        <v>0</v>
      </c>
      <c r="M68" s="26">
        <f>IF($A68="","",SUMIFS(MovQtd,MovCod,$A68,MovTipo,"Saída",MovData,"&gt;="&amp;(Hoje-DiasAn),MovData,"&lt;="&amp;Hoje))</f>
        <v>0</v>
      </c>
      <c r="N68" s="28">
        <f>IF($A68="","",M68/DiasAn)</f>
        <v>0</v>
      </c>
      <c r="O68" s="29">
        <f>IF($A68="","",IF(N68&gt;0,H68/N68,"sem giro"))</f>
        <v>0</v>
      </c>
      <c r="P68" s="30">
        <f>IF($A68="","",SUMPRODUCT(MAX((MovCod=$A68)*(MovTipo="Saída")*MovData)))</f>
        <v>0</v>
      </c>
      <c r="Q68" s="31">
        <f>IF($A68="","",IF(H68&lt;=0,"RUPTURA",IF(AND(I68&gt;0,H68&lt;=I68),"REPOR",IF(AND(J68&lt;&gt;"",H68&gt;J68),"EXCESSO","OK"))))</f>
        <v>0</v>
      </c>
      <c r="R68" s="25">
        <f>IF($A68="","",IF(AND(H68&gt;0,OR(P68=0,Hoje-P68&gt;DiasParado)),"Parado",""))</f>
        <v>0</v>
      </c>
      <c r="S68" s="26">
        <f>IF($A68="","",IF(OR(Q68="RUPTURA",Q68="REPOR"),IF(J68="",0,MAX(0,J68-H68)),0))</f>
        <v>0</v>
      </c>
      <c r="T68" s="24">
        <f>IF($A68="","",M68*IF(N(Produtos!G68)&gt;0,Produtos!G68,K68))</f>
        <v>0</v>
      </c>
      <c r="U68" s="32">
        <f>IF($A68="","",IF(T68&gt;0,T68+ROW()/1000000000,""))</f>
        <v>0</v>
      </c>
      <c r="V68" s="31">
        <f>IF($A68="","",IF(U68="","C",INDEX('Curva ABC'!$H$5:$H$304,MATCH(U68,'Curva ABC'!$B$5:$B$304,0))))</f>
        <v>0</v>
      </c>
      <c r="W68" s="24">
        <f>IF($A68="","",IF(R68="Parado",L68,0))</f>
        <v>0</v>
      </c>
      <c r="X68" s="33">
        <f>IF($A68="","",IF(OR(Q68="RUPTURA",Q68="REPOR"),COUNTIF($Q$5:Q68,"RUPTURA")+COUNTIF($Q$5:Q68,"REPOR"),""))</f>
        <v>0</v>
      </c>
    </row>
    <row r="69" spans="1:24">
      <c r="A69" s="23">
        <f>IF(Produtos!A69="","",Produtos!A69)</f>
        <v>0</v>
      </c>
      <c r="B69" s="23">
        <f>IF($A69="","",Produtos!B69&amp;"")</f>
        <v>0</v>
      </c>
      <c r="C69" s="23">
        <f>IF($A69="","",Produtos!C69&amp;"")</f>
        <v>0</v>
      </c>
      <c r="D69" s="25">
        <f>IF($A69="","",Produtos!D69&amp;"")</f>
        <v>0</v>
      </c>
      <c r="E69" s="26">
        <f>IF($A69="","",N(Produtos!H69))</f>
        <v>0</v>
      </c>
      <c r="F69" s="26">
        <f>IF($A69="","",SUMIFS(MovQtd,MovCod,$A69,MovTipo,"Entrada"))</f>
        <v>0</v>
      </c>
      <c r="G69" s="26">
        <f>IF($A69="","",SUMIFS(MovQtd,MovCod,$A69,MovTipo,"Saída"))</f>
        <v>0</v>
      </c>
      <c r="H69" s="27">
        <f>IF($A69="","",E69+F69-G69)</f>
        <v>0</v>
      </c>
      <c r="I69" s="26">
        <f>IF($A69="","",N(Produtos!I69))</f>
        <v>0</v>
      </c>
      <c r="J69" s="26">
        <f>IF($A69="","",IF(I69&gt;0,ROUNDUP(I69*FatMax,0),""))</f>
        <v>0</v>
      </c>
      <c r="K69" s="24">
        <f>IF($A69="","",N(Produtos!F69))</f>
        <v>0</v>
      </c>
      <c r="L69" s="24">
        <f>IF($A69="","",H69*K69)</f>
        <v>0</v>
      </c>
      <c r="M69" s="26">
        <f>IF($A69="","",SUMIFS(MovQtd,MovCod,$A69,MovTipo,"Saída",MovData,"&gt;="&amp;(Hoje-DiasAn),MovData,"&lt;="&amp;Hoje))</f>
        <v>0</v>
      </c>
      <c r="N69" s="28">
        <f>IF($A69="","",M69/DiasAn)</f>
        <v>0</v>
      </c>
      <c r="O69" s="29">
        <f>IF($A69="","",IF(N69&gt;0,H69/N69,"sem giro"))</f>
        <v>0</v>
      </c>
      <c r="P69" s="30">
        <f>IF($A69="","",SUMPRODUCT(MAX((MovCod=$A69)*(MovTipo="Saída")*MovData)))</f>
        <v>0</v>
      </c>
      <c r="Q69" s="31">
        <f>IF($A69="","",IF(H69&lt;=0,"RUPTURA",IF(AND(I69&gt;0,H69&lt;=I69),"REPOR",IF(AND(J69&lt;&gt;"",H69&gt;J69),"EXCESSO","OK"))))</f>
        <v>0</v>
      </c>
      <c r="R69" s="25">
        <f>IF($A69="","",IF(AND(H69&gt;0,OR(P69=0,Hoje-P69&gt;DiasParado)),"Parado",""))</f>
        <v>0</v>
      </c>
      <c r="S69" s="26">
        <f>IF($A69="","",IF(OR(Q69="RUPTURA",Q69="REPOR"),IF(J69="",0,MAX(0,J69-H69)),0))</f>
        <v>0</v>
      </c>
      <c r="T69" s="24">
        <f>IF($A69="","",M69*IF(N(Produtos!G69)&gt;0,Produtos!G69,K69))</f>
        <v>0</v>
      </c>
      <c r="U69" s="32">
        <f>IF($A69="","",IF(T69&gt;0,T69+ROW()/1000000000,""))</f>
        <v>0</v>
      </c>
      <c r="V69" s="31">
        <f>IF($A69="","",IF(U69="","C",INDEX('Curva ABC'!$H$5:$H$304,MATCH(U69,'Curva ABC'!$B$5:$B$304,0))))</f>
        <v>0</v>
      </c>
      <c r="W69" s="24">
        <f>IF($A69="","",IF(R69="Parado",L69,0))</f>
        <v>0</v>
      </c>
      <c r="X69" s="33">
        <f>IF($A69="","",IF(OR(Q69="RUPTURA",Q69="REPOR"),COUNTIF($Q$5:Q69,"RUPTURA")+COUNTIF($Q$5:Q69,"REPOR"),""))</f>
        <v>0</v>
      </c>
    </row>
    <row r="70" spans="1:24">
      <c r="A70" s="23">
        <f>IF(Produtos!A70="","",Produtos!A70)</f>
        <v>0</v>
      </c>
      <c r="B70" s="23">
        <f>IF($A70="","",Produtos!B70&amp;"")</f>
        <v>0</v>
      </c>
      <c r="C70" s="23">
        <f>IF($A70="","",Produtos!C70&amp;"")</f>
        <v>0</v>
      </c>
      <c r="D70" s="25">
        <f>IF($A70="","",Produtos!D70&amp;"")</f>
        <v>0</v>
      </c>
      <c r="E70" s="26">
        <f>IF($A70="","",N(Produtos!H70))</f>
        <v>0</v>
      </c>
      <c r="F70" s="26">
        <f>IF($A70="","",SUMIFS(MovQtd,MovCod,$A70,MovTipo,"Entrada"))</f>
        <v>0</v>
      </c>
      <c r="G70" s="26">
        <f>IF($A70="","",SUMIFS(MovQtd,MovCod,$A70,MovTipo,"Saída"))</f>
        <v>0</v>
      </c>
      <c r="H70" s="27">
        <f>IF($A70="","",E70+F70-G70)</f>
        <v>0</v>
      </c>
      <c r="I70" s="26">
        <f>IF($A70="","",N(Produtos!I70))</f>
        <v>0</v>
      </c>
      <c r="J70" s="26">
        <f>IF($A70="","",IF(I70&gt;0,ROUNDUP(I70*FatMax,0),""))</f>
        <v>0</v>
      </c>
      <c r="K70" s="24">
        <f>IF($A70="","",N(Produtos!F70))</f>
        <v>0</v>
      </c>
      <c r="L70" s="24">
        <f>IF($A70="","",H70*K70)</f>
        <v>0</v>
      </c>
      <c r="M70" s="26">
        <f>IF($A70="","",SUMIFS(MovQtd,MovCod,$A70,MovTipo,"Saída",MovData,"&gt;="&amp;(Hoje-DiasAn),MovData,"&lt;="&amp;Hoje))</f>
        <v>0</v>
      </c>
      <c r="N70" s="28">
        <f>IF($A70="","",M70/DiasAn)</f>
        <v>0</v>
      </c>
      <c r="O70" s="29">
        <f>IF($A70="","",IF(N70&gt;0,H70/N70,"sem giro"))</f>
        <v>0</v>
      </c>
      <c r="P70" s="30">
        <f>IF($A70="","",SUMPRODUCT(MAX((MovCod=$A70)*(MovTipo="Saída")*MovData)))</f>
        <v>0</v>
      </c>
      <c r="Q70" s="31">
        <f>IF($A70="","",IF(H70&lt;=0,"RUPTURA",IF(AND(I70&gt;0,H70&lt;=I70),"REPOR",IF(AND(J70&lt;&gt;"",H70&gt;J70),"EXCESSO","OK"))))</f>
        <v>0</v>
      </c>
      <c r="R70" s="25">
        <f>IF($A70="","",IF(AND(H70&gt;0,OR(P70=0,Hoje-P70&gt;DiasParado)),"Parado",""))</f>
        <v>0</v>
      </c>
      <c r="S70" s="26">
        <f>IF($A70="","",IF(OR(Q70="RUPTURA",Q70="REPOR"),IF(J70="",0,MAX(0,J70-H70)),0))</f>
        <v>0</v>
      </c>
      <c r="T70" s="24">
        <f>IF($A70="","",M70*IF(N(Produtos!G70)&gt;0,Produtos!G70,K70))</f>
        <v>0</v>
      </c>
      <c r="U70" s="32">
        <f>IF($A70="","",IF(T70&gt;0,T70+ROW()/1000000000,""))</f>
        <v>0</v>
      </c>
      <c r="V70" s="31">
        <f>IF($A70="","",IF(U70="","C",INDEX('Curva ABC'!$H$5:$H$304,MATCH(U70,'Curva ABC'!$B$5:$B$304,0))))</f>
        <v>0</v>
      </c>
      <c r="W70" s="24">
        <f>IF($A70="","",IF(R70="Parado",L70,0))</f>
        <v>0</v>
      </c>
      <c r="X70" s="33">
        <f>IF($A70="","",IF(OR(Q70="RUPTURA",Q70="REPOR"),COUNTIF($Q$5:Q70,"RUPTURA")+COUNTIF($Q$5:Q70,"REPOR"),""))</f>
        <v>0</v>
      </c>
    </row>
    <row r="71" spans="1:24">
      <c r="A71" s="23">
        <f>IF(Produtos!A71="","",Produtos!A71)</f>
        <v>0</v>
      </c>
      <c r="B71" s="23">
        <f>IF($A71="","",Produtos!B71&amp;"")</f>
        <v>0</v>
      </c>
      <c r="C71" s="23">
        <f>IF($A71="","",Produtos!C71&amp;"")</f>
        <v>0</v>
      </c>
      <c r="D71" s="25">
        <f>IF($A71="","",Produtos!D71&amp;"")</f>
        <v>0</v>
      </c>
      <c r="E71" s="26">
        <f>IF($A71="","",N(Produtos!H71))</f>
        <v>0</v>
      </c>
      <c r="F71" s="26">
        <f>IF($A71="","",SUMIFS(MovQtd,MovCod,$A71,MovTipo,"Entrada"))</f>
        <v>0</v>
      </c>
      <c r="G71" s="26">
        <f>IF($A71="","",SUMIFS(MovQtd,MovCod,$A71,MovTipo,"Saída"))</f>
        <v>0</v>
      </c>
      <c r="H71" s="27">
        <f>IF($A71="","",E71+F71-G71)</f>
        <v>0</v>
      </c>
      <c r="I71" s="26">
        <f>IF($A71="","",N(Produtos!I71))</f>
        <v>0</v>
      </c>
      <c r="J71" s="26">
        <f>IF($A71="","",IF(I71&gt;0,ROUNDUP(I71*FatMax,0),""))</f>
        <v>0</v>
      </c>
      <c r="K71" s="24">
        <f>IF($A71="","",N(Produtos!F71))</f>
        <v>0</v>
      </c>
      <c r="L71" s="24">
        <f>IF($A71="","",H71*K71)</f>
        <v>0</v>
      </c>
      <c r="M71" s="26">
        <f>IF($A71="","",SUMIFS(MovQtd,MovCod,$A71,MovTipo,"Saída",MovData,"&gt;="&amp;(Hoje-DiasAn),MovData,"&lt;="&amp;Hoje))</f>
        <v>0</v>
      </c>
      <c r="N71" s="28">
        <f>IF($A71="","",M71/DiasAn)</f>
        <v>0</v>
      </c>
      <c r="O71" s="29">
        <f>IF($A71="","",IF(N71&gt;0,H71/N71,"sem giro"))</f>
        <v>0</v>
      </c>
      <c r="P71" s="30">
        <f>IF($A71="","",SUMPRODUCT(MAX((MovCod=$A71)*(MovTipo="Saída")*MovData)))</f>
        <v>0</v>
      </c>
      <c r="Q71" s="31">
        <f>IF($A71="","",IF(H71&lt;=0,"RUPTURA",IF(AND(I71&gt;0,H71&lt;=I71),"REPOR",IF(AND(J71&lt;&gt;"",H71&gt;J71),"EXCESSO","OK"))))</f>
        <v>0</v>
      </c>
      <c r="R71" s="25">
        <f>IF($A71="","",IF(AND(H71&gt;0,OR(P71=0,Hoje-P71&gt;DiasParado)),"Parado",""))</f>
        <v>0</v>
      </c>
      <c r="S71" s="26">
        <f>IF($A71="","",IF(OR(Q71="RUPTURA",Q71="REPOR"),IF(J71="",0,MAX(0,J71-H71)),0))</f>
        <v>0</v>
      </c>
      <c r="T71" s="24">
        <f>IF($A71="","",M71*IF(N(Produtos!G71)&gt;0,Produtos!G71,K71))</f>
        <v>0</v>
      </c>
      <c r="U71" s="32">
        <f>IF($A71="","",IF(T71&gt;0,T71+ROW()/1000000000,""))</f>
        <v>0</v>
      </c>
      <c r="V71" s="31">
        <f>IF($A71="","",IF(U71="","C",INDEX('Curva ABC'!$H$5:$H$304,MATCH(U71,'Curva ABC'!$B$5:$B$304,0))))</f>
        <v>0</v>
      </c>
      <c r="W71" s="24">
        <f>IF($A71="","",IF(R71="Parado",L71,0))</f>
        <v>0</v>
      </c>
      <c r="X71" s="33">
        <f>IF($A71="","",IF(OR(Q71="RUPTURA",Q71="REPOR"),COUNTIF($Q$5:Q71,"RUPTURA")+COUNTIF($Q$5:Q71,"REPOR"),""))</f>
        <v>0</v>
      </c>
    </row>
    <row r="72" spans="1:24">
      <c r="A72" s="23">
        <f>IF(Produtos!A72="","",Produtos!A72)</f>
        <v>0</v>
      </c>
      <c r="B72" s="23">
        <f>IF($A72="","",Produtos!B72&amp;"")</f>
        <v>0</v>
      </c>
      <c r="C72" s="23">
        <f>IF($A72="","",Produtos!C72&amp;"")</f>
        <v>0</v>
      </c>
      <c r="D72" s="25">
        <f>IF($A72="","",Produtos!D72&amp;"")</f>
        <v>0</v>
      </c>
      <c r="E72" s="26">
        <f>IF($A72="","",N(Produtos!H72))</f>
        <v>0</v>
      </c>
      <c r="F72" s="26">
        <f>IF($A72="","",SUMIFS(MovQtd,MovCod,$A72,MovTipo,"Entrada"))</f>
        <v>0</v>
      </c>
      <c r="G72" s="26">
        <f>IF($A72="","",SUMIFS(MovQtd,MovCod,$A72,MovTipo,"Saída"))</f>
        <v>0</v>
      </c>
      <c r="H72" s="27">
        <f>IF($A72="","",E72+F72-G72)</f>
        <v>0</v>
      </c>
      <c r="I72" s="26">
        <f>IF($A72="","",N(Produtos!I72))</f>
        <v>0</v>
      </c>
      <c r="J72" s="26">
        <f>IF($A72="","",IF(I72&gt;0,ROUNDUP(I72*FatMax,0),""))</f>
        <v>0</v>
      </c>
      <c r="K72" s="24">
        <f>IF($A72="","",N(Produtos!F72))</f>
        <v>0</v>
      </c>
      <c r="L72" s="24">
        <f>IF($A72="","",H72*K72)</f>
        <v>0</v>
      </c>
      <c r="M72" s="26">
        <f>IF($A72="","",SUMIFS(MovQtd,MovCod,$A72,MovTipo,"Saída",MovData,"&gt;="&amp;(Hoje-DiasAn),MovData,"&lt;="&amp;Hoje))</f>
        <v>0</v>
      </c>
      <c r="N72" s="28">
        <f>IF($A72="","",M72/DiasAn)</f>
        <v>0</v>
      </c>
      <c r="O72" s="29">
        <f>IF($A72="","",IF(N72&gt;0,H72/N72,"sem giro"))</f>
        <v>0</v>
      </c>
      <c r="P72" s="30">
        <f>IF($A72="","",SUMPRODUCT(MAX((MovCod=$A72)*(MovTipo="Saída")*MovData)))</f>
        <v>0</v>
      </c>
      <c r="Q72" s="31">
        <f>IF($A72="","",IF(H72&lt;=0,"RUPTURA",IF(AND(I72&gt;0,H72&lt;=I72),"REPOR",IF(AND(J72&lt;&gt;"",H72&gt;J72),"EXCESSO","OK"))))</f>
        <v>0</v>
      </c>
      <c r="R72" s="25">
        <f>IF($A72="","",IF(AND(H72&gt;0,OR(P72=0,Hoje-P72&gt;DiasParado)),"Parado",""))</f>
        <v>0</v>
      </c>
      <c r="S72" s="26">
        <f>IF($A72="","",IF(OR(Q72="RUPTURA",Q72="REPOR"),IF(J72="",0,MAX(0,J72-H72)),0))</f>
        <v>0</v>
      </c>
      <c r="T72" s="24">
        <f>IF($A72="","",M72*IF(N(Produtos!G72)&gt;0,Produtos!G72,K72))</f>
        <v>0</v>
      </c>
      <c r="U72" s="32">
        <f>IF($A72="","",IF(T72&gt;0,T72+ROW()/1000000000,""))</f>
        <v>0</v>
      </c>
      <c r="V72" s="31">
        <f>IF($A72="","",IF(U72="","C",INDEX('Curva ABC'!$H$5:$H$304,MATCH(U72,'Curva ABC'!$B$5:$B$304,0))))</f>
        <v>0</v>
      </c>
      <c r="W72" s="24">
        <f>IF($A72="","",IF(R72="Parado",L72,0))</f>
        <v>0</v>
      </c>
      <c r="X72" s="33">
        <f>IF($A72="","",IF(OR(Q72="RUPTURA",Q72="REPOR"),COUNTIF($Q$5:Q72,"RUPTURA")+COUNTIF($Q$5:Q72,"REPOR"),""))</f>
        <v>0</v>
      </c>
    </row>
    <row r="73" spans="1:24">
      <c r="A73" s="23">
        <f>IF(Produtos!A73="","",Produtos!A73)</f>
        <v>0</v>
      </c>
      <c r="B73" s="23">
        <f>IF($A73="","",Produtos!B73&amp;"")</f>
        <v>0</v>
      </c>
      <c r="C73" s="23">
        <f>IF($A73="","",Produtos!C73&amp;"")</f>
        <v>0</v>
      </c>
      <c r="D73" s="25">
        <f>IF($A73="","",Produtos!D73&amp;"")</f>
        <v>0</v>
      </c>
      <c r="E73" s="26">
        <f>IF($A73="","",N(Produtos!H73))</f>
        <v>0</v>
      </c>
      <c r="F73" s="26">
        <f>IF($A73="","",SUMIFS(MovQtd,MovCod,$A73,MovTipo,"Entrada"))</f>
        <v>0</v>
      </c>
      <c r="G73" s="26">
        <f>IF($A73="","",SUMIFS(MovQtd,MovCod,$A73,MovTipo,"Saída"))</f>
        <v>0</v>
      </c>
      <c r="H73" s="27">
        <f>IF($A73="","",E73+F73-G73)</f>
        <v>0</v>
      </c>
      <c r="I73" s="26">
        <f>IF($A73="","",N(Produtos!I73))</f>
        <v>0</v>
      </c>
      <c r="J73" s="26">
        <f>IF($A73="","",IF(I73&gt;0,ROUNDUP(I73*FatMax,0),""))</f>
        <v>0</v>
      </c>
      <c r="K73" s="24">
        <f>IF($A73="","",N(Produtos!F73))</f>
        <v>0</v>
      </c>
      <c r="L73" s="24">
        <f>IF($A73="","",H73*K73)</f>
        <v>0</v>
      </c>
      <c r="M73" s="26">
        <f>IF($A73="","",SUMIFS(MovQtd,MovCod,$A73,MovTipo,"Saída",MovData,"&gt;="&amp;(Hoje-DiasAn),MovData,"&lt;="&amp;Hoje))</f>
        <v>0</v>
      </c>
      <c r="N73" s="28">
        <f>IF($A73="","",M73/DiasAn)</f>
        <v>0</v>
      </c>
      <c r="O73" s="29">
        <f>IF($A73="","",IF(N73&gt;0,H73/N73,"sem giro"))</f>
        <v>0</v>
      </c>
      <c r="P73" s="30">
        <f>IF($A73="","",SUMPRODUCT(MAX((MovCod=$A73)*(MovTipo="Saída")*MovData)))</f>
        <v>0</v>
      </c>
      <c r="Q73" s="31">
        <f>IF($A73="","",IF(H73&lt;=0,"RUPTURA",IF(AND(I73&gt;0,H73&lt;=I73),"REPOR",IF(AND(J73&lt;&gt;"",H73&gt;J73),"EXCESSO","OK"))))</f>
        <v>0</v>
      </c>
      <c r="R73" s="25">
        <f>IF($A73="","",IF(AND(H73&gt;0,OR(P73=0,Hoje-P73&gt;DiasParado)),"Parado",""))</f>
        <v>0</v>
      </c>
      <c r="S73" s="26">
        <f>IF($A73="","",IF(OR(Q73="RUPTURA",Q73="REPOR"),IF(J73="",0,MAX(0,J73-H73)),0))</f>
        <v>0</v>
      </c>
      <c r="T73" s="24">
        <f>IF($A73="","",M73*IF(N(Produtos!G73)&gt;0,Produtos!G73,K73))</f>
        <v>0</v>
      </c>
      <c r="U73" s="32">
        <f>IF($A73="","",IF(T73&gt;0,T73+ROW()/1000000000,""))</f>
        <v>0</v>
      </c>
      <c r="V73" s="31">
        <f>IF($A73="","",IF(U73="","C",INDEX('Curva ABC'!$H$5:$H$304,MATCH(U73,'Curva ABC'!$B$5:$B$304,0))))</f>
        <v>0</v>
      </c>
      <c r="W73" s="24">
        <f>IF($A73="","",IF(R73="Parado",L73,0))</f>
        <v>0</v>
      </c>
      <c r="X73" s="33">
        <f>IF($A73="","",IF(OR(Q73="RUPTURA",Q73="REPOR"),COUNTIF($Q$5:Q73,"RUPTURA")+COUNTIF($Q$5:Q73,"REPOR"),""))</f>
        <v>0</v>
      </c>
    </row>
    <row r="74" spans="1:24">
      <c r="A74" s="23">
        <f>IF(Produtos!A74="","",Produtos!A74)</f>
        <v>0</v>
      </c>
      <c r="B74" s="23">
        <f>IF($A74="","",Produtos!B74&amp;"")</f>
        <v>0</v>
      </c>
      <c r="C74" s="23">
        <f>IF($A74="","",Produtos!C74&amp;"")</f>
        <v>0</v>
      </c>
      <c r="D74" s="25">
        <f>IF($A74="","",Produtos!D74&amp;"")</f>
        <v>0</v>
      </c>
      <c r="E74" s="26">
        <f>IF($A74="","",N(Produtos!H74))</f>
        <v>0</v>
      </c>
      <c r="F74" s="26">
        <f>IF($A74="","",SUMIFS(MovQtd,MovCod,$A74,MovTipo,"Entrada"))</f>
        <v>0</v>
      </c>
      <c r="G74" s="26">
        <f>IF($A74="","",SUMIFS(MovQtd,MovCod,$A74,MovTipo,"Saída"))</f>
        <v>0</v>
      </c>
      <c r="H74" s="27">
        <f>IF($A74="","",E74+F74-G74)</f>
        <v>0</v>
      </c>
      <c r="I74" s="26">
        <f>IF($A74="","",N(Produtos!I74))</f>
        <v>0</v>
      </c>
      <c r="J74" s="26">
        <f>IF($A74="","",IF(I74&gt;0,ROUNDUP(I74*FatMax,0),""))</f>
        <v>0</v>
      </c>
      <c r="K74" s="24">
        <f>IF($A74="","",N(Produtos!F74))</f>
        <v>0</v>
      </c>
      <c r="L74" s="24">
        <f>IF($A74="","",H74*K74)</f>
        <v>0</v>
      </c>
      <c r="M74" s="26">
        <f>IF($A74="","",SUMIFS(MovQtd,MovCod,$A74,MovTipo,"Saída",MovData,"&gt;="&amp;(Hoje-DiasAn),MovData,"&lt;="&amp;Hoje))</f>
        <v>0</v>
      </c>
      <c r="N74" s="28">
        <f>IF($A74="","",M74/DiasAn)</f>
        <v>0</v>
      </c>
      <c r="O74" s="29">
        <f>IF($A74="","",IF(N74&gt;0,H74/N74,"sem giro"))</f>
        <v>0</v>
      </c>
      <c r="P74" s="30">
        <f>IF($A74="","",SUMPRODUCT(MAX((MovCod=$A74)*(MovTipo="Saída")*MovData)))</f>
        <v>0</v>
      </c>
      <c r="Q74" s="31">
        <f>IF($A74="","",IF(H74&lt;=0,"RUPTURA",IF(AND(I74&gt;0,H74&lt;=I74),"REPOR",IF(AND(J74&lt;&gt;"",H74&gt;J74),"EXCESSO","OK"))))</f>
        <v>0</v>
      </c>
      <c r="R74" s="25">
        <f>IF($A74="","",IF(AND(H74&gt;0,OR(P74=0,Hoje-P74&gt;DiasParado)),"Parado",""))</f>
        <v>0</v>
      </c>
      <c r="S74" s="26">
        <f>IF($A74="","",IF(OR(Q74="RUPTURA",Q74="REPOR"),IF(J74="",0,MAX(0,J74-H74)),0))</f>
        <v>0</v>
      </c>
      <c r="T74" s="24">
        <f>IF($A74="","",M74*IF(N(Produtos!G74)&gt;0,Produtos!G74,K74))</f>
        <v>0</v>
      </c>
      <c r="U74" s="32">
        <f>IF($A74="","",IF(T74&gt;0,T74+ROW()/1000000000,""))</f>
        <v>0</v>
      </c>
      <c r="V74" s="31">
        <f>IF($A74="","",IF(U74="","C",INDEX('Curva ABC'!$H$5:$H$304,MATCH(U74,'Curva ABC'!$B$5:$B$304,0))))</f>
        <v>0</v>
      </c>
      <c r="W74" s="24">
        <f>IF($A74="","",IF(R74="Parado",L74,0))</f>
        <v>0</v>
      </c>
      <c r="X74" s="33">
        <f>IF($A74="","",IF(OR(Q74="RUPTURA",Q74="REPOR"),COUNTIF($Q$5:Q74,"RUPTURA")+COUNTIF($Q$5:Q74,"REPOR"),""))</f>
        <v>0</v>
      </c>
    </row>
    <row r="75" spans="1:24">
      <c r="A75" s="23">
        <f>IF(Produtos!A75="","",Produtos!A75)</f>
        <v>0</v>
      </c>
      <c r="B75" s="23">
        <f>IF($A75="","",Produtos!B75&amp;"")</f>
        <v>0</v>
      </c>
      <c r="C75" s="23">
        <f>IF($A75="","",Produtos!C75&amp;"")</f>
        <v>0</v>
      </c>
      <c r="D75" s="25">
        <f>IF($A75="","",Produtos!D75&amp;"")</f>
        <v>0</v>
      </c>
      <c r="E75" s="26">
        <f>IF($A75="","",N(Produtos!H75))</f>
        <v>0</v>
      </c>
      <c r="F75" s="26">
        <f>IF($A75="","",SUMIFS(MovQtd,MovCod,$A75,MovTipo,"Entrada"))</f>
        <v>0</v>
      </c>
      <c r="G75" s="26">
        <f>IF($A75="","",SUMIFS(MovQtd,MovCod,$A75,MovTipo,"Saída"))</f>
        <v>0</v>
      </c>
      <c r="H75" s="27">
        <f>IF($A75="","",E75+F75-G75)</f>
        <v>0</v>
      </c>
      <c r="I75" s="26">
        <f>IF($A75="","",N(Produtos!I75))</f>
        <v>0</v>
      </c>
      <c r="J75" s="26">
        <f>IF($A75="","",IF(I75&gt;0,ROUNDUP(I75*FatMax,0),""))</f>
        <v>0</v>
      </c>
      <c r="K75" s="24">
        <f>IF($A75="","",N(Produtos!F75))</f>
        <v>0</v>
      </c>
      <c r="L75" s="24">
        <f>IF($A75="","",H75*K75)</f>
        <v>0</v>
      </c>
      <c r="M75" s="26">
        <f>IF($A75="","",SUMIFS(MovQtd,MovCod,$A75,MovTipo,"Saída",MovData,"&gt;="&amp;(Hoje-DiasAn),MovData,"&lt;="&amp;Hoje))</f>
        <v>0</v>
      </c>
      <c r="N75" s="28">
        <f>IF($A75="","",M75/DiasAn)</f>
        <v>0</v>
      </c>
      <c r="O75" s="29">
        <f>IF($A75="","",IF(N75&gt;0,H75/N75,"sem giro"))</f>
        <v>0</v>
      </c>
      <c r="P75" s="30">
        <f>IF($A75="","",SUMPRODUCT(MAX((MovCod=$A75)*(MovTipo="Saída")*MovData)))</f>
        <v>0</v>
      </c>
      <c r="Q75" s="31">
        <f>IF($A75="","",IF(H75&lt;=0,"RUPTURA",IF(AND(I75&gt;0,H75&lt;=I75),"REPOR",IF(AND(J75&lt;&gt;"",H75&gt;J75),"EXCESSO","OK"))))</f>
        <v>0</v>
      </c>
      <c r="R75" s="25">
        <f>IF($A75="","",IF(AND(H75&gt;0,OR(P75=0,Hoje-P75&gt;DiasParado)),"Parado",""))</f>
        <v>0</v>
      </c>
      <c r="S75" s="26">
        <f>IF($A75="","",IF(OR(Q75="RUPTURA",Q75="REPOR"),IF(J75="",0,MAX(0,J75-H75)),0))</f>
        <v>0</v>
      </c>
      <c r="T75" s="24">
        <f>IF($A75="","",M75*IF(N(Produtos!G75)&gt;0,Produtos!G75,K75))</f>
        <v>0</v>
      </c>
      <c r="U75" s="32">
        <f>IF($A75="","",IF(T75&gt;0,T75+ROW()/1000000000,""))</f>
        <v>0</v>
      </c>
      <c r="V75" s="31">
        <f>IF($A75="","",IF(U75="","C",INDEX('Curva ABC'!$H$5:$H$304,MATCH(U75,'Curva ABC'!$B$5:$B$304,0))))</f>
        <v>0</v>
      </c>
      <c r="W75" s="24">
        <f>IF($A75="","",IF(R75="Parado",L75,0))</f>
        <v>0</v>
      </c>
      <c r="X75" s="33">
        <f>IF($A75="","",IF(OR(Q75="RUPTURA",Q75="REPOR"),COUNTIF($Q$5:Q75,"RUPTURA")+COUNTIF($Q$5:Q75,"REPOR"),""))</f>
        <v>0</v>
      </c>
    </row>
    <row r="76" spans="1:24">
      <c r="A76" s="23">
        <f>IF(Produtos!A76="","",Produtos!A76)</f>
        <v>0</v>
      </c>
      <c r="B76" s="23">
        <f>IF($A76="","",Produtos!B76&amp;"")</f>
        <v>0</v>
      </c>
      <c r="C76" s="23">
        <f>IF($A76="","",Produtos!C76&amp;"")</f>
        <v>0</v>
      </c>
      <c r="D76" s="25">
        <f>IF($A76="","",Produtos!D76&amp;"")</f>
        <v>0</v>
      </c>
      <c r="E76" s="26">
        <f>IF($A76="","",N(Produtos!H76))</f>
        <v>0</v>
      </c>
      <c r="F76" s="26">
        <f>IF($A76="","",SUMIFS(MovQtd,MovCod,$A76,MovTipo,"Entrada"))</f>
        <v>0</v>
      </c>
      <c r="G76" s="26">
        <f>IF($A76="","",SUMIFS(MovQtd,MovCod,$A76,MovTipo,"Saída"))</f>
        <v>0</v>
      </c>
      <c r="H76" s="27">
        <f>IF($A76="","",E76+F76-G76)</f>
        <v>0</v>
      </c>
      <c r="I76" s="26">
        <f>IF($A76="","",N(Produtos!I76))</f>
        <v>0</v>
      </c>
      <c r="J76" s="26">
        <f>IF($A76="","",IF(I76&gt;0,ROUNDUP(I76*FatMax,0),""))</f>
        <v>0</v>
      </c>
      <c r="K76" s="24">
        <f>IF($A76="","",N(Produtos!F76))</f>
        <v>0</v>
      </c>
      <c r="L76" s="24">
        <f>IF($A76="","",H76*K76)</f>
        <v>0</v>
      </c>
      <c r="M76" s="26">
        <f>IF($A76="","",SUMIFS(MovQtd,MovCod,$A76,MovTipo,"Saída",MovData,"&gt;="&amp;(Hoje-DiasAn),MovData,"&lt;="&amp;Hoje))</f>
        <v>0</v>
      </c>
      <c r="N76" s="28">
        <f>IF($A76="","",M76/DiasAn)</f>
        <v>0</v>
      </c>
      <c r="O76" s="29">
        <f>IF($A76="","",IF(N76&gt;0,H76/N76,"sem giro"))</f>
        <v>0</v>
      </c>
      <c r="P76" s="30">
        <f>IF($A76="","",SUMPRODUCT(MAX((MovCod=$A76)*(MovTipo="Saída")*MovData)))</f>
        <v>0</v>
      </c>
      <c r="Q76" s="31">
        <f>IF($A76="","",IF(H76&lt;=0,"RUPTURA",IF(AND(I76&gt;0,H76&lt;=I76),"REPOR",IF(AND(J76&lt;&gt;"",H76&gt;J76),"EXCESSO","OK"))))</f>
        <v>0</v>
      </c>
      <c r="R76" s="25">
        <f>IF($A76="","",IF(AND(H76&gt;0,OR(P76=0,Hoje-P76&gt;DiasParado)),"Parado",""))</f>
        <v>0</v>
      </c>
      <c r="S76" s="26">
        <f>IF($A76="","",IF(OR(Q76="RUPTURA",Q76="REPOR"),IF(J76="",0,MAX(0,J76-H76)),0))</f>
        <v>0</v>
      </c>
      <c r="T76" s="24">
        <f>IF($A76="","",M76*IF(N(Produtos!G76)&gt;0,Produtos!G76,K76))</f>
        <v>0</v>
      </c>
      <c r="U76" s="32">
        <f>IF($A76="","",IF(T76&gt;0,T76+ROW()/1000000000,""))</f>
        <v>0</v>
      </c>
      <c r="V76" s="31">
        <f>IF($A76="","",IF(U76="","C",INDEX('Curva ABC'!$H$5:$H$304,MATCH(U76,'Curva ABC'!$B$5:$B$304,0))))</f>
        <v>0</v>
      </c>
      <c r="W76" s="24">
        <f>IF($A76="","",IF(R76="Parado",L76,0))</f>
        <v>0</v>
      </c>
      <c r="X76" s="33">
        <f>IF($A76="","",IF(OR(Q76="RUPTURA",Q76="REPOR"),COUNTIF($Q$5:Q76,"RUPTURA")+COUNTIF($Q$5:Q76,"REPOR"),""))</f>
        <v>0</v>
      </c>
    </row>
    <row r="77" spans="1:24">
      <c r="A77" s="23">
        <f>IF(Produtos!A77="","",Produtos!A77)</f>
        <v>0</v>
      </c>
      <c r="B77" s="23">
        <f>IF($A77="","",Produtos!B77&amp;"")</f>
        <v>0</v>
      </c>
      <c r="C77" s="23">
        <f>IF($A77="","",Produtos!C77&amp;"")</f>
        <v>0</v>
      </c>
      <c r="D77" s="25">
        <f>IF($A77="","",Produtos!D77&amp;"")</f>
        <v>0</v>
      </c>
      <c r="E77" s="26">
        <f>IF($A77="","",N(Produtos!H77))</f>
        <v>0</v>
      </c>
      <c r="F77" s="26">
        <f>IF($A77="","",SUMIFS(MovQtd,MovCod,$A77,MovTipo,"Entrada"))</f>
        <v>0</v>
      </c>
      <c r="G77" s="26">
        <f>IF($A77="","",SUMIFS(MovQtd,MovCod,$A77,MovTipo,"Saída"))</f>
        <v>0</v>
      </c>
      <c r="H77" s="27">
        <f>IF($A77="","",E77+F77-G77)</f>
        <v>0</v>
      </c>
      <c r="I77" s="26">
        <f>IF($A77="","",N(Produtos!I77))</f>
        <v>0</v>
      </c>
      <c r="J77" s="26">
        <f>IF($A77="","",IF(I77&gt;0,ROUNDUP(I77*FatMax,0),""))</f>
        <v>0</v>
      </c>
      <c r="K77" s="24">
        <f>IF($A77="","",N(Produtos!F77))</f>
        <v>0</v>
      </c>
      <c r="L77" s="24">
        <f>IF($A77="","",H77*K77)</f>
        <v>0</v>
      </c>
      <c r="M77" s="26">
        <f>IF($A77="","",SUMIFS(MovQtd,MovCod,$A77,MovTipo,"Saída",MovData,"&gt;="&amp;(Hoje-DiasAn),MovData,"&lt;="&amp;Hoje))</f>
        <v>0</v>
      </c>
      <c r="N77" s="28">
        <f>IF($A77="","",M77/DiasAn)</f>
        <v>0</v>
      </c>
      <c r="O77" s="29">
        <f>IF($A77="","",IF(N77&gt;0,H77/N77,"sem giro"))</f>
        <v>0</v>
      </c>
      <c r="P77" s="30">
        <f>IF($A77="","",SUMPRODUCT(MAX((MovCod=$A77)*(MovTipo="Saída")*MovData)))</f>
        <v>0</v>
      </c>
      <c r="Q77" s="31">
        <f>IF($A77="","",IF(H77&lt;=0,"RUPTURA",IF(AND(I77&gt;0,H77&lt;=I77),"REPOR",IF(AND(J77&lt;&gt;"",H77&gt;J77),"EXCESSO","OK"))))</f>
        <v>0</v>
      </c>
      <c r="R77" s="25">
        <f>IF($A77="","",IF(AND(H77&gt;0,OR(P77=0,Hoje-P77&gt;DiasParado)),"Parado",""))</f>
        <v>0</v>
      </c>
      <c r="S77" s="26">
        <f>IF($A77="","",IF(OR(Q77="RUPTURA",Q77="REPOR"),IF(J77="",0,MAX(0,J77-H77)),0))</f>
        <v>0</v>
      </c>
      <c r="T77" s="24">
        <f>IF($A77="","",M77*IF(N(Produtos!G77)&gt;0,Produtos!G77,K77))</f>
        <v>0</v>
      </c>
      <c r="U77" s="32">
        <f>IF($A77="","",IF(T77&gt;0,T77+ROW()/1000000000,""))</f>
        <v>0</v>
      </c>
      <c r="V77" s="31">
        <f>IF($A77="","",IF(U77="","C",INDEX('Curva ABC'!$H$5:$H$304,MATCH(U77,'Curva ABC'!$B$5:$B$304,0))))</f>
        <v>0</v>
      </c>
      <c r="W77" s="24">
        <f>IF($A77="","",IF(R77="Parado",L77,0))</f>
        <v>0</v>
      </c>
      <c r="X77" s="33">
        <f>IF($A77="","",IF(OR(Q77="RUPTURA",Q77="REPOR"),COUNTIF($Q$5:Q77,"RUPTURA")+COUNTIF($Q$5:Q77,"REPOR"),""))</f>
        <v>0</v>
      </c>
    </row>
    <row r="78" spans="1:24">
      <c r="A78" s="23">
        <f>IF(Produtos!A78="","",Produtos!A78)</f>
        <v>0</v>
      </c>
      <c r="B78" s="23">
        <f>IF($A78="","",Produtos!B78&amp;"")</f>
        <v>0</v>
      </c>
      <c r="C78" s="23">
        <f>IF($A78="","",Produtos!C78&amp;"")</f>
        <v>0</v>
      </c>
      <c r="D78" s="25">
        <f>IF($A78="","",Produtos!D78&amp;"")</f>
        <v>0</v>
      </c>
      <c r="E78" s="26">
        <f>IF($A78="","",N(Produtos!H78))</f>
        <v>0</v>
      </c>
      <c r="F78" s="26">
        <f>IF($A78="","",SUMIFS(MovQtd,MovCod,$A78,MovTipo,"Entrada"))</f>
        <v>0</v>
      </c>
      <c r="G78" s="26">
        <f>IF($A78="","",SUMIFS(MovQtd,MovCod,$A78,MovTipo,"Saída"))</f>
        <v>0</v>
      </c>
      <c r="H78" s="27">
        <f>IF($A78="","",E78+F78-G78)</f>
        <v>0</v>
      </c>
      <c r="I78" s="26">
        <f>IF($A78="","",N(Produtos!I78))</f>
        <v>0</v>
      </c>
      <c r="J78" s="26">
        <f>IF($A78="","",IF(I78&gt;0,ROUNDUP(I78*FatMax,0),""))</f>
        <v>0</v>
      </c>
      <c r="K78" s="24">
        <f>IF($A78="","",N(Produtos!F78))</f>
        <v>0</v>
      </c>
      <c r="L78" s="24">
        <f>IF($A78="","",H78*K78)</f>
        <v>0</v>
      </c>
      <c r="M78" s="26">
        <f>IF($A78="","",SUMIFS(MovQtd,MovCod,$A78,MovTipo,"Saída",MovData,"&gt;="&amp;(Hoje-DiasAn),MovData,"&lt;="&amp;Hoje))</f>
        <v>0</v>
      </c>
      <c r="N78" s="28">
        <f>IF($A78="","",M78/DiasAn)</f>
        <v>0</v>
      </c>
      <c r="O78" s="29">
        <f>IF($A78="","",IF(N78&gt;0,H78/N78,"sem giro"))</f>
        <v>0</v>
      </c>
      <c r="P78" s="30">
        <f>IF($A78="","",SUMPRODUCT(MAX((MovCod=$A78)*(MovTipo="Saída")*MovData)))</f>
        <v>0</v>
      </c>
      <c r="Q78" s="31">
        <f>IF($A78="","",IF(H78&lt;=0,"RUPTURA",IF(AND(I78&gt;0,H78&lt;=I78),"REPOR",IF(AND(J78&lt;&gt;"",H78&gt;J78),"EXCESSO","OK"))))</f>
        <v>0</v>
      </c>
      <c r="R78" s="25">
        <f>IF($A78="","",IF(AND(H78&gt;0,OR(P78=0,Hoje-P78&gt;DiasParado)),"Parado",""))</f>
        <v>0</v>
      </c>
      <c r="S78" s="26">
        <f>IF($A78="","",IF(OR(Q78="RUPTURA",Q78="REPOR"),IF(J78="",0,MAX(0,J78-H78)),0))</f>
        <v>0</v>
      </c>
      <c r="T78" s="24">
        <f>IF($A78="","",M78*IF(N(Produtos!G78)&gt;0,Produtos!G78,K78))</f>
        <v>0</v>
      </c>
      <c r="U78" s="32">
        <f>IF($A78="","",IF(T78&gt;0,T78+ROW()/1000000000,""))</f>
        <v>0</v>
      </c>
      <c r="V78" s="31">
        <f>IF($A78="","",IF(U78="","C",INDEX('Curva ABC'!$H$5:$H$304,MATCH(U78,'Curva ABC'!$B$5:$B$304,0))))</f>
        <v>0</v>
      </c>
      <c r="W78" s="24">
        <f>IF($A78="","",IF(R78="Parado",L78,0))</f>
        <v>0</v>
      </c>
      <c r="X78" s="33">
        <f>IF($A78="","",IF(OR(Q78="RUPTURA",Q78="REPOR"),COUNTIF($Q$5:Q78,"RUPTURA")+COUNTIF($Q$5:Q78,"REPOR"),""))</f>
        <v>0</v>
      </c>
    </row>
    <row r="79" spans="1:24">
      <c r="A79" s="23">
        <f>IF(Produtos!A79="","",Produtos!A79)</f>
        <v>0</v>
      </c>
      <c r="B79" s="23">
        <f>IF($A79="","",Produtos!B79&amp;"")</f>
        <v>0</v>
      </c>
      <c r="C79" s="23">
        <f>IF($A79="","",Produtos!C79&amp;"")</f>
        <v>0</v>
      </c>
      <c r="D79" s="25">
        <f>IF($A79="","",Produtos!D79&amp;"")</f>
        <v>0</v>
      </c>
      <c r="E79" s="26">
        <f>IF($A79="","",N(Produtos!H79))</f>
        <v>0</v>
      </c>
      <c r="F79" s="26">
        <f>IF($A79="","",SUMIFS(MovQtd,MovCod,$A79,MovTipo,"Entrada"))</f>
        <v>0</v>
      </c>
      <c r="G79" s="26">
        <f>IF($A79="","",SUMIFS(MovQtd,MovCod,$A79,MovTipo,"Saída"))</f>
        <v>0</v>
      </c>
      <c r="H79" s="27">
        <f>IF($A79="","",E79+F79-G79)</f>
        <v>0</v>
      </c>
      <c r="I79" s="26">
        <f>IF($A79="","",N(Produtos!I79))</f>
        <v>0</v>
      </c>
      <c r="J79" s="26">
        <f>IF($A79="","",IF(I79&gt;0,ROUNDUP(I79*FatMax,0),""))</f>
        <v>0</v>
      </c>
      <c r="K79" s="24">
        <f>IF($A79="","",N(Produtos!F79))</f>
        <v>0</v>
      </c>
      <c r="L79" s="24">
        <f>IF($A79="","",H79*K79)</f>
        <v>0</v>
      </c>
      <c r="M79" s="26">
        <f>IF($A79="","",SUMIFS(MovQtd,MovCod,$A79,MovTipo,"Saída",MovData,"&gt;="&amp;(Hoje-DiasAn),MovData,"&lt;="&amp;Hoje))</f>
        <v>0</v>
      </c>
      <c r="N79" s="28">
        <f>IF($A79="","",M79/DiasAn)</f>
        <v>0</v>
      </c>
      <c r="O79" s="29">
        <f>IF($A79="","",IF(N79&gt;0,H79/N79,"sem giro"))</f>
        <v>0</v>
      </c>
      <c r="P79" s="30">
        <f>IF($A79="","",SUMPRODUCT(MAX((MovCod=$A79)*(MovTipo="Saída")*MovData)))</f>
        <v>0</v>
      </c>
      <c r="Q79" s="31">
        <f>IF($A79="","",IF(H79&lt;=0,"RUPTURA",IF(AND(I79&gt;0,H79&lt;=I79),"REPOR",IF(AND(J79&lt;&gt;"",H79&gt;J79),"EXCESSO","OK"))))</f>
        <v>0</v>
      </c>
      <c r="R79" s="25">
        <f>IF($A79="","",IF(AND(H79&gt;0,OR(P79=0,Hoje-P79&gt;DiasParado)),"Parado",""))</f>
        <v>0</v>
      </c>
      <c r="S79" s="26">
        <f>IF($A79="","",IF(OR(Q79="RUPTURA",Q79="REPOR"),IF(J79="",0,MAX(0,J79-H79)),0))</f>
        <v>0</v>
      </c>
      <c r="T79" s="24">
        <f>IF($A79="","",M79*IF(N(Produtos!G79)&gt;0,Produtos!G79,K79))</f>
        <v>0</v>
      </c>
      <c r="U79" s="32">
        <f>IF($A79="","",IF(T79&gt;0,T79+ROW()/1000000000,""))</f>
        <v>0</v>
      </c>
      <c r="V79" s="31">
        <f>IF($A79="","",IF(U79="","C",INDEX('Curva ABC'!$H$5:$H$304,MATCH(U79,'Curva ABC'!$B$5:$B$304,0))))</f>
        <v>0</v>
      </c>
      <c r="W79" s="24">
        <f>IF($A79="","",IF(R79="Parado",L79,0))</f>
        <v>0</v>
      </c>
      <c r="X79" s="33">
        <f>IF($A79="","",IF(OR(Q79="RUPTURA",Q79="REPOR"),COUNTIF($Q$5:Q79,"RUPTURA")+COUNTIF($Q$5:Q79,"REPOR"),""))</f>
        <v>0</v>
      </c>
    </row>
    <row r="80" spans="1:24">
      <c r="A80" s="23">
        <f>IF(Produtos!A80="","",Produtos!A80)</f>
        <v>0</v>
      </c>
      <c r="B80" s="23">
        <f>IF($A80="","",Produtos!B80&amp;"")</f>
        <v>0</v>
      </c>
      <c r="C80" s="23">
        <f>IF($A80="","",Produtos!C80&amp;"")</f>
        <v>0</v>
      </c>
      <c r="D80" s="25">
        <f>IF($A80="","",Produtos!D80&amp;"")</f>
        <v>0</v>
      </c>
      <c r="E80" s="26">
        <f>IF($A80="","",N(Produtos!H80))</f>
        <v>0</v>
      </c>
      <c r="F80" s="26">
        <f>IF($A80="","",SUMIFS(MovQtd,MovCod,$A80,MovTipo,"Entrada"))</f>
        <v>0</v>
      </c>
      <c r="G80" s="26">
        <f>IF($A80="","",SUMIFS(MovQtd,MovCod,$A80,MovTipo,"Saída"))</f>
        <v>0</v>
      </c>
      <c r="H80" s="27">
        <f>IF($A80="","",E80+F80-G80)</f>
        <v>0</v>
      </c>
      <c r="I80" s="26">
        <f>IF($A80="","",N(Produtos!I80))</f>
        <v>0</v>
      </c>
      <c r="J80" s="26">
        <f>IF($A80="","",IF(I80&gt;0,ROUNDUP(I80*FatMax,0),""))</f>
        <v>0</v>
      </c>
      <c r="K80" s="24">
        <f>IF($A80="","",N(Produtos!F80))</f>
        <v>0</v>
      </c>
      <c r="L80" s="24">
        <f>IF($A80="","",H80*K80)</f>
        <v>0</v>
      </c>
      <c r="M80" s="26">
        <f>IF($A80="","",SUMIFS(MovQtd,MovCod,$A80,MovTipo,"Saída",MovData,"&gt;="&amp;(Hoje-DiasAn),MovData,"&lt;="&amp;Hoje))</f>
        <v>0</v>
      </c>
      <c r="N80" s="28">
        <f>IF($A80="","",M80/DiasAn)</f>
        <v>0</v>
      </c>
      <c r="O80" s="29">
        <f>IF($A80="","",IF(N80&gt;0,H80/N80,"sem giro"))</f>
        <v>0</v>
      </c>
      <c r="P80" s="30">
        <f>IF($A80="","",SUMPRODUCT(MAX((MovCod=$A80)*(MovTipo="Saída")*MovData)))</f>
        <v>0</v>
      </c>
      <c r="Q80" s="31">
        <f>IF($A80="","",IF(H80&lt;=0,"RUPTURA",IF(AND(I80&gt;0,H80&lt;=I80),"REPOR",IF(AND(J80&lt;&gt;"",H80&gt;J80),"EXCESSO","OK"))))</f>
        <v>0</v>
      </c>
      <c r="R80" s="25">
        <f>IF($A80="","",IF(AND(H80&gt;0,OR(P80=0,Hoje-P80&gt;DiasParado)),"Parado",""))</f>
        <v>0</v>
      </c>
      <c r="S80" s="26">
        <f>IF($A80="","",IF(OR(Q80="RUPTURA",Q80="REPOR"),IF(J80="",0,MAX(0,J80-H80)),0))</f>
        <v>0</v>
      </c>
      <c r="T80" s="24">
        <f>IF($A80="","",M80*IF(N(Produtos!G80)&gt;0,Produtos!G80,K80))</f>
        <v>0</v>
      </c>
      <c r="U80" s="32">
        <f>IF($A80="","",IF(T80&gt;0,T80+ROW()/1000000000,""))</f>
        <v>0</v>
      </c>
      <c r="V80" s="31">
        <f>IF($A80="","",IF(U80="","C",INDEX('Curva ABC'!$H$5:$H$304,MATCH(U80,'Curva ABC'!$B$5:$B$304,0))))</f>
        <v>0</v>
      </c>
      <c r="W80" s="24">
        <f>IF($A80="","",IF(R80="Parado",L80,0))</f>
        <v>0</v>
      </c>
      <c r="X80" s="33">
        <f>IF($A80="","",IF(OR(Q80="RUPTURA",Q80="REPOR"),COUNTIF($Q$5:Q80,"RUPTURA")+COUNTIF($Q$5:Q80,"REPOR"),""))</f>
        <v>0</v>
      </c>
    </row>
    <row r="81" spans="1:24">
      <c r="A81" s="23">
        <f>IF(Produtos!A81="","",Produtos!A81)</f>
        <v>0</v>
      </c>
      <c r="B81" s="23">
        <f>IF($A81="","",Produtos!B81&amp;"")</f>
        <v>0</v>
      </c>
      <c r="C81" s="23">
        <f>IF($A81="","",Produtos!C81&amp;"")</f>
        <v>0</v>
      </c>
      <c r="D81" s="25">
        <f>IF($A81="","",Produtos!D81&amp;"")</f>
        <v>0</v>
      </c>
      <c r="E81" s="26">
        <f>IF($A81="","",N(Produtos!H81))</f>
        <v>0</v>
      </c>
      <c r="F81" s="26">
        <f>IF($A81="","",SUMIFS(MovQtd,MovCod,$A81,MovTipo,"Entrada"))</f>
        <v>0</v>
      </c>
      <c r="G81" s="26">
        <f>IF($A81="","",SUMIFS(MovQtd,MovCod,$A81,MovTipo,"Saída"))</f>
        <v>0</v>
      </c>
      <c r="H81" s="27">
        <f>IF($A81="","",E81+F81-G81)</f>
        <v>0</v>
      </c>
      <c r="I81" s="26">
        <f>IF($A81="","",N(Produtos!I81))</f>
        <v>0</v>
      </c>
      <c r="J81" s="26">
        <f>IF($A81="","",IF(I81&gt;0,ROUNDUP(I81*FatMax,0),""))</f>
        <v>0</v>
      </c>
      <c r="K81" s="24">
        <f>IF($A81="","",N(Produtos!F81))</f>
        <v>0</v>
      </c>
      <c r="L81" s="24">
        <f>IF($A81="","",H81*K81)</f>
        <v>0</v>
      </c>
      <c r="M81" s="26">
        <f>IF($A81="","",SUMIFS(MovQtd,MovCod,$A81,MovTipo,"Saída",MovData,"&gt;="&amp;(Hoje-DiasAn),MovData,"&lt;="&amp;Hoje))</f>
        <v>0</v>
      </c>
      <c r="N81" s="28">
        <f>IF($A81="","",M81/DiasAn)</f>
        <v>0</v>
      </c>
      <c r="O81" s="29">
        <f>IF($A81="","",IF(N81&gt;0,H81/N81,"sem giro"))</f>
        <v>0</v>
      </c>
      <c r="P81" s="30">
        <f>IF($A81="","",SUMPRODUCT(MAX((MovCod=$A81)*(MovTipo="Saída")*MovData)))</f>
        <v>0</v>
      </c>
      <c r="Q81" s="31">
        <f>IF($A81="","",IF(H81&lt;=0,"RUPTURA",IF(AND(I81&gt;0,H81&lt;=I81),"REPOR",IF(AND(J81&lt;&gt;"",H81&gt;J81),"EXCESSO","OK"))))</f>
        <v>0</v>
      </c>
      <c r="R81" s="25">
        <f>IF($A81="","",IF(AND(H81&gt;0,OR(P81=0,Hoje-P81&gt;DiasParado)),"Parado",""))</f>
        <v>0</v>
      </c>
      <c r="S81" s="26">
        <f>IF($A81="","",IF(OR(Q81="RUPTURA",Q81="REPOR"),IF(J81="",0,MAX(0,J81-H81)),0))</f>
        <v>0</v>
      </c>
      <c r="T81" s="24">
        <f>IF($A81="","",M81*IF(N(Produtos!G81)&gt;0,Produtos!G81,K81))</f>
        <v>0</v>
      </c>
      <c r="U81" s="32">
        <f>IF($A81="","",IF(T81&gt;0,T81+ROW()/1000000000,""))</f>
        <v>0</v>
      </c>
      <c r="V81" s="31">
        <f>IF($A81="","",IF(U81="","C",INDEX('Curva ABC'!$H$5:$H$304,MATCH(U81,'Curva ABC'!$B$5:$B$304,0))))</f>
        <v>0</v>
      </c>
      <c r="W81" s="24">
        <f>IF($A81="","",IF(R81="Parado",L81,0))</f>
        <v>0</v>
      </c>
      <c r="X81" s="33">
        <f>IF($A81="","",IF(OR(Q81="RUPTURA",Q81="REPOR"),COUNTIF($Q$5:Q81,"RUPTURA")+COUNTIF($Q$5:Q81,"REPOR"),""))</f>
        <v>0</v>
      </c>
    </row>
    <row r="82" spans="1:24">
      <c r="A82" s="23">
        <f>IF(Produtos!A82="","",Produtos!A82)</f>
        <v>0</v>
      </c>
      <c r="B82" s="23">
        <f>IF($A82="","",Produtos!B82&amp;"")</f>
        <v>0</v>
      </c>
      <c r="C82" s="23">
        <f>IF($A82="","",Produtos!C82&amp;"")</f>
        <v>0</v>
      </c>
      <c r="D82" s="25">
        <f>IF($A82="","",Produtos!D82&amp;"")</f>
        <v>0</v>
      </c>
      <c r="E82" s="26">
        <f>IF($A82="","",N(Produtos!H82))</f>
        <v>0</v>
      </c>
      <c r="F82" s="26">
        <f>IF($A82="","",SUMIFS(MovQtd,MovCod,$A82,MovTipo,"Entrada"))</f>
        <v>0</v>
      </c>
      <c r="G82" s="26">
        <f>IF($A82="","",SUMIFS(MovQtd,MovCod,$A82,MovTipo,"Saída"))</f>
        <v>0</v>
      </c>
      <c r="H82" s="27">
        <f>IF($A82="","",E82+F82-G82)</f>
        <v>0</v>
      </c>
      <c r="I82" s="26">
        <f>IF($A82="","",N(Produtos!I82))</f>
        <v>0</v>
      </c>
      <c r="J82" s="26">
        <f>IF($A82="","",IF(I82&gt;0,ROUNDUP(I82*FatMax,0),""))</f>
        <v>0</v>
      </c>
      <c r="K82" s="24">
        <f>IF($A82="","",N(Produtos!F82))</f>
        <v>0</v>
      </c>
      <c r="L82" s="24">
        <f>IF($A82="","",H82*K82)</f>
        <v>0</v>
      </c>
      <c r="M82" s="26">
        <f>IF($A82="","",SUMIFS(MovQtd,MovCod,$A82,MovTipo,"Saída",MovData,"&gt;="&amp;(Hoje-DiasAn),MovData,"&lt;="&amp;Hoje))</f>
        <v>0</v>
      </c>
      <c r="N82" s="28">
        <f>IF($A82="","",M82/DiasAn)</f>
        <v>0</v>
      </c>
      <c r="O82" s="29">
        <f>IF($A82="","",IF(N82&gt;0,H82/N82,"sem giro"))</f>
        <v>0</v>
      </c>
      <c r="P82" s="30">
        <f>IF($A82="","",SUMPRODUCT(MAX((MovCod=$A82)*(MovTipo="Saída")*MovData)))</f>
        <v>0</v>
      </c>
      <c r="Q82" s="31">
        <f>IF($A82="","",IF(H82&lt;=0,"RUPTURA",IF(AND(I82&gt;0,H82&lt;=I82),"REPOR",IF(AND(J82&lt;&gt;"",H82&gt;J82),"EXCESSO","OK"))))</f>
        <v>0</v>
      </c>
      <c r="R82" s="25">
        <f>IF($A82="","",IF(AND(H82&gt;0,OR(P82=0,Hoje-P82&gt;DiasParado)),"Parado",""))</f>
        <v>0</v>
      </c>
      <c r="S82" s="26">
        <f>IF($A82="","",IF(OR(Q82="RUPTURA",Q82="REPOR"),IF(J82="",0,MAX(0,J82-H82)),0))</f>
        <v>0</v>
      </c>
      <c r="T82" s="24">
        <f>IF($A82="","",M82*IF(N(Produtos!G82)&gt;0,Produtos!G82,K82))</f>
        <v>0</v>
      </c>
      <c r="U82" s="32">
        <f>IF($A82="","",IF(T82&gt;0,T82+ROW()/1000000000,""))</f>
        <v>0</v>
      </c>
      <c r="V82" s="31">
        <f>IF($A82="","",IF(U82="","C",INDEX('Curva ABC'!$H$5:$H$304,MATCH(U82,'Curva ABC'!$B$5:$B$304,0))))</f>
        <v>0</v>
      </c>
      <c r="W82" s="24">
        <f>IF($A82="","",IF(R82="Parado",L82,0))</f>
        <v>0</v>
      </c>
      <c r="X82" s="33">
        <f>IF($A82="","",IF(OR(Q82="RUPTURA",Q82="REPOR"),COUNTIF($Q$5:Q82,"RUPTURA")+COUNTIF($Q$5:Q82,"REPOR"),""))</f>
        <v>0</v>
      </c>
    </row>
    <row r="83" spans="1:24">
      <c r="A83" s="23">
        <f>IF(Produtos!A83="","",Produtos!A83)</f>
        <v>0</v>
      </c>
      <c r="B83" s="23">
        <f>IF($A83="","",Produtos!B83&amp;"")</f>
        <v>0</v>
      </c>
      <c r="C83" s="23">
        <f>IF($A83="","",Produtos!C83&amp;"")</f>
        <v>0</v>
      </c>
      <c r="D83" s="25">
        <f>IF($A83="","",Produtos!D83&amp;"")</f>
        <v>0</v>
      </c>
      <c r="E83" s="26">
        <f>IF($A83="","",N(Produtos!H83))</f>
        <v>0</v>
      </c>
      <c r="F83" s="26">
        <f>IF($A83="","",SUMIFS(MovQtd,MovCod,$A83,MovTipo,"Entrada"))</f>
        <v>0</v>
      </c>
      <c r="G83" s="26">
        <f>IF($A83="","",SUMIFS(MovQtd,MovCod,$A83,MovTipo,"Saída"))</f>
        <v>0</v>
      </c>
      <c r="H83" s="27">
        <f>IF($A83="","",E83+F83-G83)</f>
        <v>0</v>
      </c>
      <c r="I83" s="26">
        <f>IF($A83="","",N(Produtos!I83))</f>
        <v>0</v>
      </c>
      <c r="J83" s="26">
        <f>IF($A83="","",IF(I83&gt;0,ROUNDUP(I83*FatMax,0),""))</f>
        <v>0</v>
      </c>
      <c r="K83" s="24">
        <f>IF($A83="","",N(Produtos!F83))</f>
        <v>0</v>
      </c>
      <c r="L83" s="24">
        <f>IF($A83="","",H83*K83)</f>
        <v>0</v>
      </c>
      <c r="M83" s="26">
        <f>IF($A83="","",SUMIFS(MovQtd,MovCod,$A83,MovTipo,"Saída",MovData,"&gt;="&amp;(Hoje-DiasAn),MovData,"&lt;="&amp;Hoje))</f>
        <v>0</v>
      </c>
      <c r="N83" s="28">
        <f>IF($A83="","",M83/DiasAn)</f>
        <v>0</v>
      </c>
      <c r="O83" s="29">
        <f>IF($A83="","",IF(N83&gt;0,H83/N83,"sem giro"))</f>
        <v>0</v>
      </c>
      <c r="P83" s="30">
        <f>IF($A83="","",SUMPRODUCT(MAX((MovCod=$A83)*(MovTipo="Saída")*MovData)))</f>
        <v>0</v>
      </c>
      <c r="Q83" s="31">
        <f>IF($A83="","",IF(H83&lt;=0,"RUPTURA",IF(AND(I83&gt;0,H83&lt;=I83),"REPOR",IF(AND(J83&lt;&gt;"",H83&gt;J83),"EXCESSO","OK"))))</f>
        <v>0</v>
      </c>
      <c r="R83" s="25">
        <f>IF($A83="","",IF(AND(H83&gt;0,OR(P83=0,Hoje-P83&gt;DiasParado)),"Parado",""))</f>
        <v>0</v>
      </c>
      <c r="S83" s="26">
        <f>IF($A83="","",IF(OR(Q83="RUPTURA",Q83="REPOR"),IF(J83="",0,MAX(0,J83-H83)),0))</f>
        <v>0</v>
      </c>
      <c r="T83" s="24">
        <f>IF($A83="","",M83*IF(N(Produtos!G83)&gt;0,Produtos!G83,K83))</f>
        <v>0</v>
      </c>
      <c r="U83" s="32">
        <f>IF($A83="","",IF(T83&gt;0,T83+ROW()/1000000000,""))</f>
        <v>0</v>
      </c>
      <c r="V83" s="31">
        <f>IF($A83="","",IF(U83="","C",INDEX('Curva ABC'!$H$5:$H$304,MATCH(U83,'Curva ABC'!$B$5:$B$304,0))))</f>
        <v>0</v>
      </c>
      <c r="W83" s="24">
        <f>IF($A83="","",IF(R83="Parado",L83,0))</f>
        <v>0</v>
      </c>
      <c r="X83" s="33">
        <f>IF($A83="","",IF(OR(Q83="RUPTURA",Q83="REPOR"),COUNTIF($Q$5:Q83,"RUPTURA")+COUNTIF($Q$5:Q83,"REPOR"),""))</f>
        <v>0</v>
      </c>
    </row>
    <row r="84" spans="1:24">
      <c r="A84" s="23">
        <f>IF(Produtos!A84="","",Produtos!A84)</f>
        <v>0</v>
      </c>
      <c r="B84" s="23">
        <f>IF($A84="","",Produtos!B84&amp;"")</f>
        <v>0</v>
      </c>
      <c r="C84" s="23">
        <f>IF($A84="","",Produtos!C84&amp;"")</f>
        <v>0</v>
      </c>
      <c r="D84" s="25">
        <f>IF($A84="","",Produtos!D84&amp;"")</f>
        <v>0</v>
      </c>
      <c r="E84" s="26">
        <f>IF($A84="","",N(Produtos!H84))</f>
        <v>0</v>
      </c>
      <c r="F84" s="26">
        <f>IF($A84="","",SUMIFS(MovQtd,MovCod,$A84,MovTipo,"Entrada"))</f>
        <v>0</v>
      </c>
      <c r="G84" s="26">
        <f>IF($A84="","",SUMIFS(MovQtd,MovCod,$A84,MovTipo,"Saída"))</f>
        <v>0</v>
      </c>
      <c r="H84" s="27">
        <f>IF($A84="","",E84+F84-G84)</f>
        <v>0</v>
      </c>
      <c r="I84" s="26">
        <f>IF($A84="","",N(Produtos!I84))</f>
        <v>0</v>
      </c>
      <c r="J84" s="26">
        <f>IF($A84="","",IF(I84&gt;0,ROUNDUP(I84*FatMax,0),""))</f>
        <v>0</v>
      </c>
      <c r="K84" s="24">
        <f>IF($A84="","",N(Produtos!F84))</f>
        <v>0</v>
      </c>
      <c r="L84" s="24">
        <f>IF($A84="","",H84*K84)</f>
        <v>0</v>
      </c>
      <c r="M84" s="26">
        <f>IF($A84="","",SUMIFS(MovQtd,MovCod,$A84,MovTipo,"Saída",MovData,"&gt;="&amp;(Hoje-DiasAn),MovData,"&lt;="&amp;Hoje))</f>
        <v>0</v>
      </c>
      <c r="N84" s="28">
        <f>IF($A84="","",M84/DiasAn)</f>
        <v>0</v>
      </c>
      <c r="O84" s="29">
        <f>IF($A84="","",IF(N84&gt;0,H84/N84,"sem giro"))</f>
        <v>0</v>
      </c>
      <c r="P84" s="30">
        <f>IF($A84="","",SUMPRODUCT(MAX((MovCod=$A84)*(MovTipo="Saída")*MovData)))</f>
        <v>0</v>
      </c>
      <c r="Q84" s="31">
        <f>IF($A84="","",IF(H84&lt;=0,"RUPTURA",IF(AND(I84&gt;0,H84&lt;=I84),"REPOR",IF(AND(J84&lt;&gt;"",H84&gt;J84),"EXCESSO","OK"))))</f>
        <v>0</v>
      </c>
      <c r="R84" s="25">
        <f>IF($A84="","",IF(AND(H84&gt;0,OR(P84=0,Hoje-P84&gt;DiasParado)),"Parado",""))</f>
        <v>0</v>
      </c>
      <c r="S84" s="26">
        <f>IF($A84="","",IF(OR(Q84="RUPTURA",Q84="REPOR"),IF(J84="",0,MAX(0,J84-H84)),0))</f>
        <v>0</v>
      </c>
      <c r="T84" s="24">
        <f>IF($A84="","",M84*IF(N(Produtos!G84)&gt;0,Produtos!G84,K84))</f>
        <v>0</v>
      </c>
      <c r="U84" s="32">
        <f>IF($A84="","",IF(T84&gt;0,T84+ROW()/1000000000,""))</f>
        <v>0</v>
      </c>
      <c r="V84" s="31">
        <f>IF($A84="","",IF(U84="","C",INDEX('Curva ABC'!$H$5:$H$304,MATCH(U84,'Curva ABC'!$B$5:$B$304,0))))</f>
        <v>0</v>
      </c>
      <c r="W84" s="24">
        <f>IF($A84="","",IF(R84="Parado",L84,0))</f>
        <v>0</v>
      </c>
      <c r="X84" s="33">
        <f>IF($A84="","",IF(OR(Q84="RUPTURA",Q84="REPOR"),COUNTIF($Q$5:Q84,"RUPTURA")+COUNTIF($Q$5:Q84,"REPOR"),""))</f>
        <v>0</v>
      </c>
    </row>
    <row r="85" spans="1:24">
      <c r="A85" s="23">
        <f>IF(Produtos!A85="","",Produtos!A85)</f>
        <v>0</v>
      </c>
      <c r="B85" s="23">
        <f>IF($A85="","",Produtos!B85&amp;"")</f>
        <v>0</v>
      </c>
      <c r="C85" s="23">
        <f>IF($A85="","",Produtos!C85&amp;"")</f>
        <v>0</v>
      </c>
      <c r="D85" s="25">
        <f>IF($A85="","",Produtos!D85&amp;"")</f>
        <v>0</v>
      </c>
      <c r="E85" s="26">
        <f>IF($A85="","",N(Produtos!H85))</f>
        <v>0</v>
      </c>
      <c r="F85" s="26">
        <f>IF($A85="","",SUMIFS(MovQtd,MovCod,$A85,MovTipo,"Entrada"))</f>
        <v>0</v>
      </c>
      <c r="G85" s="26">
        <f>IF($A85="","",SUMIFS(MovQtd,MovCod,$A85,MovTipo,"Saída"))</f>
        <v>0</v>
      </c>
      <c r="H85" s="27">
        <f>IF($A85="","",E85+F85-G85)</f>
        <v>0</v>
      </c>
      <c r="I85" s="26">
        <f>IF($A85="","",N(Produtos!I85))</f>
        <v>0</v>
      </c>
      <c r="J85" s="26">
        <f>IF($A85="","",IF(I85&gt;0,ROUNDUP(I85*FatMax,0),""))</f>
        <v>0</v>
      </c>
      <c r="K85" s="24">
        <f>IF($A85="","",N(Produtos!F85))</f>
        <v>0</v>
      </c>
      <c r="L85" s="24">
        <f>IF($A85="","",H85*K85)</f>
        <v>0</v>
      </c>
      <c r="M85" s="26">
        <f>IF($A85="","",SUMIFS(MovQtd,MovCod,$A85,MovTipo,"Saída",MovData,"&gt;="&amp;(Hoje-DiasAn),MovData,"&lt;="&amp;Hoje))</f>
        <v>0</v>
      </c>
      <c r="N85" s="28">
        <f>IF($A85="","",M85/DiasAn)</f>
        <v>0</v>
      </c>
      <c r="O85" s="29">
        <f>IF($A85="","",IF(N85&gt;0,H85/N85,"sem giro"))</f>
        <v>0</v>
      </c>
      <c r="P85" s="30">
        <f>IF($A85="","",SUMPRODUCT(MAX((MovCod=$A85)*(MovTipo="Saída")*MovData)))</f>
        <v>0</v>
      </c>
      <c r="Q85" s="31">
        <f>IF($A85="","",IF(H85&lt;=0,"RUPTURA",IF(AND(I85&gt;0,H85&lt;=I85),"REPOR",IF(AND(J85&lt;&gt;"",H85&gt;J85),"EXCESSO","OK"))))</f>
        <v>0</v>
      </c>
      <c r="R85" s="25">
        <f>IF($A85="","",IF(AND(H85&gt;0,OR(P85=0,Hoje-P85&gt;DiasParado)),"Parado",""))</f>
        <v>0</v>
      </c>
      <c r="S85" s="26">
        <f>IF($A85="","",IF(OR(Q85="RUPTURA",Q85="REPOR"),IF(J85="",0,MAX(0,J85-H85)),0))</f>
        <v>0</v>
      </c>
      <c r="T85" s="24">
        <f>IF($A85="","",M85*IF(N(Produtos!G85)&gt;0,Produtos!G85,K85))</f>
        <v>0</v>
      </c>
      <c r="U85" s="32">
        <f>IF($A85="","",IF(T85&gt;0,T85+ROW()/1000000000,""))</f>
        <v>0</v>
      </c>
      <c r="V85" s="31">
        <f>IF($A85="","",IF(U85="","C",INDEX('Curva ABC'!$H$5:$H$304,MATCH(U85,'Curva ABC'!$B$5:$B$304,0))))</f>
        <v>0</v>
      </c>
      <c r="W85" s="24">
        <f>IF($A85="","",IF(R85="Parado",L85,0))</f>
        <v>0</v>
      </c>
      <c r="X85" s="33">
        <f>IF($A85="","",IF(OR(Q85="RUPTURA",Q85="REPOR"),COUNTIF($Q$5:Q85,"RUPTURA")+COUNTIF($Q$5:Q85,"REPOR"),""))</f>
        <v>0</v>
      </c>
    </row>
    <row r="86" spans="1:24">
      <c r="A86" s="23">
        <f>IF(Produtos!A86="","",Produtos!A86)</f>
        <v>0</v>
      </c>
      <c r="B86" s="23">
        <f>IF($A86="","",Produtos!B86&amp;"")</f>
        <v>0</v>
      </c>
      <c r="C86" s="23">
        <f>IF($A86="","",Produtos!C86&amp;"")</f>
        <v>0</v>
      </c>
      <c r="D86" s="25">
        <f>IF($A86="","",Produtos!D86&amp;"")</f>
        <v>0</v>
      </c>
      <c r="E86" s="26">
        <f>IF($A86="","",N(Produtos!H86))</f>
        <v>0</v>
      </c>
      <c r="F86" s="26">
        <f>IF($A86="","",SUMIFS(MovQtd,MovCod,$A86,MovTipo,"Entrada"))</f>
        <v>0</v>
      </c>
      <c r="G86" s="26">
        <f>IF($A86="","",SUMIFS(MovQtd,MovCod,$A86,MovTipo,"Saída"))</f>
        <v>0</v>
      </c>
      <c r="H86" s="27">
        <f>IF($A86="","",E86+F86-G86)</f>
        <v>0</v>
      </c>
      <c r="I86" s="26">
        <f>IF($A86="","",N(Produtos!I86))</f>
        <v>0</v>
      </c>
      <c r="J86" s="26">
        <f>IF($A86="","",IF(I86&gt;0,ROUNDUP(I86*FatMax,0),""))</f>
        <v>0</v>
      </c>
      <c r="K86" s="24">
        <f>IF($A86="","",N(Produtos!F86))</f>
        <v>0</v>
      </c>
      <c r="L86" s="24">
        <f>IF($A86="","",H86*K86)</f>
        <v>0</v>
      </c>
      <c r="M86" s="26">
        <f>IF($A86="","",SUMIFS(MovQtd,MovCod,$A86,MovTipo,"Saída",MovData,"&gt;="&amp;(Hoje-DiasAn),MovData,"&lt;="&amp;Hoje))</f>
        <v>0</v>
      </c>
      <c r="N86" s="28">
        <f>IF($A86="","",M86/DiasAn)</f>
        <v>0</v>
      </c>
      <c r="O86" s="29">
        <f>IF($A86="","",IF(N86&gt;0,H86/N86,"sem giro"))</f>
        <v>0</v>
      </c>
      <c r="P86" s="30">
        <f>IF($A86="","",SUMPRODUCT(MAX((MovCod=$A86)*(MovTipo="Saída")*MovData)))</f>
        <v>0</v>
      </c>
      <c r="Q86" s="31">
        <f>IF($A86="","",IF(H86&lt;=0,"RUPTURA",IF(AND(I86&gt;0,H86&lt;=I86),"REPOR",IF(AND(J86&lt;&gt;"",H86&gt;J86),"EXCESSO","OK"))))</f>
        <v>0</v>
      </c>
      <c r="R86" s="25">
        <f>IF($A86="","",IF(AND(H86&gt;0,OR(P86=0,Hoje-P86&gt;DiasParado)),"Parado",""))</f>
        <v>0</v>
      </c>
      <c r="S86" s="26">
        <f>IF($A86="","",IF(OR(Q86="RUPTURA",Q86="REPOR"),IF(J86="",0,MAX(0,J86-H86)),0))</f>
        <v>0</v>
      </c>
      <c r="T86" s="24">
        <f>IF($A86="","",M86*IF(N(Produtos!G86)&gt;0,Produtos!G86,K86))</f>
        <v>0</v>
      </c>
      <c r="U86" s="32">
        <f>IF($A86="","",IF(T86&gt;0,T86+ROW()/1000000000,""))</f>
        <v>0</v>
      </c>
      <c r="V86" s="31">
        <f>IF($A86="","",IF(U86="","C",INDEX('Curva ABC'!$H$5:$H$304,MATCH(U86,'Curva ABC'!$B$5:$B$304,0))))</f>
        <v>0</v>
      </c>
      <c r="W86" s="24">
        <f>IF($A86="","",IF(R86="Parado",L86,0))</f>
        <v>0</v>
      </c>
      <c r="X86" s="33">
        <f>IF($A86="","",IF(OR(Q86="RUPTURA",Q86="REPOR"),COUNTIF($Q$5:Q86,"RUPTURA")+COUNTIF($Q$5:Q86,"REPOR"),""))</f>
        <v>0</v>
      </c>
    </row>
    <row r="87" spans="1:24">
      <c r="A87" s="23">
        <f>IF(Produtos!A87="","",Produtos!A87)</f>
        <v>0</v>
      </c>
      <c r="B87" s="23">
        <f>IF($A87="","",Produtos!B87&amp;"")</f>
        <v>0</v>
      </c>
      <c r="C87" s="23">
        <f>IF($A87="","",Produtos!C87&amp;"")</f>
        <v>0</v>
      </c>
      <c r="D87" s="25">
        <f>IF($A87="","",Produtos!D87&amp;"")</f>
        <v>0</v>
      </c>
      <c r="E87" s="26">
        <f>IF($A87="","",N(Produtos!H87))</f>
        <v>0</v>
      </c>
      <c r="F87" s="26">
        <f>IF($A87="","",SUMIFS(MovQtd,MovCod,$A87,MovTipo,"Entrada"))</f>
        <v>0</v>
      </c>
      <c r="G87" s="26">
        <f>IF($A87="","",SUMIFS(MovQtd,MovCod,$A87,MovTipo,"Saída"))</f>
        <v>0</v>
      </c>
      <c r="H87" s="27">
        <f>IF($A87="","",E87+F87-G87)</f>
        <v>0</v>
      </c>
      <c r="I87" s="26">
        <f>IF($A87="","",N(Produtos!I87))</f>
        <v>0</v>
      </c>
      <c r="J87" s="26">
        <f>IF($A87="","",IF(I87&gt;0,ROUNDUP(I87*FatMax,0),""))</f>
        <v>0</v>
      </c>
      <c r="K87" s="24">
        <f>IF($A87="","",N(Produtos!F87))</f>
        <v>0</v>
      </c>
      <c r="L87" s="24">
        <f>IF($A87="","",H87*K87)</f>
        <v>0</v>
      </c>
      <c r="M87" s="26">
        <f>IF($A87="","",SUMIFS(MovQtd,MovCod,$A87,MovTipo,"Saída",MovData,"&gt;="&amp;(Hoje-DiasAn),MovData,"&lt;="&amp;Hoje))</f>
        <v>0</v>
      </c>
      <c r="N87" s="28">
        <f>IF($A87="","",M87/DiasAn)</f>
        <v>0</v>
      </c>
      <c r="O87" s="29">
        <f>IF($A87="","",IF(N87&gt;0,H87/N87,"sem giro"))</f>
        <v>0</v>
      </c>
      <c r="P87" s="30">
        <f>IF($A87="","",SUMPRODUCT(MAX((MovCod=$A87)*(MovTipo="Saída")*MovData)))</f>
        <v>0</v>
      </c>
      <c r="Q87" s="31">
        <f>IF($A87="","",IF(H87&lt;=0,"RUPTURA",IF(AND(I87&gt;0,H87&lt;=I87),"REPOR",IF(AND(J87&lt;&gt;"",H87&gt;J87),"EXCESSO","OK"))))</f>
        <v>0</v>
      </c>
      <c r="R87" s="25">
        <f>IF($A87="","",IF(AND(H87&gt;0,OR(P87=0,Hoje-P87&gt;DiasParado)),"Parado",""))</f>
        <v>0</v>
      </c>
      <c r="S87" s="26">
        <f>IF($A87="","",IF(OR(Q87="RUPTURA",Q87="REPOR"),IF(J87="",0,MAX(0,J87-H87)),0))</f>
        <v>0</v>
      </c>
      <c r="T87" s="24">
        <f>IF($A87="","",M87*IF(N(Produtos!G87)&gt;0,Produtos!G87,K87))</f>
        <v>0</v>
      </c>
      <c r="U87" s="32">
        <f>IF($A87="","",IF(T87&gt;0,T87+ROW()/1000000000,""))</f>
        <v>0</v>
      </c>
      <c r="V87" s="31">
        <f>IF($A87="","",IF(U87="","C",INDEX('Curva ABC'!$H$5:$H$304,MATCH(U87,'Curva ABC'!$B$5:$B$304,0))))</f>
        <v>0</v>
      </c>
      <c r="W87" s="24">
        <f>IF($A87="","",IF(R87="Parado",L87,0))</f>
        <v>0</v>
      </c>
      <c r="X87" s="33">
        <f>IF($A87="","",IF(OR(Q87="RUPTURA",Q87="REPOR"),COUNTIF($Q$5:Q87,"RUPTURA")+COUNTIF($Q$5:Q87,"REPOR"),""))</f>
        <v>0</v>
      </c>
    </row>
    <row r="88" spans="1:24">
      <c r="A88" s="23">
        <f>IF(Produtos!A88="","",Produtos!A88)</f>
        <v>0</v>
      </c>
      <c r="B88" s="23">
        <f>IF($A88="","",Produtos!B88&amp;"")</f>
        <v>0</v>
      </c>
      <c r="C88" s="23">
        <f>IF($A88="","",Produtos!C88&amp;"")</f>
        <v>0</v>
      </c>
      <c r="D88" s="25">
        <f>IF($A88="","",Produtos!D88&amp;"")</f>
        <v>0</v>
      </c>
      <c r="E88" s="26">
        <f>IF($A88="","",N(Produtos!H88))</f>
        <v>0</v>
      </c>
      <c r="F88" s="26">
        <f>IF($A88="","",SUMIFS(MovQtd,MovCod,$A88,MovTipo,"Entrada"))</f>
        <v>0</v>
      </c>
      <c r="G88" s="26">
        <f>IF($A88="","",SUMIFS(MovQtd,MovCod,$A88,MovTipo,"Saída"))</f>
        <v>0</v>
      </c>
      <c r="H88" s="27">
        <f>IF($A88="","",E88+F88-G88)</f>
        <v>0</v>
      </c>
      <c r="I88" s="26">
        <f>IF($A88="","",N(Produtos!I88))</f>
        <v>0</v>
      </c>
      <c r="J88" s="26">
        <f>IF($A88="","",IF(I88&gt;0,ROUNDUP(I88*FatMax,0),""))</f>
        <v>0</v>
      </c>
      <c r="K88" s="24">
        <f>IF($A88="","",N(Produtos!F88))</f>
        <v>0</v>
      </c>
      <c r="L88" s="24">
        <f>IF($A88="","",H88*K88)</f>
        <v>0</v>
      </c>
      <c r="M88" s="26">
        <f>IF($A88="","",SUMIFS(MovQtd,MovCod,$A88,MovTipo,"Saída",MovData,"&gt;="&amp;(Hoje-DiasAn),MovData,"&lt;="&amp;Hoje))</f>
        <v>0</v>
      </c>
      <c r="N88" s="28">
        <f>IF($A88="","",M88/DiasAn)</f>
        <v>0</v>
      </c>
      <c r="O88" s="29">
        <f>IF($A88="","",IF(N88&gt;0,H88/N88,"sem giro"))</f>
        <v>0</v>
      </c>
      <c r="P88" s="30">
        <f>IF($A88="","",SUMPRODUCT(MAX((MovCod=$A88)*(MovTipo="Saída")*MovData)))</f>
        <v>0</v>
      </c>
      <c r="Q88" s="31">
        <f>IF($A88="","",IF(H88&lt;=0,"RUPTURA",IF(AND(I88&gt;0,H88&lt;=I88),"REPOR",IF(AND(J88&lt;&gt;"",H88&gt;J88),"EXCESSO","OK"))))</f>
        <v>0</v>
      </c>
      <c r="R88" s="25">
        <f>IF($A88="","",IF(AND(H88&gt;0,OR(P88=0,Hoje-P88&gt;DiasParado)),"Parado",""))</f>
        <v>0</v>
      </c>
      <c r="S88" s="26">
        <f>IF($A88="","",IF(OR(Q88="RUPTURA",Q88="REPOR"),IF(J88="",0,MAX(0,J88-H88)),0))</f>
        <v>0</v>
      </c>
      <c r="T88" s="24">
        <f>IF($A88="","",M88*IF(N(Produtos!G88)&gt;0,Produtos!G88,K88))</f>
        <v>0</v>
      </c>
      <c r="U88" s="32">
        <f>IF($A88="","",IF(T88&gt;0,T88+ROW()/1000000000,""))</f>
        <v>0</v>
      </c>
      <c r="V88" s="31">
        <f>IF($A88="","",IF(U88="","C",INDEX('Curva ABC'!$H$5:$H$304,MATCH(U88,'Curva ABC'!$B$5:$B$304,0))))</f>
        <v>0</v>
      </c>
      <c r="W88" s="24">
        <f>IF($A88="","",IF(R88="Parado",L88,0))</f>
        <v>0</v>
      </c>
      <c r="X88" s="33">
        <f>IF($A88="","",IF(OR(Q88="RUPTURA",Q88="REPOR"),COUNTIF($Q$5:Q88,"RUPTURA")+COUNTIF($Q$5:Q88,"REPOR"),""))</f>
        <v>0</v>
      </c>
    </row>
    <row r="89" spans="1:24">
      <c r="A89" s="23">
        <f>IF(Produtos!A89="","",Produtos!A89)</f>
        <v>0</v>
      </c>
      <c r="B89" s="23">
        <f>IF($A89="","",Produtos!B89&amp;"")</f>
        <v>0</v>
      </c>
      <c r="C89" s="23">
        <f>IF($A89="","",Produtos!C89&amp;"")</f>
        <v>0</v>
      </c>
      <c r="D89" s="25">
        <f>IF($A89="","",Produtos!D89&amp;"")</f>
        <v>0</v>
      </c>
      <c r="E89" s="26">
        <f>IF($A89="","",N(Produtos!H89))</f>
        <v>0</v>
      </c>
      <c r="F89" s="26">
        <f>IF($A89="","",SUMIFS(MovQtd,MovCod,$A89,MovTipo,"Entrada"))</f>
        <v>0</v>
      </c>
      <c r="G89" s="26">
        <f>IF($A89="","",SUMIFS(MovQtd,MovCod,$A89,MovTipo,"Saída"))</f>
        <v>0</v>
      </c>
      <c r="H89" s="27">
        <f>IF($A89="","",E89+F89-G89)</f>
        <v>0</v>
      </c>
      <c r="I89" s="26">
        <f>IF($A89="","",N(Produtos!I89))</f>
        <v>0</v>
      </c>
      <c r="J89" s="26">
        <f>IF($A89="","",IF(I89&gt;0,ROUNDUP(I89*FatMax,0),""))</f>
        <v>0</v>
      </c>
      <c r="K89" s="24">
        <f>IF($A89="","",N(Produtos!F89))</f>
        <v>0</v>
      </c>
      <c r="L89" s="24">
        <f>IF($A89="","",H89*K89)</f>
        <v>0</v>
      </c>
      <c r="M89" s="26">
        <f>IF($A89="","",SUMIFS(MovQtd,MovCod,$A89,MovTipo,"Saída",MovData,"&gt;="&amp;(Hoje-DiasAn),MovData,"&lt;="&amp;Hoje))</f>
        <v>0</v>
      </c>
      <c r="N89" s="28">
        <f>IF($A89="","",M89/DiasAn)</f>
        <v>0</v>
      </c>
      <c r="O89" s="29">
        <f>IF($A89="","",IF(N89&gt;0,H89/N89,"sem giro"))</f>
        <v>0</v>
      </c>
      <c r="P89" s="30">
        <f>IF($A89="","",SUMPRODUCT(MAX((MovCod=$A89)*(MovTipo="Saída")*MovData)))</f>
        <v>0</v>
      </c>
      <c r="Q89" s="31">
        <f>IF($A89="","",IF(H89&lt;=0,"RUPTURA",IF(AND(I89&gt;0,H89&lt;=I89),"REPOR",IF(AND(J89&lt;&gt;"",H89&gt;J89),"EXCESSO","OK"))))</f>
        <v>0</v>
      </c>
      <c r="R89" s="25">
        <f>IF($A89="","",IF(AND(H89&gt;0,OR(P89=0,Hoje-P89&gt;DiasParado)),"Parado",""))</f>
        <v>0</v>
      </c>
      <c r="S89" s="26">
        <f>IF($A89="","",IF(OR(Q89="RUPTURA",Q89="REPOR"),IF(J89="",0,MAX(0,J89-H89)),0))</f>
        <v>0</v>
      </c>
      <c r="T89" s="24">
        <f>IF($A89="","",M89*IF(N(Produtos!G89)&gt;0,Produtos!G89,K89))</f>
        <v>0</v>
      </c>
      <c r="U89" s="32">
        <f>IF($A89="","",IF(T89&gt;0,T89+ROW()/1000000000,""))</f>
        <v>0</v>
      </c>
      <c r="V89" s="31">
        <f>IF($A89="","",IF(U89="","C",INDEX('Curva ABC'!$H$5:$H$304,MATCH(U89,'Curva ABC'!$B$5:$B$304,0))))</f>
        <v>0</v>
      </c>
      <c r="W89" s="24">
        <f>IF($A89="","",IF(R89="Parado",L89,0))</f>
        <v>0</v>
      </c>
      <c r="X89" s="33">
        <f>IF($A89="","",IF(OR(Q89="RUPTURA",Q89="REPOR"),COUNTIF($Q$5:Q89,"RUPTURA")+COUNTIF($Q$5:Q89,"REPOR"),""))</f>
        <v>0</v>
      </c>
    </row>
    <row r="90" spans="1:24">
      <c r="A90" s="23">
        <f>IF(Produtos!A90="","",Produtos!A90)</f>
        <v>0</v>
      </c>
      <c r="B90" s="23">
        <f>IF($A90="","",Produtos!B90&amp;"")</f>
        <v>0</v>
      </c>
      <c r="C90" s="23">
        <f>IF($A90="","",Produtos!C90&amp;"")</f>
        <v>0</v>
      </c>
      <c r="D90" s="25">
        <f>IF($A90="","",Produtos!D90&amp;"")</f>
        <v>0</v>
      </c>
      <c r="E90" s="26">
        <f>IF($A90="","",N(Produtos!H90))</f>
        <v>0</v>
      </c>
      <c r="F90" s="26">
        <f>IF($A90="","",SUMIFS(MovQtd,MovCod,$A90,MovTipo,"Entrada"))</f>
        <v>0</v>
      </c>
      <c r="G90" s="26">
        <f>IF($A90="","",SUMIFS(MovQtd,MovCod,$A90,MovTipo,"Saída"))</f>
        <v>0</v>
      </c>
      <c r="H90" s="27">
        <f>IF($A90="","",E90+F90-G90)</f>
        <v>0</v>
      </c>
      <c r="I90" s="26">
        <f>IF($A90="","",N(Produtos!I90))</f>
        <v>0</v>
      </c>
      <c r="J90" s="26">
        <f>IF($A90="","",IF(I90&gt;0,ROUNDUP(I90*FatMax,0),""))</f>
        <v>0</v>
      </c>
      <c r="K90" s="24">
        <f>IF($A90="","",N(Produtos!F90))</f>
        <v>0</v>
      </c>
      <c r="L90" s="24">
        <f>IF($A90="","",H90*K90)</f>
        <v>0</v>
      </c>
      <c r="M90" s="26">
        <f>IF($A90="","",SUMIFS(MovQtd,MovCod,$A90,MovTipo,"Saída",MovData,"&gt;="&amp;(Hoje-DiasAn),MovData,"&lt;="&amp;Hoje))</f>
        <v>0</v>
      </c>
      <c r="N90" s="28">
        <f>IF($A90="","",M90/DiasAn)</f>
        <v>0</v>
      </c>
      <c r="O90" s="29">
        <f>IF($A90="","",IF(N90&gt;0,H90/N90,"sem giro"))</f>
        <v>0</v>
      </c>
      <c r="P90" s="30">
        <f>IF($A90="","",SUMPRODUCT(MAX((MovCod=$A90)*(MovTipo="Saída")*MovData)))</f>
        <v>0</v>
      </c>
      <c r="Q90" s="31">
        <f>IF($A90="","",IF(H90&lt;=0,"RUPTURA",IF(AND(I90&gt;0,H90&lt;=I90),"REPOR",IF(AND(J90&lt;&gt;"",H90&gt;J90),"EXCESSO","OK"))))</f>
        <v>0</v>
      </c>
      <c r="R90" s="25">
        <f>IF($A90="","",IF(AND(H90&gt;0,OR(P90=0,Hoje-P90&gt;DiasParado)),"Parado",""))</f>
        <v>0</v>
      </c>
      <c r="S90" s="26">
        <f>IF($A90="","",IF(OR(Q90="RUPTURA",Q90="REPOR"),IF(J90="",0,MAX(0,J90-H90)),0))</f>
        <v>0</v>
      </c>
      <c r="T90" s="24">
        <f>IF($A90="","",M90*IF(N(Produtos!G90)&gt;0,Produtos!G90,K90))</f>
        <v>0</v>
      </c>
      <c r="U90" s="32">
        <f>IF($A90="","",IF(T90&gt;0,T90+ROW()/1000000000,""))</f>
        <v>0</v>
      </c>
      <c r="V90" s="31">
        <f>IF($A90="","",IF(U90="","C",INDEX('Curva ABC'!$H$5:$H$304,MATCH(U90,'Curva ABC'!$B$5:$B$304,0))))</f>
        <v>0</v>
      </c>
      <c r="W90" s="24">
        <f>IF($A90="","",IF(R90="Parado",L90,0))</f>
        <v>0</v>
      </c>
      <c r="X90" s="33">
        <f>IF($A90="","",IF(OR(Q90="RUPTURA",Q90="REPOR"),COUNTIF($Q$5:Q90,"RUPTURA")+COUNTIF($Q$5:Q90,"REPOR"),""))</f>
        <v>0</v>
      </c>
    </row>
    <row r="91" spans="1:24">
      <c r="A91" s="23">
        <f>IF(Produtos!A91="","",Produtos!A91)</f>
        <v>0</v>
      </c>
      <c r="B91" s="23">
        <f>IF($A91="","",Produtos!B91&amp;"")</f>
        <v>0</v>
      </c>
      <c r="C91" s="23">
        <f>IF($A91="","",Produtos!C91&amp;"")</f>
        <v>0</v>
      </c>
      <c r="D91" s="25">
        <f>IF($A91="","",Produtos!D91&amp;"")</f>
        <v>0</v>
      </c>
      <c r="E91" s="26">
        <f>IF($A91="","",N(Produtos!H91))</f>
        <v>0</v>
      </c>
      <c r="F91" s="26">
        <f>IF($A91="","",SUMIFS(MovQtd,MovCod,$A91,MovTipo,"Entrada"))</f>
        <v>0</v>
      </c>
      <c r="G91" s="26">
        <f>IF($A91="","",SUMIFS(MovQtd,MovCod,$A91,MovTipo,"Saída"))</f>
        <v>0</v>
      </c>
      <c r="H91" s="27">
        <f>IF($A91="","",E91+F91-G91)</f>
        <v>0</v>
      </c>
      <c r="I91" s="26">
        <f>IF($A91="","",N(Produtos!I91))</f>
        <v>0</v>
      </c>
      <c r="J91" s="26">
        <f>IF($A91="","",IF(I91&gt;0,ROUNDUP(I91*FatMax,0),""))</f>
        <v>0</v>
      </c>
      <c r="K91" s="24">
        <f>IF($A91="","",N(Produtos!F91))</f>
        <v>0</v>
      </c>
      <c r="L91" s="24">
        <f>IF($A91="","",H91*K91)</f>
        <v>0</v>
      </c>
      <c r="M91" s="26">
        <f>IF($A91="","",SUMIFS(MovQtd,MovCod,$A91,MovTipo,"Saída",MovData,"&gt;="&amp;(Hoje-DiasAn),MovData,"&lt;="&amp;Hoje))</f>
        <v>0</v>
      </c>
      <c r="N91" s="28">
        <f>IF($A91="","",M91/DiasAn)</f>
        <v>0</v>
      </c>
      <c r="O91" s="29">
        <f>IF($A91="","",IF(N91&gt;0,H91/N91,"sem giro"))</f>
        <v>0</v>
      </c>
      <c r="P91" s="30">
        <f>IF($A91="","",SUMPRODUCT(MAX((MovCod=$A91)*(MovTipo="Saída")*MovData)))</f>
        <v>0</v>
      </c>
      <c r="Q91" s="31">
        <f>IF($A91="","",IF(H91&lt;=0,"RUPTURA",IF(AND(I91&gt;0,H91&lt;=I91),"REPOR",IF(AND(J91&lt;&gt;"",H91&gt;J91),"EXCESSO","OK"))))</f>
        <v>0</v>
      </c>
      <c r="R91" s="25">
        <f>IF($A91="","",IF(AND(H91&gt;0,OR(P91=0,Hoje-P91&gt;DiasParado)),"Parado",""))</f>
        <v>0</v>
      </c>
      <c r="S91" s="26">
        <f>IF($A91="","",IF(OR(Q91="RUPTURA",Q91="REPOR"),IF(J91="",0,MAX(0,J91-H91)),0))</f>
        <v>0</v>
      </c>
      <c r="T91" s="24">
        <f>IF($A91="","",M91*IF(N(Produtos!G91)&gt;0,Produtos!G91,K91))</f>
        <v>0</v>
      </c>
      <c r="U91" s="32">
        <f>IF($A91="","",IF(T91&gt;0,T91+ROW()/1000000000,""))</f>
        <v>0</v>
      </c>
      <c r="V91" s="31">
        <f>IF($A91="","",IF(U91="","C",INDEX('Curva ABC'!$H$5:$H$304,MATCH(U91,'Curva ABC'!$B$5:$B$304,0))))</f>
        <v>0</v>
      </c>
      <c r="W91" s="24">
        <f>IF($A91="","",IF(R91="Parado",L91,0))</f>
        <v>0</v>
      </c>
      <c r="X91" s="33">
        <f>IF($A91="","",IF(OR(Q91="RUPTURA",Q91="REPOR"),COUNTIF($Q$5:Q91,"RUPTURA")+COUNTIF($Q$5:Q91,"REPOR"),""))</f>
        <v>0</v>
      </c>
    </row>
    <row r="92" spans="1:24">
      <c r="A92" s="23">
        <f>IF(Produtos!A92="","",Produtos!A92)</f>
        <v>0</v>
      </c>
      <c r="B92" s="23">
        <f>IF($A92="","",Produtos!B92&amp;"")</f>
        <v>0</v>
      </c>
      <c r="C92" s="23">
        <f>IF($A92="","",Produtos!C92&amp;"")</f>
        <v>0</v>
      </c>
      <c r="D92" s="25">
        <f>IF($A92="","",Produtos!D92&amp;"")</f>
        <v>0</v>
      </c>
      <c r="E92" s="26">
        <f>IF($A92="","",N(Produtos!H92))</f>
        <v>0</v>
      </c>
      <c r="F92" s="26">
        <f>IF($A92="","",SUMIFS(MovQtd,MovCod,$A92,MovTipo,"Entrada"))</f>
        <v>0</v>
      </c>
      <c r="G92" s="26">
        <f>IF($A92="","",SUMIFS(MovQtd,MovCod,$A92,MovTipo,"Saída"))</f>
        <v>0</v>
      </c>
      <c r="H92" s="27">
        <f>IF($A92="","",E92+F92-G92)</f>
        <v>0</v>
      </c>
      <c r="I92" s="26">
        <f>IF($A92="","",N(Produtos!I92))</f>
        <v>0</v>
      </c>
      <c r="J92" s="26">
        <f>IF($A92="","",IF(I92&gt;0,ROUNDUP(I92*FatMax,0),""))</f>
        <v>0</v>
      </c>
      <c r="K92" s="24">
        <f>IF($A92="","",N(Produtos!F92))</f>
        <v>0</v>
      </c>
      <c r="L92" s="24">
        <f>IF($A92="","",H92*K92)</f>
        <v>0</v>
      </c>
      <c r="M92" s="26">
        <f>IF($A92="","",SUMIFS(MovQtd,MovCod,$A92,MovTipo,"Saída",MovData,"&gt;="&amp;(Hoje-DiasAn),MovData,"&lt;="&amp;Hoje))</f>
        <v>0</v>
      </c>
      <c r="N92" s="28">
        <f>IF($A92="","",M92/DiasAn)</f>
        <v>0</v>
      </c>
      <c r="O92" s="29">
        <f>IF($A92="","",IF(N92&gt;0,H92/N92,"sem giro"))</f>
        <v>0</v>
      </c>
      <c r="P92" s="30">
        <f>IF($A92="","",SUMPRODUCT(MAX((MovCod=$A92)*(MovTipo="Saída")*MovData)))</f>
        <v>0</v>
      </c>
      <c r="Q92" s="31">
        <f>IF($A92="","",IF(H92&lt;=0,"RUPTURA",IF(AND(I92&gt;0,H92&lt;=I92),"REPOR",IF(AND(J92&lt;&gt;"",H92&gt;J92),"EXCESSO","OK"))))</f>
        <v>0</v>
      </c>
      <c r="R92" s="25">
        <f>IF($A92="","",IF(AND(H92&gt;0,OR(P92=0,Hoje-P92&gt;DiasParado)),"Parado",""))</f>
        <v>0</v>
      </c>
      <c r="S92" s="26">
        <f>IF($A92="","",IF(OR(Q92="RUPTURA",Q92="REPOR"),IF(J92="",0,MAX(0,J92-H92)),0))</f>
        <v>0</v>
      </c>
      <c r="T92" s="24">
        <f>IF($A92="","",M92*IF(N(Produtos!G92)&gt;0,Produtos!G92,K92))</f>
        <v>0</v>
      </c>
      <c r="U92" s="32">
        <f>IF($A92="","",IF(T92&gt;0,T92+ROW()/1000000000,""))</f>
        <v>0</v>
      </c>
      <c r="V92" s="31">
        <f>IF($A92="","",IF(U92="","C",INDEX('Curva ABC'!$H$5:$H$304,MATCH(U92,'Curva ABC'!$B$5:$B$304,0))))</f>
        <v>0</v>
      </c>
      <c r="W92" s="24">
        <f>IF($A92="","",IF(R92="Parado",L92,0))</f>
        <v>0</v>
      </c>
      <c r="X92" s="33">
        <f>IF($A92="","",IF(OR(Q92="RUPTURA",Q92="REPOR"),COUNTIF($Q$5:Q92,"RUPTURA")+COUNTIF($Q$5:Q92,"REPOR"),""))</f>
        <v>0</v>
      </c>
    </row>
    <row r="93" spans="1:24">
      <c r="A93" s="23">
        <f>IF(Produtos!A93="","",Produtos!A93)</f>
        <v>0</v>
      </c>
      <c r="B93" s="23">
        <f>IF($A93="","",Produtos!B93&amp;"")</f>
        <v>0</v>
      </c>
      <c r="C93" s="23">
        <f>IF($A93="","",Produtos!C93&amp;"")</f>
        <v>0</v>
      </c>
      <c r="D93" s="25">
        <f>IF($A93="","",Produtos!D93&amp;"")</f>
        <v>0</v>
      </c>
      <c r="E93" s="26">
        <f>IF($A93="","",N(Produtos!H93))</f>
        <v>0</v>
      </c>
      <c r="F93" s="26">
        <f>IF($A93="","",SUMIFS(MovQtd,MovCod,$A93,MovTipo,"Entrada"))</f>
        <v>0</v>
      </c>
      <c r="G93" s="26">
        <f>IF($A93="","",SUMIFS(MovQtd,MovCod,$A93,MovTipo,"Saída"))</f>
        <v>0</v>
      </c>
      <c r="H93" s="27">
        <f>IF($A93="","",E93+F93-G93)</f>
        <v>0</v>
      </c>
      <c r="I93" s="26">
        <f>IF($A93="","",N(Produtos!I93))</f>
        <v>0</v>
      </c>
      <c r="J93" s="26">
        <f>IF($A93="","",IF(I93&gt;0,ROUNDUP(I93*FatMax,0),""))</f>
        <v>0</v>
      </c>
      <c r="K93" s="24">
        <f>IF($A93="","",N(Produtos!F93))</f>
        <v>0</v>
      </c>
      <c r="L93" s="24">
        <f>IF($A93="","",H93*K93)</f>
        <v>0</v>
      </c>
      <c r="M93" s="26">
        <f>IF($A93="","",SUMIFS(MovQtd,MovCod,$A93,MovTipo,"Saída",MovData,"&gt;="&amp;(Hoje-DiasAn),MovData,"&lt;="&amp;Hoje))</f>
        <v>0</v>
      </c>
      <c r="N93" s="28">
        <f>IF($A93="","",M93/DiasAn)</f>
        <v>0</v>
      </c>
      <c r="O93" s="29">
        <f>IF($A93="","",IF(N93&gt;0,H93/N93,"sem giro"))</f>
        <v>0</v>
      </c>
      <c r="P93" s="30">
        <f>IF($A93="","",SUMPRODUCT(MAX((MovCod=$A93)*(MovTipo="Saída")*MovData)))</f>
        <v>0</v>
      </c>
      <c r="Q93" s="31">
        <f>IF($A93="","",IF(H93&lt;=0,"RUPTURA",IF(AND(I93&gt;0,H93&lt;=I93),"REPOR",IF(AND(J93&lt;&gt;"",H93&gt;J93),"EXCESSO","OK"))))</f>
        <v>0</v>
      </c>
      <c r="R93" s="25">
        <f>IF($A93="","",IF(AND(H93&gt;0,OR(P93=0,Hoje-P93&gt;DiasParado)),"Parado",""))</f>
        <v>0</v>
      </c>
      <c r="S93" s="26">
        <f>IF($A93="","",IF(OR(Q93="RUPTURA",Q93="REPOR"),IF(J93="",0,MAX(0,J93-H93)),0))</f>
        <v>0</v>
      </c>
      <c r="T93" s="24">
        <f>IF($A93="","",M93*IF(N(Produtos!G93)&gt;0,Produtos!G93,K93))</f>
        <v>0</v>
      </c>
      <c r="U93" s="32">
        <f>IF($A93="","",IF(T93&gt;0,T93+ROW()/1000000000,""))</f>
        <v>0</v>
      </c>
      <c r="V93" s="31">
        <f>IF($A93="","",IF(U93="","C",INDEX('Curva ABC'!$H$5:$H$304,MATCH(U93,'Curva ABC'!$B$5:$B$304,0))))</f>
        <v>0</v>
      </c>
      <c r="W93" s="24">
        <f>IF($A93="","",IF(R93="Parado",L93,0))</f>
        <v>0</v>
      </c>
      <c r="X93" s="33">
        <f>IF($A93="","",IF(OR(Q93="RUPTURA",Q93="REPOR"),COUNTIF($Q$5:Q93,"RUPTURA")+COUNTIF($Q$5:Q93,"REPOR"),""))</f>
        <v>0</v>
      </c>
    </row>
    <row r="94" spans="1:24">
      <c r="A94" s="23">
        <f>IF(Produtos!A94="","",Produtos!A94)</f>
        <v>0</v>
      </c>
      <c r="B94" s="23">
        <f>IF($A94="","",Produtos!B94&amp;"")</f>
        <v>0</v>
      </c>
      <c r="C94" s="23">
        <f>IF($A94="","",Produtos!C94&amp;"")</f>
        <v>0</v>
      </c>
      <c r="D94" s="25">
        <f>IF($A94="","",Produtos!D94&amp;"")</f>
        <v>0</v>
      </c>
      <c r="E94" s="26">
        <f>IF($A94="","",N(Produtos!H94))</f>
        <v>0</v>
      </c>
      <c r="F94" s="26">
        <f>IF($A94="","",SUMIFS(MovQtd,MovCod,$A94,MovTipo,"Entrada"))</f>
        <v>0</v>
      </c>
      <c r="G94" s="26">
        <f>IF($A94="","",SUMIFS(MovQtd,MovCod,$A94,MovTipo,"Saída"))</f>
        <v>0</v>
      </c>
      <c r="H94" s="27">
        <f>IF($A94="","",E94+F94-G94)</f>
        <v>0</v>
      </c>
      <c r="I94" s="26">
        <f>IF($A94="","",N(Produtos!I94))</f>
        <v>0</v>
      </c>
      <c r="J94" s="26">
        <f>IF($A94="","",IF(I94&gt;0,ROUNDUP(I94*FatMax,0),""))</f>
        <v>0</v>
      </c>
      <c r="K94" s="24">
        <f>IF($A94="","",N(Produtos!F94))</f>
        <v>0</v>
      </c>
      <c r="L94" s="24">
        <f>IF($A94="","",H94*K94)</f>
        <v>0</v>
      </c>
      <c r="M94" s="26">
        <f>IF($A94="","",SUMIFS(MovQtd,MovCod,$A94,MovTipo,"Saída",MovData,"&gt;="&amp;(Hoje-DiasAn),MovData,"&lt;="&amp;Hoje))</f>
        <v>0</v>
      </c>
      <c r="N94" s="28">
        <f>IF($A94="","",M94/DiasAn)</f>
        <v>0</v>
      </c>
      <c r="O94" s="29">
        <f>IF($A94="","",IF(N94&gt;0,H94/N94,"sem giro"))</f>
        <v>0</v>
      </c>
      <c r="P94" s="30">
        <f>IF($A94="","",SUMPRODUCT(MAX((MovCod=$A94)*(MovTipo="Saída")*MovData)))</f>
        <v>0</v>
      </c>
      <c r="Q94" s="31">
        <f>IF($A94="","",IF(H94&lt;=0,"RUPTURA",IF(AND(I94&gt;0,H94&lt;=I94),"REPOR",IF(AND(J94&lt;&gt;"",H94&gt;J94),"EXCESSO","OK"))))</f>
        <v>0</v>
      </c>
      <c r="R94" s="25">
        <f>IF($A94="","",IF(AND(H94&gt;0,OR(P94=0,Hoje-P94&gt;DiasParado)),"Parado",""))</f>
        <v>0</v>
      </c>
      <c r="S94" s="26">
        <f>IF($A94="","",IF(OR(Q94="RUPTURA",Q94="REPOR"),IF(J94="",0,MAX(0,J94-H94)),0))</f>
        <v>0</v>
      </c>
      <c r="T94" s="24">
        <f>IF($A94="","",M94*IF(N(Produtos!G94)&gt;0,Produtos!G94,K94))</f>
        <v>0</v>
      </c>
      <c r="U94" s="32">
        <f>IF($A94="","",IF(T94&gt;0,T94+ROW()/1000000000,""))</f>
        <v>0</v>
      </c>
      <c r="V94" s="31">
        <f>IF($A94="","",IF(U94="","C",INDEX('Curva ABC'!$H$5:$H$304,MATCH(U94,'Curva ABC'!$B$5:$B$304,0))))</f>
        <v>0</v>
      </c>
      <c r="W94" s="24">
        <f>IF($A94="","",IF(R94="Parado",L94,0))</f>
        <v>0</v>
      </c>
      <c r="X94" s="33">
        <f>IF($A94="","",IF(OR(Q94="RUPTURA",Q94="REPOR"),COUNTIF($Q$5:Q94,"RUPTURA")+COUNTIF($Q$5:Q94,"REPOR"),""))</f>
        <v>0</v>
      </c>
    </row>
    <row r="95" spans="1:24">
      <c r="A95" s="23">
        <f>IF(Produtos!A95="","",Produtos!A95)</f>
        <v>0</v>
      </c>
      <c r="B95" s="23">
        <f>IF($A95="","",Produtos!B95&amp;"")</f>
        <v>0</v>
      </c>
      <c r="C95" s="23">
        <f>IF($A95="","",Produtos!C95&amp;"")</f>
        <v>0</v>
      </c>
      <c r="D95" s="25">
        <f>IF($A95="","",Produtos!D95&amp;"")</f>
        <v>0</v>
      </c>
      <c r="E95" s="26">
        <f>IF($A95="","",N(Produtos!H95))</f>
        <v>0</v>
      </c>
      <c r="F95" s="26">
        <f>IF($A95="","",SUMIFS(MovQtd,MovCod,$A95,MovTipo,"Entrada"))</f>
        <v>0</v>
      </c>
      <c r="G95" s="26">
        <f>IF($A95="","",SUMIFS(MovQtd,MovCod,$A95,MovTipo,"Saída"))</f>
        <v>0</v>
      </c>
      <c r="H95" s="27">
        <f>IF($A95="","",E95+F95-G95)</f>
        <v>0</v>
      </c>
      <c r="I95" s="26">
        <f>IF($A95="","",N(Produtos!I95))</f>
        <v>0</v>
      </c>
      <c r="J95" s="26">
        <f>IF($A95="","",IF(I95&gt;0,ROUNDUP(I95*FatMax,0),""))</f>
        <v>0</v>
      </c>
      <c r="K95" s="24">
        <f>IF($A95="","",N(Produtos!F95))</f>
        <v>0</v>
      </c>
      <c r="L95" s="24">
        <f>IF($A95="","",H95*K95)</f>
        <v>0</v>
      </c>
      <c r="M95" s="26">
        <f>IF($A95="","",SUMIFS(MovQtd,MovCod,$A95,MovTipo,"Saída",MovData,"&gt;="&amp;(Hoje-DiasAn),MovData,"&lt;="&amp;Hoje))</f>
        <v>0</v>
      </c>
      <c r="N95" s="28">
        <f>IF($A95="","",M95/DiasAn)</f>
        <v>0</v>
      </c>
      <c r="O95" s="29">
        <f>IF($A95="","",IF(N95&gt;0,H95/N95,"sem giro"))</f>
        <v>0</v>
      </c>
      <c r="P95" s="30">
        <f>IF($A95="","",SUMPRODUCT(MAX((MovCod=$A95)*(MovTipo="Saída")*MovData)))</f>
        <v>0</v>
      </c>
      <c r="Q95" s="31">
        <f>IF($A95="","",IF(H95&lt;=0,"RUPTURA",IF(AND(I95&gt;0,H95&lt;=I95),"REPOR",IF(AND(J95&lt;&gt;"",H95&gt;J95),"EXCESSO","OK"))))</f>
        <v>0</v>
      </c>
      <c r="R95" s="25">
        <f>IF($A95="","",IF(AND(H95&gt;0,OR(P95=0,Hoje-P95&gt;DiasParado)),"Parado",""))</f>
        <v>0</v>
      </c>
      <c r="S95" s="26">
        <f>IF($A95="","",IF(OR(Q95="RUPTURA",Q95="REPOR"),IF(J95="",0,MAX(0,J95-H95)),0))</f>
        <v>0</v>
      </c>
      <c r="T95" s="24">
        <f>IF($A95="","",M95*IF(N(Produtos!G95)&gt;0,Produtos!G95,K95))</f>
        <v>0</v>
      </c>
      <c r="U95" s="32">
        <f>IF($A95="","",IF(T95&gt;0,T95+ROW()/1000000000,""))</f>
        <v>0</v>
      </c>
      <c r="V95" s="31">
        <f>IF($A95="","",IF(U95="","C",INDEX('Curva ABC'!$H$5:$H$304,MATCH(U95,'Curva ABC'!$B$5:$B$304,0))))</f>
        <v>0</v>
      </c>
      <c r="W95" s="24">
        <f>IF($A95="","",IF(R95="Parado",L95,0))</f>
        <v>0</v>
      </c>
      <c r="X95" s="33">
        <f>IF($A95="","",IF(OR(Q95="RUPTURA",Q95="REPOR"),COUNTIF($Q$5:Q95,"RUPTURA")+COUNTIF($Q$5:Q95,"REPOR"),""))</f>
        <v>0</v>
      </c>
    </row>
    <row r="96" spans="1:24">
      <c r="A96" s="23">
        <f>IF(Produtos!A96="","",Produtos!A96)</f>
        <v>0</v>
      </c>
      <c r="B96" s="23">
        <f>IF($A96="","",Produtos!B96&amp;"")</f>
        <v>0</v>
      </c>
      <c r="C96" s="23">
        <f>IF($A96="","",Produtos!C96&amp;"")</f>
        <v>0</v>
      </c>
      <c r="D96" s="25">
        <f>IF($A96="","",Produtos!D96&amp;"")</f>
        <v>0</v>
      </c>
      <c r="E96" s="26">
        <f>IF($A96="","",N(Produtos!H96))</f>
        <v>0</v>
      </c>
      <c r="F96" s="26">
        <f>IF($A96="","",SUMIFS(MovQtd,MovCod,$A96,MovTipo,"Entrada"))</f>
        <v>0</v>
      </c>
      <c r="G96" s="26">
        <f>IF($A96="","",SUMIFS(MovQtd,MovCod,$A96,MovTipo,"Saída"))</f>
        <v>0</v>
      </c>
      <c r="H96" s="27">
        <f>IF($A96="","",E96+F96-G96)</f>
        <v>0</v>
      </c>
      <c r="I96" s="26">
        <f>IF($A96="","",N(Produtos!I96))</f>
        <v>0</v>
      </c>
      <c r="J96" s="26">
        <f>IF($A96="","",IF(I96&gt;0,ROUNDUP(I96*FatMax,0),""))</f>
        <v>0</v>
      </c>
      <c r="K96" s="24">
        <f>IF($A96="","",N(Produtos!F96))</f>
        <v>0</v>
      </c>
      <c r="L96" s="24">
        <f>IF($A96="","",H96*K96)</f>
        <v>0</v>
      </c>
      <c r="M96" s="26">
        <f>IF($A96="","",SUMIFS(MovQtd,MovCod,$A96,MovTipo,"Saída",MovData,"&gt;="&amp;(Hoje-DiasAn),MovData,"&lt;="&amp;Hoje))</f>
        <v>0</v>
      </c>
      <c r="N96" s="28">
        <f>IF($A96="","",M96/DiasAn)</f>
        <v>0</v>
      </c>
      <c r="O96" s="29">
        <f>IF($A96="","",IF(N96&gt;0,H96/N96,"sem giro"))</f>
        <v>0</v>
      </c>
      <c r="P96" s="30">
        <f>IF($A96="","",SUMPRODUCT(MAX((MovCod=$A96)*(MovTipo="Saída")*MovData)))</f>
        <v>0</v>
      </c>
      <c r="Q96" s="31">
        <f>IF($A96="","",IF(H96&lt;=0,"RUPTURA",IF(AND(I96&gt;0,H96&lt;=I96),"REPOR",IF(AND(J96&lt;&gt;"",H96&gt;J96),"EXCESSO","OK"))))</f>
        <v>0</v>
      </c>
      <c r="R96" s="25">
        <f>IF($A96="","",IF(AND(H96&gt;0,OR(P96=0,Hoje-P96&gt;DiasParado)),"Parado",""))</f>
        <v>0</v>
      </c>
      <c r="S96" s="26">
        <f>IF($A96="","",IF(OR(Q96="RUPTURA",Q96="REPOR"),IF(J96="",0,MAX(0,J96-H96)),0))</f>
        <v>0</v>
      </c>
      <c r="T96" s="24">
        <f>IF($A96="","",M96*IF(N(Produtos!G96)&gt;0,Produtos!G96,K96))</f>
        <v>0</v>
      </c>
      <c r="U96" s="32">
        <f>IF($A96="","",IF(T96&gt;0,T96+ROW()/1000000000,""))</f>
        <v>0</v>
      </c>
      <c r="V96" s="31">
        <f>IF($A96="","",IF(U96="","C",INDEX('Curva ABC'!$H$5:$H$304,MATCH(U96,'Curva ABC'!$B$5:$B$304,0))))</f>
        <v>0</v>
      </c>
      <c r="W96" s="24">
        <f>IF($A96="","",IF(R96="Parado",L96,0))</f>
        <v>0</v>
      </c>
      <c r="X96" s="33">
        <f>IF($A96="","",IF(OR(Q96="RUPTURA",Q96="REPOR"),COUNTIF($Q$5:Q96,"RUPTURA")+COUNTIF($Q$5:Q96,"REPOR"),""))</f>
        <v>0</v>
      </c>
    </row>
    <row r="97" spans="1:24">
      <c r="A97" s="23">
        <f>IF(Produtos!A97="","",Produtos!A97)</f>
        <v>0</v>
      </c>
      <c r="B97" s="23">
        <f>IF($A97="","",Produtos!B97&amp;"")</f>
        <v>0</v>
      </c>
      <c r="C97" s="23">
        <f>IF($A97="","",Produtos!C97&amp;"")</f>
        <v>0</v>
      </c>
      <c r="D97" s="25">
        <f>IF($A97="","",Produtos!D97&amp;"")</f>
        <v>0</v>
      </c>
      <c r="E97" s="26">
        <f>IF($A97="","",N(Produtos!H97))</f>
        <v>0</v>
      </c>
      <c r="F97" s="26">
        <f>IF($A97="","",SUMIFS(MovQtd,MovCod,$A97,MovTipo,"Entrada"))</f>
        <v>0</v>
      </c>
      <c r="G97" s="26">
        <f>IF($A97="","",SUMIFS(MovQtd,MovCod,$A97,MovTipo,"Saída"))</f>
        <v>0</v>
      </c>
      <c r="H97" s="27">
        <f>IF($A97="","",E97+F97-G97)</f>
        <v>0</v>
      </c>
      <c r="I97" s="26">
        <f>IF($A97="","",N(Produtos!I97))</f>
        <v>0</v>
      </c>
      <c r="J97" s="26">
        <f>IF($A97="","",IF(I97&gt;0,ROUNDUP(I97*FatMax,0),""))</f>
        <v>0</v>
      </c>
      <c r="K97" s="24">
        <f>IF($A97="","",N(Produtos!F97))</f>
        <v>0</v>
      </c>
      <c r="L97" s="24">
        <f>IF($A97="","",H97*K97)</f>
        <v>0</v>
      </c>
      <c r="M97" s="26">
        <f>IF($A97="","",SUMIFS(MovQtd,MovCod,$A97,MovTipo,"Saída",MovData,"&gt;="&amp;(Hoje-DiasAn),MovData,"&lt;="&amp;Hoje))</f>
        <v>0</v>
      </c>
      <c r="N97" s="28">
        <f>IF($A97="","",M97/DiasAn)</f>
        <v>0</v>
      </c>
      <c r="O97" s="29">
        <f>IF($A97="","",IF(N97&gt;0,H97/N97,"sem giro"))</f>
        <v>0</v>
      </c>
      <c r="P97" s="30">
        <f>IF($A97="","",SUMPRODUCT(MAX((MovCod=$A97)*(MovTipo="Saída")*MovData)))</f>
        <v>0</v>
      </c>
      <c r="Q97" s="31">
        <f>IF($A97="","",IF(H97&lt;=0,"RUPTURA",IF(AND(I97&gt;0,H97&lt;=I97),"REPOR",IF(AND(J97&lt;&gt;"",H97&gt;J97),"EXCESSO","OK"))))</f>
        <v>0</v>
      </c>
      <c r="R97" s="25">
        <f>IF($A97="","",IF(AND(H97&gt;0,OR(P97=0,Hoje-P97&gt;DiasParado)),"Parado",""))</f>
        <v>0</v>
      </c>
      <c r="S97" s="26">
        <f>IF($A97="","",IF(OR(Q97="RUPTURA",Q97="REPOR"),IF(J97="",0,MAX(0,J97-H97)),0))</f>
        <v>0</v>
      </c>
      <c r="T97" s="24">
        <f>IF($A97="","",M97*IF(N(Produtos!G97)&gt;0,Produtos!G97,K97))</f>
        <v>0</v>
      </c>
      <c r="U97" s="32">
        <f>IF($A97="","",IF(T97&gt;0,T97+ROW()/1000000000,""))</f>
        <v>0</v>
      </c>
      <c r="V97" s="31">
        <f>IF($A97="","",IF(U97="","C",INDEX('Curva ABC'!$H$5:$H$304,MATCH(U97,'Curva ABC'!$B$5:$B$304,0))))</f>
        <v>0</v>
      </c>
      <c r="W97" s="24">
        <f>IF($A97="","",IF(R97="Parado",L97,0))</f>
        <v>0</v>
      </c>
      <c r="X97" s="33">
        <f>IF($A97="","",IF(OR(Q97="RUPTURA",Q97="REPOR"),COUNTIF($Q$5:Q97,"RUPTURA")+COUNTIF($Q$5:Q97,"REPOR"),""))</f>
        <v>0</v>
      </c>
    </row>
    <row r="98" spans="1:24">
      <c r="A98" s="23">
        <f>IF(Produtos!A98="","",Produtos!A98)</f>
        <v>0</v>
      </c>
      <c r="B98" s="23">
        <f>IF($A98="","",Produtos!B98&amp;"")</f>
        <v>0</v>
      </c>
      <c r="C98" s="23">
        <f>IF($A98="","",Produtos!C98&amp;"")</f>
        <v>0</v>
      </c>
      <c r="D98" s="25">
        <f>IF($A98="","",Produtos!D98&amp;"")</f>
        <v>0</v>
      </c>
      <c r="E98" s="26">
        <f>IF($A98="","",N(Produtos!H98))</f>
        <v>0</v>
      </c>
      <c r="F98" s="26">
        <f>IF($A98="","",SUMIFS(MovQtd,MovCod,$A98,MovTipo,"Entrada"))</f>
        <v>0</v>
      </c>
      <c r="G98" s="26">
        <f>IF($A98="","",SUMIFS(MovQtd,MovCod,$A98,MovTipo,"Saída"))</f>
        <v>0</v>
      </c>
      <c r="H98" s="27">
        <f>IF($A98="","",E98+F98-G98)</f>
        <v>0</v>
      </c>
      <c r="I98" s="26">
        <f>IF($A98="","",N(Produtos!I98))</f>
        <v>0</v>
      </c>
      <c r="J98" s="26">
        <f>IF($A98="","",IF(I98&gt;0,ROUNDUP(I98*FatMax,0),""))</f>
        <v>0</v>
      </c>
      <c r="K98" s="24">
        <f>IF($A98="","",N(Produtos!F98))</f>
        <v>0</v>
      </c>
      <c r="L98" s="24">
        <f>IF($A98="","",H98*K98)</f>
        <v>0</v>
      </c>
      <c r="M98" s="26">
        <f>IF($A98="","",SUMIFS(MovQtd,MovCod,$A98,MovTipo,"Saída",MovData,"&gt;="&amp;(Hoje-DiasAn),MovData,"&lt;="&amp;Hoje))</f>
        <v>0</v>
      </c>
      <c r="N98" s="28">
        <f>IF($A98="","",M98/DiasAn)</f>
        <v>0</v>
      </c>
      <c r="O98" s="29">
        <f>IF($A98="","",IF(N98&gt;0,H98/N98,"sem giro"))</f>
        <v>0</v>
      </c>
      <c r="P98" s="30">
        <f>IF($A98="","",SUMPRODUCT(MAX((MovCod=$A98)*(MovTipo="Saída")*MovData)))</f>
        <v>0</v>
      </c>
      <c r="Q98" s="31">
        <f>IF($A98="","",IF(H98&lt;=0,"RUPTURA",IF(AND(I98&gt;0,H98&lt;=I98),"REPOR",IF(AND(J98&lt;&gt;"",H98&gt;J98),"EXCESSO","OK"))))</f>
        <v>0</v>
      </c>
      <c r="R98" s="25">
        <f>IF($A98="","",IF(AND(H98&gt;0,OR(P98=0,Hoje-P98&gt;DiasParado)),"Parado",""))</f>
        <v>0</v>
      </c>
      <c r="S98" s="26">
        <f>IF($A98="","",IF(OR(Q98="RUPTURA",Q98="REPOR"),IF(J98="",0,MAX(0,J98-H98)),0))</f>
        <v>0</v>
      </c>
      <c r="T98" s="24">
        <f>IF($A98="","",M98*IF(N(Produtos!G98)&gt;0,Produtos!G98,K98))</f>
        <v>0</v>
      </c>
      <c r="U98" s="32">
        <f>IF($A98="","",IF(T98&gt;0,T98+ROW()/1000000000,""))</f>
        <v>0</v>
      </c>
      <c r="V98" s="31">
        <f>IF($A98="","",IF(U98="","C",INDEX('Curva ABC'!$H$5:$H$304,MATCH(U98,'Curva ABC'!$B$5:$B$304,0))))</f>
        <v>0</v>
      </c>
      <c r="W98" s="24">
        <f>IF($A98="","",IF(R98="Parado",L98,0))</f>
        <v>0</v>
      </c>
      <c r="X98" s="33">
        <f>IF($A98="","",IF(OR(Q98="RUPTURA",Q98="REPOR"),COUNTIF($Q$5:Q98,"RUPTURA")+COUNTIF($Q$5:Q98,"REPOR"),""))</f>
        <v>0</v>
      </c>
    </row>
    <row r="99" spans="1:24">
      <c r="A99" s="23">
        <f>IF(Produtos!A99="","",Produtos!A99)</f>
        <v>0</v>
      </c>
      <c r="B99" s="23">
        <f>IF($A99="","",Produtos!B99&amp;"")</f>
        <v>0</v>
      </c>
      <c r="C99" s="23">
        <f>IF($A99="","",Produtos!C99&amp;"")</f>
        <v>0</v>
      </c>
      <c r="D99" s="25">
        <f>IF($A99="","",Produtos!D99&amp;"")</f>
        <v>0</v>
      </c>
      <c r="E99" s="26">
        <f>IF($A99="","",N(Produtos!H99))</f>
        <v>0</v>
      </c>
      <c r="F99" s="26">
        <f>IF($A99="","",SUMIFS(MovQtd,MovCod,$A99,MovTipo,"Entrada"))</f>
        <v>0</v>
      </c>
      <c r="G99" s="26">
        <f>IF($A99="","",SUMIFS(MovQtd,MovCod,$A99,MovTipo,"Saída"))</f>
        <v>0</v>
      </c>
      <c r="H99" s="27">
        <f>IF($A99="","",E99+F99-G99)</f>
        <v>0</v>
      </c>
      <c r="I99" s="26">
        <f>IF($A99="","",N(Produtos!I99))</f>
        <v>0</v>
      </c>
      <c r="J99" s="26">
        <f>IF($A99="","",IF(I99&gt;0,ROUNDUP(I99*FatMax,0),""))</f>
        <v>0</v>
      </c>
      <c r="K99" s="24">
        <f>IF($A99="","",N(Produtos!F99))</f>
        <v>0</v>
      </c>
      <c r="L99" s="24">
        <f>IF($A99="","",H99*K99)</f>
        <v>0</v>
      </c>
      <c r="M99" s="26">
        <f>IF($A99="","",SUMIFS(MovQtd,MovCod,$A99,MovTipo,"Saída",MovData,"&gt;="&amp;(Hoje-DiasAn),MovData,"&lt;="&amp;Hoje))</f>
        <v>0</v>
      </c>
      <c r="N99" s="28">
        <f>IF($A99="","",M99/DiasAn)</f>
        <v>0</v>
      </c>
      <c r="O99" s="29">
        <f>IF($A99="","",IF(N99&gt;0,H99/N99,"sem giro"))</f>
        <v>0</v>
      </c>
      <c r="P99" s="30">
        <f>IF($A99="","",SUMPRODUCT(MAX((MovCod=$A99)*(MovTipo="Saída")*MovData)))</f>
        <v>0</v>
      </c>
      <c r="Q99" s="31">
        <f>IF($A99="","",IF(H99&lt;=0,"RUPTURA",IF(AND(I99&gt;0,H99&lt;=I99),"REPOR",IF(AND(J99&lt;&gt;"",H99&gt;J99),"EXCESSO","OK"))))</f>
        <v>0</v>
      </c>
      <c r="R99" s="25">
        <f>IF($A99="","",IF(AND(H99&gt;0,OR(P99=0,Hoje-P99&gt;DiasParado)),"Parado",""))</f>
        <v>0</v>
      </c>
      <c r="S99" s="26">
        <f>IF($A99="","",IF(OR(Q99="RUPTURA",Q99="REPOR"),IF(J99="",0,MAX(0,J99-H99)),0))</f>
        <v>0</v>
      </c>
      <c r="T99" s="24">
        <f>IF($A99="","",M99*IF(N(Produtos!G99)&gt;0,Produtos!G99,K99))</f>
        <v>0</v>
      </c>
      <c r="U99" s="32">
        <f>IF($A99="","",IF(T99&gt;0,T99+ROW()/1000000000,""))</f>
        <v>0</v>
      </c>
      <c r="V99" s="31">
        <f>IF($A99="","",IF(U99="","C",INDEX('Curva ABC'!$H$5:$H$304,MATCH(U99,'Curva ABC'!$B$5:$B$304,0))))</f>
        <v>0</v>
      </c>
      <c r="W99" s="24">
        <f>IF($A99="","",IF(R99="Parado",L99,0))</f>
        <v>0</v>
      </c>
      <c r="X99" s="33">
        <f>IF($A99="","",IF(OR(Q99="RUPTURA",Q99="REPOR"),COUNTIF($Q$5:Q99,"RUPTURA")+COUNTIF($Q$5:Q99,"REPOR"),""))</f>
        <v>0</v>
      </c>
    </row>
    <row r="100" spans="1:24">
      <c r="A100" s="23">
        <f>IF(Produtos!A100="","",Produtos!A100)</f>
        <v>0</v>
      </c>
      <c r="B100" s="23">
        <f>IF($A100="","",Produtos!B100&amp;"")</f>
        <v>0</v>
      </c>
      <c r="C100" s="23">
        <f>IF($A100="","",Produtos!C100&amp;"")</f>
        <v>0</v>
      </c>
      <c r="D100" s="25">
        <f>IF($A100="","",Produtos!D100&amp;"")</f>
        <v>0</v>
      </c>
      <c r="E100" s="26">
        <f>IF($A100="","",N(Produtos!H100))</f>
        <v>0</v>
      </c>
      <c r="F100" s="26">
        <f>IF($A100="","",SUMIFS(MovQtd,MovCod,$A100,MovTipo,"Entrada"))</f>
        <v>0</v>
      </c>
      <c r="G100" s="26">
        <f>IF($A100="","",SUMIFS(MovQtd,MovCod,$A100,MovTipo,"Saída"))</f>
        <v>0</v>
      </c>
      <c r="H100" s="27">
        <f>IF($A100="","",E100+F100-G100)</f>
        <v>0</v>
      </c>
      <c r="I100" s="26">
        <f>IF($A100="","",N(Produtos!I100))</f>
        <v>0</v>
      </c>
      <c r="J100" s="26">
        <f>IF($A100="","",IF(I100&gt;0,ROUNDUP(I100*FatMax,0),""))</f>
        <v>0</v>
      </c>
      <c r="K100" s="24">
        <f>IF($A100="","",N(Produtos!F100))</f>
        <v>0</v>
      </c>
      <c r="L100" s="24">
        <f>IF($A100="","",H100*K100)</f>
        <v>0</v>
      </c>
      <c r="M100" s="26">
        <f>IF($A100="","",SUMIFS(MovQtd,MovCod,$A100,MovTipo,"Saída",MovData,"&gt;="&amp;(Hoje-DiasAn),MovData,"&lt;="&amp;Hoje))</f>
        <v>0</v>
      </c>
      <c r="N100" s="28">
        <f>IF($A100="","",M100/DiasAn)</f>
        <v>0</v>
      </c>
      <c r="O100" s="29">
        <f>IF($A100="","",IF(N100&gt;0,H100/N100,"sem giro"))</f>
        <v>0</v>
      </c>
      <c r="P100" s="30">
        <f>IF($A100="","",SUMPRODUCT(MAX((MovCod=$A100)*(MovTipo="Saída")*MovData)))</f>
        <v>0</v>
      </c>
      <c r="Q100" s="31">
        <f>IF($A100="","",IF(H100&lt;=0,"RUPTURA",IF(AND(I100&gt;0,H100&lt;=I100),"REPOR",IF(AND(J100&lt;&gt;"",H100&gt;J100),"EXCESSO","OK"))))</f>
        <v>0</v>
      </c>
      <c r="R100" s="25">
        <f>IF($A100="","",IF(AND(H100&gt;0,OR(P100=0,Hoje-P100&gt;DiasParado)),"Parado",""))</f>
        <v>0</v>
      </c>
      <c r="S100" s="26">
        <f>IF($A100="","",IF(OR(Q100="RUPTURA",Q100="REPOR"),IF(J100="",0,MAX(0,J100-H100)),0))</f>
        <v>0</v>
      </c>
      <c r="T100" s="24">
        <f>IF($A100="","",M100*IF(N(Produtos!G100)&gt;0,Produtos!G100,K100))</f>
        <v>0</v>
      </c>
      <c r="U100" s="32">
        <f>IF($A100="","",IF(T100&gt;0,T100+ROW()/1000000000,""))</f>
        <v>0</v>
      </c>
      <c r="V100" s="31">
        <f>IF($A100="","",IF(U100="","C",INDEX('Curva ABC'!$H$5:$H$304,MATCH(U100,'Curva ABC'!$B$5:$B$304,0))))</f>
        <v>0</v>
      </c>
      <c r="W100" s="24">
        <f>IF($A100="","",IF(R100="Parado",L100,0))</f>
        <v>0</v>
      </c>
      <c r="X100" s="33">
        <f>IF($A100="","",IF(OR(Q100="RUPTURA",Q100="REPOR"),COUNTIF($Q$5:Q100,"RUPTURA")+COUNTIF($Q$5:Q100,"REPOR"),""))</f>
        <v>0</v>
      </c>
    </row>
    <row r="101" spans="1:24">
      <c r="A101" s="23">
        <f>IF(Produtos!A101="","",Produtos!A101)</f>
        <v>0</v>
      </c>
      <c r="B101" s="23">
        <f>IF($A101="","",Produtos!B101&amp;"")</f>
        <v>0</v>
      </c>
      <c r="C101" s="23">
        <f>IF($A101="","",Produtos!C101&amp;"")</f>
        <v>0</v>
      </c>
      <c r="D101" s="25">
        <f>IF($A101="","",Produtos!D101&amp;"")</f>
        <v>0</v>
      </c>
      <c r="E101" s="26">
        <f>IF($A101="","",N(Produtos!H101))</f>
        <v>0</v>
      </c>
      <c r="F101" s="26">
        <f>IF($A101="","",SUMIFS(MovQtd,MovCod,$A101,MovTipo,"Entrada"))</f>
        <v>0</v>
      </c>
      <c r="G101" s="26">
        <f>IF($A101="","",SUMIFS(MovQtd,MovCod,$A101,MovTipo,"Saída"))</f>
        <v>0</v>
      </c>
      <c r="H101" s="27">
        <f>IF($A101="","",E101+F101-G101)</f>
        <v>0</v>
      </c>
      <c r="I101" s="26">
        <f>IF($A101="","",N(Produtos!I101))</f>
        <v>0</v>
      </c>
      <c r="J101" s="26">
        <f>IF($A101="","",IF(I101&gt;0,ROUNDUP(I101*FatMax,0),""))</f>
        <v>0</v>
      </c>
      <c r="K101" s="24">
        <f>IF($A101="","",N(Produtos!F101))</f>
        <v>0</v>
      </c>
      <c r="L101" s="24">
        <f>IF($A101="","",H101*K101)</f>
        <v>0</v>
      </c>
      <c r="M101" s="26">
        <f>IF($A101="","",SUMIFS(MovQtd,MovCod,$A101,MovTipo,"Saída",MovData,"&gt;="&amp;(Hoje-DiasAn),MovData,"&lt;="&amp;Hoje))</f>
        <v>0</v>
      </c>
      <c r="N101" s="28">
        <f>IF($A101="","",M101/DiasAn)</f>
        <v>0</v>
      </c>
      <c r="O101" s="29">
        <f>IF($A101="","",IF(N101&gt;0,H101/N101,"sem giro"))</f>
        <v>0</v>
      </c>
      <c r="P101" s="30">
        <f>IF($A101="","",SUMPRODUCT(MAX((MovCod=$A101)*(MovTipo="Saída")*MovData)))</f>
        <v>0</v>
      </c>
      <c r="Q101" s="31">
        <f>IF($A101="","",IF(H101&lt;=0,"RUPTURA",IF(AND(I101&gt;0,H101&lt;=I101),"REPOR",IF(AND(J101&lt;&gt;"",H101&gt;J101),"EXCESSO","OK"))))</f>
        <v>0</v>
      </c>
      <c r="R101" s="25">
        <f>IF($A101="","",IF(AND(H101&gt;0,OR(P101=0,Hoje-P101&gt;DiasParado)),"Parado",""))</f>
        <v>0</v>
      </c>
      <c r="S101" s="26">
        <f>IF($A101="","",IF(OR(Q101="RUPTURA",Q101="REPOR"),IF(J101="",0,MAX(0,J101-H101)),0))</f>
        <v>0</v>
      </c>
      <c r="T101" s="24">
        <f>IF($A101="","",M101*IF(N(Produtos!G101)&gt;0,Produtos!G101,K101))</f>
        <v>0</v>
      </c>
      <c r="U101" s="32">
        <f>IF($A101="","",IF(T101&gt;0,T101+ROW()/1000000000,""))</f>
        <v>0</v>
      </c>
      <c r="V101" s="31">
        <f>IF($A101="","",IF(U101="","C",INDEX('Curva ABC'!$H$5:$H$304,MATCH(U101,'Curva ABC'!$B$5:$B$304,0))))</f>
        <v>0</v>
      </c>
      <c r="W101" s="24">
        <f>IF($A101="","",IF(R101="Parado",L101,0))</f>
        <v>0</v>
      </c>
      <c r="X101" s="33">
        <f>IF($A101="","",IF(OR(Q101="RUPTURA",Q101="REPOR"),COUNTIF($Q$5:Q101,"RUPTURA")+COUNTIF($Q$5:Q101,"REPOR"),""))</f>
        <v>0</v>
      </c>
    </row>
    <row r="102" spans="1:24">
      <c r="A102" s="23">
        <f>IF(Produtos!A102="","",Produtos!A102)</f>
        <v>0</v>
      </c>
      <c r="B102" s="23">
        <f>IF($A102="","",Produtos!B102&amp;"")</f>
        <v>0</v>
      </c>
      <c r="C102" s="23">
        <f>IF($A102="","",Produtos!C102&amp;"")</f>
        <v>0</v>
      </c>
      <c r="D102" s="25">
        <f>IF($A102="","",Produtos!D102&amp;"")</f>
        <v>0</v>
      </c>
      <c r="E102" s="26">
        <f>IF($A102="","",N(Produtos!H102))</f>
        <v>0</v>
      </c>
      <c r="F102" s="26">
        <f>IF($A102="","",SUMIFS(MovQtd,MovCod,$A102,MovTipo,"Entrada"))</f>
        <v>0</v>
      </c>
      <c r="G102" s="26">
        <f>IF($A102="","",SUMIFS(MovQtd,MovCod,$A102,MovTipo,"Saída"))</f>
        <v>0</v>
      </c>
      <c r="H102" s="27">
        <f>IF($A102="","",E102+F102-G102)</f>
        <v>0</v>
      </c>
      <c r="I102" s="26">
        <f>IF($A102="","",N(Produtos!I102))</f>
        <v>0</v>
      </c>
      <c r="J102" s="26">
        <f>IF($A102="","",IF(I102&gt;0,ROUNDUP(I102*FatMax,0),""))</f>
        <v>0</v>
      </c>
      <c r="K102" s="24">
        <f>IF($A102="","",N(Produtos!F102))</f>
        <v>0</v>
      </c>
      <c r="L102" s="24">
        <f>IF($A102="","",H102*K102)</f>
        <v>0</v>
      </c>
      <c r="M102" s="26">
        <f>IF($A102="","",SUMIFS(MovQtd,MovCod,$A102,MovTipo,"Saída",MovData,"&gt;="&amp;(Hoje-DiasAn),MovData,"&lt;="&amp;Hoje))</f>
        <v>0</v>
      </c>
      <c r="N102" s="28">
        <f>IF($A102="","",M102/DiasAn)</f>
        <v>0</v>
      </c>
      <c r="O102" s="29">
        <f>IF($A102="","",IF(N102&gt;0,H102/N102,"sem giro"))</f>
        <v>0</v>
      </c>
      <c r="P102" s="30">
        <f>IF($A102="","",SUMPRODUCT(MAX((MovCod=$A102)*(MovTipo="Saída")*MovData)))</f>
        <v>0</v>
      </c>
      <c r="Q102" s="31">
        <f>IF($A102="","",IF(H102&lt;=0,"RUPTURA",IF(AND(I102&gt;0,H102&lt;=I102),"REPOR",IF(AND(J102&lt;&gt;"",H102&gt;J102),"EXCESSO","OK"))))</f>
        <v>0</v>
      </c>
      <c r="R102" s="25">
        <f>IF($A102="","",IF(AND(H102&gt;0,OR(P102=0,Hoje-P102&gt;DiasParado)),"Parado",""))</f>
        <v>0</v>
      </c>
      <c r="S102" s="26">
        <f>IF($A102="","",IF(OR(Q102="RUPTURA",Q102="REPOR"),IF(J102="",0,MAX(0,J102-H102)),0))</f>
        <v>0</v>
      </c>
      <c r="T102" s="24">
        <f>IF($A102="","",M102*IF(N(Produtos!G102)&gt;0,Produtos!G102,K102))</f>
        <v>0</v>
      </c>
      <c r="U102" s="32">
        <f>IF($A102="","",IF(T102&gt;0,T102+ROW()/1000000000,""))</f>
        <v>0</v>
      </c>
      <c r="V102" s="31">
        <f>IF($A102="","",IF(U102="","C",INDEX('Curva ABC'!$H$5:$H$304,MATCH(U102,'Curva ABC'!$B$5:$B$304,0))))</f>
        <v>0</v>
      </c>
      <c r="W102" s="24">
        <f>IF($A102="","",IF(R102="Parado",L102,0))</f>
        <v>0</v>
      </c>
      <c r="X102" s="33">
        <f>IF($A102="","",IF(OR(Q102="RUPTURA",Q102="REPOR"),COUNTIF($Q$5:Q102,"RUPTURA")+COUNTIF($Q$5:Q102,"REPOR"),""))</f>
        <v>0</v>
      </c>
    </row>
    <row r="103" spans="1:24">
      <c r="A103" s="23">
        <f>IF(Produtos!A103="","",Produtos!A103)</f>
        <v>0</v>
      </c>
      <c r="B103" s="23">
        <f>IF($A103="","",Produtos!B103&amp;"")</f>
        <v>0</v>
      </c>
      <c r="C103" s="23">
        <f>IF($A103="","",Produtos!C103&amp;"")</f>
        <v>0</v>
      </c>
      <c r="D103" s="25">
        <f>IF($A103="","",Produtos!D103&amp;"")</f>
        <v>0</v>
      </c>
      <c r="E103" s="26">
        <f>IF($A103="","",N(Produtos!H103))</f>
        <v>0</v>
      </c>
      <c r="F103" s="26">
        <f>IF($A103="","",SUMIFS(MovQtd,MovCod,$A103,MovTipo,"Entrada"))</f>
        <v>0</v>
      </c>
      <c r="G103" s="26">
        <f>IF($A103="","",SUMIFS(MovQtd,MovCod,$A103,MovTipo,"Saída"))</f>
        <v>0</v>
      </c>
      <c r="H103" s="27">
        <f>IF($A103="","",E103+F103-G103)</f>
        <v>0</v>
      </c>
      <c r="I103" s="26">
        <f>IF($A103="","",N(Produtos!I103))</f>
        <v>0</v>
      </c>
      <c r="J103" s="26">
        <f>IF($A103="","",IF(I103&gt;0,ROUNDUP(I103*FatMax,0),""))</f>
        <v>0</v>
      </c>
      <c r="K103" s="24">
        <f>IF($A103="","",N(Produtos!F103))</f>
        <v>0</v>
      </c>
      <c r="L103" s="24">
        <f>IF($A103="","",H103*K103)</f>
        <v>0</v>
      </c>
      <c r="M103" s="26">
        <f>IF($A103="","",SUMIFS(MovQtd,MovCod,$A103,MovTipo,"Saída",MovData,"&gt;="&amp;(Hoje-DiasAn),MovData,"&lt;="&amp;Hoje))</f>
        <v>0</v>
      </c>
      <c r="N103" s="28">
        <f>IF($A103="","",M103/DiasAn)</f>
        <v>0</v>
      </c>
      <c r="O103" s="29">
        <f>IF($A103="","",IF(N103&gt;0,H103/N103,"sem giro"))</f>
        <v>0</v>
      </c>
      <c r="P103" s="30">
        <f>IF($A103="","",SUMPRODUCT(MAX((MovCod=$A103)*(MovTipo="Saída")*MovData)))</f>
        <v>0</v>
      </c>
      <c r="Q103" s="31">
        <f>IF($A103="","",IF(H103&lt;=0,"RUPTURA",IF(AND(I103&gt;0,H103&lt;=I103),"REPOR",IF(AND(J103&lt;&gt;"",H103&gt;J103),"EXCESSO","OK"))))</f>
        <v>0</v>
      </c>
      <c r="R103" s="25">
        <f>IF($A103="","",IF(AND(H103&gt;0,OR(P103=0,Hoje-P103&gt;DiasParado)),"Parado",""))</f>
        <v>0</v>
      </c>
      <c r="S103" s="26">
        <f>IF($A103="","",IF(OR(Q103="RUPTURA",Q103="REPOR"),IF(J103="",0,MAX(0,J103-H103)),0))</f>
        <v>0</v>
      </c>
      <c r="T103" s="24">
        <f>IF($A103="","",M103*IF(N(Produtos!G103)&gt;0,Produtos!G103,K103))</f>
        <v>0</v>
      </c>
      <c r="U103" s="32">
        <f>IF($A103="","",IF(T103&gt;0,T103+ROW()/1000000000,""))</f>
        <v>0</v>
      </c>
      <c r="V103" s="31">
        <f>IF($A103="","",IF(U103="","C",INDEX('Curva ABC'!$H$5:$H$304,MATCH(U103,'Curva ABC'!$B$5:$B$304,0))))</f>
        <v>0</v>
      </c>
      <c r="W103" s="24">
        <f>IF($A103="","",IF(R103="Parado",L103,0))</f>
        <v>0</v>
      </c>
      <c r="X103" s="33">
        <f>IF($A103="","",IF(OR(Q103="RUPTURA",Q103="REPOR"),COUNTIF($Q$5:Q103,"RUPTURA")+COUNTIF($Q$5:Q103,"REPOR"),""))</f>
        <v>0</v>
      </c>
    </row>
    <row r="104" spans="1:24">
      <c r="A104" s="23">
        <f>IF(Produtos!A104="","",Produtos!A104)</f>
        <v>0</v>
      </c>
      <c r="B104" s="23">
        <f>IF($A104="","",Produtos!B104&amp;"")</f>
        <v>0</v>
      </c>
      <c r="C104" s="23">
        <f>IF($A104="","",Produtos!C104&amp;"")</f>
        <v>0</v>
      </c>
      <c r="D104" s="25">
        <f>IF($A104="","",Produtos!D104&amp;"")</f>
        <v>0</v>
      </c>
      <c r="E104" s="26">
        <f>IF($A104="","",N(Produtos!H104))</f>
        <v>0</v>
      </c>
      <c r="F104" s="26">
        <f>IF($A104="","",SUMIFS(MovQtd,MovCod,$A104,MovTipo,"Entrada"))</f>
        <v>0</v>
      </c>
      <c r="G104" s="26">
        <f>IF($A104="","",SUMIFS(MovQtd,MovCod,$A104,MovTipo,"Saída"))</f>
        <v>0</v>
      </c>
      <c r="H104" s="27">
        <f>IF($A104="","",E104+F104-G104)</f>
        <v>0</v>
      </c>
      <c r="I104" s="26">
        <f>IF($A104="","",N(Produtos!I104))</f>
        <v>0</v>
      </c>
      <c r="J104" s="26">
        <f>IF($A104="","",IF(I104&gt;0,ROUNDUP(I104*FatMax,0),""))</f>
        <v>0</v>
      </c>
      <c r="K104" s="24">
        <f>IF($A104="","",N(Produtos!F104))</f>
        <v>0</v>
      </c>
      <c r="L104" s="24">
        <f>IF($A104="","",H104*K104)</f>
        <v>0</v>
      </c>
      <c r="M104" s="26">
        <f>IF($A104="","",SUMIFS(MovQtd,MovCod,$A104,MovTipo,"Saída",MovData,"&gt;="&amp;(Hoje-DiasAn),MovData,"&lt;="&amp;Hoje))</f>
        <v>0</v>
      </c>
      <c r="N104" s="28">
        <f>IF($A104="","",M104/DiasAn)</f>
        <v>0</v>
      </c>
      <c r="O104" s="29">
        <f>IF($A104="","",IF(N104&gt;0,H104/N104,"sem giro"))</f>
        <v>0</v>
      </c>
      <c r="P104" s="30">
        <f>IF($A104="","",SUMPRODUCT(MAX((MovCod=$A104)*(MovTipo="Saída")*MovData)))</f>
        <v>0</v>
      </c>
      <c r="Q104" s="31">
        <f>IF($A104="","",IF(H104&lt;=0,"RUPTURA",IF(AND(I104&gt;0,H104&lt;=I104),"REPOR",IF(AND(J104&lt;&gt;"",H104&gt;J104),"EXCESSO","OK"))))</f>
        <v>0</v>
      </c>
      <c r="R104" s="25">
        <f>IF($A104="","",IF(AND(H104&gt;0,OR(P104=0,Hoje-P104&gt;DiasParado)),"Parado",""))</f>
        <v>0</v>
      </c>
      <c r="S104" s="26">
        <f>IF($A104="","",IF(OR(Q104="RUPTURA",Q104="REPOR"),IF(J104="",0,MAX(0,J104-H104)),0))</f>
        <v>0</v>
      </c>
      <c r="T104" s="24">
        <f>IF($A104="","",M104*IF(N(Produtos!G104)&gt;0,Produtos!G104,K104))</f>
        <v>0</v>
      </c>
      <c r="U104" s="32">
        <f>IF($A104="","",IF(T104&gt;0,T104+ROW()/1000000000,""))</f>
        <v>0</v>
      </c>
      <c r="V104" s="31">
        <f>IF($A104="","",IF(U104="","C",INDEX('Curva ABC'!$H$5:$H$304,MATCH(U104,'Curva ABC'!$B$5:$B$304,0))))</f>
        <v>0</v>
      </c>
      <c r="W104" s="24">
        <f>IF($A104="","",IF(R104="Parado",L104,0))</f>
        <v>0</v>
      </c>
      <c r="X104" s="33">
        <f>IF($A104="","",IF(OR(Q104="RUPTURA",Q104="REPOR"),COUNTIF($Q$5:Q104,"RUPTURA")+COUNTIF($Q$5:Q104,"REPOR"),""))</f>
        <v>0</v>
      </c>
    </row>
    <row r="105" spans="1:24">
      <c r="A105" s="23">
        <f>IF(Produtos!A105="","",Produtos!A105)</f>
        <v>0</v>
      </c>
      <c r="B105" s="23">
        <f>IF($A105="","",Produtos!B105&amp;"")</f>
        <v>0</v>
      </c>
      <c r="C105" s="23">
        <f>IF($A105="","",Produtos!C105&amp;"")</f>
        <v>0</v>
      </c>
      <c r="D105" s="25">
        <f>IF($A105="","",Produtos!D105&amp;"")</f>
        <v>0</v>
      </c>
      <c r="E105" s="26">
        <f>IF($A105="","",N(Produtos!H105))</f>
        <v>0</v>
      </c>
      <c r="F105" s="26">
        <f>IF($A105="","",SUMIFS(MovQtd,MovCod,$A105,MovTipo,"Entrada"))</f>
        <v>0</v>
      </c>
      <c r="G105" s="26">
        <f>IF($A105="","",SUMIFS(MovQtd,MovCod,$A105,MovTipo,"Saída"))</f>
        <v>0</v>
      </c>
      <c r="H105" s="27">
        <f>IF($A105="","",E105+F105-G105)</f>
        <v>0</v>
      </c>
      <c r="I105" s="26">
        <f>IF($A105="","",N(Produtos!I105))</f>
        <v>0</v>
      </c>
      <c r="J105" s="26">
        <f>IF($A105="","",IF(I105&gt;0,ROUNDUP(I105*FatMax,0),""))</f>
        <v>0</v>
      </c>
      <c r="K105" s="24">
        <f>IF($A105="","",N(Produtos!F105))</f>
        <v>0</v>
      </c>
      <c r="L105" s="24">
        <f>IF($A105="","",H105*K105)</f>
        <v>0</v>
      </c>
      <c r="M105" s="26">
        <f>IF($A105="","",SUMIFS(MovQtd,MovCod,$A105,MovTipo,"Saída",MovData,"&gt;="&amp;(Hoje-DiasAn),MovData,"&lt;="&amp;Hoje))</f>
        <v>0</v>
      </c>
      <c r="N105" s="28">
        <f>IF($A105="","",M105/DiasAn)</f>
        <v>0</v>
      </c>
      <c r="O105" s="29">
        <f>IF($A105="","",IF(N105&gt;0,H105/N105,"sem giro"))</f>
        <v>0</v>
      </c>
      <c r="P105" s="30">
        <f>IF($A105="","",SUMPRODUCT(MAX((MovCod=$A105)*(MovTipo="Saída")*MovData)))</f>
        <v>0</v>
      </c>
      <c r="Q105" s="31">
        <f>IF($A105="","",IF(H105&lt;=0,"RUPTURA",IF(AND(I105&gt;0,H105&lt;=I105),"REPOR",IF(AND(J105&lt;&gt;"",H105&gt;J105),"EXCESSO","OK"))))</f>
        <v>0</v>
      </c>
      <c r="R105" s="25">
        <f>IF($A105="","",IF(AND(H105&gt;0,OR(P105=0,Hoje-P105&gt;DiasParado)),"Parado",""))</f>
        <v>0</v>
      </c>
      <c r="S105" s="26">
        <f>IF($A105="","",IF(OR(Q105="RUPTURA",Q105="REPOR"),IF(J105="",0,MAX(0,J105-H105)),0))</f>
        <v>0</v>
      </c>
      <c r="T105" s="24">
        <f>IF($A105="","",M105*IF(N(Produtos!G105)&gt;0,Produtos!G105,K105))</f>
        <v>0</v>
      </c>
      <c r="U105" s="32">
        <f>IF($A105="","",IF(T105&gt;0,T105+ROW()/1000000000,""))</f>
        <v>0</v>
      </c>
      <c r="V105" s="31">
        <f>IF($A105="","",IF(U105="","C",INDEX('Curva ABC'!$H$5:$H$304,MATCH(U105,'Curva ABC'!$B$5:$B$304,0))))</f>
        <v>0</v>
      </c>
      <c r="W105" s="24">
        <f>IF($A105="","",IF(R105="Parado",L105,0))</f>
        <v>0</v>
      </c>
      <c r="X105" s="33">
        <f>IF($A105="","",IF(OR(Q105="RUPTURA",Q105="REPOR"),COUNTIF($Q$5:Q105,"RUPTURA")+COUNTIF($Q$5:Q105,"REPOR"),""))</f>
        <v>0</v>
      </c>
    </row>
    <row r="106" spans="1:24">
      <c r="A106" s="23">
        <f>IF(Produtos!A106="","",Produtos!A106)</f>
        <v>0</v>
      </c>
      <c r="B106" s="23">
        <f>IF($A106="","",Produtos!B106&amp;"")</f>
        <v>0</v>
      </c>
      <c r="C106" s="23">
        <f>IF($A106="","",Produtos!C106&amp;"")</f>
        <v>0</v>
      </c>
      <c r="D106" s="25">
        <f>IF($A106="","",Produtos!D106&amp;"")</f>
        <v>0</v>
      </c>
      <c r="E106" s="26">
        <f>IF($A106="","",N(Produtos!H106))</f>
        <v>0</v>
      </c>
      <c r="F106" s="26">
        <f>IF($A106="","",SUMIFS(MovQtd,MovCod,$A106,MovTipo,"Entrada"))</f>
        <v>0</v>
      </c>
      <c r="G106" s="26">
        <f>IF($A106="","",SUMIFS(MovQtd,MovCod,$A106,MovTipo,"Saída"))</f>
        <v>0</v>
      </c>
      <c r="H106" s="27">
        <f>IF($A106="","",E106+F106-G106)</f>
        <v>0</v>
      </c>
      <c r="I106" s="26">
        <f>IF($A106="","",N(Produtos!I106))</f>
        <v>0</v>
      </c>
      <c r="J106" s="26">
        <f>IF($A106="","",IF(I106&gt;0,ROUNDUP(I106*FatMax,0),""))</f>
        <v>0</v>
      </c>
      <c r="K106" s="24">
        <f>IF($A106="","",N(Produtos!F106))</f>
        <v>0</v>
      </c>
      <c r="L106" s="24">
        <f>IF($A106="","",H106*K106)</f>
        <v>0</v>
      </c>
      <c r="M106" s="26">
        <f>IF($A106="","",SUMIFS(MovQtd,MovCod,$A106,MovTipo,"Saída",MovData,"&gt;="&amp;(Hoje-DiasAn),MovData,"&lt;="&amp;Hoje))</f>
        <v>0</v>
      </c>
      <c r="N106" s="28">
        <f>IF($A106="","",M106/DiasAn)</f>
        <v>0</v>
      </c>
      <c r="O106" s="29">
        <f>IF($A106="","",IF(N106&gt;0,H106/N106,"sem giro"))</f>
        <v>0</v>
      </c>
      <c r="P106" s="30">
        <f>IF($A106="","",SUMPRODUCT(MAX((MovCod=$A106)*(MovTipo="Saída")*MovData)))</f>
        <v>0</v>
      </c>
      <c r="Q106" s="31">
        <f>IF($A106="","",IF(H106&lt;=0,"RUPTURA",IF(AND(I106&gt;0,H106&lt;=I106),"REPOR",IF(AND(J106&lt;&gt;"",H106&gt;J106),"EXCESSO","OK"))))</f>
        <v>0</v>
      </c>
      <c r="R106" s="25">
        <f>IF($A106="","",IF(AND(H106&gt;0,OR(P106=0,Hoje-P106&gt;DiasParado)),"Parado",""))</f>
        <v>0</v>
      </c>
      <c r="S106" s="26">
        <f>IF($A106="","",IF(OR(Q106="RUPTURA",Q106="REPOR"),IF(J106="",0,MAX(0,J106-H106)),0))</f>
        <v>0</v>
      </c>
      <c r="T106" s="24">
        <f>IF($A106="","",M106*IF(N(Produtos!G106)&gt;0,Produtos!G106,K106))</f>
        <v>0</v>
      </c>
      <c r="U106" s="32">
        <f>IF($A106="","",IF(T106&gt;0,T106+ROW()/1000000000,""))</f>
        <v>0</v>
      </c>
      <c r="V106" s="31">
        <f>IF($A106="","",IF(U106="","C",INDEX('Curva ABC'!$H$5:$H$304,MATCH(U106,'Curva ABC'!$B$5:$B$304,0))))</f>
        <v>0</v>
      </c>
      <c r="W106" s="24">
        <f>IF($A106="","",IF(R106="Parado",L106,0))</f>
        <v>0</v>
      </c>
      <c r="X106" s="33">
        <f>IF($A106="","",IF(OR(Q106="RUPTURA",Q106="REPOR"),COUNTIF($Q$5:Q106,"RUPTURA")+COUNTIF($Q$5:Q106,"REPOR"),""))</f>
        <v>0</v>
      </c>
    </row>
    <row r="107" spans="1:24">
      <c r="A107" s="23">
        <f>IF(Produtos!A107="","",Produtos!A107)</f>
        <v>0</v>
      </c>
      <c r="B107" s="23">
        <f>IF($A107="","",Produtos!B107&amp;"")</f>
        <v>0</v>
      </c>
      <c r="C107" s="23">
        <f>IF($A107="","",Produtos!C107&amp;"")</f>
        <v>0</v>
      </c>
      <c r="D107" s="25">
        <f>IF($A107="","",Produtos!D107&amp;"")</f>
        <v>0</v>
      </c>
      <c r="E107" s="26">
        <f>IF($A107="","",N(Produtos!H107))</f>
        <v>0</v>
      </c>
      <c r="F107" s="26">
        <f>IF($A107="","",SUMIFS(MovQtd,MovCod,$A107,MovTipo,"Entrada"))</f>
        <v>0</v>
      </c>
      <c r="G107" s="26">
        <f>IF($A107="","",SUMIFS(MovQtd,MovCod,$A107,MovTipo,"Saída"))</f>
        <v>0</v>
      </c>
      <c r="H107" s="27">
        <f>IF($A107="","",E107+F107-G107)</f>
        <v>0</v>
      </c>
      <c r="I107" s="26">
        <f>IF($A107="","",N(Produtos!I107))</f>
        <v>0</v>
      </c>
      <c r="J107" s="26">
        <f>IF($A107="","",IF(I107&gt;0,ROUNDUP(I107*FatMax,0),""))</f>
        <v>0</v>
      </c>
      <c r="K107" s="24">
        <f>IF($A107="","",N(Produtos!F107))</f>
        <v>0</v>
      </c>
      <c r="L107" s="24">
        <f>IF($A107="","",H107*K107)</f>
        <v>0</v>
      </c>
      <c r="M107" s="26">
        <f>IF($A107="","",SUMIFS(MovQtd,MovCod,$A107,MovTipo,"Saída",MovData,"&gt;="&amp;(Hoje-DiasAn),MovData,"&lt;="&amp;Hoje))</f>
        <v>0</v>
      </c>
      <c r="N107" s="28">
        <f>IF($A107="","",M107/DiasAn)</f>
        <v>0</v>
      </c>
      <c r="O107" s="29">
        <f>IF($A107="","",IF(N107&gt;0,H107/N107,"sem giro"))</f>
        <v>0</v>
      </c>
      <c r="P107" s="30">
        <f>IF($A107="","",SUMPRODUCT(MAX((MovCod=$A107)*(MovTipo="Saída")*MovData)))</f>
        <v>0</v>
      </c>
      <c r="Q107" s="31">
        <f>IF($A107="","",IF(H107&lt;=0,"RUPTURA",IF(AND(I107&gt;0,H107&lt;=I107),"REPOR",IF(AND(J107&lt;&gt;"",H107&gt;J107),"EXCESSO","OK"))))</f>
        <v>0</v>
      </c>
      <c r="R107" s="25">
        <f>IF($A107="","",IF(AND(H107&gt;0,OR(P107=0,Hoje-P107&gt;DiasParado)),"Parado",""))</f>
        <v>0</v>
      </c>
      <c r="S107" s="26">
        <f>IF($A107="","",IF(OR(Q107="RUPTURA",Q107="REPOR"),IF(J107="",0,MAX(0,J107-H107)),0))</f>
        <v>0</v>
      </c>
      <c r="T107" s="24">
        <f>IF($A107="","",M107*IF(N(Produtos!G107)&gt;0,Produtos!G107,K107))</f>
        <v>0</v>
      </c>
      <c r="U107" s="32">
        <f>IF($A107="","",IF(T107&gt;0,T107+ROW()/1000000000,""))</f>
        <v>0</v>
      </c>
      <c r="V107" s="31">
        <f>IF($A107="","",IF(U107="","C",INDEX('Curva ABC'!$H$5:$H$304,MATCH(U107,'Curva ABC'!$B$5:$B$304,0))))</f>
        <v>0</v>
      </c>
      <c r="W107" s="24">
        <f>IF($A107="","",IF(R107="Parado",L107,0))</f>
        <v>0</v>
      </c>
      <c r="X107" s="33">
        <f>IF($A107="","",IF(OR(Q107="RUPTURA",Q107="REPOR"),COUNTIF($Q$5:Q107,"RUPTURA")+COUNTIF($Q$5:Q107,"REPOR"),""))</f>
        <v>0</v>
      </c>
    </row>
    <row r="108" spans="1:24">
      <c r="A108" s="23">
        <f>IF(Produtos!A108="","",Produtos!A108)</f>
        <v>0</v>
      </c>
      <c r="B108" s="23">
        <f>IF($A108="","",Produtos!B108&amp;"")</f>
        <v>0</v>
      </c>
      <c r="C108" s="23">
        <f>IF($A108="","",Produtos!C108&amp;"")</f>
        <v>0</v>
      </c>
      <c r="D108" s="25">
        <f>IF($A108="","",Produtos!D108&amp;"")</f>
        <v>0</v>
      </c>
      <c r="E108" s="26">
        <f>IF($A108="","",N(Produtos!H108))</f>
        <v>0</v>
      </c>
      <c r="F108" s="26">
        <f>IF($A108="","",SUMIFS(MovQtd,MovCod,$A108,MovTipo,"Entrada"))</f>
        <v>0</v>
      </c>
      <c r="G108" s="26">
        <f>IF($A108="","",SUMIFS(MovQtd,MovCod,$A108,MovTipo,"Saída"))</f>
        <v>0</v>
      </c>
      <c r="H108" s="27">
        <f>IF($A108="","",E108+F108-G108)</f>
        <v>0</v>
      </c>
      <c r="I108" s="26">
        <f>IF($A108="","",N(Produtos!I108))</f>
        <v>0</v>
      </c>
      <c r="J108" s="26">
        <f>IF($A108="","",IF(I108&gt;0,ROUNDUP(I108*FatMax,0),""))</f>
        <v>0</v>
      </c>
      <c r="K108" s="24">
        <f>IF($A108="","",N(Produtos!F108))</f>
        <v>0</v>
      </c>
      <c r="L108" s="24">
        <f>IF($A108="","",H108*K108)</f>
        <v>0</v>
      </c>
      <c r="M108" s="26">
        <f>IF($A108="","",SUMIFS(MovQtd,MovCod,$A108,MovTipo,"Saída",MovData,"&gt;="&amp;(Hoje-DiasAn),MovData,"&lt;="&amp;Hoje))</f>
        <v>0</v>
      </c>
      <c r="N108" s="28">
        <f>IF($A108="","",M108/DiasAn)</f>
        <v>0</v>
      </c>
      <c r="O108" s="29">
        <f>IF($A108="","",IF(N108&gt;0,H108/N108,"sem giro"))</f>
        <v>0</v>
      </c>
      <c r="P108" s="30">
        <f>IF($A108="","",SUMPRODUCT(MAX((MovCod=$A108)*(MovTipo="Saída")*MovData)))</f>
        <v>0</v>
      </c>
      <c r="Q108" s="31">
        <f>IF($A108="","",IF(H108&lt;=0,"RUPTURA",IF(AND(I108&gt;0,H108&lt;=I108),"REPOR",IF(AND(J108&lt;&gt;"",H108&gt;J108),"EXCESSO","OK"))))</f>
        <v>0</v>
      </c>
      <c r="R108" s="25">
        <f>IF($A108="","",IF(AND(H108&gt;0,OR(P108=0,Hoje-P108&gt;DiasParado)),"Parado",""))</f>
        <v>0</v>
      </c>
      <c r="S108" s="26">
        <f>IF($A108="","",IF(OR(Q108="RUPTURA",Q108="REPOR"),IF(J108="",0,MAX(0,J108-H108)),0))</f>
        <v>0</v>
      </c>
      <c r="T108" s="24">
        <f>IF($A108="","",M108*IF(N(Produtos!G108)&gt;0,Produtos!G108,K108))</f>
        <v>0</v>
      </c>
      <c r="U108" s="32">
        <f>IF($A108="","",IF(T108&gt;0,T108+ROW()/1000000000,""))</f>
        <v>0</v>
      </c>
      <c r="V108" s="31">
        <f>IF($A108="","",IF(U108="","C",INDEX('Curva ABC'!$H$5:$H$304,MATCH(U108,'Curva ABC'!$B$5:$B$304,0))))</f>
        <v>0</v>
      </c>
      <c r="W108" s="24">
        <f>IF($A108="","",IF(R108="Parado",L108,0))</f>
        <v>0</v>
      </c>
      <c r="X108" s="33">
        <f>IF($A108="","",IF(OR(Q108="RUPTURA",Q108="REPOR"),COUNTIF($Q$5:Q108,"RUPTURA")+COUNTIF($Q$5:Q108,"REPOR"),""))</f>
        <v>0</v>
      </c>
    </row>
    <row r="109" spans="1:24">
      <c r="A109" s="23">
        <f>IF(Produtos!A109="","",Produtos!A109)</f>
        <v>0</v>
      </c>
      <c r="B109" s="23">
        <f>IF($A109="","",Produtos!B109&amp;"")</f>
        <v>0</v>
      </c>
      <c r="C109" s="23">
        <f>IF($A109="","",Produtos!C109&amp;"")</f>
        <v>0</v>
      </c>
      <c r="D109" s="25">
        <f>IF($A109="","",Produtos!D109&amp;"")</f>
        <v>0</v>
      </c>
      <c r="E109" s="26">
        <f>IF($A109="","",N(Produtos!H109))</f>
        <v>0</v>
      </c>
      <c r="F109" s="26">
        <f>IF($A109="","",SUMIFS(MovQtd,MovCod,$A109,MovTipo,"Entrada"))</f>
        <v>0</v>
      </c>
      <c r="G109" s="26">
        <f>IF($A109="","",SUMIFS(MovQtd,MovCod,$A109,MovTipo,"Saída"))</f>
        <v>0</v>
      </c>
      <c r="H109" s="27">
        <f>IF($A109="","",E109+F109-G109)</f>
        <v>0</v>
      </c>
      <c r="I109" s="26">
        <f>IF($A109="","",N(Produtos!I109))</f>
        <v>0</v>
      </c>
      <c r="J109" s="26">
        <f>IF($A109="","",IF(I109&gt;0,ROUNDUP(I109*FatMax,0),""))</f>
        <v>0</v>
      </c>
      <c r="K109" s="24">
        <f>IF($A109="","",N(Produtos!F109))</f>
        <v>0</v>
      </c>
      <c r="L109" s="24">
        <f>IF($A109="","",H109*K109)</f>
        <v>0</v>
      </c>
      <c r="M109" s="26">
        <f>IF($A109="","",SUMIFS(MovQtd,MovCod,$A109,MovTipo,"Saída",MovData,"&gt;="&amp;(Hoje-DiasAn),MovData,"&lt;="&amp;Hoje))</f>
        <v>0</v>
      </c>
      <c r="N109" s="28">
        <f>IF($A109="","",M109/DiasAn)</f>
        <v>0</v>
      </c>
      <c r="O109" s="29">
        <f>IF($A109="","",IF(N109&gt;0,H109/N109,"sem giro"))</f>
        <v>0</v>
      </c>
      <c r="P109" s="30">
        <f>IF($A109="","",SUMPRODUCT(MAX((MovCod=$A109)*(MovTipo="Saída")*MovData)))</f>
        <v>0</v>
      </c>
      <c r="Q109" s="31">
        <f>IF($A109="","",IF(H109&lt;=0,"RUPTURA",IF(AND(I109&gt;0,H109&lt;=I109),"REPOR",IF(AND(J109&lt;&gt;"",H109&gt;J109),"EXCESSO","OK"))))</f>
        <v>0</v>
      </c>
      <c r="R109" s="25">
        <f>IF($A109="","",IF(AND(H109&gt;0,OR(P109=0,Hoje-P109&gt;DiasParado)),"Parado",""))</f>
        <v>0</v>
      </c>
      <c r="S109" s="26">
        <f>IF($A109="","",IF(OR(Q109="RUPTURA",Q109="REPOR"),IF(J109="",0,MAX(0,J109-H109)),0))</f>
        <v>0</v>
      </c>
      <c r="T109" s="24">
        <f>IF($A109="","",M109*IF(N(Produtos!G109)&gt;0,Produtos!G109,K109))</f>
        <v>0</v>
      </c>
      <c r="U109" s="32">
        <f>IF($A109="","",IF(T109&gt;0,T109+ROW()/1000000000,""))</f>
        <v>0</v>
      </c>
      <c r="V109" s="31">
        <f>IF($A109="","",IF(U109="","C",INDEX('Curva ABC'!$H$5:$H$304,MATCH(U109,'Curva ABC'!$B$5:$B$304,0))))</f>
        <v>0</v>
      </c>
      <c r="W109" s="24">
        <f>IF($A109="","",IF(R109="Parado",L109,0))</f>
        <v>0</v>
      </c>
      <c r="X109" s="33">
        <f>IF($A109="","",IF(OR(Q109="RUPTURA",Q109="REPOR"),COUNTIF($Q$5:Q109,"RUPTURA")+COUNTIF($Q$5:Q109,"REPOR"),""))</f>
        <v>0</v>
      </c>
    </row>
    <row r="110" spans="1:24">
      <c r="A110" s="23">
        <f>IF(Produtos!A110="","",Produtos!A110)</f>
        <v>0</v>
      </c>
      <c r="B110" s="23">
        <f>IF($A110="","",Produtos!B110&amp;"")</f>
        <v>0</v>
      </c>
      <c r="C110" s="23">
        <f>IF($A110="","",Produtos!C110&amp;"")</f>
        <v>0</v>
      </c>
      <c r="D110" s="25">
        <f>IF($A110="","",Produtos!D110&amp;"")</f>
        <v>0</v>
      </c>
      <c r="E110" s="26">
        <f>IF($A110="","",N(Produtos!H110))</f>
        <v>0</v>
      </c>
      <c r="F110" s="26">
        <f>IF($A110="","",SUMIFS(MovQtd,MovCod,$A110,MovTipo,"Entrada"))</f>
        <v>0</v>
      </c>
      <c r="G110" s="26">
        <f>IF($A110="","",SUMIFS(MovQtd,MovCod,$A110,MovTipo,"Saída"))</f>
        <v>0</v>
      </c>
      <c r="H110" s="27">
        <f>IF($A110="","",E110+F110-G110)</f>
        <v>0</v>
      </c>
      <c r="I110" s="26">
        <f>IF($A110="","",N(Produtos!I110))</f>
        <v>0</v>
      </c>
      <c r="J110" s="26">
        <f>IF($A110="","",IF(I110&gt;0,ROUNDUP(I110*FatMax,0),""))</f>
        <v>0</v>
      </c>
      <c r="K110" s="24">
        <f>IF($A110="","",N(Produtos!F110))</f>
        <v>0</v>
      </c>
      <c r="L110" s="24">
        <f>IF($A110="","",H110*K110)</f>
        <v>0</v>
      </c>
      <c r="M110" s="26">
        <f>IF($A110="","",SUMIFS(MovQtd,MovCod,$A110,MovTipo,"Saída",MovData,"&gt;="&amp;(Hoje-DiasAn),MovData,"&lt;="&amp;Hoje))</f>
        <v>0</v>
      </c>
      <c r="N110" s="28">
        <f>IF($A110="","",M110/DiasAn)</f>
        <v>0</v>
      </c>
      <c r="O110" s="29">
        <f>IF($A110="","",IF(N110&gt;0,H110/N110,"sem giro"))</f>
        <v>0</v>
      </c>
      <c r="P110" s="30">
        <f>IF($A110="","",SUMPRODUCT(MAX((MovCod=$A110)*(MovTipo="Saída")*MovData)))</f>
        <v>0</v>
      </c>
      <c r="Q110" s="31">
        <f>IF($A110="","",IF(H110&lt;=0,"RUPTURA",IF(AND(I110&gt;0,H110&lt;=I110),"REPOR",IF(AND(J110&lt;&gt;"",H110&gt;J110),"EXCESSO","OK"))))</f>
        <v>0</v>
      </c>
      <c r="R110" s="25">
        <f>IF($A110="","",IF(AND(H110&gt;0,OR(P110=0,Hoje-P110&gt;DiasParado)),"Parado",""))</f>
        <v>0</v>
      </c>
      <c r="S110" s="26">
        <f>IF($A110="","",IF(OR(Q110="RUPTURA",Q110="REPOR"),IF(J110="",0,MAX(0,J110-H110)),0))</f>
        <v>0</v>
      </c>
      <c r="T110" s="24">
        <f>IF($A110="","",M110*IF(N(Produtos!G110)&gt;0,Produtos!G110,K110))</f>
        <v>0</v>
      </c>
      <c r="U110" s="32">
        <f>IF($A110="","",IF(T110&gt;0,T110+ROW()/1000000000,""))</f>
        <v>0</v>
      </c>
      <c r="V110" s="31">
        <f>IF($A110="","",IF(U110="","C",INDEX('Curva ABC'!$H$5:$H$304,MATCH(U110,'Curva ABC'!$B$5:$B$304,0))))</f>
        <v>0</v>
      </c>
      <c r="W110" s="24">
        <f>IF($A110="","",IF(R110="Parado",L110,0))</f>
        <v>0</v>
      </c>
      <c r="X110" s="33">
        <f>IF($A110="","",IF(OR(Q110="RUPTURA",Q110="REPOR"),COUNTIF($Q$5:Q110,"RUPTURA")+COUNTIF($Q$5:Q110,"REPOR"),""))</f>
        <v>0</v>
      </c>
    </row>
    <row r="111" spans="1:24">
      <c r="A111" s="23">
        <f>IF(Produtos!A111="","",Produtos!A111)</f>
        <v>0</v>
      </c>
      <c r="B111" s="23">
        <f>IF($A111="","",Produtos!B111&amp;"")</f>
        <v>0</v>
      </c>
      <c r="C111" s="23">
        <f>IF($A111="","",Produtos!C111&amp;"")</f>
        <v>0</v>
      </c>
      <c r="D111" s="25">
        <f>IF($A111="","",Produtos!D111&amp;"")</f>
        <v>0</v>
      </c>
      <c r="E111" s="26">
        <f>IF($A111="","",N(Produtos!H111))</f>
        <v>0</v>
      </c>
      <c r="F111" s="26">
        <f>IF($A111="","",SUMIFS(MovQtd,MovCod,$A111,MovTipo,"Entrada"))</f>
        <v>0</v>
      </c>
      <c r="G111" s="26">
        <f>IF($A111="","",SUMIFS(MovQtd,MovCod,$A111,MovTipo,"Saída"))</f>
        <v>0</v>
      </c>
      <c r="H111" s="27">
        <f>IF($A111="","",E111+F111-G111)</f>
        <v>0</v>
      </c>
      <c r="I111" s="26">
        <f>IF($A111="","",N(Produtos!I111))</f>
        <v>0</v>
      </c>
      <c r="J111" s="26">
        <f>IF($A111="","",IF(I111&gt;0,ROUNDUP(I111*FatMax,0),""))</f>
        <v>0</v>
      </c>
      <c r="K111" s="24">
        <f>IF($A111="","",N(Produtos!F111))</f>
        <v>0</v>
      </c>
      <c r="L111" s="24">
        <f>IF($A111="","",H111*K111)</f>
        <v>0</v>
      </c>
      <c r="M111" s="26">
        <f>IF($A111="","",SUMIFS(MovQtd,MovCod,$A111,MovTipo,"Saída",MovData,"&gt;="&amp;(Hoje-DiasAn),MovData,"&lt;="&amp;Hoje))</f>
        <v>0</v>
      </c>
      <c r="N111" s="28">
        <f>IF($A111="","",M111/DiasAn)</f>
        <v>0</v>
      </c>
      <c r="O111" s="29">
        <f>IF($A111="","",IF(N111&gt;0,H111/N111,"sem giro"))</f>
        <v>0</v>
      </c>
      <c r="P111" s="30">
        <f>IF($A111="","",SUMPRODUCT(MAX((MovCod=$A111)*(MovTipo="Saída")*MovData)))</f>
        <v>0</v>
      </c>
      <c r="Q111" s="31">
        <f>IF($A111="","",IF(H111&lt;=0,"RUPTURA",IF(AND(I111&gt;0,H111&lt;=I111),"REPOR",IF(AND(J111&lt;&gt;"",H111&gt;J111),"EXCESSO","OK"))))</f>
        <v>0</v>
      </c>
      <c r="R111" s="25">
        <f>IF($A111="","",IF(AND(H111&gt;0,OR(P111=0,Hoje-P111&gt;DiasParado)),"Parado",""))</f>
        <v>0</v>
      </c>
      <c r="S111" s="26">
        <f>IF($A111="","",IF(OR(Q111="RUPTURA",Q111="REPOR"),IF(J111="",0,MAX(0,J111-H111)),0))</f>
        <v>0</v>
      </c>
      <c r="T111" s="24">
        <f>IF($A111="","",M111*IF(N(Produtos!G111)&gt;0,Produtos!G111,K111))</f>
        <v>0</v>
      </c>
      <c r="U111" s="32">
        <f>IF($A111="","",IF(T111&gt;0,T111+ROW()/1000000000,""))</f>
        <v>0</v>
      </c>
      <c r="V111" s="31">
        <f>IF($A111="","",IF(U111="","C",INDEX('Curva ABC'!$H$5:$H$304,MATCH(U111,'Curva ABC'!$B$5:$B$304,0))))</f>
        <v>0</v>
      </c>
      <c r="W111" s="24">
        <f>IF($A111="","",IF(R111="Parado",L111,0))</f>
        <v>0</v>
      </c>
      <c r="X111" s="33">
        <f>IF($A111="","",IF(OR(Q111="RUPTURA",Q111="REPOR"),COUNTIF($Q$5:Q111,"RUPTURA")+COUNTIF($Q$5:Q111,"REPOR"),""))</f>
        <v>0</v>
      </c>
    </row>
    <row r="112" spans="1:24">
      <c r="A112" s="23">
        <f>IF(Produtos!A112="","",Produtos!A112)</f>
        <v>0</v>
      </c>
      <c r="B112" s="23">
        <f>IF($A112="","",Produtos!B112&amp;"")</f>
        <v>0</v>
      </c>
      <c r="C112" s="23">
        <f>IF($A112="","",Produtos!C112&amp;"")</f>
        <v>0</v>
      </c>
      <c r="D112" s="25">
        <f>IF($A112="","",Produtos!D112&amp;"")</f>
        <v>0</v>
      </c>
      <c r="E112" s="26">
        <f>IF($A112="","",N(Produtos!H112))</f>
        <v>0</v>
      </c>
      <c r="F112" s="26">
        <f>IF($A112="","",SUMIFS(MovQtd,MovCod,$A112,MovTipo,"Entrada"))</f>
        <v>0</v>
      </c>
      <c r="G112" s="26">
        <f>IF($A112="","",SUMIFS(MovQtd,MovCod,$A112,MovTipo,"Saída"))</f>
        <v>0</v>
      </c>
      <c r="H112" s="27">
        <f>IF($A112="","",E112+F112-G112)</f>
        <v>0</v>
      </c>
      <c r="I112" s="26">
        <f>IF($A112="","",N(Produtos!I112))</f>
        <v>0</v>
      </c>
      <c r="J112" s="26">
        <f>IF($A112="","",IF(I112&gt;0,ROUNDUP(I112*FatMax,0),""))</f>
        <v>0</v>
      </c>
      <c r="K112" s="24">
        <f>IF($A112="","",N(Produtos!F112))</f>
        <v>0</v>
      </c>
      <c r="L112" s="24">
        <f>IF($A112="","",H112*K112)</f>
        <v>0</v>
      </c>
      <c r="M112" s="26">
        <f>IF($A112="","",SUMIFS(MovQtd,MovCod,$A112,MovTipo,"Saída",MovData,"&gt;="&amp;(Hoje-DiasAn),MovData,"&lt;="&amp;Hoje))</f>
        <v>0</v>
      </c>
      <c r="N112" s="28">
        <f>IF($A112="","",M112/DiasAn)</f>
        <v>0</v>
      </c>
      <c r="O112" s="29">
        <f>IF($A112="","",IF(N112&gt;0,H112/N112,"sem giro"))</f>
        <v>0</v>
      </c>
      <c r="P112" s="30">
        <f>IF($A112="","",SUMPRODUCT(MAX((MovCod=$A112)*(MovTipo="Saída")*MovData)))</f>
        <v>0</v>
      </c>
      <c r="Q112" s="31">
        <f>IF($A112="","",IF(H112&lt;=0,"RUPTURA",IF(AND(I112&gt;0,H112&lt;=I112),"REPOR",IF(AND(J112&lt;&gt;"",H112&gt;J112),"EXCESSO","OK"))))</f>
        <v>0</v>
      </c>
      <c r="R112" s="25">
        <f>IF($A112="","",IF(AND(H112&gt;0,OR(P112=0,Hoje-P112&gt;DiasParado)),"Parado",""))</f>
        <v>0</v>
      </c>
      <c r="S112" s="26">
        <f>IF($A112="","",IF(OR(Q112="RUPTURA",Q112="REPOR"),IF(J112="",0,MAX(0,J112-H112)),0))</f>
        <v>0</v>
      </c>
      <c r="T112" s="24">
        <f>IF($A112="","",M112*IF(N(Produtos!G112)&gt;0,Produtos!G112,K112))</f>
        <v>0</v>
      </c>
      <c r="U112" s="32">
        <f>IF($A112="","",IF(T112&gt;0,T112+ROW()/1000000000,""))</f>
        <v>0</v>
      </c>
      <c r="V112" s="31">
        <f>IF($A112="","",IF(U112="","C",INDEX('Curva ABC'!$H$5:$H$304,MATCH(U112,'Curva ABC'!$B$5:$B$304,0))))</f>
        <v>0</v>
      </c>
      <c r="W112" s="24">
        <f>IF($A112="","",IF(R112="Parado",L112,0))</f>
        <v>0</v>
      </c>
      <c r="X112" s="33">
        <f>IF($A112="","",IF(OR(Q112="RUPTURA",Q112="REPOR"),COUNTIF($Q$5:Q112,"RUPTURA")+COUNTIF($Q$5:Q112,"REPOR"),""))</f>
        <v>0</v>
      </c>
    </row>
    <row r="113" spans="1:24">
      <c r="A113" s="23">
        <f>IF(Produtos!A113="","",Produtos!A113)</f>
        <v>0</v>
      </c>
      <c r="B113" s="23">
        <f>IF($A113="","",Produtos!B113&amp;"")</f>
        <v>0</v>
      </c>
      <c r="C113" s="23">
        <f>IF($A113="","",Produtos!C113&amp;"")</f>
        <v>0</v>
      </c>
      <c r="D113" s="25">
        <f>IF($A113="","",Produtos!D113&amp;"")</f>
        <v>0</v>
      </c>
      <c r="E113" s="26">
        <f>IF($A113="","",N(Produtos!H113))</f>
        <v>0</v>
      </c>
      <c r="F113" s="26">
        <f>IF($A113="","",SUMIFS(MovQtd,MovCod,$A113,MovTipo,"Entrada"))</f>
        <v>0</v>
      </c>
      <c r="G113" s="26">
        <f>IF($A113="","",SUMIFS(MovQtd,MovCod,$A113,MovTipo,"Saída"))</f>
        <v>0</v>
      </c>
      <c r="H113" s="27">
        <f>IF($A113="","",E113+F113-G113)</f>
        <v>0</v>
      </c>
      <c r="I113" s="26">
        <f>IF($A113="","",N(Produtos!I113))</f>
        <v>0</v>
      </c>
      <c r="J113" s="26">
        <f>IF($A113="","",IF(I113&gt;0,ROUNDUP(I113*FatMax,0),""))</f>
        <v>0</v>
      </c>
      <c r="K113" s="24">
        <f>IF($A113="","",N(Produtos!F113))</f>
        <v>0</v>
      </c>
      <c r="L113" s="24">
        <f>IF($A113="","",H113*K113)</f>
        <v>0</v>
      </c>
      <c r="M113" s="26">
        <f>IF($A113="","",SUMIFS(MovQtd,MovCod,$A113,MovTipo,"Saída",MovData,"&gt;="&amp;(Hoje-DiasAn),MovData,"&lt;="&amp;Hoje))</f>
        <v>0</v>
      </c>
      <c r="N113" s="28">
        <f>IF($A113="","",M113/DiasAn)</f>
        <v>0</v>
      </c>
      <c r="O113" s="29">
        <f>IF($A113="","",IF(N113&gt;0,H113/N113,"sem giro"))</f>
        <v>0</v>
      </c>
      <c r="P113" s="30">
        <f>IF($A113="","",SUMPRODUCT(MAX((MovCod=$A113)*(MovTipo="Saída")*MovData)))</f>
        <v>0</v>
      </c>
      <c r="Q113" s="31">
        <f>IF($A113="","",IF(H113&lt;=0,"RUPTURA",IF(AND(I113&gt;0,H113&lt;=I113),"REPOR",IF(AND(J113&lt;&gt;"",H113&gt;J113),"EXCESSO","OK"))))</f>
        <v>0</v>
      </c>
      <c r="R113" s="25">
        <f>IF($A113="","",IF(AND(H113&gt;0,OR(P113=0,Hoje-P113&gt;DiasParado)),"Parado",""))</f>
        <v>0</v>
      </c>
      <c r="S113" s="26">
        <f>IF($A113="","",IF(OR(Q113="RUPTURA",Q113="REPOR"),IF(J113="",0,MAX(0,J113-H113)),0))</f>
        <v>0</v>
      </c>
      <c r="T113" s="24">
        <f>IF($A113="","",M113*IF(N(Produtos!G113)&gt;0,Produtos!G113,K113))</f>
        <v>0</v>
      </c>
      <c r="U113" s="32">
        <f>IF($A113="","",IF(T113&gt;0,T113+ROW()/1000000000,""))</f>
        <v>0</v>
      </c>
      <c r="V113" s="31">
        <f>IF($A113="","",IF(U113="","C",INDEX('Curva ABC'!$H$5:$H$304,MATCH(U113,'Curva ABC'!$B$5:$B$304,0))))</f>
        <v>0</v>
      </c>
      <c r="W113" s="24">
        <f>IF($A113="","",IF(R113="Parado",L113,0))</f>
        <v>0</v>
      </c>
      <c r="X113" s="33">
        <f>IF($A113="","",IF(OR(Q113="RUPTURA",Q113="REPOR"),COUNTIF($Q$5:Q113,"RUPTURA")+COUNTIF($Q$5:Q113,"REPOR"),""))</f>
        <v>0</v>
      </c>
    </row>
    <row r="114" spans="1:24">
      <c r="A114" s="23">
        <f>IF(Produtos!A114="","",Produtos!A114)</f>
        <v>0</v>
      </c>
      <c r="B114" s="23">
        <f>IF($A114="","",Produtos!B114&amp;"")</f>
        <v>0</v>
      </c>
      <c r="C114" s="23">
        <f>IF($A114="","",Produtos!C114&amp;"")</f>
        <v>0</v>
      </c>
      <c r="D114" s="25">
        <f>IF($A114="","",Produtos!D114&amp;"")</f>
        <v>0</v>
      </c>
      <c r="E114" s="26">
        <f>IF($A114="","",N(Produtos!H114))</f>
        <v>0</v>
      </c>
      <c r="F114" s="26">
        <f>IF($A114="","",SUMIFS(MovQtd,MovCod,$A114,MovTipo,"Entrada"))</f>
        <v>0</v>
      </c>
      <c r="G114" s="26">
        <f>IF($A114="","",SUMIFS(MovQtd,MovCod,$A114,MovTipo,"Saída"))</f>
        <v>0</v>
      </c>
      <c r="H114" s="27">
        <f>IF($A114="","",E114+F114-G114)</f>
        <v>0</v>
      </c>
      <c r="I114" s="26">
        <f>IF($A114="","",N(Produtos!I114))</f>
        <v>0</v>
      </c>
      <c r="J114" s="26">
        <f>IF($A114="","",IF(I114&gt;0,ROUNDUP(I114*FatMax,0),""))</f>
        <v>0</v>
      </c>
      <c r="K114" s="24">
        <f>IF($A114="","",N(Produtos!F114))</f>
        <v>0</v>
      </c>
      <c r="L114" s="24">
        <f>IF($A114="","",H114*K114)</f>
        <v>0</v>
      </c>
      <c r="M114" s="26">
        <f>IF($A114="","",SUMIFS(MovQtd,MovCod,$A114,MovTipo,"Saída",MovData,"&gt;="&amp;(Hoje-DiasAn),MovData,"&lt;="&amp;Hoje))</f>
        <v>0</v>
      </c>
      <c r="N114" s="28">
        <f>IF($A114="","",M114/DiasAn)</f>
        <v>0</v>
      </c>
      <c r="O114" s="29">
        <f>IF($A114="","",IF(N114&gt;0,H114/N114,"sem giro"))</f>
        <v>0</v>
      </c>
      <c r="P114" s="30">
        <f>IF($A114="","",SUMPRODUCT(MAX((MovCod=$A114)*(MovTipo="Saída")*MovData)))</f>
        <v>0</v>
      </c>
      <c r="Q114" s="31">
        <f>IF($A114="","",IF(H114&lt;=0,"RUPTURA",IF(AND(I114&gt;0,H114&lt;=I114),"REPOR",IF(AND(J114&lt;&gt;"",H114&gt;J114),"EXCESSO","OK"))))</f>
        <v>0</v>
      </c>
      <c r="R114" s="25">
        <f>IF($A114="","",IF(AND(H114&gt;0,OR(P114=0,Hoje-P114&gt;DiasParado)),"Parado",""))</f>
        <v>0</v>
      </c>
      <c r="S114" s="26">
        <f>IF($A114="","",IF(OR(Q114="RUPTURA",Q114="REPOR"),IF(J114="",0,MAX(0,J114-H114)),0))</f>
        <v>0</v>
      </c>
      <c r="T114" s="24">
        <f>IF($A114="","",M114*IF(N(Produtos!G114)&gt;0,Produtos!G114,K114))</f>
        <v>0</v>
      </c>
      <c r="U114" s="32">
        <f>IF($A114="","",IF(T114&gt;0,T114+ROW()/1000000000,""))</f>
        <v>0</v>
      </c>
      <c r="V114" s="31">
        <f>IF($A114="","",IF(U114="","C",INDEX('Curva ABC'!$H$5:$H$304,MATCH(U114,'Curva ABC'!$B$5:$B$304,0))))</f>
        <v>0</v>
      </c>
      <c r="W114" s="24">
        <f>IF($A114="","",IF(R114="Parado",L114,0))</f>
        <v>0</v>
      </c>
      <c r="X114" s="33">
        <f>IF($A114="","",IF(OR(Q114="RUPTURA",Q114="REPOR"),COUNTIF($Q$5:Q114,"RUPTURA")+COUNTIF($Q$5:Q114,"REPOR"),""))</f>
        <v>0</v>
      </c>
    </row>
    <row r="115" spans="1:24">
      <c r="A115" s="23">
        <f>IF(Produtos!A115="","",Produtos!A115)</f>
        <v>0</v>
      </c>
      <c r="B115" s="23">
        <f>IF($A115="","",Produtos!B115&amp;"")</f>
        <v>0</v>
      </c>
      <c r="C115" s="23">
        <f>IF($A115="","",Produtos!C115&amp;"")</f>
        <v>0</v>
      </c>
      <c r="D115" s="25">
        <f>IF($A115="","",Produtos!D115&amp;"")</f>
        <v>0</v>
      </c>
      <c r="E115" s="26">
        <f>IF($A115="","",N(Produtos!H115))</f>
        <v>0</v>
      </c>
      <c r="F115" s="26">
        <f>IF($A115="","",SUMIFS(MovQtd,MovCod,$A115,MovTipo,"Entrada"))</f>
        <v>0</v>
      </c>
      <c r="G115" s="26">
        <f>IF($A115="","",SUMIFS(MovQtd,MovCod,$A115,MovTipo,"Saída"))</f>
        <v>0</v>
      </c>
      <c r="H115" s="27">
        <f>IF($A115="","",E115+F115-G115)</f>
        <v>0</v>
      </c>
      <c r="I115" s="26">
        <f>IF($A115="","",N(Produtos!I115))</f>
        <v>0</v>
      </c>
      <c r="J115" s="26">
        <f>IF($A115="","",IF(I115&gt;0,ROUNDUP(I115*FatMax,0),""))</f>
        <v>0</v>
      </c>
      <c r="K115" s="24">
        <f>IF($A115="","",N(Produtos!F115))</f>
        <v>0</v>
      </c>
      <c r="L115" s="24">
        <f>IF($A115="","",H115*K115)</f>
        <v>0</v>
      </c>
      <c r="M115" s="26">
        <f>IF($A115="","",SUMIFS(MovQtd,MovCod,$A115,MovTipo,"Saída",MovData,"&gt;="&amp;(Hoje-DiasAn),MovData,"&lt;="&amp;Hoje))</f>
        <v>0</v>
      </c>
      <c r="N115" s="28">
        <f>IF($A115="","",M115/DiasAn)</f>
        <v>0</v>
      </c>
      <c r="O115" s="29">
        <f>IF($A115="","",IF(N115&gt;0,H115/N115,"sem giro"))</f>
        <v>0</v>
      </c>
      <c r="P115" s="30">
        <f>IF($A115="","",SUMPRODUCT(MAX((MovCod=$A115)*(MovTipo="Saída")*MovData)))</f>
        <v>0</v>
      </c>
      <c r="Q115" s="31">
        <f>IF($A115="","",IF(H115&lt;=0,"RUPTURA",IF(AND(I115&gt;0,H115&lt;=I115),"REPOR",IF(AND(J115&lt;&gt;"",H115&gt;J115),"EXCESSO","OK"))))</f>
        <v>0</v>
      </c>
      <c r="R115" s="25">
        <f>IF($A115="","",IF(AND(H115&gt;0,OR(P115=0,Hoje-P115&gt;DiasParado)),"Parado",""))</f>
        <v>0</v>
      </c>
      <c r="S115" s="26">
        <f>IF($A115="","",IF(OR(Q115="RUPTURA",Q115="REPOR"),IF(J115="",0,MAX(0,J115-H115)),0))</f>
        <v>0</v>
      </c>
      <c r="T115" s="24">
        <f>IF($A115="","",M115*IF(N(Produtos!G115)&gt;0,Produtos!G115,K115))</f>
        <v>0</v>
      </c>
      <c r="U115" s="32">
        <f>IF($A115="","",IF(T115&gt;0,T115+ROW()/1000000000,""))</f>
        <v>0</v>
      </c>
      <c r="V115" s="31">
        <f>IF($A115="","",IF(U115="","C",INDEX('Curva ABC'!$H$5:$H$304,MATCH(U115,'Curva ABC'!$B$5:$B$304,0))))</f>
        <v>0</v>
      </c>
      <c r="W115" s="24">
        <f>IF($A115="","",IF(R115="Parado",L115,0))</f>
        <v>0</v>
      </c>
      <c r="X115" s="33">
        <f>IF($A115="","",IF(OR(Q115="RUPTURA",Q115="REPOR"),COUNTIF($Q$5:Q115,"RUPTURA")+COUNTIF($Q$5:Q115,"REPOR"),""))</f>
        <v>0</v>
      </c>
    </row>
    <row r="116" spans="1:24">
      <c r="A116" s="23">
        <f>IF(Produtos!A116="","",Produtos!A116)</f>
        <v>0</v>
      </c>
      <c r="B116" s="23">
        <f>IF($A116="","",Produtos!B116&amp;"")</f>
        <v>0</v>
      </c>
      <c r="C116" s="23">
        <f>IF($A116="","",Produtos!C116&amp;"")</f>
        <v>0</v>
      </c>
      <c r="D116" s="25">
        <f>IF($A116="","",Produtos!D116&amp;"")</f>
        <v>0</v>
      </c>
      <c r="E116" s="26">
        <f>IF($A116="","",N(Produtos!H116))</f>
        <v>0</v>
      </c>
      <c r="F116" s="26">
        <f>IF($A116="","",SUMIFS(MovQtd,MovCod,$A116,MovTipo,"Entrada"))</f>
        <v>0</v>
      </c>
      <c r="G116" s="26">
        <f>IF($A116="","",SUMIFS(MovQtd,MovCod,$A116,MovTipo,"Saída"))</f>
        <v>0</v>
      </c>
      <c r="H116" s="27">
        <f>IF($A116="","",E116+F116-G116)</f>
        <v>0</v>
      </c>
      <c r="I116" s="26">
        <f>IF($A116="","",N(Produtos!I116))</f>
        <v>0</v>
      </c>
      <c r="J116" s="26">
        <f>IF($A116="","",IF(I116&gt;0,ROUNDUP(I116*FatMax,0),""))</f>
        <v>0</v>
      </c>
      <c r="K116" s="24">
        <f>IF($A116="","",N(Produtos!F116))</f>
        <v>0</v>
      </c>
      <c r="L116" s="24">
        <f>IF($A116="","",H116*K116)</f>
        <v>0</v>
      </c>
      <c r="M116" s="26">
        <f>IF($A116="","",SUMIFS(MovQtd,MovCod,$A116,MovTipo,"Saída",MovData,"&gt;="&amp;(Hoje-DiasAn),MovData,"&lt;="&amp;Hoje))</f>
        <v>0</v>
      </c>
      <c r="N116" s="28">
        <f>IF($A116="","",M116/DiasAn)</f>
        <v>0</v>
      </c>
      <c r="O116" s="29">
        <f>IF($A116="","",IF(N116&gt;0,H116/N116,"sem giro"))</f>
        <v>0</v>
      </c>
      <c r="P116" s="30">
        <f>IF($A116="","",SUMPRODUCT(MAX((MovCod=$A116)*(MovTipo="Saída")*MovData)))</f>
        <v>0</v>
      </c>
      <c r="Q116" s="31">
        <f>IF($A116="","",IF(H116&lt;=0,"RUPTURA",IF(AND(I116&gt;0,H116&lt;=I116),"REPOR",IF(AND(J116&lt;&gt;"",H116&gt;J116),"EXCESSO","OK"))))</f>
        <v>0</v>
      </c>
      <c r="R116" s="25">
        <f>IF($A116="","",IF(AND(H116&gt;0,OR(P116=0,Hoje-P116&gt;DiasParado)),"Parado",""))</f>
        <v>0</v>
      </c>
      <c r="S116" s="26">
        <f>IF($A116="","",IF(OR(Q116="RUPTURA",Q116="REPOR"),IF(J116="",0,MAX(0,J116-H116)),0))</f>
        <v>0</v>
      </c>
      <c r="T116" s="24">
        <f>IF($A116="","",M116*IF(N(Produtos!G116)&gt;0,Produtos!G116,K116))</f>
        <v>0</v>
      </c>
      <c r="U116" s="32">
        <f>IF($A116="","",IF(T116&gt;0,T116+ROW()/1000000000,""))</f>
        <v>0</v>
      </c>
      <c r="V116" s="31">
        <f>IF($A116="","",IF(U116="","C",INDEX('Curva ABC'!$H$5:$H$304,MATCH(U116,'Curva ABC'!$B$5:$B$304,0))))</f>
        <v>0</v>
      </c>
      <c r="W116" s="24">
        <f>IF($A116="","",IF(R116="Parado",L116,0))</f>
        <v>0</v>
      </c>
      <c r="X116" s="33">
        <f>IF($A116="","",IF(OR(Q116="RUPTURA",Q116="REPOR"),COUNTIF($Q$5:Q116,"RUPTURA")+COUNTIF($Q$5:Q116,"REPOR"),""))</f>
        <v>0</v>
      </c>
    </row>
    <row r="117" spans="1:24">
      <c r="A117" s="23">
        <f>IF(Produtos!A117="","",Produtos!A117)</f>
        <v>0</v>
      </c>
      <c r="B117" s="23">
        <f>IF($A117="","",Produtos!B117&amp;"")</f>
        <v>0</v>
      </c>
      <c r="C117" s="23">
        <f>IF($A117="","",Produtos!C117&amp;"")</f>
        <v>0</v>
      </c>
      <c r="D117" s="25">
        <f>IF($A117="","",Produtos!D117&amp;"")</f>
        <v>0</v>
      </c>
      <c r="E117" s="26">
        <f>IF($A117="","",N(Produtos!H117))</f>
        <v>0</v>
      </c>
      <c r="F117" s="26">
        <f>IF($A117="","",SUMIFS(MovQtd,MovCod,$A117,MovTipo,"Entrada"))</f>
        <v>0</v>
      </c>
      <c r="G117" s="26">
        <f>IF($A117="","",SUMIFS(MovQtd,MovCod,$A117,MovTipo,"Saída"))</f>
        <v>0</v>
      </c>
      <c r="H117" s="27">
        <f>IF($A117="","",E117+F117-G117)</f>
        <v>0</v>
      </c>
      <c r="I117" s="26">
        <f>IF($A117="","",N(Produtos!I117))</f>
        <v>0</v>
      </c>
      <c r="J117" s="26">
        <f>IF($A117="","",IF(I117&gt;0,ROUNDUP(I117*FatMax,0),""))</f>
        <v>0</v>
      </c>
      <c r="K117" s="24">
        <f>IF($A117="","",N(Produtos!F117))</f>
        <v>0</v>
      </c>
      <c r="L117" s="24">
        <f>IF($A117="","",H117*K117)</f>
        <v>0</v>
      </c>
      <c r="M117" s="26">
        <f>IF($A117="","",SUMIFS(MovQtd,MovCod,$A117,MovTipo,"Saída",MovData,"&gt;="&amp;(Hoje-DiasAn),MovData,"&lt;="&amp;Hoje))</f>
        <v>0</v>
      </c>
      <c r="N117" s="28">
        <f>IF($A117="","",M117/DiasAn)</f>
        <v>0</v>
      </c>
      <c r="O117" s="29">
        <f>IF($A117="","",IF(N117&gt;0,H117/N117,"sem giro"))</f>
        <v>0</v>
      </c>
      <c r="P117" s="30">
        <f>IF($A117="","",SUMPRODUCT(MAX((MovCod=$A117)*(MovTipo="Saída")*MovData)))</f>
        <v>0</v>
      </c>
      <c r="Q117" s="31">
        <f>IF($A117="","",IF(H117&lt;=0,"RUPTURA",IF(AND(I117&gt;0,H117&lt;=I117),"REPOR",IF(AND(J117&lt;&gt;"",H117&gt;J117),"EXCESSO","OK"))))</f>
        <v>0</v>
      </c>
      <c r="R117" s="25">
        <f>IF($A117="","",IF(AND(H117&gt;0,OR(P117=0,Hoje-P117&gt;DiasParado)),"Parado",""))</f>
        <v>0</v>
      </c>
      <c r="S117" s="26">
        <f>IF($A117="","",IF(OR(Q117="RUPTURA",Q117="REPOR"),IF(J117="",0,MAX(0,J117-H117)),0))</f>
        <v>0</v>
      </c>
      <c r="T117" s="24">
        <f>IF($A117="","",M117*IF(N(Produtos!G117)&gt;0,Produtos!G117,K117))</f>
        <v>0</v>
      </c>
      <c r="U117" s="32">
        <f>IF($A117="","",IF(T117&gt;0,T117+ROW()/1000000000,""))</f>
        <v>0</v>
      </c>
      <c r="V117" s="31">
        <f>IF($A117="","",IF(U117="","C",INDEX('Curva ABC'!$H$5:$H$304,MATCH(U117,'Curva ABC'!$B$5:$B$304,0))))</f>
        <v>0</v>
      </c>
      <c r="W117" s="24">
        <f>IF($A117="","",IF(R117="Parado",L117,0))</f>
        <v>0</v>
      </c>
      <c r="X117" s="33">
        <f>IF($A117="","",IF(OR(Q117="RUPTURA",Q117="REPOR"),COUNTIF($Q$5:Q117,"RUPTURA")+COUNTIF($Q$5:Q117,"REPOR"),""))</f>
        <v>0</v>
      </c>
    </row>
    <row r="118" spans="1:24">
      <c r="A118" s="23">
        <f>IF(Produtos!A118="","",Produtos!A118)</f>
        <v>0</v>
      </c>
      <c r="B118" s="23">
        <f>IF($A118="","",Produtos!B118&amp;"")</f>
        <v>0</v>
      </c>
      <c r="C118" s="23">
        <f>IF($A118="","",Produtos!C118&amp;"")</f>
        <v>0</v>
      </c>
      <c r="D118" s="25">
        <f>IF($A118="","",Produtos!D118&amp;"")</f>
        <v>0</v>
      </c>
      <c r="E118" s="26">
        <f>IF($A118="","",N(Produtos!H118))</f>
        <v>0</v>
      </c>
      <c r="F118" s="26">
        <f>IF($A118="","",SUMIFS(MovQtd,MovCod,$A118,MovTipo,"Entrada"))</f>
        <v>0</v>
      </c>
      <c r="G118" s="26">
        <f>IF($A118="","",SUMIFS(MovQtd,MovCod,$A118,MovTipo,"Saída"))</f>
        <v>0</v>
      </c>
      <c r="H118" s="27">
        <f>IF($A118="","",E118+F118-G118)</f>
        <v>0</v>
      </c>
      <c r="I118" s="26">
        <f>IF($A118="","",N(Produtos!I118))</f>
        <v>0</v>
      </c>
      <c r="J118" s="26">
        <f>IF($A118="","",IF(I118&gt;0,ROUNDUP(I118*FatMax,0),""))</f>
        <v>0</v>
      </c>
      <c r="K118" s="24">
        <f>IF($A118="","",N(Produtos!F118))</f>
        <v>0</v>
      </c>
      <c r="L118" s="24">
        <f>IF($A118="","",H118*K118)</f>
        <v>0</v>
      </c>
      <c r="M118" s="26">
        <f>IF($A118="","",SUMIFS(MovQtd,MovCod,$A118,MovTipo,"Saída",MovData,"&gt;="&amp;(Hoje-DiasAn),MovData,"&lt;="&amp;Hoje))</f>
        <v>0</v>
      </c>
      <c r="N118" s="28">
        <f>IF($A118="","",M118/DiasAn)</f>
        <v>0</v>
      </c>
      <c r="O118" s="29">
        <f>IF($A118="","",IF(N118&gt;0,H118/N118,"sem giro"))</f>
        <v>0</v>
      </c>
      <c r="P118" s="30">
        <f>IF($A118="","",SUMPRODUCT(MAX((MovCod=$A118)*(MovTipo="Saída")*MovData)))</f>
        <v>0</v>
      </c>
      <c r="Q118" s="31">
        <f>IF($A118="","",IF(H118&lt;=0,"RUPTURA",IF(AND(I118&gt;0,H118&lt;=I118),"REPOR",IF(AND(J118&lt;&gt;"",H118&gt;J118),"EXCESSO","OK"))))</f>
        <v>0</v>
      </c>
      <c r="R118" s="25">
        <f>IF($A118="","",IF(AND(H118&gt;0,OR(P118=0,Hoje-P118&gt;DiasParado)),"Parado",""))</f>
        <v>0</v>
      </c>
      <c r="S118" s="26">
        <f>IF($A118="","",IF(OR(Q118="RUPTURA",Q118="REPOR"),IF(J118="",0,MAX(0,J118-H118)),0))</f>
        <v>0</v>
      </c>
      <c r="T118" s="24">
        <f>IF($A118="","",M118*IF(N(Produtos!G118)&gt;0,Produtos!G118,K118))</f>
        <v>0</v>
      </c>
      <c r="U118" s="32">
        <f>IF($A118="","",IF(T118&gt;0,T118+ROW()/1000000000,""))</f>
        <v>0</v>
      </c>
      <c r="V118" s="31">
        <f>IF($A118="","",IF(U118="","C",INDEX('Curva ABC'!$H$5:$H$304,MATCH(U118,'Curva ABC'!$B$5:$B$304,0))))</f>
        <v>0</v>
      </c>
      <c r="W118" s="24">
        <f>IF($A118="","",IF(R118="Parado",L118,0))</f>
        <v>0</v>
      </c>
      <c r="X118" s="33">
        <f>IF($A118="","",IF(OR(Q118="RUPTURA",Q118="REPOR"),COUNTIF($Q$5:Q118,"RUPTURA")+COUNTIF($Q$5:Q118,"REPOR"),""))</f>
        <v>0</v>
      </c>
    </row>
    <row r="119" spans="1:24">
      <c r="A119" s="23">
        <f>IF(Produtos!A119="","",Produtos!A119)</f>
        <v>0</v>
      </c>
      <c r="B119" s="23">
        <f>IF($A119="","",Produtos!B119&amp;"")</f>
        <v>0</v>
      </c>
      <c r="C119" s="23">
        <f>IF($A119="","",Produtos!C119&amp;"")</f>
        <v>0</v>
      </c>
      <c r="D119" s="25">
        <f>IF($A119="","",Produtos!D119&amp;"")</f>
        <v>0</v>
      </c>
      <c r="E119" s="26">
        <f>IF($A119="","",N(Produtos!H119))</f>
        <v>0</v>
      </c>
      <c r="F119" s="26">
        <f>IF($A119="","",SUMIFS(MovQtd,MovCod,$A119,MovTipo,"Entrada"))</f>
        <v>0</v>
      </c>
      <c r="G119" s="26">
        <f>IF($A119="","",SUMIFS(MovQtd,MovCod,$A119,MovTipo,"Saída"))</f>
        <v>0</v>
      </c>
      <c r="H119" s="27">
        <f>IF($A119="","",E119+F119-G119)</f>
        <v>0</v>
      </c>
      <c r="I119" s="26">
        <f>IF($A119="","",N(Produtos!I119))</f>
        <v>0</v>
      </c>
      <c r="J119" s="26">
        <f>IF($A119="","",IF(I119&gt;0,ROUNDUP(I119*FatMax,0),""))</f>
        <v>0</v>
      </c>
      <c r="K119" s="24">
        <f>IF($A119="","",N(Produtos!F119))</f>
        <v>0</v>
      </c>
      <c r="L119" s="24">
        <f>IF($A119="","",H119*K119)</f>
        <v>0</v>
      </c>
      <c r="M119" s="26">
        <f>IF($A119="","",SUMIFS(MovQtd,MovCod,$A119,MovTipo,"Saída",MovData,"&gt;="&amp;(Hoje-DiasAn),MovData,"&lt;="&amp;Hoje))</f>
        <v>0</v>
      </c>
      <c r="N119" s="28">
        <f>IF($A119="","",M119/DiasAn)</f>
        <v>0</v>
      </c>
      <c r="O119" s="29">
        <f>IF($A119="","",IF(N119&gt;0,H119/N119,"sem giro"))</f>
        <v>0</v>
      </c>
      <c r="P119" s="30">
        <f>IF($A119="","",SUMPRODUCT(MAX((MovCod=$A119)*(MovTipo="Saída")*MovData)))</f>
        <v>0</v>
      </c>
      <c r="Q119" s="31">
        <f>IF($A119="","",IF(H119&lt;=0,"RUPTURA",IF(AND(I119&gt;0,H119&lt;=I119),"REPOR",IF(AND(J119&lt;&gt;"",H119&gt;J119),"EXCESSO","OK"))))</f>
        <v>0</v>
      </c>
      <c r="R119" s="25">
        <f>IF($A119="","",IF(AND(H119&gt;0,OR(P119=0,Hoje-P119&gt;DiasParado)),"Parado",""))</f>
        <v>0</v>
      </c>
      <c r="S119" s="26">
        <f>IF($A119="","",IF(OR(Q119="RUPTURA",Q119="REPOR"),IF(J119="",0,MAX(0,J119-H119)),0))</f>
        <v>0</v>
      </c>
      <c r="T119" s="24">
        <f>IF($A119="","",M119*IF(N(Produtos!G119)&gt;0,Produtos!G119,K119))</f>
        <v>0</v>
      </c>
      <c r="U119" s="32">
        <f>IF($A119="","",IF(T119&gt;0,T119+ROW()/1000000000,""))</f>
        <v>0</v>
      </c>
      <c r="V119" s="31">
        <f>IF($A119="","",IF(U119="","C",INDEX('Curva ABC'!$H$5:$H$304,MATCH(U119,'Curva ABC'!$B$5:$B$304,0))))</f>
        <v>0</v>
      </c>
      <c r="W119" s="24">
        <f>IF($A119="","",IF(R119="Parado",L119,0))</f>
        <v>0</v>
      </c>
      <c r="X119" s="33">
        <f>IF($A119="","",IF(OR(Q119="RUPTURA",Q119="REPOR"),COUNTIF($Q$5:Q119,"RUPTURA")+COUNTIF($Q$5:Q119,"REPOR"),""))</f>
        <v>0</v>
      </c>
    </row>
    <row r="120" spans="1:24">
      <c r="A120" s="23">
        <f>IF(Produtos!A120="","",Produtos!A120)</f>
        <v>0</v>
      </c>
      <c r="B120" s="23">
        <f>IF($A120="","",Produtos!B120&amp;"")</f>
        <v>0</v>
      </c>
      <c r="C120" s="23">
        <f>IF($A120="","",Produtos!C120&amp;"")</f>
        <v>0</v>
      </c>
      <c r="D120" s="25">
        <f>IF($A120="","",Produtos!D120&amp;"")</f>
        <v>0</v>
      </c>
      <c r="E120" s="26">
        <f>IF($A120="","",N(Produtos!H120))</f>
        <v>0</v>
      </c>
      <c r="F120" s="26">
        <f>IF($A120="","",SUMIFS(MovQtd,MovCod,$A120,MovTipo,"Entrada"))</f>
        <v>0</v>
      </c>
      <c r="G120" s="26">
        <f>IF($A120="","",SUMIFS(MovQtd,MovCod,$A120,MovTipo,"Saída"))</f>
        <v>0</v>
      </c>
      <c r="H120" s="27">
        <f>IF($A120="","",E120+F120-G120)</f>
        <v>0</v>
      </c>
      <c r="I120" s="26">
        <f>IF($A120="","",N(Produtos!I120))</f>
        <v>0</v>
      </c>
      <c r="J120" s="26">
        <f>IF($A120="","",IF(I120&gt;0,ROUNDUP(I120*FatMax,0),""))</f>
        <v>0</v>
      </c>
      <c r="K120" s="24">
        <f>IF($A120="","",N(Produtos!F120))</f>
        <v>0</v>
      </c>
      <c r="L120" s="24">
        <f>IF($A120="","",H120*K120)</f>
        <v>0</v>
      </c>
      <c r="M120" s="26">
        <f>IF($A120="","",SUMIFS(MovQtd,MovCod,$A120,MovTipo,"Saída",MovData,"&gt;="&amp;(Hoje-DiasAn),MovData,"&lt;="&amp;Hoje))</f>
        <v>0</v>
      </c>
      <c r="N120" s="28">
        <f>IF($A120="","",M120/DiasAn)</f>
        <v>0</v>
      </c>
      <c r="O120" s="29">
        <f>IF($A120="","",IF(N120&gt;0,H120/N120,"sem giro"))</f>
        <v>0</v>
      </c>
      <c r="P120" s="30">
        <f>IF($A120="","",SUMPRODUCT(MAX((MovCod=$A120)*(MovTipo="Saída")*MovData)))</f>
        <v>0</v>
      </c>
      <c r="Q120" s="31">
        <f>IF($A120="","",IF(H120&lt;=0,"RUPTURA",IF(AND(I120&gt;0,H120&lt;=I120),"REPOR",IF(AND(J120&lt;&gt;"",H120&gt;J120),"EXCESSO","OK"))))</f>
        <v>0</v>
      </c>
      <c r="R120" s="25">
        <f>IF($A120="","",IF(AND(H120&gt;0,OR(P120=0,Hoje-P120&gt;DiasParado)),"Parado",""))</f>
        <v>0</v>
      </c>
      <c r="S120" s="26">
        <f>IF($A120="","",IF(OR(Q120="RUPTURA",Q120="REPOR"),IF(J120="",0,MAX(0,J120-H120)),0))</f>
        <v>0</v>
      </c>
      <c r="T120" s="24">
        <f>IF($A120="","",M120*IF(N(Produtos!G120)&gt;0,Produtos!G120,K120))</f>
        <v>0</v>
      </c>
      <c r="U120" s="32">
        <f>IF($A120="","",IF(T120&gt;0,T120+ROW()/1000000000,""))</f>
        <v>0</v>
      </c>
      <c r="V120" s="31">
        <f>IF($A120="","",IF(U120="","C",INDEX('Curva ABC'!$H$5:$H$304,MATCH(U120,'Curva ABC'!$B$5:$B$304,0))))</f>
        <v>0</v>
      </c>
      <c r="W120" s="24">
        <f>IF($A120="","",IF(R120="Parado",L120,0))</f>
        <v>0</v>
      </c>
      <c r="X120" s="33">
        <f>IF($A120="","",IF(OR(Q120="RUPTURA",Q120="REPOR"),COUNTIF($Q$5:Q120,"RUPTURA")+COUNTIF($Q$5:Q120,"REPOR"),""))</f>
        <v>0</v>
      </c>
    </row>
    <row r="121" spans="1:24">
      <c r="A121" s="23">
        <f>IF(Produtos!A121="","",Produtos!A121)</f>
        <v>0</v>
      </c>
      <c r="B121" s="23">
        <f>IF($A121="","",Produtos!B121&amp;"")</f>
        <v>0</v>
      </c>
      <c r="C121" s="23">
        <f>IF($A121="","",Produtos!C121&amp;"")</f>
        <v>0</v>
      </c>
      <c r="D121" s="25">
        <f>IF($A121="","",Produtos!D121&amp;"")</f>
        <v>0</v>
      </c>
      <c r="E121" s="26">
        <f>IF($A121="","",N(Produtos!H121))</f>
        <v>0</v>
      </c>
      <c r="F121" s="26">
        <f>IF($A121="","",SUMIFS(MovQtd,MovCod,$A121,MovTipo,"Entrada"))</f>
        <v>0</v>
      </c>
      <c r="G121" s="26">
        <f>IF($A121="","",SUMIFS(MovQtd,MovCod,$A121,MovTipo,"Saída"))</f>
        <v>0</v>
      </c>
      <c r="H121" s="27">
        <f>IF($A121="","",E121+F121-G121)</f>
        <v>0</v>
      </c>
      <c r="I121" s="26">
        <f>IF($A121="","",N(Produtos!I121))</f>
        <v>0</v>
      </c>
      <c r="J121" s="26">
        <f>IF($A121="","",IF(I121&gt;0,ROUNDUP(I121*FatMax,0),""))</f>
        <v>0</v>
      </c>
      <c r="K121" s="24">
        <f>IF($A121="","",N(Produtos!F121))</f>
        <v>0</v>
      </c>
      <c r="L121" s="24">
        <f>IF($A121="","",H121*K121)</f>
        <v>0</v>
      </c>
      <c r="M121" s="26">
        <f>IF($A121="","",SUMIFS(MovQtd,MovCod,$A121,MovTipo,"Saída",MovData,"&gt;="&amp;(Hoje-DiasAn),MovData,"&lt;="&amp;Hoje))</f>
        <v>0</v>
      </c>
      <c r="N121" s="28">
        <f>IF($A121="","",M121/DiasAn)</f>
        <v>0</v>
      </c>
      <c r="O121" s="29">
        <f>IF($A121="","",IF(N121&gt;0,H121/N121,"sem giro"))</f>
        <v>0</v>
      </c>
      <c r="P121" s="30">
        <f>IF($A121="","",SUMPRODUCT(MAX((MovCod=$A121)*(MovTipo="Saída")*MovData)))</f>
        <v>0</v>
      </c>
      <c r="Q121" s="31">
        <f>IF($A121="","",IF(H121&lt;=0,"RUPTURA",IF(AND(I121&gt;0,H121&lt;=I121),"REPOR",IF(AND(J121&lt;&gt;"",H121&gt;J121),"EXCESSO","OK"))))</f>
        <v>0</v>
      </c>
      <c r="R121" s="25">
        <f>IF($A121="","",IF(AND(H121&gt;0,OR(P121=0,Hoje-P121&gt;DiasParado)),"Parado",""))</f>
        <v>0</v>
      </c>
      <c r="S121" s="26">
        <f>IF($A121="","",IF(OR(Q121="RUPTURA",Q121="REPOR"),IF(J121="",0,MAX(0,J121-H121)),0))</f>
        <v>0</v>
      </c>
      <c r="T121" s="24">
        <f>IF($A121="","",M121*IF(N(Produtos!G121)&gt;0,Produtos!G121,K121))</f>
        <v>0</v>
      </c>
      <c r="U121" s="32">
        <f>IF($A121="","",IF(T121&gt;0,T121+ROW()/1000000000,""))</f>
        <v>0</v>
      </c>
      <c r="V121" s="31">
        <f>IF($A121="","",IF(U121="","C",INDEX('Curva ABC'!$H$5:$H$304,MATCH(U121,'Curva ABC'!$B$5:$B$304,0))))</f>
        <v>0</v>
      </c>
      <c r="W121" s="24">
        <f>IF($A121="","",IF(R121="Parado",L121,0))</f>
        <v>0</v>
      </c>
      <c r="X121" s="33">
        <f>IF($A121="","",IF(OR(Q121="RUPTURA",Q121="REPOR"),COUNTIF($Q$5:Q121,"RUPTURA")+COUNTIF($Q$5:Q121,"REPOR"),""))</f>
        <v>0</v>
      </c>
    </row>
    <row r="122" spans="1:24">
      <c r="A122" s="23">
        <f>IF(Produtos!A122="","",Produtos!A122)</f>
        <v>0</v>
      </c>
      <c r="B122" s="23">
        <f>IF($A122="","",Produtos!B122&amp;"")</f>
        <v>0</v>
      </c>
      <c r="C122" s="23">
        <f>IF($A122="","",Produtos!C122&amp;"")</f>
        <v>0</v>
      </c>
      <c r="D122" s="25">
        <f>IF($A122="","",Produtos!D122&amp;"")</f>
        <v>0</v>
      </c>
      <c r="E122" s="26">
        <f>IF($A122="","",N(Produtos!H122))</f>
        <v>0</v>
      </c>
      <c r="F122" s="26">
        <f>IF($A122="","",SUMIFS(MovQtd,MovCod,$A122,MovTipo,"Entrada"))</f>
        <v>0</v>
      </c>
      <c r="G122" s="26">
        <f>IF($A122="","",SUMIFS(MovQtd,MovCod,$A122,MovTipo,"Saída"))</f>
        <v>0</v>
      </c>
      <c r="H122" s="27">
        <f>IF($A122="","",E122+F122-G122)</f>
        <v>0</v>
      </c>
      <c r="I122" s="26">
        <f>IF($A122="","",N(Produtos!I122))</f>
        <v>0</v>
      </c>
      <c r="J122" s="26">
        <f>IF($A122="","",IF(I122&gt;0,ROUNDUP(I122*FatMax,0),""))</f>
        <v>0</v>
      </c>
      <c r="K122" s="24">
        <f>IF($A122="","",N(Produtos!F122))</f>
        <v>0</v>
      </c>
      <c r="L122" s="24">
        <f>IF($A122="","",H122*K122)</f>
        <v>0</v>
      </c>
      <c r="M122" s="26">
        <f>IF($A122="","",SUMIFS(MovQtd,MovCod,$A122,MovTipo,"Saída",MovData,"&gt;="&amp;(Hoje-DiasAn),MovData,"&lt;="&amp;Hoje))</f>
        <v>0</v>
      </c>
      <c r="N122" s="28">
        <f>IF($A122="","",M122/DiasAn)</f>
        <v>0</v>
      </c>
      <c r="O122" s="29">
        <f>IF($A122="","",IF(N122&gt;0,H122/N122,"sem giro"))</f>
        <v>0</v>
      </c>
      <c r="P122" s="30">
        <f>IF($A122="","",SUMPRODUCT(MAX((MovCod=$A122)*(MovTipo="Saída")*MovData)))</f>
        <v>0</v>
      </c>
      <c r="Q122" s="31">
        <f>IF($A122="","",IF(H122&lt;=0,"RUPTURA",IF(AND(I122&gt;0,H122&lt;=I122),"REPOR",IF(AND(J122&lt;&gt;"",H122&gt;J122),"EXCESSO","OK"))))</f>
        <v>0</v>
      </c>
      <c r="R122" s="25">
        <f>IF($A122="","",IF(AND(H122&gt;0,OR(P122=0,Hoje-P122&gt;DiasParado)),"Parado",""))</f>
        <v>0</v>
      </c>
      <c r="S122" s="26">
        <f>IF($A122="","",IF(OR(Q122="RUPTURA",Q122="REPOR"),IF(J122="",0,MAX(0,J122-H122)),0))</f>
        <v>0</v>
      </c>
      <c r="T122" s="24">
        <f>IF($A122="","",M122*IF(N(Produtos!G122)&gt;0,Produtos!G122,K122))</f>
        <v>0</v>
      </c>
      <c r="U122" s="32">
        <f>IF($A122="","",IF(T122&gt;0,T122+ROW()/1000000000,""))</f>
        <v>0</v>
      </c>
      <c r="V122" s="31">
        <f>IF($A122="","",IF(U122="","C",INDEX('Curva ABC'!$H$5:$H$304,MATCH(U122,'Curva ABC'!$B$5:$B$304,0))))</f>
        <v>0</v>
      </c>
      <c r="W122" s="24">
        <f>IF($A122="","",IF(R122="Parado",L122,0))</f>
        <v>0</v>
      </c>
      <c r="X122" s="33">
        <f>IF($A122="","",IF(OR(Q122="RUPTURA",Q122="REPOR"),COUNTIF($Q$5:Q122,"RUPTURA")+COUNTIF($Q$5:Q122,"REPOR"),""))</f>
        <v>0</v>
      </c>
    </row>
    <row r="123" spans="1:24">
      <c r="A123" s="23">
        <f>IF(Produtos!A123="","",Produtos!A123)</f>
        <v>0</v>
      </c>
      <c r="B123" s="23">
        <f>IF($A123="","",Produtos!B123&amp;"")</f>
        <v>0</v>
      </c>
      <c r="C123" s="23">
        <f>IF($A123="","",Produtos!C123&amp;"")</f>
        <v>0</v>
      </c>
      <c r="D123" s="25">
        <f>IF($A123="","",Produtos!D123&amp;"")</f>
        <v>0</v>
      </c>
      <c r="E123" s="26">
        <f>IF($A123="","",N(Produtos!H123))</f>
        <v>0</v>
      </c>
      <c r="F123" s="26">
        <f>IF($A123="","",SUMIFS(MovQtd,MovCod,$A123,MovTipo,"Entrada"))</f>
        <v>0</v>
      </c>
      <c r="G123" s="26">
        <f>IF($A123="","",SUMIFS(MovQtd,MovCod,$A123,MovTipo,"Saída"))</f>
        <v>0</v>
      </c>
      <c r="H123" s="27">
        <f>IF($A123="","",E123+F123-G123)</f>
        <v>0</v>
      </c>
      <c r="I123" s="26">
        <f>IF($A123="","",N(Produtos!I123))</f>
        <v>0</v>
      </c>
      <c r="J123" s="26">
        <f>IF($A123="","",IF(I123&gt;0,ROUNDUP(I123*FatMax,0),""))</f>
        <v>0</v>
      </c>
      <c r="K123" s="24">
        <f>IF($A123="","",N(Produtos!F123))</f>
        <v>0</v>
      </c>
      <c r="L123" s="24">
        <f>IF($A123="","",H123*K123)</f>
        <v>0</v>
      </c>
      <c r="M123" s="26">
        <f>IF($A123="","",SUMIFS(MovQtd,MovCod,$A123,MovTipo,"Saída",MovData,"&gt;="&amp;(Hoje-DiasAn),MovData,"&lt;="&amp;Hoje))</f>
        <v>0</v>
      </c>
      <c r="N123" s="28">
        <f>IF($A123="","",M123/DiasAn)</f>
        <v>0</v>
      </c>
      <c r="O123" s="29">
        <f>IF($A123="","",IF(N123&gt;0,H123/N123,"sem giro"))</f>
        <v>0</v>
      </c>
      <c r="P123" s="30">
        <f>IF($A123="","",SUMPRODUCT(MAX((MovCod=$A123)*(MovTipo="Saída")*MovData)))</f>
        <v>0</v>
      </c>
      <c r="Q123" s="31">
        <f>IF($A123="","",IF(H123&lt;=0,"RUPTURA",IF(AND(I123&gt;0,H123&lt;=I123),"REPOR",IF(AND(J123&lt;&gt;"",H123&gt;J123),"EXCESSO","OK"))))</f>
        <v>0</v>
      </c>
      <c r="R123" s="25">
        <f>IF($A123="","",IF(AND(H123&gt;0,OR(P123=0,Hoje-P123&gt;DiasParado)),"Parado",""))</f>
        <v>0</v>
      </c>
      <c r="S123" s="26">
        <f>IF($A123="","",IF(OR(Q123="RUPTURA",Q123="REPOR"),IF(J123="",0,MAX(0,J123-H123)),0))</f>
        <v>0</v>
      </c>
      <c r="T123" s="24">
        <f>IF($A123="","",M123*IF(N(Produtos!G123)&gt;0,Produtos!G123,K123))</f>
        <v>0</v>
      </c>
      <c r="U123" s="32">
        <f>IF($A123="","",IF(T123&gt;0,T123+ROW()/1000000000,""))</f>
        <v>0</v>
      </c>
      <c r="V123" s="31">
        <f>IF($A123="","",IF(U123="","C",INDEX('Curva ABC'!$H$5:$H$304,MATCH(U123,'Curva ABC'!$B$5:$B$304,0))))</f>
        <v>0</v>
      </c>
      <c r="W123" s="24">
        <f>IF($A123="","",IF(R123="Parado",L123,0))</f>
        <v>0</v>
      </c>
      <c r="X123" s="33">
        <f>IF($A123="","",IF(OR(Q123="RUPTURA",Q123="REPOR"),COUNTIF($Q$5:Q123,"RUPTURA")+COUNTIF($Q$5:Q123,"REPOR"),""))</f>
        <v>0</v>
      </c>
    </row>
    <row r="124" spans="1:24">
      <c r="A124" s="23">
        <f>IF(Produtos!A124="","",Produtos!A124)</f>
        <v>0</v>
      </c>
      <c r="B124" s="23">
        <f>IF($A124="","",Produtos!B124&amp;"")</f>
        <v>0</v>
      </c>
      <c r="C124" s="23">
        <f>IF($A124="","",Produtos!C124&amp;"")</f>
        <v>0</v>
      </c>
      <c r="D124" s="25">
        <f>IF($A124="","",Produtos!D124&amp;"")</f>
        <v>0</v>
      </c>
      <c r="E124" s="26">
        <f>IF($A124="","",N(Produtos!H124))</f>
        <v>0</v>
      </c>
      <c r="F124" s="26">
        <f>IF($A124="","",SUMIFS(MovQtd,MovCod,$A124,MovTipo,"Entrada"))</f>
        <v>0</v>
      </c>
      <c r="G124" s="26">
        <f>IF($A124="","",SUMIFS(MovQtd,MovCod,$A124,MovTipo,"Saída"))</f>
        <v>0</v>
      </c>
      <c r="H124" s="27">
        <f>IF($A124="","",E124+F124-G124)</f>
        <v>0</v>
      </c>
      <c r="I124" s="26">
        <f>IF($A124="","",N(Produtos!I124))</f>
        <v>0</v>
      </c>
      <c r="J124" s="26">
        <f>IF($A124="","",IF(I124&gt;0,ROUNDUP(I124*FatMax,0),""))</f>
        <v>0</v>
      </c>
      <c r="K124" s="24">
        <f>IF($A124="","",N(Produtos!F124))</f>
        <v>0</v>
      </c>
      <c r="L124" s="24">
        <f>IF($A124="","",H124*K124)</f>
        <v>0</v>
      </c>
      <c r="M124" s="26">
        <f>IF($A124="","",SUMIFS(MovQtd,MovCod,$A124,MovTipo,"Saída",MovData,"&gt;="&amp;(Hoje-DiasAn),MovData,"&lt;="&amp;Hoje))</f>
        <v>0</v>
      </c>
      <c r="N124" s="28">
        <f>IF($A124="","",M124/DiasAn)</f>
        <v>0</v>
      </c>
      <c r="O124" s="29">
        <f>IF($A124="","",IF(N124&gt;0,H124/N124,"sem giro"))</f>
        <v>0</v>
      </c>
      <c r="P124" s="30">
        <f>IF($A124="","",SUMPRODUCT(MAX((MovCod=$A124)*(MovTipo="Saída")*MovData)))</f>
        <v>0</v>
      </c>
      <c r="Q124" s="31">
        <f>IF($A124="","",IF(H124&lt;=0,"RUPTURA",IF(AND(I124&gt;0,H124&lt;=I124),"REPOR",IF(AND(J124&lt;&gt;"",H124&gt;J124),"EXCESSO","OK"))))</f>
        <v>0</v>
      </c>
      <c r="R124" s="25">
        <f>IF($A124="","",IF(AND(H124&gt;0,OR(P124=0,Hoje-P124&gt;DiasParado)),"Parado",""))</f>
        <v>0</v>
      </c>
      <c r="S124" s="26">
        <f>IF($A124="","",IF(OR(Q124="RUPTURA",Q124="REPOR"),IF(J124="",0,MAX(0,J124-H124)),0))</f>
        <v>0</v>
      </c>
      <c r="T124" s="24">
        <f>IF($A124="","",M124*IF(N(Produtos!G124)&gt;0,Produtos!G124,K124))</f>
        <v>0</v>
      </c>
      <c r="U124" s="32">
        <f>IF($A124="","",IF(T124&gt;0,T124+ROW()/1000000000,""))</f>
        <v>0</v>
      </c>
      <c r="V124" s="31">
        <f>IF($A124="","",IF(U124="","C",INDEX('Curva ABC'!$H$5:$H$304,MATCH(U124,'Curva ABC'!$B$5:$B$304,0))))</f>
        <v>0</v>
      </c>
      <c r="W124" s="24">
        <f>IF($A124="","",IF(R124="Parado",L124,0))</f>
        <v>0</v>
      </c>
      <c r="X124" s="33">
        <f>IF($A124="","",IF(OR(Q124="RUPTURA",Q124="REPOR"),COUNTIF($Q$5:Q124,"RUPTURA")+COUNTIF($Q$5:Q124,"REPOR"),""))</f>
        <v>0</v>
      </c>
    </row>
    <row r="125" spans="1:24">
      <c r="A125" s="23">
        <f>IF(Produtos!A125="","",Produtos!A125)</f>
        <v>0</v>
      </c>
      <c r="B125" s="23">
        <f>IF($A125="","",Produtos!B125&amp;"")</f>
        <v>0</v>
      </c>
      <c r="C125" s="23">
        <f>IF($A125="","",Produtos!C125&amp;"")</f>
        <v>0</v>
      </c>
      <c r="D125" s="25">
        <f>IF($A125="","",Produtos!D125&amp;"")</f>
        <v>0</v>
      </c>
      <c r="E125" s="26">
        <f>IF($A125="","",N(Produtos!H125))</f>
        <v>0</v>
      </c>
      <c r="F125" s="26">
        <f>IF($A125="","",SUMIFS(MovQtd,MovCod,$A125,MovTipo,"Entrada"))</f>
        <v>0</v>
      </c>
      <c r="G125" s="26">
        <f>IF($A125="","",SUMIFS(MovQtd,MovCod,$A125,MovTipo,"Saída"))</f>
        <v>0</v>
      </c>
      <c r="H125" s="27">
        <f>IF($A125="","",E125+F125-G125)</f>
        <v>0</v>
      </c>
      <c r="I125" s="26">
        <f>IF($A125="","",N(Produtos!I125))</f>
        <v>0</v>
      </c>
      <c r="J125" s="26">
        <f>IF($A125="","",IF(I125&gt;0,ROUNDUP(I125*FatMax,0),""))</f>
        <v>0</v>
      </c>
      <c r="K125" s="24">
        <f>IF($A125="","",N(Produtos!F125))</f>
        <v>0</v>
      </c>
      <c r="L125" s="24">
        <f>IF($A125="","",H125*K125)</f>
        <v>0</v>
      </c>
      <c r="M125" s="26">
        <f>IF($A125="","",SUMIFS(MovQtd,MovCod,$A125,MovTipo,"Saída",MovData,"&gt;="&amp;(Hoje-DiasAn),MovData,"&lt;="&amp;Hoje))</f>
        <v>0</v>
      </c>
      <c r="N125" s="28">
        <f>IF($A125="","",M125/DiasAn)</f>
        <v>0</v>
      </c>
      <c r="O125" s="29">
        <f>IF($A125="","",IF(N125&gt;0,H125/N125,"sem giro"))</f>
        <v>0</v>
      </c>
      <c r="P125" s="30">
        <f>IF($A125="","",SUMPRODUCT(MAX((MovCod=$A125)*(MovTipo="Saída")*MovData)))</f>
        <v>0</v>
      </c>
      <c r="Q125" s="31">
        <f>IF($A125="","",IF(H125&lt;=0,"RUPTURA",IF(AND(I125&gt;0,H125&lt;=I125),"REPOR",IF(AND(J125&lt;&gt;"",H125&gt;J125),"EXCESSO","OK"))))</f>
        <v>0</v>
      </c>
      <c r="R125" s="25">
        <f>IF($A125="","",IF(AND(H125&gt;0,OR(P125=0,Hoje-P125&gt;DiasParado)),"Parado",""))</f>
        <v>0</v>
      </c>
      <c r="S125" s="26">
        <f>IF($A125="","",IF(OR(Q125="RUPTURA",Q125="REPOR"),IF(J125="",0,MAX(0,J125-H125)),0))</f>
        <v>0</v>
      </c>
      <c r="T125" s="24">
        <f>IF($A125="","",M125*IF(N(Produtos!G125)&gt;0,Produtos!G125,K125))</f>
        <v>0</v>
      </c>
      <c r="U125" s="32">
        <f>IF($A125="","",IF(T125&gt;0,T125+ROW()/1000000000,""))</f>
        <v>0</v>
      </c>
      <c r="V125" s="31">
        <f>IF($A125="","",IF(U125="","C",INDEX('Curva ABC'!$H$5:$H$304,MATCH(U125,'Curva ABC'!$B$5:$B$304,0))))</f>
        <v>0</v>
      </c>
      <c r="W125" s="24">
        <f>IF($A125="","",IF(R125="Parado",L125,0))</f>
        <v>0</v>
      </c>
      <c r="X125" s="33">
        <f>IF($A125="","",IF(OR(Q125="RUPTURA",Q125="REPOR"),COUNTIF($Q$5:Q125,"RUPTURA")+COUNTIF($Q$5:Q125,"REPOR"),""))</f>
        <v>0</v>
      </c>
    </row>
    <row r="126" spans="1:24">
      <c r="A126" s="23">
        <f>IF(Produtos!A126="","",Produtos!A126)</f>
        <v>0</v>
      </c>
      <c r="B126" s="23">
        <f>IF($A126="","",Produtos!B126&amp;"")</f>
        <v>0</v>
      </c>
      <c r="C126" s="23">
        <f>IF($A126="","",Produtos!C126&amp;"")</f>
        <v>0</v>
      </c>
      <c r="D126" s="25">
        <f>IF($A126="","",Produtos!D126&amp;"")</f>
        <v>0</v>
      </c>
      <c r="E126" s="26">
        <f>IF($A126="","",N(Produtos!H126))</f>
        <v>0</v>
      </c>
      <c r="F126" s="26">
        <f>IF($A126="","",SUMIFS(MovQtd,MovCod,$A126,MovTipo,"Entrada"))</f>
        <v>0</v>
      </c>
      <c r="G126" s="26">
        <f>IF($A126="","",SUMIFS(MovQtd,MovCod,$A126,MovTipo,"Saída"))</f>
        <v>0</v>
      </c>
      <c r="H126" s="27">
        <f>IF($A126="","",E126+F126-G126)</f>
        <v>0</v>
      </c>
      <c r="I126" s="26">
        <f>IF($A126="","",N(Produtos!I126))</f>
        <v>0</v>
      </c>
      <c r="J126" s="26">
        <f>IF($A126="","",IF(I126&gt;0,ROUNDUP(I126*FatMax,0),""))</f>
        <v>0</v>
      </c>
      <c r="K126" s="24">
        <f>IF($A126="","",N(Produtos!F126))</f>
        <v>0</v>
      </c>
      <c r="L126" s="24">
        <f>IF($A126="","",H126*K126)</f>
        <v>0</v>
      </c>
      <c r="M126" s="26">
        <f>IF($A126="","",SUMIFS(MovQtd,MovCod,$A126,MovTipo,"Saída",MovData,"&gt;="&amp;(Hoje-DiasAn),MovData,"&lt;="&amp;Hoje))</f>
        <v>0</v>
      </c>
      <c r="N126" s="28">
        <f>IF($A126="","",M126/DiasAn)</f>
        <v>0</v>
      </c>
      <c r="O126" s="29">
        <f>IF($A126="","",IF(N126&gt;0,H126/N126,"sem giro"))</f>
        <v>0</v>
      </c>
      <c r="P126" s="30">
        <f>IF($A126="","",SUMPRODUCT(MAX((MovCod=$A126)*(MovTipo="Saída")*MovData)))</f>
        <v>0</v>
      </c>
      <c r="Q126" s="31">
        <f>IF($A126="","",IF(H126&lt;=0,"RUPTURA",IF(AND(I126&gt;0,H126&lt;=I126),"REPOR",IF(AND(J126&lt;&gt;"",H126&gt;J126),"EXCESSO","OK"))))</f>
        <v>0</v>
      </c>
      <c r="R126" s="25">
        <f>IF($A126="","",IF(AND(H126&gt;0,OR(P126=0,Hoje-P126&gt;DiasParado)),"Parado",""))</f>
        <v>0</v>
      </c>
      <c r="S126" s="26">
        <f>IF($A126="","",IF(OR(Q126="RUPTURA",Q126="REPOR"),IF(J126="",0,MAX(0,J126-H126)),0))</f>
        <v>0</v>
      </c>
      <c r="T126" s="24">
        <f>IF($A126="","",M126*IF(N(Produtos!G126)&gt;0,Produtos!G126,K126))</f>
        <v>0</v>
      </c>
      <c r="U126" s="32">
        <f>IF($A126="","",IF(T126&gt;0,T126+ROW()/1000000000,""))</f>
        <v>0</v>
      </c>
      <c r="V126" s="31">
        <f>IF($A126="","",IF(U126="","C",INDEX('Curva ABC'!$H$5:$H$304,MATCH(U126,'Curva ABC'!$B$5:$B$304,0))))</f>
        <v>0</v>
      </c>
      <c r="W126" s="24">
        <f>IF($A126="","",IF(R126="Parado",L126,0))</f>
        <v>0</v>
      </c>
      <c r="X126" s="33">
        <f>IF($A126="","",IF(OR(Q126="RUPTURA",Q126="REPOR"),COUNTIF($Q$5:Q126,"RUPTURA")+COUNTIF($Q$5:Q126,"REPOR"),""))</f>
        <v>0</v>
      </c>
    </row>
    <row r="127" spans="1:24">
      <c r="A127" s="23">
        <f>IF(Produtos!A127="","",Produtos!A127)</f>
        <v>0</v>
      </c>
      <c r="B127" s="23">
        <f>IF($A127="","",Produtos!B127&amp;"")</f>
        <v>0</v>
      </c>
      <c r="C127" s="23">
        <f>IF($A127="","",Produtos!C127&amp;"")</f>
        <v>0</v>
      </c>
      <c r="D127" s="25">
        <f>IF($A127="","",Produtos!D127&amp;"")</f>
        <v>0</v>
      </c>
      <c r="E127" s="26">
        <f>IF($A127="","",N(Produtos!H127))</f>
        <v>0</v>
      </c>
      <c r="F127" s="26">
        <f>IF($A127="","",SUMIFS(MovQtd,MovCod,$A127,MovTipo,"Entrada"))</f>
        <v>0</v>
      </c>
      <c r="G127" s="26">
        <f>IF($A127="","",SUMIFS(MovQtd,MovCod,$A127,MovTipo,"Saída"))</f>
        <v>0</v>
      </c>
      <c r="H127" s="27">
        <f>IF($A127="","",E127+F127-G127)</f>
        <v>0</v>
      </c>
      <c r="I127" s="26">
        <f>IF($A127="","",N(Produtos!I127))</f>
        <v>0</v>
      </c>
      <c r="J127" s="26">
        <f>IF($A127="","",IF(I127&gt;0,ROUNDUP(I127*FatMax,0),""))</f>
        <v>0</v>
      </c>
      <c r="K127" s="24">
        <f>IF($A127="","",N(Produtos!F127))</f>
        <v>0</v>
      </c>
      <c r="L127" s="24">
        <f>IF($A127="","",H127*K127)</f>
        <v>0</v>
      </c>
      <c r="M127" s="26">
        <f>IF($A127="","",SUMIFS(MovQtd,MovCod,$A127,MovTipo,"Saída",MovData,"&gt;="&amp;(Hoje-DiasAn),MovData,"&lt;="&amp;Hoje))</f>
        <v>0</v>
      </c>
      <c r="N127" s="28">
        <f>IF($A127="","",M127/DiasAn)</f>
        <v>0</v>
      </c>
      <c r="O127" s="29">
        <f>IF($A127="","",IF(N127&gt;0,H127/N127,"sem giro"))</f>
        <v>0</v>
      </c>
      <c r="P127" s="30">
        <f>IF($A127="","",SUMPRODUCT(MAX((MovCod=$A127)*(MovTipo="Saída")*MovData)))</f>
        <v>0</v>
      </c>
      <c r="Q127" s="31">
        <f>IF($A127="","",IF(H127&lt;=0,"RUPTURA",IF(AND(I127&gt;0,H127&lt;=I127),"REPOR",IF(AND(J127&lt;&gt;"",H127&gt;J127),"EXCESSO","OK"))))</f>
        <v>0</v>
      </c>
      <c r="R127" s="25">
        <f>IF($A127="","",IF(AND(H127&gt;0,OR(P127=0,Hoje-P127&gt;DiasParado)),"Parado",""))</f>
        <v>0</v>
      </c>
      <c r="S127" s="26">
        <f>IF($A127="","",IF(OR(Q127="RUPTURA",Q127="REPOR"),IF(J127="",0,MAX(0,J127-H127)),0))</f>
        <v>0</v>
      </c>
      <c r="T127" s="24">
        <f>IF($A127="","",M127*IF(N(Produtos!G127)&gt;0,Produtos!G127,K127))</f>
        <v>0</v>
      </c>
      <c r="U127" s="32">
        <f>IF($A127="","",IF(T127&gt;0,T127+ROW()/1000000000,""))</f>
        <v>0</v>
      </c>
      <c r="V127" s="31">
        <f>IF($A127="","",IF(U127="","C",INDEX('Curva ABC'!$H$5:$H$304,MATCH(U127,'Curva ABC'!$B$5:$B$304,0))))</f>
        <v>0</v>
      </c>
      <c r="W127" s="24">
        <f>IF($A127="","",IF(R127="Parado",L127,0))</f>
        <v>0</v>
      </c>
      <c r="X127" s="33">
        <f>IF($A127="","",IF(OR(Q127="RUPTURA",Q127="REPOR"),COUNTIF($Q$5:Q127,"RUPTURA")+COUNTIF($Q$5:Q127,"REPOR"),""))</f>
        <v>0</v>
      </c>
    </row>
    <row r="128" spans="1:24">
      <c r="A128" s="23">
        <f>IF(Produtos!A128="","",Produtos!A128)</f>
        <v>0</v>
      </c>
      <c r="B128" s="23">
        <f>IF($A128="","",Produtos!B128&amp;"")</f>
        <v>0</v>
      </c>
      <c r="C128" s="23">
        <f>IF($A128="","",Produtos!C128&amp;"")</f>
        <v>0</v>
      </c>
      <c r="D128" s="25">
        <f>IF($A128="","",Produtos!D128&amp;"")</f>
        <v>0</v>
      </c>
      <c r="E128" s="26">
        <f>IF($A128="","",N(Produtos!H128))</f>
        <v>0</v>
      </c>
      <c r="F128" s="26">
        <f>IF($A128="","",SUMIFS(MovQtd,MovCod,$A128,MovTipo,"Entrada"))</f>
        <v>0</v>
      </c>
      <c r="G128" s="26">
        <f>IF($A128="","",SUMIFS(MovQtd,MovCod,$A128,MovTipo,"Saída"))</f>
        <v>0</v>
      </c>
      <c r="H128" s="27">
        <f>IF($A128="","",E128+F128-G128)</f>
        <v>0</v>
      </c>
      <c r="I128" s="26">
        <f>IF($A128="","",N(Produtos!I128))</f>
        <v>0</v>
      </c>
      <c r="J128" s="26">
        <f>IF($A128="","",IF(I128&gt;0,ROUNDUP(I128*FatMax,0),""))</f>
        <v>0</v>
      </c>
      <c r="K128" s="24">
        <f>IF($A128="","",N(Produtos!F128))</f>
        <v>0</v>
      </c>
      <c r="L128" s="24">
        <f>IF($A128="","",H128*K128)</f>
        <v>0</v>
      </c>
      <c r="M128" s="26">
        <f>IF($A128="","",SUMIFS(MovQtd,MovCod,$A128,MovTipo,"Saída",MovData,"&gt;="&amp;(Hoje-DiasAn),MovData,"&lt;="&amp;Hoje))</f>
        <v>0</v>
      </c>
      <c r="N128" s="28">
        <f>IF($A128="","",M128/DiasAn)</f>
        <v>0</v>
      </c>
      <c r="O128" s="29">
        <f>IF($A128="","",IF(N128&gt;0,H128/N128,"sem giro"))</f>
        <v>0</v>
      </c>
      <c r="P128" s="30">
        <f>IF($A128="","",SUMPRODUCT(MAX((MovCod=$A128)*(MovTipo="Saída")*MovData)))</f>
        <v>0</v>
      </c>
      <c r="Q128" s="31">
        <f>IF($A128="","",IF(H128&lt;=0,"RUPTURA",IF(AND(I128&gt;0,H128&lt;=I128),"REPOR",IF(AND(J128&lt;&gt;"",H128&gt;J128),"EXCESSO","OK"))))</f>
        <v>0</v>
      </c>
      <c r="R128" s="25">
        <f>IF($A128="","",IF(AND(H128&gt;0,OR(P128=0,Hoje-P128&gt;DiasParado)),"Parado",""))</f>
        <v>0</v>
      </c>
      <c r="S128" s="26">
        <f>IF($A128="","",IF(OR(Q128="RUPTURA",Q128="REPOR"),IF(J128="",0,MAX(0,J128-H128)),0))</f>
        <v>0</v>
      </c>
      <c r="T128" s="24">
        <f>IF($A128="","",M128*IF(N(Produtos!G128)&gt;0,Produtos!G128,K128))</f>
        <v>0</v>
      </c>
      <c r="U128" s="32">
        <f>IF($A128="","",IF(T128&gt;0,T128+ROW()/1000000000,""))</f>
        <v>0</v>
      </c>
      <c r="V128" s="31">
        <f>IF($A128="","",IF(U128="","C",INDEX('Curva ABC'!$H$5:$H$304,MATCH(U128,'Curva ABC'!$B$5:$B$304,0))))</f>
        <v>0</v>
      </c>
      <c r="W128" s="24">
        <f>IF($A128="","",IF(R128="Parado",L128,0))</f>
        <v>0</v>
      </c>
      <c r="X128" s="33">
        <f>IF($A128="","",IF(OR(Q128="RUPTURA",Q128="REPOR"),COUNTIF($Q$5:Q128,"RUPTURA")+COUNTIF($Q$5:Q128,"REPOR"),""))</f>
        <v>0</v>
      </c>
    </row>
    <row r="129" spans="1:24">
      <c r="A129" s="23">
        <f>IF(Produtos!A129="","",Produtos!A129)</f>
        <v>0</v>
      </c>
      <c r="B129" s="23">
        <f>IF($A129="","",Produtos!B129&amp;"")</f>
        <v>0</v>
      </c>
      <c r="C129" s="23">
        <f>IF($A129="","",Produtos!C129&amp;"")</f>
        <v>0</v>
      </c>
      <c r="D129" s="25">
        <f>IF($A129="","",Produtos!D129&amp;"")</f>
        <v>0</v>
      </c>
      <c r="E129" s="26">
        <f>IF($A129="","",N(Produtos!H129))</f>
        <v>0</v>
      </c>
      <c r="F129" s="26">
        <f>IF($A129="","",SUMIFS(MovQtd,MovCod,$A129,MovTipo,"Entrada"))</f>
        <v>0</v>
      </c>
      <c r="G129" s="26">
        <f>IF($A129="","",SUMIFS(MovQtd,MovCod,$A129,MovTipo,"Saída"))</f>
        <v>0</v>
      </c>
      <c r="H129" s="27">
        <f>IF($A129="","",E129+F129-G129)</f>
        <v>0</v>
      </c>
      <c r="I129" s="26">
        <f>IF($A129="","",N(Produtos!I129))</f>
        <v>0</v>
      </c>
      <c r="J129" s="26">
        <f>IF($A129="","",IF(I129&gt;0,ROUNDUP(I129*FatMax,0),""))</f>
        <v>0</v>
      </c>
      <c r="K129" s="24">
        <f>IF($A129="","",N(Produtos!F129))</f>
        <v>0</v>
      </c>
      <c r="L129" s="24">
        <f>IF($A129="","",H129*K129)</f>
        <v>0</v>
      </c>
      <c r="M129" s="26">
        <f>IF($A129="","",SUMIFS(MovQtd,MovCod,$A129,MovTipo,"Saída",MovData,"&gt;="&amp;(Hoje-DiasAn),MovData,"&lt;="&amp;Hoje))</f>
        <v>0</v>
      </c>
      <c r="N129" s="28">
        <f>IF($A129="","",M129/DiasAn)</f>
        <v>0</v>
      </c>
      <c r="O129" s="29">
        <f>IF($A129="","",IF(N129&gt;0,H129/N129,"sem giro"))</f>
        <v>0</v>
      </c>
      <c r="P129" s="30">
        <f>IF($A129="","",SUMPRODUCT(MAX((MovCod=$A129)*(MovTipo="Saída")*MovData)))</f>
        <v>0</v>
      </c>
      <c r="Q129" s="31">
        <f>IF($A129="","",IF(H129&lt;=0,"RUPTURA",IF(AND(I129&gt;0,H129&lt;=I129),"REPOR",IF(AND(J129&lt;&gt;"",H129&gt;J129),"EXCESSO","OK"))))</f>
        <v>0</v>
      </c>
      <c r="R129" s="25">
        <f>IF($A129="","",IF(AND(H129&gt;0,OR(P129=0,Hoje-P129&gt;DiasParado)),"Parado",""))</f>
        <v>0</v>
      </c>
      <c r="S129" s="26">
        <f>IF($A129="","",IF(OR(Q129="RUPTURA",Q129="REPOR"),IF(J129="",0,MAX(0,J129-H129)),0))</f>
        <v>0</v>
      </c>
      <c r="T129" s="24">
        <f>IF($A129="","",M129*IF(N(Produtos!G129)&gt;0,Produtos!G129,K129))</f>
        <v>0</v>
      </c>
      <c r="U129" s="32">
        <f>IF($A129="","",IF(T129&gt;0,T129+ROW()/1000000000,""))</f>
        <v>0</v>
      </c>
      <c r="V129" s="31">
        <f>IF($A129="","",IF(U129="","C",INDEX('Curva ABC'!$H$5:$H$304,MATCH(U129,'Curva ABC'!$B$5:$B$304,0))))</f>
        <v>0</v>
      </c>
      <c r="W129" s="24">
        <f>IF($A129="","",IF(R129="Parado",L129,0))</f>
        <v>0</v>
      </c>
      <c r="X129" s="33">
        <f>IF($A129="","",IF(OR(Q129="RUPTURA",Q129="REPOR"),COUNTIF($Q$5:Q129,"RUPTURA")+COUNTIF($Q$5:Q129,"REPOR"),""))</f>
        <v>0</v>
      </c>
    </row>
    <row r="130" spans="1:24">
      <c r="A130" s="23">
        <f>IF(Produtos!A130="","",Produtos!A130)</f>
        <v>0</v>
      </c>
      <c r="B130" s="23">
        <f>IF($A130="","",Produtos!B130&amp;"")</f>
        <v>0</v>
      </c>
      <c r="C130" s="23">
        <f>IF($A130="","",Produtos!C130&amp;"")</f>
        <v>0</v>
      </c>
      <c r="D130" s="25">
        <f>IF($A130="","",Produtos!D130&amp;"")</f>
        <v>0</v>
      </c>
      <c r="E130" s="26">
        <f>IF($A130="","",N(Produtos!H130))</f>
        <v>0</v>
      </c>
      <c r="F130" s="26">
        <f>IF($A130="","",SUMIFS(MovQtd,MovCod,$A130,MovTipo,"Entrada"))</f>
        <v>0</v>
      </c>
      <c r="G130" s="26">
        <f>IF($A130="","",SUMIFS(MovQtd,MovCod,$A130,MovTipo,"Saída"))</f>
        <v>0</v>
      </c>
      <c r="H130" s="27">
        <f>IF($A130="","",E130+F130-G130)</f>
        <v>0</v>
      </c>
      <c r="I130" s="26">
        <f>IF($A130="","",N(Produtos!I130))</f>
        <v>0</v>
      </c>
      <c r="J130" s="26">
        <f>IF($A130="","",IF(I130&gt;0,ROUNDUP(I130*FatMax,0),""))</f>
        <v>0</v>
      </c>
      <c r="K130" s="24">
        <f>IF($A130="","",N(Produtos!F130))</f>
        <v>0</v>
      </c>
      <c r="L130" s="24">
        <f>IF($A130="","",H130*K130)</f>
        <v>0</v>
      </c>
      <c r="M130" s="26">
        <f>IF($A130="","",SUMIFS(MovQtd,MovCod,$A130,MovTipo,"Saída",MovData,"&gt;="&amp;(Hoje-DiasAn),MovData,"&lt;="&amp;Hoje))</f>
        <v>0</v>
      </c>
      <c r="N130" s="28">
        <f>IF($A130="","",M130/DiasAn)</f>
        <v>0</v>
      </c>
      <c r="O130" s="29">
        <f>IF($A130="","",IF(N130&gt;0,H130/N130,"sem giro"))</f>
        <v>0</v>
      </c>
      <c r="P130" s="30">
        <f>IF($A130="","",SUMPRODUCT(MAX((MovCod=$A130)*(MovTipo="Saída")*MovData)))</f>
        <v>0</v>
      </c>
      <c r="Q130" s="31">
        <f>IF($A130="","",IF(H130&lt;=0,"RUPTURA",IF(AND(I130&gt;0,H130&lt;=I130),"REPOR",IF(AND(J130&lt;&gt;"",H130&gt;J130),"EXCESSO","OK"))))</f>
        <v>0</v>
      </c>
      <c r="R130" s="25">
        <f>IF($A130="","",IF(AND(H130&gt;0,OR(P130=0,Hoje-P130&gt;DiasParado)),"Parado",""))</f>
        <v>0</v>
      </c>
      <c r="S130" s="26">
        <f>IF($A130="","",IF(OR(Q130="RUPTURA",Q130="REPOR"),IF(J130="",0,MAX(0,J130-H130)),0))</f>
        <v>0</v>
      </c>
      <c r="T130" s="24">
        <f>IF($A130="","",M130*IF(N(Produtos!G130)&gt;0,Produtos!G130,K130))</f>
        <v>0</v>
      </c>
      <c r="U130" s="32">
        <f>IF($A130="","",IF(T130&gt;0,T130+ROW()/1000000000,""))</f>
        <v>0</v>
      </c>
      <c r="V130" s="31">
        <f>IF($A130="","",IF(U130="","C",INDEX('Curva ABC'!$H$5:$H$304,MATCH(U130,'Curva ABC'!$B$5:$B$304,0))))</f>
        <v>0</v>
      </c>
      <c r="W130" s="24">
        <f>IF($A130="","",IF(R130="Parado",L130,0))</f>
        <v>0</v>
      </c>
      <c r="X130" s="33">
        <f>IF($A130="","",IF(OR(Q130="RUPTURA",Q130="REPOR"),COUNTIF($Q$5:Q130,"RUPTURA")+COUNTIF($Q$5:Q130,"REPOR"),""))</f>
        <v>0</v>
      </c>
    </row>
    <row r="131" spans="1:24">
      <c r="A131" s="23">
        <f>IF(Produtos!A131="","",Produtos!A131)</f>
        <v>0</v>
      </c>
      <c r="B131" s="23">
        <f>IF($A131="","",Produtos!B131&amp;"")</f>
        <v>0</v>
      </c>
      <c r="C131" s="23">
        <f>IF($A131="","",Produtos!C131&amp;"")</f>
        <v>0</v>
      </c>
      <c r="D131" s="25">
        <f>IF($A131="","",Produtos!D131&amp;"")</f>
        <v>0</v>
      </c>
      <c r="E131" s="26">
        <f>IF($A131="","",N(Produtos!H131))</f>
        <v>0</v>
      </c>
      <c r="F131" s="26">
        <f>IF($A131="","",SUMIFS(MovQtd,MovCod,$A131,MovTipo,"Entrada"))</f>
        <v>0</v>
      </c>
      <c r="G131" s="26">
        <f>IF($A131="","",SUMIFS(MovQtd,MovCod,$A131,MovTipo,"Saída"))</f>
        <v>0</v>
      </c>
      <c r="H131" s="27">
        <f>IF($A131="","",E131+F131-G131)</f>
        <v>0</v>
      </c>
      <c r="I131" s="26">
        <f>IF($A131="","",N(Produtos!I131))</f>
        <v>0</v>
      </c>
      <c r="J131" s="26">
        <f>IF($A131="","",IF(I131&gt;0,ROUNDUP(I131*FatMax,0),""))</f>
        <v>0</v>
      </c>
      <c r="K131" s="24">
        <f>IF($A131="","",N(Produtos!F131))</f>
        <v>0</v>
      </c>
      <c r="L131" s="24">
        <f>IF($A131="","",H131*K131)</f>
        <v>0</v>
      </c>
      <c r="M131" s="26">
        <f>IF($A131="","",SUMIFS(MovQtd,MovCod,$A131,MovTipo,"Saída",MovData,"&gt;="&amp;(Hoje-DiasAn),MovData,"&lt;="&amp;Hoje))</f>
        <v>0</v>
      </c>
      <c r="N131" s="28">
        <f>IF($A131="","",M131/DiasAn)</f>
        <v>0</v>
      </c>
      <c r="O131" s="29">
        <f>IF($A131="","",IF(N131&gt;0,H131/N131,"sem giro"))</f>
        <v>0</v>
      </c>
      <c r="P131" s="30">
        <f>IF($A131="","",SUMPRODUCT(MAX((MovCod=$A131)*(MovTipo="Saída")*MovData)))</f>
        <v>0</v>
      </c>
      <c r="Q131" s="31">
        <f>IF($A131="","",IF(H131&lt;=0,"RUPTURA",IF(AND(I131&gt;0,H131&lt;=I131),"REPOR",IF(AND(J131&lt;&gt;"",H131&gt;J131),"EXCESSO","OK"))))</f>
        <v>0</v>
      </c>
      <c r="R131" s="25">
        <f>IF($A131="","",IF(AND(H131&gt;0,OR(P131=0,Hoje-P131&gt;DiasParado)),"Parado",""))</f>
        <v>0</v>
      </c>
      <c r="S131" s="26">
        <f>IF($A131="","",IF(OR(Q131="RUPTURA",Q131="REPOR"),IF(J131="",0,MAX(0,J131-H131)),0))</f>
        <v>0</v>
      </c>
      <c r="T131" s="24">
        <f>IF($A131="","",M131*IF(N(Produtos!G131)&gt;0,Produtos!G131,K131))</f>
        <v>0</v>
      </c>
      <c r="U131" s="32">
        <f>IF($A131="","",IF(T131&gt;0,T131+ROW()/1000000000,""))</f>
        <v>0</v>
      </c>
      <c r="V131" s="31">
        <f>IF($A131="","",IF(U131="","C",INDEX('Curva ABC'!$H$5:$H$304,MATCH(U131,'Curva ABC'!$B$5:$B$304,0))))</f>
        <v>0</v>
      </c>
      <c r="W131" s="24">
        <f>IF($A131="","",IF(R131="Parado",L131,0))</f>
        <v>0</v>
      </c>
      <c r="X131" s="33">
        <f>IF($A131="","",IF(OR(Q131="RUPTURA",Q131="REPOR"),COUNTIF($Q$5:Q131,"RUPTURA")+COUNTIF($Q$5:Q131,"REPOR"),""))</f>
        <v>0</v>
      </c>
    </row>
    <row r="132" spans="1:24">
      <c r="A132" s="23">
        <f>IF(Produtos!A132="","",Produtos!A132)</f>
        <v>0</v>
      </c>
      <c r="B132" s="23">
        <f>IF($A132="","",Produtos!B132&amp;"")</f>
        <v>0</v>
      </c>
      <c r="C132" s="23">
        <f>IF($A132="","",Produtos!C132&amp;"")</f>
        <v>0</v>
      </c>
      <c r="D132" s="25">
        <f>IF($A132="","",Produtos!D132&amp;"")</f>
        <v>0</v>
      </c>
      <c r="E132" s="26">
        <f>IF($A132="","",N(Produtos!H132))</f>
        <v>0</v>
      </c>
      <c r="F132" s="26">
        <f>IF($A132="","",SUMIFS(MovQtd,MovCod,$A132,MovTipo,"Entrada"))</f>
        <v>0</v>
      </c>
      <c r="G132" s="26">
        <f>IF($A132="","",SUMIFS(MovQtd,MovCod,$A132,MovTipo,"Saída"))</f>
        <v>0</v>
      </c>
      <c r="H132" s="27">
        <f>IF($A132="","",E132+F132-G132)</f>
        <v>0</v>
      </c>
      <c r="I132" s="26">
        <f>IF($A132="","",N(Produtos!I132))</f>
        <v>0</v>
      </c>
      <c r="J132" s="26">
        <f>IF($A132="","",IF(I132&gt;0,ROUNDUP(I132*FatMax,0),""))</f>
        <v>0</v>
      </c>
      <c r="K132" s="24">
        <f>IF($A132="","",N(Produtos!F132))</f>
        <v>0</v>
      </c>
      <c r="L132" s="24">
        <f>IF($A132="","",H132*K132)</f>
        <v>0</v>
      </c>
      <c r="M132" s="26">
        <f>IF($A132="","",SUMIFS(MovQtd,MovCod,$A132,MovTipo,"Saída",MovData,"&gt;="&amp;(Hoje-DiasAn),MovData,"&lt;="&amp;Hoje))</f>
        <v>0</v>
      </c>
      <c r="N132" s="28">
        <f>IF($A132="","",M132/DiasAn)</f>
        <v>0</v>
      </c>
      <c r="O132" s="29">
        <f>IF($A132="","",IF(N132&gt;0,H132/N132,"sem giro"))</f>
        <v>0</v>
      </c>
      <c r="P132" s="30">
        <f>IF($A132="","",SUMPRODUCT(MAX((MovCod=$A132)*(MovTipo="Saída")*MovData)))</f>
        <v>0</v>
      </c>
      <c r="Q132" s="31">
        <f>IF($A132="","",IF(H132&lt;=0,"RUPTURA",IF(AND(I132&gt;0,H132&lt;=I132),"REPOR",IF(AND(J132&lt;&gt;"",H132&gt;J132),"EXCESSO","OK"))))</f>
        <v>0</v>
      </c>
      <c r="R132" s="25">
        <f>IF($A132="","",IF(AND(H132&gt;0,OR(P132=0,Hoje-P132&gt;DiasParado)),"Parado",""))</f>
        <v>0</v>
      </c>
      <c r="S132" s="26">
        <f>IF($A132="","",IF(OR(Q132="RUPTURA",Q132="REPOR"),IF(J132="",0,MAX(0,J132-H132)),0))</f>
        <v>0</v>
      </c>
      <c r="T132" s="24">
        <f>IF($A132="","",M132*IF(N(Produtos!G132)&gt;0,Produtos!G132,K132))</f>
        <v>0</v>
      </c>
      <c r="U132" s="32">
        <f>IF($A132="","",IF(T132&gt;0,T132+ROW()/1000000000,""))</f>
        <v>0</v>
      </c>
      <c r="V132" s="31">
        <f>IF($A132="","",IF(U132="","C",INDEX('Curva ABC'!$H$5:$H$304,MATCH(U132,'Curva ABC'!$B$5:$B$304,0))))</f>
        <v>0</v>
      </c>
      <c r="W132" s="24">
        <f>IF($A132="","",IF(R132="Parado",L132,0))</f>
        <v>0</v>
      </c>
      <c r="X132" s="33">
        <f>IF($A132="","",IF(OR(Q132="RUPTURA",Q132="REPOR"),COUNTIF($Q$5:Q132,"RUPTURA")+COUNTIF($Q$5:Q132,"REPOR"),""))</f>
        <v>0</v>
      </c>
    </row>
    <row r="133" spans="1:24">
      <c r="A133" s="23">
        <f>IF(Produtos!A133="","",Produtos!A133)</f>
        <v>0</v>
      </c>
      <c r="B133" s="23">
        <f>IF($A133="","",Produtos!B133&amp;"")</f>
        <v>0</v>
      </c>
      <c r="C133" s="23">
        <f>IF($A133="","",Produtos!C133&amp;"")</f>
        <v>0</v>
      </c>
      <c r="D133" s="25">
        <f>IF($A133="","",Produtos!D133&amp;"")</f>
        <v>0</v>
      </c>
      <c r="E133" s="26">
        <f>IF($A133="","",N(Produtos!H133))</f>
        <v>0</v>
      </c>
      <c r="F133" s="26">
        <f>IF($A133="","",SUMIFS(MovQtd,MovCod,$A133,MovTipo,"Entrada"))</f>
        <v>0</v>
      </c>
      <c r="G133" s="26">
        <f>IF($A133="","",SUMIFS(MovQtd,MovCod,$A133,MovTipo,"Saída"))</f>
        <v>0</v>
      </c>
      <c r="H133" s="27">
        <f>IF($A133="","",E133+F133-G133)</f>
        <v>0</v>
      </c>
      <c r="I133" s="26">
        <f>IF($A133="","",N(Produtos!I133))</f>
        <v>0</v>
      </c>
      <c r="J133" s="26">
        <f>IF($A133="","",IF(I133&gt;0,ROUNDUP(I133*FatMax,0),""))</f>
        <v>0</v>
      </c>
      <c r="K133" s="24">
        <f>IF($A133="","",N(Produtos!F133))</f>
        <v>0</v>
      </c>
      <c r="L133" s="24">
        <f>IF($A133="","",H133*K133)</f>
        <v>0</v>
      </c>
      <c r="M133" s="26">
        <f>IF($A133="","",SUMIFS(MovQtd,MovCod,$A133,MovTipo,"Saída",MovData,"&gt;="&amp;(Hoje-DiasAn),MovData,"&lt;="&amp;Hoje))</f>
        <v>0</v>
      </c>
      <c r="N133" s="28">
        <f>IF($A133="","",M133/DiasAn)</f>
        <v>0</v>
      </c>
      <c r="O133" s="29">
        <f>IF($A133="","",IF(N133&gt;0,H133/N133,"sem giro"))</f>
        <v>0</v>
      </c>
      <c r="P133" s="30">
        <f>IF($A133="","",SUMPRODUCT(MAX((MovCod=$A133)*(MovTipo="Saída")*MovData)))</f>
        <v>0</v>
      </c>
      <c r="Q133" s="31">
        <f>IF($A133="","",IF(H133&lt;=0,"RUPTURA",IF(AND(I133&gt;0,H133&lt;=I133),"REPOR",IF(AND(J133&lt;&gt;"",H133&gt;J133),"EXCESSO","OK"))))</f>
        <v>0</v>
      </c>
      <c r="R133" s="25">
        <f>IF($A133="","",IF(AND(H133&gt;0,OR(P133=0,Hoje-P133&gt;DiasParado)),"Parado",""))</f>
        <v>0</v>
      </c>
      <c r="S133" s="26">
        <f>IF($A133="","",IF(OR(Q133="RUPTURA",Q133="REPOR"),IF(J133="",0,MAX(0,J133-H133)),0))</f>
        <v>0</v>
      </c>
      <c r="T133" s="24">
        <f>IF($A133="","",M133*IF(N(Produtos!G133)&gt;0,Produtos!G133,K133))</f>
        <v>0</v>
      </c>
      <c r="U133" s="32">
        <f>IF($A133="","",IF(T133&gt;0,T133+ROW()/1000000000,""))</f>
        <v>0</v>
      </c>
      <c r="V133" s="31">
        <f>IF($A133="","",IF(U133="","C",INDEX('Curva ABC'!$H$5:$H$304,MATCH(U133,'Curva ABC'!$B$5:$B$304,0))))</f>
        <v>0</v>
      </c>
      <c r="W133" s="24">
        <f>IF($A133="","",IF(R133="Parado",L133,0))</f>
        <v>0</v>
      </c>
      <c r="X133" s="33">
        <f>IF($A133="","",IF(OR(Q133="RUPTURA",Q133="REPOR"),COUNTIF($Q$5:Q133,"RUPTURA")+COUNTIF($Q$5:Q133,"REPOR"),""))</f>
        <v>0</v>
      </c>
    </row>
    <row r="134" spans="1:24">
      <c r="A134" s="23">
        <f>IF(Produtos!A134="","",Produtos!A134)</f>
        <v>0</v>
      </c>
      <c r="B134" s="23">
        <f>IF($A134="","",Produtos!B134&amp;"")</f>
        <v>0</v>
      </c>
      <c r="C134" s="23">
        <f>IF($A134="","",Produtos!C134&amp;"")</f>
        <v>0</v>
      </c>
      <c r="D134" s="25">
        <f>IF($A134="","",Produtos!D134&amp;"")</f>
        <v>0</v>
      </c>
      <c r="E134" s="26">
        <f>IF($A134="","",N(Produtos!H134))</f>
        <v>0</v>
      </c>
      <c r="F134" s="26">
        <f>IF($A134="","",SUMIFS(MovQtd,MovCod,$A134,MovTipo,"Entrada"))</f>
        <v>0</v>
      </c>
      <c r="G134" s="26">
        <f>IF($A134="","",SUMIFS(MovQtd,MovCod,$A134,MovTipo,"Saída"))</f>
        <v>0</v>
      </c>
      <c r="H134" s="27">
        <f>IF($A134="","",E134+F134-G134)</f>
        <v>0</v>
      </c>
      <c r="I134" s="26">
        <f>IF($A134="","",N(Produtos!I134))</f>
        <v>0</v>
      </c>
      <c r="J134" s="26">
        <f>IF($A134="","",IF(I134&gt;0,ROUNDUP(I134*FatMax,0),""))</f>
        <v>0</v>
      </c>
      <c r="K134" s="24">
        <f>IF($A134="","",N(Produtos!F134))</f>
        <v>0</v>
      </c>
      <c r="L134" s="24">
        <f>IF($A134="","",H134*K134)</f>
        <v>0</v>
      </c>
      <c r="M134" s="26">
        <f>IF($A134="","",SUMIFS(MovQtd,MovCod,$A134,MovTipo,"Saída",MovData,"&gt;="&amp;(Hoje-DiasAn),MovData,"&lt;="&amp;Hoje))</f>
        <v>0</v>
      </c>
      <c r="N134" s="28">
        <f>IF($A134="","",M134/DiasAn)</f>
        <v>0</v>
      </c>
      <c r="O134" s="29">
        <f>IF($A134="","",IF(N134&gt;0,H134/N134,"sem giro"))</f>
        <v>0</v>
      </c>
      <c r="P134" s="30">
        <f>IF($A134="","",SUMPRODUCT(MAX((MovCod=$A134)*(MovTipo="Saída")*MovData)))</f>
        <v>0</v>
      </c>
      <c r="Q134" s="31">
        <f>IF($A134="","",IF(H134&lt;=0,"RUPTURA",IF(AND(I134&gt;0,H134&lt;=I134),"REPOR",IF(AND(J134&lt;&gt;"",H134&gt;J134),"EXCESSO","OK"))))</f>
        <v>0</v>
      </c>
      <c r="R134" s="25">
        <f>IF($A134="","",IF(AND(H134&gt;0,OR(P134=0,Hoje-P134&gt;DiasParado)),"Parado",""))</f>
        <v>0</v>
      </c>
      <c r="S134" s="26">
        <f>IF($A134="","",IF(OR(Q134="RUPTURA",Q134="REPOR"),IF(J134="",0,MAX(0,J134-H134)),0))</f>
        <v>0</v>
      </c>
      <c r="T134" s="24">
        <f>IF($A134="","",M134*IF(N(Produtos!G134)&gt;0,Produtos!G134,K134))</f>
        <v>0</v>
      </c>
      <c r="U134" s="32">
        <f>IF($A134="","",IF(T134&gt;0,T134+ROW()/1000000000,""))</f>
        <v>0</v>
      </c>
      <c r="V134" s="31">
        <f>IF($A134="","",IF(U134="","C",INDEX('Curva ABC'!$H$5:$H$304,MATCH(U134,'Curva ABC'!$B$5:$B$304,0))))</f>
        <v>0</v>
      </c>
      <c r="W134" s="24">
        <f>IF($A134="","",IF(R134="Parado",L134,0))</f>
        <v>0</v>
      </c>
      <c r="X134" s="33">
        <f>IF($A134="","",IF(OR(Q134="RUPTURA",Q134="REPOR"),COUNTIF($Q$5:Q134,"RUPTURA")+COUNTIF($Q$5:Q134,"REPOR"),""))</f>
        <v>0</v>
      </c>
    </row>
    <row r="135" spans="1:24">
      <c r="A135" s="23">
        <f>IF(Produtos!A135="","",Produtos!A135)</f>
        <v>0</v>
      </c>
      <c r="B135" s="23">
        <f>IF($A135="","",Produtos!B135&amp;"")</f>
        <v>0</v>
      </c>
      <c r="C135" s="23">
        <f>IF($A135="","",Produtos!C135&amp;"")</f>
        <v>0</v>
      </c>
      <c r="D135" s="25">
        <f>IF($A135="","",Produtos!D135&amp;"")</f>
        <v>0</v>
      </c>
      <c r="E135" s="26">
        <f>IF($A135="","",N(Produtos!H135))</f>
        <v>0</v>
      </c>
      <c r="F135" s="26">
        <f>IF($A135="","",SUMIFS(MovQtd,MovCod,$A135,MovTipo,"Entrada"))</f>
        <v>0</v>
      </c>
      <c r="G135" s="26">
        <f>IF($A135="","",SUMIFS(MovQtd,MovCod,$A135,MovTipo,"Saída"))</f>
        <v>0</v>
      </c>
      <c r="H135" s="27">
        <f>IF($A135="","",E135+F135-G135)</f>
        <v>0</v>
      </c>
      <c r="I135" s="26">
        <f>IF($A135="","",N(Produtos!I135))</f>
        <v>0</v>
      </c>
      <c r="J135" s="26">
        <f>IF($A135="","",IF(I135&gt;0,ROUNDUP(I135*FatMax,0),""))</f>
        <v>0</v>
      </c>
      <c r="K135" s="24">
        <f>IF($A135="","",N(Produtos!F135))</f>
        <v>0</v>
      </c>
      <c r="L135" s="24">
        <f>IF($A135="","",H135*K135)</f>
        <v>0</v>
      </c>
      <c r="M135" s="26">
        <f>IF($A135="","",SUMIFS(MovQtd,MovCod,$A135,MovTipo,"Saída",MovData,"&gt;="&amp;(Hoje-DiasAn),MovData,"&lt;="&amp;Hoje))</f>
        <v>0</v>
      </c>
      <c r="N135" s="28">
        <f>IF($A135="","",M135/DiasAn)</f>
        <v>0</v>
      </c>
      <c r="O135" s="29">
        <f>IF($A135="","",IF(N135&gt;0,H135/N135,"sem giro"))</f>
        <v>0</v>
      </c>
      <c r="P135" s="30">
        <f>IF($A135="","",SUMPRODUCT(MAX((MovCod=$A135)*(MovTipo="Saída")*MovData)))</f>
        <v>0</v>
      </c>
      <c r="Q135" s="31">
        <f>IF($A135="","",IF(H135&lt;=0,"RUPTURA",IF(AND(I135&gt;0,H135&lt;=I135),"REPOR",IF(AND(J135&lt;&gt;"",H135&gt;J135),"EXCESSO","OK"))))</f>
        <v>0</v>
      </c>
      <c r="R135" s="25">
        <f>IF($A135="","",IF(AND(H135&gt;0,OR(P135=0,Hoje-P135&gt;DiasParado)),"Parado",""))</f>
        <v>0</v>
      </c>
      <c r="S135" s="26">
        <f>IF($A135="","",IF(OR(Q135="RUPTURA",Q135="REPOR"),IF(J135="",0,MAX(0,J135-H135)),0))</f>
        <v>0</v>
      </c>
      <c r="T135" s="24">
        <f>IF($A135="","",M135*IF(N(Produtos!G135)&gt;0,Produtos!G135,K135))</f>
        <v>0</v>
      </c>
      <c r="U135" s="32">
        <f>IF($A135="","",IF(T135&gt;0,T135+ROW()/1000000000,""))</f>
        <v>0</v>
      </c>
      <c r="V135" s="31">
        <f>IF($A135="","",IF(U135="","C",INDEX('Curva ABC'!$H$5:$H$304,MATCH(U135,'Curva ABC'!$B$5:$B$304,0))))</f>
        <v>0</v>
      </c>
      <c r="W135" s="24">
        <f>IF($A135="","",IF(R135="Parado",L135,0))</f>
        <v>0</v>
      </c>
      <c r="X135" s="33">
        <f>IF($A135="","",IF(OR(Q135="RUPTURA",Q135="REPOR"),COUNTIF($Q$5:Q135,"RUPTURA")+COUNTIF($Q$5:Q135,"REPOR"),""))</f>
        <v>0</v>
      </c>
    </row>
    <row r="136" spans="1:24">
      <c r="A136" s="23">
        <f>IF(Produtos!A136="","",Produtos!A136)</f>
        <v>0</v>
      </c>
      <c r="B136" s="23">
        <f>IF($A136="","",Produtos!B136&amp;"")</f>
        <v>0</v>
      </c>
      <c r="C136" s="23">
        <f>IF($A136="","",Produtos!C136&amp;"")</f>
        <v>0</v>
      </c>
      <c r="D136" s="25">
        <f>IF($A136="","",Produtos!D136&amp;"")</f>
        <v>0</v>
      </c>
      <c r="E136" s="26">
        <f>IF($A136="","",N(Produtos!H136))</f>
        <v>0</v>
      </c>
      <c r="F136" s="26">
        <f>IF($A136="","",SUMIFS(MovQtd,MovCod,$A136,MovTipo,"Entrada"))</f>
        <v>0</v>
      </c>
      <c r="G136" s="26">
        <f>IF($A136="","",SUMIFS(MovQtd,MovCod,$A136,MovTipo,"Saída"))</f>
        <v>0</v>
      </c>
      <c r="H136" s="27">
        <f>IF($A136="","",E136+F136-G136)</f>
        <v>0</v>
      </c>
      <c r="I136" s="26">
        <f>IF($A136="","",N(Produtos!I136))</f>
        <v>0</v>
      </c>
      <c r="J136" s="26">
        <f>IF($A136="","",IF(I136&gt;0,ROUNDUP(I136*FatMax,0),""))</f>
        <v>0</v>
      </c>
      <c r="K136" s="24">
        <f>IF($A136="","",N(Produtos!F136))</f>
        <v>0</v>
      </c>
      <c r="L136" s="24">
        <f>IF($A136="","",H136*K136)</f>
        <v>0</v>
      </c>
      <c r="M136" s="26">
        <f>IF($A136="","",SUMIFS(MovQtd,MovCod,$A136,MovTipo,"Saída",MovData,"&gt;="&amp;(Hoje-DiasAn),MovData,"&lt;="&amp;Hoje))</f>
        <v>0</v>
      </c>
      <c r="N136" s="28">
        <f>IF($A136="","",M136/DiasAn)</f>
        <v>0</v>
      </c>
      <c r="O136" s="29">
        <f>IF($A136="","",IF(N136&gt;0,H136/N136,"sem giro"))</f>
        <v>0</v>
      </c>
      <c r="P136" s="30">
        <f>IF($A136="","",SUMPRODUCT(MAX((MovCod=$A136)*(MovTipo="Saída")*MovData)))</f>
        <v>0</v>
      </c>
      <c r="Q136" s="31">
        <f>IF($A136="","",IF(H136&lt;=0,"RUPTURA",IF(AND(I136&gt;0,H136&lt;=I136),"REPOR",IF(AND(J136&lt;&gt;"",H136&gt;J136),"EXCESSO","OK"))))</f>
        <v>0</v>
      </c>
      <c r="R136" s="25">
        <f>IF($A136="","",IF(AND(H136&gt;0,OR(P136=0,Hoje-P136&gt;DiasParado)),"Parado",""))</f>
        <v>0</v>
      </c>
      <c r="S136" s="26">
        <f>IF($A136="","",IF(OR(Q136="RUPTURA",Q136="REPOR"),IF(J136="",0,MAX(0,J136-H136)),0))</f>
        <v>0</v>
      </c>
      <c r="T136" s="24">
        <f>IF($A136="","",M136*IF(N(Produtos!G136)&gt;0,Produtos!G136,K136))</f>
        <v>0</v>
      </c>
      <c r="U136" s="32">
        <f>IF($A136="","",IF(T136&gt;0,T136+ROW()/1000000000,""))</f>
        <v>0</v>
      </c>
      <c r="V136" s="31">
        <f>IF($A136="","",IF(U136="","C",INDEX('Curva ABC'!$H$5:$H$304,MATCH(U136,'Curva ABC'!$B$5:$B$304,0))))</f>
        <v>0</v>
      </c>
      <c r="W136" s="24">
        <f>IF($A136="","",IF(R136="Parado",L136,0))</f>
        <v>0</v>
      </c>
      <c r="X136" s="33">
        <f>IF($A136="","",IF(OR(Q136="RUPTURA",Q136="REPOR"),COUNTIF($Q$5:Q136,"RUPTURA")+COUNTIF($Q$5:Q136,"REPOR"),""))</f>
        <v>0</v>
      </c>
    </row>
    <row r="137" spans="1:24">
      <c r="A137" s="23">
        <f>IF(Produtos!A137="","",Produtos!A137)</f>
        <v>0</v>
      </c>
      <c r="B137" s="23">
        <f>IF($A137="","",Produtos!B137&amp;"")</f>
        <v>0</v>
      </c>
      <c r="C137" s="23">
        <f>IF($A137="","",Produtos!C137&amp;"")</f>
        <v>0</v>
      </c>
      <c r="D137" s="25">
        <f>IF($A137="","",Produtos!D137&amp;"")</f>
        <v>0</v>
      </c>
      <c r="E137" s="26">
        <f>IF($A137="","",N(Produtos!H137))</f>
        <v>0</v>
      </c>
      <c r="F137" s="26">
        <f>IF($A137="","",SUMIFS(MovQtd,MovCod,$A137,MovTipo,"Entrada"))</f>
        <v>0</v>
      </c>
      <c r="G137" s="26">
        <f>IF($A137="","",SUMIFS(MovQtd,MovCod,$A137,MovTipo,"Saída"))</f>
        <v>0</v>
      </c>
      <c r="H137" s="27">
        <f>IF($A137="","",E137+F137-G137)</f>
        <v>0</v>
      </c>
      <c r="I137" s="26">
        <f>IF($A137="","",N(Produtos!I137))</f>
        <v>0</v>
      </c>
      <c r="J137" s="26">
        <f>IF($A137="","",IF(I137&gt;0,ROUNDUP(I137*FatMax,0),""))</f>
        <v>0</v>
      </c>
      <c r="K137" s="24">
        <f>IF($A137="","",N(Produtos!F137))</f>
        <v>0</v>
      </c>
      <c r="L137" s="24">
        <f>IF($A137="","",H137*K137)</f>
        <v>0</v>
      </c>
      <c r="M137" s="26">
        <f>IF($A137="","",SUMIFS(MovQtd,MovCod,$A137,MovTipo,"Saída",MovData,"&gt;="&amp;(Hoje-DiasAn),MovData,"&lt;="&amp;Hoje))</f>
        <v>0</v>
      </c>
      <c r="N137" s="28">
        <f>IF($A137="","",M137/DiasAn)</f>
        <v>0</v>
      </c>
      <c r="O137" s="29">
        <f>IF($A137="","",IF(N137&gt;0,H137/N137,"sem giro"))</f>
        <v>0</v>
      </c>
      <c r="P137" s="30">
        <f>IF($A137="","",SUMPRODUCT(MAX((MovCod=$A137)*(MovTipo="Saída")*MovData)))</f>
        <v>0</v>
      </c>
      <c r="Q137" s="31">
        <f>IF($A137="","",IF(H137&lt;=0,"RUPTURA",IF(AND(I137&gt;0,H137&lt;=I137),"REPOR",IF(AND(J137&lt;&gt;"",H137&gt;J137),"EXCESSO","OK"))))</f>
        <v>0</v>
      </c>
      <c r="R137" s="25">
        <f>IF($A137="","",IF(AND(H137&gt;0,OR(P137=0,Hoje-P137&gt;DiasParado)),"Parado",""))</f>
        <v>0</v>
      </c>
      <c r="S137" s="26">
        <f>IF($A137="","",IF(OR(Q137="RUPTURA",Q137="REPOR"),IF(J137="",0,MAX(0,J137-H137)),0))</f>
        <v>0</v>
      </c>
      <c r="T137" s="24">
        <f>IF($A137="","",M137*IF(N(Produtos!G137)&gt;0,Produtos!G137,K137))</f>
        <v>0</v>
      </c>
      <c r="U137" s="32">
        <f>IF($A137="","",IF(T137&gt;0,T137+ROW()/1000000000,""))</f>
        <v>0</v>
      </c>
      <c r="V137" s="31">
        <f>IF($A137="","",IF(U137="","C",INDEX('Curva ABC'!$H$5:$H$304,MATCH(U137,'Curva ABC'!$B$5:$B$304,0))))</f>
        <v>0</v>
      </c>
      <c r="W137" s="24">
        <f>IF($A137="","",IF(R137="Parado",L137,0))</f>
        <v>0</v>
      </c>
      <c r="X137" s="33">
        <f>IF($A137="","",IF(OR(Q137="RUPTURA",Q137="REPOR"),COUNTIF($Q$5:Q137,"RUPTURA")+COUNTIF($Q$5:Q137,"REPOR"),""))</f>
        <v>0</v>
      </c>
    </row>
    <row r="138" spans="1:24">
      <c r="A138" s="23">
        <f>IF(Produtos!A138="","",Produtos!A138)</f>
        <v>0</v>
      </c>
      <c r="B138" s="23">
        <f>IF($A138="","",Produtos!B138&amp;"")</f>
        <v>0</v>
      </c>
      <c r="C138" s="23">
        <f>IF($A138="","",Produtos!C138&amp;"")</f>
        <v>0</v>
      </c>
      <c r="D138" s="25">
        <f>IF($A138="","",Produtos!D138&amp;"")</f>
        <v>0</v>
      </c>
      <c r="E138" s="26">
        <f>IF($A138="","",N(Produtos!H138))</f>
        <v>0</v>
      </c>
      <c r="F138" s="26">
        <f>IF($A138="","",SUMIFS(MovQtd,MovCod,$A138,MovTipo,"Entrada"))</f>
        <v>0</v>
      </c>
      <c r="G138" s="26">
        <f>IF($A138="","",SUMIFS(MovQtd,MovCod,$A138,MovTipo,"Saída"))</f>
        <v>0</v>
      </c>
      <c r="H138" s="27">
        <f>IF($A138="","",E138+F138-G138)</f>
        <v>0</v>
      </c>
      <c r="I138" s="26">
        <f>IF($A138="","",N(Produtos!I138))</f>
        <v>0</v>
      </c>
      <c r="J138" s="26">
        <f>IF($A138="","",IF(I138&gt;0,ROUNDUP(I138*FatMax,0),""))</f>
        <v>0</v>
      </c>
      <c r="K138" s="24">
        <f>IF($A138="","",N(Produtos!F138))</f>
        <v>0</v>
      </c>
      <c r="L138" s="24">
        <f>IF($A138="","",H138*K138)</f>
        <v>0</v>
      </c>
      <c r="M138" s="26">
        <f>IF($A138="","",SUMIFS(MovQtd,MovCod,$A138,MovTipo,"Saída",MovData,"&gt;="&amp;(Hoje-DiasAn),MovData,"&lt;="&amp;Hoje))</f>
        <v>0</v>
      </c>
      <c r="N138" s="28">
        <f>IF($A138="","",M138/DiasAn)</f>
        <v>0</v>
      </c>
      <c r="O138" s="29">
        <f>IF($A138="","",IF(N138&gt;0,H138/N138,"sem giro"))</f>
        <v>0</v>
      </c>
      <c r="P138" s="30">
        <f>IF($A138="","",SUMPRODUCT(MAX((MovCod=$A138)*(MovTipo="Saída")*MovData)))</f>
        <v>0</v>
      </c>
      <c r="Q138" s="31">
        <f>IF($A138="","",IF(H138&lt;=0,"RUPTURA",IF(AND(I138&gt;0,H138&lt;=I138),"REPOR",IF(AND(J138&lt;&gt;"",H138&gt;J138),"EXCESSO","OK"))))</f>
        <v>0</v>
      </c>
      <c r="R138" s="25">
        <f>IF($A138="","",IF(AND(H138&gt;0,OR(P138=0,Hoje-P138&gt;DiasParado)),"Parado",""))</f>
        <v>0</v>
      </c>
      <c r="S138" s="26">
        <f>IF($A138="","",IF(OR(Q138="RUPTURA",Q138="REPOR"),IF(J138="",0,MAX(0,J138-H138)),0))</f>
        <v>0</v>
      </c>
      <c r="T138" s="24">
        <f>IF($A138="","",M138*IF(N(Produtos!G138)&gt;0,Produtos!G138,K138))</f>
        <v>0</v>
      </c>
      <c r="U138" s="32">
        <f>IF($A138="","",IF(T138&gt;0,T138+ROW()/1000000000,""))</f>
        <v>0</v>
      </c>
      <c r="V138" s="31">
        <f>IF($A138="","",IF(U138="","C",INDEX('Curva ABC'!$H$5:$H$304,MATCH(U138,'Curva ABC'!$B$5:$B$304,0))))</f>
        <v>0</v>
      </c>
      <c r="W138" s="24">
        <f>IF($A138="","",IF(R138="Parado",L138,0))</f>
        <v>0</v>
      </c>
      <c r="X138" s="33">
        <f>IF($A138="","",IF(OR(Q138="RUPTURA",Q138="REPOR"),COUNTIF($Q$5:Q138,"RUPTURA")+COUNTIF($Q$5:Q138,"REPOR"),""))</f>
        <v>0</v>
      </c>
    </row>
    <row r="139" spans="1:24">
      <c r="A139" s="23">
        <f>IF(Produtos!A139="","",Produtos!A139)</f>
        <v>0</v>
      </c>
      <c r="B139" s="23">
        <f>IF($A139="","",Produtos!B139&amp;"")</f>
        <v>0</v>
      </c>
      <c r="C139" s="23">
        <f>IF($A139="","",Produtos!C139&amp;"")</f>
        <v>0</v>
      </c>
      <c r="D139" s="25">
        <f>IF($A139="","",Produtos!D139&amp;"")</f>
        <v>0</v>
      </c>
      <c r="E139" s="26">
        <f>IF($A139="","",N(Produtos!H139))</f>
        <v>0</v>
      </c>
      <c r="F139" s="26">
        <f>IF($A139="","",SUMIFS(MovQtd,MovCod,$A139,MovTipo,"Entrada"))</f>
        <v>0</v>
      </c>
      <c r="G139" s="26">
        <f>IF($A139="","",SUMIFS(MovQtd,MovCod,$A139,MovTipo,"Saída"))</f>
        <v>0</v>
      </c>
      <c r="H139" s="27">
        <f>IF($A139="","",E139+F139-G139)</f>
        <v>0</v>
      </c>
      <c r="I139" s="26">
        <f>IF($A139="","",N(Produtos!I139))</f>
        <v>0</v>
      </c>
      <c r="J139" s="26">
        <f>IF($A139="","",IF(I139&gt;0,ROUNDUP(I139*FatMax,0),""))</f>
        <v>0</v>
      </c>
      <c r="K139" s="24">
        <f>IF($A139="","",N(Produtos!F139))</f>
        <v>0</v>
      </c>
      <c r="L139" s="24">
        <f>IF($A139="","",H139*K139)</f>
        <v>0</v>
      </c>
      <c r="M139" s="26">
        <f>IF($A139="","",SUMIFS(MovQtd,MovCod,$A139,MovTipo,"Saída",MovData,"&gt;="&amp;(Hoje-DiasAn),MovData,"&lt;="&amp;Hoje))</f>
        <v>0</v>
      </c>
      <c r="N139" s="28">
        <f>IF($A139="","",M139/DiasAn)</f>
        <v>0</v>
      </c>
      <c r="O139" s="29">
        <f>IF($A139="","",IF(N139&gt;0,H139/N139,"sem giro"))</f>
        <v>0</v>
      </c>
      <c r="P139" s="30">
        <f>IF($A139="","",SUMPRODUCT(MAX((MovCod=$A139)*(MovTipo="Saída")*MovData)))</f>
        <v>0</v>
      </c>
      <c r="Q139" s="31">
        <f>IF($A139="","",IF(H139&lt;=0,"RUPTURA",IF(AND(I139&gt;0,H139&lt;=I139),"REPOR",IF(AND(J139&lt;&gt;"",H139&gt;J139),"EXCESSO","OK"))))</f>
        <v>0</v>
      </c>
      <c r="R139" s="25">
        <f>IF($A139="","",IF(AND(H139&gt;0,OR(P139=0,Hoje-P139&gt;DiasParado)),"Parado",""))</f>
        <v>0</v>
      </c>
      <c r="S139" s="26">
        <f>IF($A139="","",IF(OR(Q139="RUPTURA",Q139="REPOR"),IF(J139="",0,MAX(0,J139-H139)),0))</f>
        <v>0</v>
      </c>
      <c r="T139" s="24">
        <f>IF($A139="","",M139*IF(N(Produtos!G139)&gt;0,Produtos!G139,K139))</f>
        <v>0</v>
      </c>
      <c r="U139" s="32">
        <f>IF($A139="","",IF(T139&gt;0,T139+ROW()/1000000000,""))</f>
        <v>0</v>
      </c>
      <c r="V139" s="31">
        <f>IF($A139="","",IF(U139="","C",INDEX('Curva ABC'!$H$5:$H$304,MATCH(U139,'Curva ABC'!$B$5:$B$304,0))))</f>
        <v>0</v>
      </c>
      <c r="W139" s="24">
        <f>IF($A139="","",IF(R139="Parado",L139,0))</f>
        <v>0</v>
      </c>
      <c r="X139" s="33">
        <f>IF($A139="","",IF(OR(Q139="RUPTURA",Q139="REPOR"),COUNTIF($Q$5:Q139,"RUPTURA")+COUNTIF($Q$5:Q139,"REPOR"),""))</f>
        <v>0</v>
      </c>
    </row>
    <row r="140" spans="1:24">
      <c r="A140" s="23">
        <f>IF(Produtos!A140="","",Produtos!A140)</f>
        <v>0</v>
      </c>
      <c r="B140" s="23">
        <f>IF($A140="","",Produtos!B140&amp;"")</f>
        <v>0</v>
      </c>
      <c r="C140" s="23">
        <f>IF($A140="","",Produtos!C140&amp;"")</f>
        <v>0</v>
      </c>
      <c r="D140" s="25">
        <f>IF($A140="","",Produtos!D140&amp;"")</f>
        <v>0</v>
      </c>
      <c r="E140" s="26">
        <f>IF($A140="","",N(Produtos!H140))</f>
        <v>0</v>
      </c>
      <c r="F140" s="26">
        <f>IF($A140="","",SUMIFS(MovQtd,MovCod,$A140,MovTipo,"Entrada"))</f>
        <v>0</v>
      </c>
      <c r="G140" s="26">
        <f>IF($A140="","",SUMIFS(MovQtd,MovCod,$A140,MovTipo,"Saída"))</f>
        <v>0</v>
      </c>
      <c r="H140" s="27">
        <f>IF($A140="","",E140+F140-G140)</f>
        <v>0</v>
      </c>
      <c r="I140" s="26">
        <f>IF($A140="","",N(Produtos!I140))</f>
        <v>0</v>
      </c>
      <c r="J140" s="26">
        <f>IF($A140="","",IF(I140&gt;0,ROUNDUP(I140*FatMax,0),""))</f>
        <v>0</v>
      </c>
      <c r="K140" s="24">
        <f>IF($A140="","",N(Produtos!F140))</f>
        <v>0</v>
      </c>
      <c r="L140" s="24">
        <f>IF($A140="","",H140*K140)</f>
        <v>0</v>
      </c>
      <c r="M140" s="26">
        <f>IF($A140="","",SUMIFS(MovQtd,MovCod,$A140,MovTipo,"Saída",MovData,"&gt;="&amp;(Hoje-DiasAn),MovData,"&lt;="&amp;Hoje))</f>
        <v>0</v>
      </c>
      <c r="N140" s="28">
        <f>IF($A140="","",M140/DiasAn)</f>
        <v>0</v>
      </c>
      <c r="O140" s="29">
        <f>IF($A140="","",IF(N140&gt;0,H140/N140,"sem giro"))</f>
        <v>0</v>
      </c>
      <c r="P140" s="30">
        <f>IF($A140="","",SUMPRODUCT(MAX((MovCod=$A140)*(MovTipo="Saída")*MovData)))</f>
        <v>0</v>
      </c>
      <c r="Q140" s="31">
        <f>IF($A140="","",IF(H140&lt;=0,"RUPTURA",IF(AND(I140&gt;0,H140&lt;=I140),"REPOR",IF(AND(J140&lt;&gt;"",H140&gt;J140),"EXCESSO","OK"))))</f>
        <v>0</v>
      </c>
      <c r="R140" s="25">
        <f>IF($A140="","",IF(AND(H140&gt;0,OR(P140=0,Hoje-P140&gt;DiasParado)),"Parado",""))</f>
        <v>0</v>
      </c>
      <c r="S140" s="26">
        <f>IF($A140="","",IF(OR(Q140="RUPTURA",Q140="REPOR"),IF(J140="",0,MAX(0,J140-H140)),0))</f>
        <v>0</v>
      </c>
      <c r="T140" s="24">
        <f>IF($A140="","",M140*IF(N(Produtos!G140)&gt;0,Produtos!G140,K140))</f>
        <v>0</v>
      </c>
      <c r="U140" s="32">
        <f>IF($A140="","",IF(T140&gt;0,T140+ROW()/1000000000,""))</f>
        <v>0</v>
      </c>
      <c r="V140" s="31">
        <f>IF($A140="","",IF(U140="","C",INDEX('Curva ABC'!$H$5:$H$304,MATCH(U140,'Curva ABC'!$B$5:$B$304,0))))</f>
        <v>0</v>
      </c>
      <c r="W140" s="24">
        <f>IF($A140="","",IF(R140="Parado",L140,0))</f>
        <v>0</v>
      </c>
      <c r="X140" s="33">
        <f>IF($A140="","",IF(OR(Q140="RUPTURA",Q140="REPOR"),COUNTIF($Q$5:Q140,"RUPTURA")+COUNTIF($Q$5:Q140,"REPOR"),""))</f>
        <v>0</v>
      </c>
    </row>
    <row r="141" spans="1:24">
      <c r="A141" s="23">
        <f>IF(Produtos!A141="","",Produtos!A141)</f>
        <v>0</v>
      </c>
      <c r="B141" s="23">
        <f>IF($A141="","",Produtos!B141&amp;"")</f>
        <v>0</v>
      </c>
      <c r="C141" s="23">
        <f>IF($A141="","",Produtos!C141&amp;"")</f>
        <v>0</v>
      </c>
      <c r="D141" s="25">
        <f>IF($A141="","",Produtos!D141&amp;"")</f>
        <v>0</v>
      </c>
      <c r="E141" s="26">
        <f>IF($A141="","",N(Produtos!H141))</f>
        <v>0</v>
      </c>
      <c r="F141" s="26">
        <f>IF($A141="","",SUMIFS(MovQtd,MovCod,$A141,MovTipo,"Entrada"))</f>
        <v>0</v>
      </c>
      <c r="G141" s="26">
        <f>IF($A141="","",SUMIFS(MovQtd,MovCod,$A141,MovTipo,"Saída"))</f>
        <v>0</v>
      </c>
      <c r="H141" s="27">
        <f>IF($A141="","",E141+F141-G141)</f>
        <v>0</v>
      </c>
      <c r="I141" s="26">
        <f>IF($A141="","",N(Produtos!I141))</f>
        <v>0</v>
      </c>
      <c r="J141" s="26">
        <f>IF($A141="","",IF(I141&gt;0,ROUNDUP(I141*FatMax,0),""))</f>
        <v>0</v>
      </c>
      <c r="K141" s="24">
        <f>IF($A141="","",N(Produtos!F141))</f>
        <v>0</v>
      </c>
      <c r="L141" s="24">
        <f>IF($A141="","",H141*K141)</f>
        <v>0</v>
      </c>
      <c r="M141" s="26">
        <f>IF($A141="","",SUMIFS(MovQtd,MovCod,$A141,MovTipo,"Saída",MovData,"&gt;="&amp;(Hoje-DiasAn),MovData,"&lt;="&amp;Hoje))</f>
        <v>0</v>
      </c>
      <c r="N141" s="28">
        <f>IF($A141="","",M141/DiasAn)</f>
        <v>0</v>
      </c>
      <c r="O141" s="29">
        <f>IF($A141="","",IF(N141&gt;0,H141/N141,"sem giro"))</f>
        <v>0</v>
      </c>
      <c r="P141" s="30">
        <f>IF($A141="","",SUMPRODUCT(MAX((MovCod=$A141)*(MovTipo="Saída")*MovData)))</f>
        <v>0</v>
      </c>
      <c r="Q141" s="31">
        <f>IF($A141="","",IF(H141&lt;=0,"RUPTURA",IF(AND(I141&gt;0,H141&lt;=I141),"REPOR",IF(AND(J141&lt;&gt;"",H141&gt;J141),"EXCESSO","OK"))))</f>
        <v>0</v>
      </c>
      <c r="R141" s="25">
        <f>IF($A141="","",IF(AND(H141&gt;0,OR(P141=0,Hoje-P141&gt;DiasParado)),"Parado",""))</f>
        <v>0</v>
      </c>
      <c r="S141" s="26">
        <f>IF($A141="","",IF(OR(Q141="RUPTURA",Q141="REPOR"),IF(J141="",0,MAX(0,J141-H141)),0))</f>
        <v>0</v>
      </c>
      <c r="T141" s="24">
        <f>IF($A141="","",M141*IF(N(Produtos!G141)&gt;0,Produtos!G141,K141))</f>
        <v>0</v>
      </c>
      <c r="U141" s="32">
        <f>IF($A141="","",IF(T141&gt;0,T141+ROW()/1000000000,""))</f>
        <v>0</v>
      </c>
      <c r="V141" s="31">
        <f>IF($A141="","",IF(U141="","C",INDEX('Curva ABC'!$H$5:$H$304,MATCH(U141,'Curva ABC'!$B$5:$B$304,0))))</f>
        <v>0</v>
      </c>
      <c r="W141" s="24">
        <f>IF($A141="","",IF(R141="Parado",L141,0))</f>
        <v>0</v>
      </c>
      <c r="X141" s="33">
        <f>IF($A141="","",IF(OR(Q141="RUPTURA",Q141="REPOR"),COUNTIF($Q$5:Q141,"RUPTURA")+COUNTIF($Q$5:Q141,"REPOR"),""))</f>
        <v>0</v>
      </c>
    </row>
    <row r="142" spans="1:24">
      <c r="A142" s="23">
        <f>IF(Produtos!A142="","",Produtos!A142)</f>
        <v>0</v>
      </c>
      <c r="B142" s="23">
        <f>IF($A142="","",Produtos!B142&amp;"")</f>
        <v>0</v>
      </c>
      <c r="C142" s="23">
        <f>IF($A142="","",Produtos!C142&amp;"")</f>
        <v>0</v>
      </c>
      <c r="D142" s="25">
        <f>IF($A142="","",Produtos!D142&amp;"")</f>
        <v>0</v>
      </c>
      <c r="E142" s="26">
        <f>IF($A142="","",N(Produtos!H142))</f>
        <v>0</v>
      </c>
      <c r="F142" s="26">
        <f>IF($A142="","",SUMIFS(MovQtd,MovCod,$A142,MovTipo,"Entrada"))</f>
        <v>0</v>
      </c>
      <c r="G142" s="26">
        <f>IF($A142="","",SUMIFS(MovQtd,MovCod,$A142,MovTipo,"Saída"))</f>
        <v>0</v>
      </c>
      <c r="H142" s="27">
        <f>IF($A142="","",E142+F142-G142)</f>
        <v>0</v>
      </c>
      <c r="I142" s="26">
        <f>IF($A142="","",N(Produtos!I142))</f>
        <v>0</v>
      </c>
      <c r="J142" s="26">
        <f>IF($A142="","",IF(I142&gt;0,ROUNDUP(I142*FatMax,0),""))</f>
        <v>0</v>
      </c>
      <c r="K142" s="24">
        <f>IF($A142="","",N(Produtos!F142))</f>
        <v>0</v>
      </c>
      <c r="L142" s="24">
        <f>IF($A142="","",H142*K142)</f>
        <v>0</v>
      </c>
      <c r="M142" s="26">
        <f>IF($A142="","",SUMIFS(MovQtd,MovCod,$A142,MovTipo,"Saída",MovData,"&gt;="&amp;(Hoje-DiasAn),MovData,"&lt;="&amp;Hoje))</f>
        <v>0</v>
      </c>
      <c r="N142" s="28">
        <f>IF($A142="","",M142/DiasAn)</f>
        <v>0</v>
      </c>
      <c r="O142" s="29">
        <f>IF($A142="","",IF(N142&gt;0,H142/N142,"sem giro"))</f>
        <v>0</v>
      </c>
      <c r="P142" s="30">
        <f>IF($A142="","",SUMPRODUCT(MAX((MovCod=$A142)*(MovTipo="Saída")*MovData)))</f>
        <v>0</v>
      </c>
      <c r="Q142" s="31">
        <f>IF($A142="","",IF(H142&lt;=0,"RUPTURA",IF(AND(I142&gt;0,H142&lt;=I142),"REPOR",IF(AND(J142&lt;&gt;"",H142&gt;J142),"EXCESSO","OK"))))</f>
        <v>0</v>
      </c>
      <c r="R142" s="25">
        <f>IF($A142="","",IF(AND(H142&gt;0,OR(P142=0,Hoje-P142&gt;DiasParado)),"Parado",""))</f>
        <v>0</v>
      </c>
      <c r="S142" s="26">
        <f>IF($A142="","",IF(OR(Q142="RUPTURA",Q142="REPOR"),IF(J142="",0,MAX(0,J142-H142)),0))</f>
        <v>0</v>
      </c>
      <c r="T142" s="24">
        <f>IF($A142="","",M142*IF(N(Produtos!G142)&gt;0,Produtos!G142,K142))</f>
        <v>0</v>
      </c>
      <c r="U142" s="32">
        <f>IF($A142="","",IF(T142&gt;0,T142+ROW()/1000000000,""))</f>
        <v>0</v>
      </c>
      <c r="V142" s="31">
        <f>IF($A142="","",IF(U142="","C",INDEX('Curva ABC'!$H$5:$H$304,MATCH(U142,'Curva ABC'!$B$5:$B$304,0))))</f>
        <v>0</v>
      </c>
      <c r="W142" s="24">
        <f>IF($A142="","",IF(R142="Parado",L142,0))</f>
        <v>0</v>
      </c>
      <c r="X142" s="33">
        <f>IF($A142="","",IF(OR(Q142="RUPTURA",Q142="REPOR"),COUNTIF($Q$5:Q142,"RUPTURA")+COUNTIF($Q$5:Q142,"REPOR"),""))</f>
        <v>0</v>
      </c>
    </row>
    <row r="143" spans="1:24">
      <c r="A143" s="23">
        <f>IF(Produtos!A143="","",Produtos!A143)</f>
        <v>0</v>
      </c>
      <c r="B143" s="23">
        <f>IF($A143="","",Produtos!B143&amp;"")</f>
        <v>0</v>
      </c>
      <c r="C143" s="23">
        <f>IF($A143="","",Produtos!C143&amp;"")</f>
        <v>0</v>
      </c>
      <c r="D143" s="25">
        <f>IF($A143="","",Produtos!D143&amp;"")</f>
        <v>0</v>
      </c>
      <c r="E143" s="26">
        <f>IF($A143="","",N(Produtos!H143))</f>
        <v>0</v>
      </c>
      <c r="F143" s="26">
        <f>IF($A143="","",SUMIFS(MovQtd,MovCod,$A143,MovTipo,"Entrada"))</f>
        <v>0</v>
      </c>
      <c r="G143" s="26">
        <f>IF($A143="","",SUMIFS(MovQtd,MovCod,$A143,MovTipo,"Saída"))</f>
        <v>0</v>
      </c>
      <c r="H143" s="27">
        <f>IF($A143="","",E143+F143-G143)</f>
        <v>0</v>
      </c>
      <c r="I143" s="26">
        <f>IF($A143="","",N(Produtos!I143))</f>
        <v>0</v>
      </c>
      <c r="J143" s="26">
        <f>IF($A143="","",IF(I143&gt;0,ROUNDUP(I143*FatMax,0),""))</f>
        <v>0</v>
      </c>
      <c r="K143" s="24">
        <f>IF($A143="","",N(Produtos!F143))</f>
        <v>0</v>
      </c>
      <c r="L143" s="24">
        <f>IF($A143="","",H143*K143)</f>
        <v>0</v>
      </c>
      <c r="M143" s="26">
        <f>IF($A143="","",SUMIFS(MovQtd,MovCod,$A143,MovTipo,"Saída",MovData,"&gt;="&amp;(Hoje-DiasAn),MovData,"&lt;="&amp;Hoje))</f>
        <v>0</v>
      </c>
      <c r="N143" s="28">
        <f>IF($A143="","",M143/DiasAn)</f>
        <v>0</v>
      </c>
      <c r="O143" s="29">
        <f>IF($A143="","",IF(N143&gt;0,H143/N143,"sem giro"))</f>
        <v>0</v>
      </c>
      <c r="P143" s="30">
        <f>IF($A143="","",SUMPRODUCT(MAX((MovCod=$A143)*(MovTipo="Saída")*MovData)))</f>
        <v>0</v>
      </c>
      <c r="Q143" s="31">
        <f>IF($A143="","",IF(H143&lt;=0,"RUPTURA",IF(AND(I143&gt;0,H143&lt;=I143),"REPOR",IF(AND(J143&lt;&gt;"",H143&gt;J143),"EXCESSO","OK"))))</f>
        <v>0</v>
      </c>
      <c r="R143" s="25">
        <f>IF($A143="","",IF(AND(H143&gt;0,OR(P143=0,Hoje-P143&gt;DiasParado)),"Parado",""))</f>
        <v>0</v>
      </c>
      <c r="S143" s="26">
        <f>IF($A143="","",IF(OR(Q143="RUPTURA",Q143="REPOR"),IF(J143="",0,MAX(0,J143-H143)),0))</f>
        <v>0</v>
      </c>
      <c r="T143" s="24">
        <f>IF($A143="","",M143*IF(N(Produtos!G143)&gt;0,Produtos!G143,K143))</f>
        <v>0</v>
      </c>
      <c r="U143" s="32">
        <f>IF($A143="","",IF(T143&gt;0,T143+ROW()/1000000000,""))</f>
        <v>0</v>
      </c>
      <c r="V143" s="31">
        <f>IF($A143="","",IF(U143="","C",INDEX('Curva ABC'!$H$5:$H$304,MATCH(U143,'Curva ABC'!$B$5:$B$304,0))))</f>
        <v>0</v>
      </c>
      <c r="W143" s="24">
        <f>IF($A143="","",IF(R143="Parado",L143,0))</f>
        <v>0</v>
      </c>
      <c r="X143" s="33">
        <f>IF($A143="","",IF(OR(Q143="RUPTURA",Q143="REPOR"),COUNTIF($Q$5:Q143,"RUPTURA")+COUNTIF($Q$5:Q143,"REPOR"),""))</f>
        <v>0</v>
      </c>
    </row>
    <row r="144" spans="1:24">
      <c r="A144" s="23">
        <f>IF(Produtos!A144="","",Produtos!A144)</f>
        <v>0</v>
      </c>
      <c r="B144" s="23">
        <f>IF($A144="","",Produtos!B144&amp;"")</f>
        <v>0</v>
      </c>
      <c r="C144" s="23">
        <f>IF($A144="","",Produtos!C144&amp;"")</f>
        <v>0</v>
      </c>
      <c r="D144" s="25">
        <f>IF($A144="","",Produtos!D144&amp;"")</f>
        <v>0</v>
      </c>
      <c r="E144" s="26">
        <f>IF($A144="","",N(Produtos!H144))</f>
        <v>0</v>
      </c>
      <c r="F144" s="26">
        <f>IF($A144="","",SUMIFS(MovQtd,MovCod,$A144,MovTipo,"Entrada"))</f>
        <v>0</v>
      </c>
      <c r="G144" s="26">
        <f>IF($A144="","",SUMIFS(MovQtd,MovCod,$A144,MovTipo,"Saída"))</f>
        <v>0</v>
      </c>
      <c r="H144" s="27">
        <f>IF($A144="","",E144+F144-G144)</f>
        <v>0</v>
      </c>
      <c r="I144" s="26">
        <f>IF($A144="","",N(Produtos!I144))</f>
        <v>0</v>
      </c>
      <c r="J144" s="26">
        <f>IF($A144="","",IF(I144&gt;0,ROUNDUP(I144*FatMax,0),""))</f>
        <v>0</v>
      </c>
      <c r="K144" s="24">
        <f>IF($A144="","",N(Produtos!F144))</f>
        <v>0</v>
      </c>
      <c r="L144" s="24">
        <f>IF($A144="","",H144*K144)</f>
        <v>0</v>
      </c>
      <c r="M144" s="26">
        <f>IF($A144="","",SUMIFS(MovQtd,MovCod,$A144,MovTipo,"Saída",MovData,"&gt;="&amp;(Hoje-DiasAn),MovData,"&lt;="&amp;Hoje))</f>
        <v>0</v>
      </c>
      <c r="N144" s="28">
        <f>IF($A144="","",M144/DiasAn)</f>
        <v>0</v>
      </c>
      <c r="O144" s="29">
        <f>IF($A144="","",IF(N144&gt;0,H144/N144,"sem giro"))</f>
        <v>0</v>
      </c>
      <c r="P144" s="30">
        <f>IF($A144="","",SUMPRODUCT(MAX((MovCod=$A144)*(MovTipo="Saída")*MovData)))</f>
        <v>0</v>
      </c>
      <c r="Q144" s="31">
        <f>IF($A144="","",IF(H144&lt;=0,"RUPTURA",IF(AND(I144&gt;0,H144&lt;=I144),"REPOR",IF(AND(J144&lt;&gt;"",H144&gt;J144),"EXCESSO","OK"))))</f>
        <v>0</v>
      </c>
      <c r="R144" s="25">
        <f>IF($A144="","",IF(AND(H144&gt;0,OR(P144=0,Hoje-P144&gt;DiasParado)),"Parado",""))</f>
        <v>0</v>
      </c>
      <c r="S144" s="26">
        <f>IF($A144="","",IF(OR(Q144="RUPTURA",Q144="REPOR"),IF(J144="",0,MAX(0,J144-H144)),0))</f>
        <v>0</v>
      </c>
      <c r="T144" s="24">
        <f>IF($A144="","",M144*IF(N(Produtos!G144)&gt;0,Produtos!G144,K144))</f>
        <v>0</v>
      </c>
      <c r="U144" s="32">
        <f>IF($A144="","",IF(T144&gt;0,T144+ROW()/1000000000,""))</f>
        <v>0</v>
      </c>
      <c r="V144" s="31">
        <f>IF($A144="","",IF(U144="","C",INDEX('Curva ABC'!$H$5:$H$304,MATCH(U144,'Curva ABC'!$B$5:$B$304,0))))</f>
        <v>0</v>
      </c>
      <c r="W144" s="24">
        <f>IF($A144="","",IF(R144="Parado",L144,0))</f>
        <v>0</v>
      </c>
      <c r="X144" s="33">
        <f>IF($A144="","",IF(OR(Q144="RUPTURA",Q144="REPOR"),COUNTIF($Q$5:Q144,"RUPTURA")+COUNTIF($Q$5:Q144,"REPOR"),""))</f>
        <v>0</v>
      </c>
    </row>
    <row r="145" spans="1:24">
      <c r="A145" s="23">
        <f>IF(Produtos!A145="","",Produtos!A145)</f>
        <v>0</v>
      </c>
      <c r="B145" s="23">
        <f>IF($A145="","",Produtos!B145&amp;"")</f>
        <v>0</v>
      </c>
      <c r="C145" s="23">
        <f>IF($A145="","",Produtos!C145&amp;"")</f>
        <v>0</v>
      </c>
      <c r="D145" s="25">
        <f>IF($A145="","",Produtos!D145&amp;"")</f>
        <v>0</v>
      </c>
      <c r="E145" s="26">
        <f>IF($A145="","",N(Produtos!H145))</f>
        <v>0</v>
      </c>
      <c r="F145" s="26">
        <f>IF($A145="","",SUMIFS(MovQtd,MovCod,$A145,MovTipo,"Entrada"))</f>
        <v>0</v>
      </c>
      <c r="G145" s="26">
        <f>IF($A145="","",SUMIFS(MovQtd,MovCod,$A145,MovTipo,"Saída"))</f>
        <v>0</v>
      </c>
      <c r="H145" s="27">
        <f>IF($A145="","",E145+F145-G145)</f>
        <v>0</v>
      </c>
      <c r="I145" s="26">
        <f>IF($A145="","",N(Produtos!I145))</f>
        <v>0</v>
      </c>
      <c r="J145" s="26">
        <f>IF($A145="","",IF(I145&gt;0,ROUNDUP(I145*FatMax,0),""))</f>
        <v>0</v>
      </c>
      <c r="K145" s="24">
        <f>IF($A145="","",N(Produtos!F145))</f>
        <v>0</v>
      </c>
      <c r="L145" s="24">
        <f>IF($A145="","",H145*K145)</f>
        <v>0</v>
      </c>
      <c r="M145" s="26">
        <f>IF($A145="","",SUMIFS(MovQtd,MovCod,$A145,MovTipo,"Saída",MovData,"&gt;="&amp;(Hoje-DiasAn),MovData,"&lt;="&amp;Hoje))</f>
        <v>0</v>
      </c>
      <c r="N145" s="28">
        <f>IF($A145="","",M145/DiasAn)</f>
        <v>0</v>
      </c>
      <c r="O145" s="29">
        <f>IF($A145="","",IF(N145&gt;0,H145/N145,"sem giro"))</f>
        <v>0</v>
      </c>
      <c r="P145" s="30">
        <f>IF($A145="","",SUMPRODUCT(MAX((MovCod=$A145)*(MovTipo="Saída")*MovData)))</f>
        <v>0</v>
      </c>
      <c r="Q145" s="31">
        <f>IF($A145="","",IF(H145&lt;=0,"RUPTURA",IF(AND(I145&gt;0,H145&lt;=I145),"REPOR",IF(AND(J145&lt;&gt;"",H145&gt;J145),"EXCESSO","OK"))))</f>
        <v>0</v>
      </c>
      <c r="R145" s="25">
        <f>IF($A145="","",IF(AND(H145&gt;0,OR(P145=0,Hoje-P145&gt;DiasParado)),"Parado",""))</f>
        <v>0</v>
      </c>
      <c r="S145" s="26">
        <f>IF($A145="","",IF(OR(Q145="RUPTURA",Q145="REPOR"),IF(J145="",0,MAX(0,J145-H145)),0))</f>
        <v>0</v>
      </c>
      <c r="T145" s="24">
        <f>IF($A145="","",M145*IF(N(Produtos!G145)&gt;0,Produtos!G145,K145))</f>
        <v>0</v>
      </c>
      <c r="U145" s="32">
        <f>IF($A145="","",IF(T145&gt;0,T145+ROW()/1000000000,""))</f>
        <v>0</v>
      </c>
      <c r="V145" s="31">
        <f>IF($A145="","",IF(U145="","C",INDEX('Curva ABC'!$H$5:$H$304,MATCH(U145,'Curva ABC'!$B$5:$B$304,0))))</f>
        <v>0</v>
      </c>
      <c r="W145" s="24">
        <f>IF($A145="","",IF(R145="Parado",L145,0))</f>
        <v>0</v>
      </c>
      <c r="X145" s="33">
        <f>IF($A145="","",IF(OR(Q145="RUPTURA",Q145="REPOR"),COUNTIF($Q$5:Q145,"RUPTURA")+COUNTIF($Q$5:Q145,"REPOR"),""))</f>
        <v>0</v>
      </c>
    </row>
    <row r="146" spans="1:24">
      <c r="A146" s="23">
        <f>IF(Produtos!A146="","",Produtos!A146)</f>
        <v>0</v>
      </c>
      <c r="B146" s="23">
        <f>IF($A146="","",Produtos!B146&amp;"")</f>
        <v>0</v>
      </c>
      <c r="C146" s="23">
        <f>IF($A146="","",Produtos!C146&amp;"")</f>
        <v>0</v>
      </c>
      <c r="D146" s="25">
        <f>IF($A146="","",Produtos!D146&amp;"")</f>
        <v>0</v>
      </c>
      <c r="E146" s="26">
        <f>IF($A146="","",N(Produtos!H146))</f>
        <v>0</v>
      </c>
      <c r="F146" s="26">
        <f>IF($A146="","",SUMIFS(MovQtd,MovCod,$A146,MovTipo,"Entrada"))</f>
        <v>0</v>
      </c>
      <c r="G146" s="26">
        <f>IF($A146="","",SUMIFS(MovQtd,MovCod,$A146,MovTipo,"Saída"))</f>
        <v>0</v>
      </c>
      <c r="H146" s="27">
        <f>IF($A146="","",E146+F146-G146)</f>
        <v>0</v>
      </c>
      <c r="I146" s="26">
        <f>IF($A146="","",N(Produtos!I146))</f>
        <v>0</v>
      </c>
      <c r="J146" s="26">
        <f>IF($A146="","",IF(I146&gt;0,ROUNDUP(I146*FatMax,0),""))</f>
        <v>0</v>
      </c>
      <c r="K146" s="24">
        <f>IF($A146="","",N(Produtos!F146))</f>
        <v>0</v>
      </c>
      <c r="L146" s="24">
        <f>IF($A146="","",H146*K146)</f>
        <v>0</v>
      </c>
      <c r="M146" s="26">
        <f>IF($A146="","",SUMIFS(MovQtd,MovCod,$A146,MovTipo,"Saída",MovData,"&gt;="&amp;(Hoje-DiasAn),MovData,"&lt;="&amp;Hoje))</f>
        <v>0</v>
      </c>
      <c r="N146" s="28">
        <f>IF($A146="","",M146/DiasAn)</f>
        <v>0</v>
      </c>
      <c r="O146" s="29">
        <f>IF($A146="","",IF(N146&gt;0,H146/N146,"sem giro"))</f>
        <v>0</v>
      </c>
      <c r="P146" s="30">
        <f>IF($A146="","",SUMPRODUCT(MAX((MovCod=$A146)*(MovTipo="Saída")*MovData)))</f>
        <v>0</v>
      </c>
      <c r="Q146" s="31">
        <f>IF($A146="","",IF(H146&lt;=0,"RUPTURA",IF(AND(I146&gt;0,H146&lt;=I146),"REPOR",IF(AND(J146&lt;&gt;"",H146&gt;J146),"EXCESSO","OK"))))</f>
        <v>0</v>
      </c>
      <c r="R146" s="25">
        <f>IF($A146="","",IF(AND(H146&gt;0,OR(P146=0,Hoje-P146&gt;DiasParado)),"Parado",""))</f>
        <v>0</v>
      </c>
      <c r="S146" s="26">
        <f>IF($A146="","",IF(OR(Q146="RUPTURA",Q146="REPOR"),IF(J146="",0,MAX(0,J146-H146)),0))</f>
        <v>0</v>
      </c>
      <c r="T146" s="24">
        <f>IF($A146="","",M146*IF(N(Produtos!G146)&gt;0,Produtos!G146,K146))</f>
        <v>0</v>
      </c>
      <c r="U146" s="32">
        <f>IF($A146="","",IF(T146&gt;0,T146+ROW()/1000000000,""))</f>
        <v>0</v>
      </c>
      <c r="V146" s="31">
        <f>IF($A146="","",IF(U146="","C",INDEX('Curva ABC'!$H$5:$H$304,MATCH(U146,'Curva ABC'!$B$5:$B$304,0))))</f>
        <v>0</v>
      </c>
      <c r="W146" s="24">
        <f>IF($A146="","",IF(R146="Parado",L146,0))</f>
        <v>0</v>
      </c>
      <c r="X146" s="33">
        <f>IF($A146="","",IF(OR(Q146="RUPTURA",Q146="REPOR"),COUNTIF($Q$5:Q146,"RUPTURA")+COUNTIF($Q$5:Q146,"REPOR"),""))</f>
        <v>0</v>
      </c>
    </row>
    <row r="147" spans="1:24">
      <c r="A147" s="23">
        <f>IF(Produtos!A147="","",Produtos!A147)</f>
        <v>0</v>
      </c>
      <c r="B147" s="23">
        <f>IF($A147="","",Produtos!B147&amp;"")</f>
        <v>0</v>
      </c>
      <c r="C147" s="23">
        <f>IF($A147="","",Produtos!C147&amp;"")</f>
        <v>0</v>
      </c>
      <c r="D147" s="25">
        <f>IF($A147="","",Produtos!D147&amp;"")</f>
        <v>0</v>
      </c>
      <c r="E147" s="26">
        <f>IF($A147="","",N(Produtos!H147))</f>
        <v>0</v>
      </c>
      <c r="F147" s="26">
        <f>IF($A147="","",SUMIFS(MovQtd,MovCod,$A147,MovTipo,"Entrada"))</f>
        <v>0</v>
      </c>
      <c r="G147" s="26">
        <f>IF($A147="","",SUMIFS(MovQtd,MovCod,$A147,MovTipo,"Saída"))</f>
        <v>0</v>
      </c>
      <c r="H147" s="27">
        <f>IF($A147="","",E147+F147-G147)</f>
        <v>0</v>
      </c>
      <c r="I147" s="26">
        <f>IF($A147="","",N(Produtos!I147))</f>
        <v>0</v>
      </c>
      <c r="J147" s="26">
        <f>IF($A147="","",IF(I147&gt;0,ROUNDUP(I147*FatMax,0),""))</f>
        <v>0</v>
      </c>
      <c r="K147" s="24">
        <f>IF($A147="","",N(Produtos!F147))</f>
        <v>0</v>
      </c>
      <c r="L147" s="24">
        <f>IF($A147="","",H147*K147)</f>
        <v>0</v>
      </c>
      <c r="M147" s="26">
        <f>IF($A147="","",SUMIFS(MovQtd,MovCod,$A147,MovTipo,"Saída",MovData,"&gt;="&amp;(Hoje-DiasAn),MovData,"&lt;="&amp;Hoje))</f>
        <v>0</v>
      </c>
      <c r="N147" s="28">
        <f>IF($A147="","",M147/DiasAn)</f>
        <v>0</v>
      </c>
      <c r="O147" s="29">
        <f>IF($A147="","",IF(N147&gt;0,H147/N147,"sem giro"))</f>
        <v>0</v>
      </c>
      <c r="P147" s="30">
        <f>IF($A147="","",SUMPRODUCT(MAX((MovCod=$A147)*(MovTipo="Saída")*MovData)))</f>
        <v>0</v>
      </c>
      <c r="Q147" s="31">
        <f>IF($A147="","",IF(H147&lt;=0,"RUPTURA",IF(AND(I147&gt;0,H147&lt;=I147),"REPOR",IF(AND(J147&lt;&gt;"",H147&gt;J147),"EXCESSO","OK"))))</f>
        <v>0</v>
      </c>
      <c r="R147" s="25">
        <f>IF($A147="","",IF(AND(H147&gt;0,OR(P147=0,Hoje-P147&gt;DiasParado)),"Parado",""))</f>
        <v>0</v>
      </c>
      <c r="S147" s="26">
        <f>IF($A147="","",IF(OR(Q147="RUPTURA",Q147="REPOR"),IF(J147="",0,MAX(0,J147-H147)),0))</f>
        <v>0</v>
      </c>
      <c r="T147" s="24">
        <f>IF($A147="","",M147*IF(N(Produtos!G147)&gt;0,Produtos!G147,K147))</f>
        <v>0</v>
      </c>
      <c r="U147" s="32">
        <f>IF($A147="","",IF(T147&gt;0,T147+ROW()/1000000000,""))</f>
        <v>0</v>
      </c>
      <c r="V147" s="31">
        <f>IF($A147="","",IF(U147="","C",INDEX('Curva ABC'!$H$5:$H$304,MATCH(U147,'Curva ABC'!$B$5:$B$304,0))))</f>
        <v>0</v>
      </c>
      <c r="W147" s="24">
        <f>IF($A147="","",IF(R147="Parado",L147,0))</f>
        <v>0</v>
      </c>
      <c r="X147" s="33">
        <f>IF($A147="","",IF(OR(Q147="RUPTURA",Q147="REPOR"),COUNTIF($Q$5:Q147,"RUPTURA")+COUNTIF($Q$5:Q147,"REPOR"),""))</f>
        <v>0</v>
      </c>
    </row>
    <row r="148" spans="1:24">
      <c r="A148" s="23">
        <f>IF(Produtos!A148="","",Produtos!A148)</f>
        <v>0</v>
      </c>
      <c r="B148" s="23">
        <f>IF($A148="","",Produtos!B148&amp;"")</f>
        <v>0</v>
      </c>
      <c r="C148" s="23">
        <f>IF($A148="","",Produtos!C148&amp;"")</f>
        <v>0</v>
      </c>
      <c r="D148" s="25">
        <f>IF($A148="","",Produtos!D148&amp;"")</f>
        <v>0</v>
      </c>
      <c r="E148" s="26">
        <f>IF($A148="","",N(Produtos!H148))</f>
        <v>0</v>
      </c>
      <c r="F148" s="26">
        <f>IF($A148="","",SUMIFS(MovQtd,MovCod,$A148,MovTipo,"Entrada"))</f>
        <v>0</v>
      </c>
      <c r="G148" s="26">
        <f>IF($A148="","",SUMIFS(MovQtd,MovCod,$A148,MovTipo,"Saída"))</f>
        <v>0</v>
      </c>
      <c r="H148" s="27">
        <f>IF($A148="","",E148+F148-G148)</f>
        <v>0</v>
      </c>
      <c r="I148" s="26">
        <f>IF($A148="","",N(Produtos!I148))</f>
        <v>0</v>
      </c>
      <c r="J148" s="26">
        <f>IF($A148="","",IF(I148&gt;0,ROUNDUP(I148*FatMax,0),""))</f>
        <v>0</v>
      </c>
      <c r="K148" s="24">
        <f>IF($A148="","",N(Produtos!F148))</f>
        <v>0</v>
      </c>
      <c r="L148" s="24">
        <f>IF($A148="","",H148*K148)</f>
        <v>0</v>
      </c>
      <c r="M148" s="26">
        <f>IF($A148="","",SUMIFS(MovQtd,MovCod,$A148,MovTipo,"Saída",MovData,"&gt;="&amp;(Hoje-DiasAn),MovData,"&lt;="&amp;Hoje))</f>
        <v>0</v>
      </c>
      <c r="N148" s="28">
        <f>IF($A148="","",M148/DiasAn)</f>
        <v>0</v>
      </c>
      <c r="O148" s="29">
        <f>IF($A148="","",IF(N148&gt;0,H148/N148,"sem giro"))</f>
        <v>0</v>
      </c>
      <c r="P148" s="30">
        <f>IF($A148="","",SUMPRODUCT(MAX((MovCod=$A148)*(MovTipo="Saída")*MovData)))</f>
        <v>0</v>
      </c>
      <c r="Q148" s="31">
        <f>IF($A148="","",IF(H148&lt;=0,"RUPTURA",IF(AND(I148&gt;0,H148&lt;=I148),"REPOR",IF(AND(J148&lt;&gt;"",H148&gt;J148),"EXCESSO","OK"))))</f>
        <v>0</v>
      </c>
      <c r="R148" s="25">
        <f>IF($A148="","",IF(AND(H148&gt;0,OR(P148=0,Hoje-P148&gt;DiasParado)),"Parado",""))</f>
        <v>0</v>
      </c>
      <c r="S148" s="26">
        <f>IF($A148="","",IF(OR(Q148="RUPTURA",Q148="REPOR"),IF(J148="",0,MAX(0,J148-H148)),0))</f>
        <v>0</v>
      </c>
      <c r="T148" s="24">
        <f>IF($A148="","",M148*IF(N(Produtos!G148)&gt;0,Produtos!G148,K148))</f>
        <v>0</v>
      </c>
      <c r="U148" s="32">
        <f>IF($A148="","",IF(T148&gt;0,T148+ROW()/1000000000,""))</f>
        <v>0</v>
      </c>
      <c r="V148" s="31">
        <f>IF($A148="","",IF(U148="","C",INDEX('Curva ABC'!$H$5:$H$304,MATCH(U148,'Curva ABC'!$B$5:$B$304,0))))</f>
        <v>0</v>
      </c>
      <c r="W148" s="24">
        <f>IF($A148="","",IF(R148="Parado",L148,0))</f>
        <v>0</v>
      </c>
      <c r="X148" s="33">
        <f>IF($A148="","",IF(OR(Q148="RUPTURA",Q148="REPOR"),COUNTIF($Q$5:Q148,"RUPTURA")+COUNTIF($Q$5:Q148,"REPOR"),""))</f>
        <v>0</v>
      </c>
    </row>
    <row r="149" spans="1:24">
      <c r="A149" s="23">
        <f>IF(Produtos!A149="","",Produtos!A149)</f>
        <v>0</v>
      </c>
      <c r="B149" s="23">
        <f>IF($A149="","",Produtos!B149&amp;"")</f>
        <v>0</v>
      </c>
      <c r="C149" s="23">
        <f>IF($A149="","",Produtos!C149&amp;"")</f>
        <v>0</v>
      </c>
      <c r="D149" s="25">
        <f>IF($A149="","",Produtos!D149&amp;"")</f>
        <v>0</v>
      </c>
      <c r="E149" s="26">
        <f>IF($A149="","",N(Produtos!H149))</f>
        <v>0</v>
      </c>
      <c r="F149" s="26">
        <f>IF($A149="","",SUMIFS(MovQtd,MovCod,$A149,MovTipo,"Entrada"))</f>
        <v>0</v>
      </c>
      <c r="G149" s="26">
        <f>IF($A149="","",SUMIFS(MovQtd,MovCod,$A149,MovTipo,"Saída"))</f>
        <v>0</v>
      </c>
      <c r="H149" s="27">
        <f>IF($A149="","",E149+F149-G149)</f>
        <v>0</v>
      </c>
      <c r="I149" s="26">
        <f>IF($A149="","",N(Produtos!I149))</f>
        <v>0</v>
      </c>
      <c r="J149" s="26">
        <f>IF($A149="","",IF(I149&gt;0,ROUNDUP(I149*FatMax,0),""))</f>
        <v>0</v>
      </c>
      <c r="K149" s="24">
        <f>IF($A149="","",N(Produtos!F149))</f>
        <v>0</v>
      </c>
      <c r="L149" s="24">
        <f>IF($A149="","",H149*K149)</f>
        <v>0</v>
      </c>
      <c r="M149" s="26">
        <f>IF($A149="","",SUMIFS(MovQtd,MovCod,$A149,MovTipo,"Saída",MovData,"&gt;="&amp;(Hoje-DiasAn),MovData,"&lt;="&amp;Hoje))</f>
        <v>0</v>
      </c>
      <c r="N149" s="28">
        <f>IF($A149="","",M149/DiasAn)</f>
        <v>0</v>
      </c>
      <c r="O149" s="29">
        <f>IF($A149="","",IF(N149&gt;0,H149/N149,"sem giro"))</f>
        <v>0</v>
      </c>
      <c r="P149" s="30">
        <f>IF($A149="","",SUMPRODUCT(MAX((MovCod=$A149)*(MovTipo="Saída")*MovData)))</f>
        <v>0</v>
      </c>
      <c r="Q149" s="31">
        <f>IF($A149="","",IF(H149&lt;=0,"RUPTURA",IF(AND(I149&gt;0,H149&lt;=I149),"REPOR",IF(AND(J149&lt;&gt;"",H149&gt;J149),"EXCESSO","OK"))))</f>
        <v>0</v>
      </c>
      <c r="R149" s="25">
        <f>IF($A149="","",IF(AND(H149&gt;0,OR(P149=0,Hoje-P149&gt;DiasParado)),"Parado",""))</f>
        <v>0</v>
      </c>
      <c r="S149" s="26">
        <f>IF($A149="","",IF(OR(Q149="RUPTURA",Q149="REPOR"),IF(J149="",0,MAX(0,J149-H149)),0))</f>
        <v>0</v>
      </c>
      <c r="T149" s="24">
        <f>IF($A149="","",M149*IF(N(Produtos!G149)&gt;0,Produtos!G149,K149))</f>
        <v>0</v>
      </c>
      <c r="U149" s="32">
        <f>IF($A149="","",IF(T149&gt;0,T149+ROW()/1000000000,""))</f>
        <v>0</v>
      </c>
      <c r="V149" s="31">
        <f>IF($A149="","",IF(U149="","C",INDEX('Curva ABC'!$H$5:$H$304,MATCH(U149,'Curva ABC'!$B$5:$B$304,0))))</f>
        <v>0</v>
      </c>
      <c r="W149" s="24">
        <f>IF($A149="","",IF(R149="Parado",L149,0))</f>
        <v>0</v>
      </c>
      <c r="X149" s="33">
        <f>IF($A149="","",IF(OR(Q149="RUPTURA",Q149="REPOR"),COUNTIF($Q$5:Q149,"RUPTURA")+COUNTIF($Q$5:Q149,"REPOR"),""))</f>
        <v>0</v>
      </c>
    </row>
    <row r="150" spans="1:24">
      <c r="A150" s="23">
        <f>IF(Produtos!A150="","",Produtos!A150)</f>
        <v>0</v>
      </c>
      <c r="B150" s="23">
        <f>IF($A150="","",Produtos!B150&amp;"")</f>
        <v>0</v>
      </c>
      <c r="C150" s="23">
        <f>IF($A150="","",Produtos!C150&amp;"")</f>
        <v>0</v>
      </c>
      <c r="D150" s="25">
        <f>IF($A150="","",Produtos!D150&amp;"")</f>
        <v>0</v>
      </c>
      <c r="E150" s="26">
        <f>IF($A150="","",N(Produtos!H150))</f>
        <v>0</v>
      </c>
      <c r="F150" s="26">
        <f>IF($A150="","",SUMIFS(MovQtd,MovCod,$A150,MovTipo,"Entrada"))</f>
        <v>0</v>
      </c>
      <c r="G150" s="26">
        <f>IF($A150="","",SUMIFS(MovQtd,MovCod,$A150,MovTipo,"Saída"))</f>
        <v>0</v>
      </c>
      <c r="H150" s="27">
        <f>IF($A150="","",E150+F150-G150)</f>
        <v>0</v>
      </c>
      <c r="I150" s="26">
        <f>IF($A150="","",N(Produtos!I150))</f>
        <v>0</v>
      </c>
      <c r="J150" s="26">
        <f>IF($A150="","",IF(I150&gt;0,ROUNDUP(I150*FatMax,0),""))</f>
        <v>0</v>
      </c>
      <c r="K150" s="24">
        <f>IF($A150="","",N(Produtos!F150))</f>
        <v>0</v>
      </c>
      <c r="L150" s="24">
        <f>IF($A150="","",H150*K150)</f>
        <v>0</v>
      </c>
      <c r="M150" s="26">
        <f>IF($A150="","",SUMIFS(MovQtd,MovCod,$A150,MovTipo,"Saída",MovData,"&gt;="&amp;(Hoje-DiasAn),MovData,"&lt;="&amp;Hoje))</f>
        <v>0</v>
      </c>
      <c r="N150" s="28">
        <f>IF($A150="","",M150/DiasAn)</f>
        <v>0</v>
      </c>
      <c r="O150" s="29">
        <f>IF($A150="","",IF(N150&gt;0,H150/N150,"sem giro"))</f>
        <v>0</v>
      </c>
      <c r="P150" s="30">
        <f>IF($A150="","",SUMPRODUCT(MAX((MovCod=$A150)*(MovTipo="Saída")*MovData)))</f>
        <v>0</v>
      </c>
      <c r="Q150" s="31">
        <f>IF($A150="","",IF(H150&lt;=0,"RUPTURA",IF(AND(I150&gt;0,H150&lt;=I150),"REPOR",IF(AND(J150&lt;&gt;"",H150&gt;J150),"EXCESSO","OK"))))</f>
        <v>0</v>
      </c>
      <c r="R150" s="25">
        <f>IF($A150="","",IF(AND(H150&gt;0,OR(P150=0,Hoje-P150&gt;DiasParado)),"Parado",""))</f>
        <v>0</v>
      </c>
      <c r="S150" s="26">
        <f>IF($A150="","",IF(OR(Q150="RUPTURA",Q150="REPOR"),IF(J150="",0,MAX(0,J150-H150)),0))</f>
        <v>0</v>
      </c>
      <c r="T150" s="24">
        <f>IF($A150="","",M150*IF(N(Produtos!G150)&gt;0,Produtos!G150,K150))</f>
        <v>0</v>
      </c>
      <c r="U150" s="32">
        <f>IF($A150="","",IF(T150&gt;0,T150+ROW()/1000000000,""))</f>
        <v>0</v>
      </c>
      <c r="V150" s="31">
        <f>IF($A150="","",IF(U150="","C",INDEX('Curva ABC'!$H$5:$H$304,MATCH(U150,'Curva ABC'!$B$5:$B$304,0))))</f>
        <v>0</v>
      </c>
      <c r="W150" s="24">
        <f>IF($A150="","",IF(R150="Parado",L150,0))</f>
        <v>0</v>
      </c>
      <c r="X150" s="33">
        <f>IF($A150="","",IF(OR(Q150="RUPTURA",Q150="REPOR"),COUNTIF($Q$5:Q150,"RUPTURA")+COUNTIF($Q$5:Q150,"REPOR"),""))</f>
        <v>0</v>
      </c>
    </row>
    <row r="151" spans="1:24">
      <c r="A151" s="23">
        <f>IF(Produtos!A151="","",Produtos!A151)</f>
        <v>0</v>
      </c>
      <c r="B151" s="23">
        <f>IF($A151="","",Produtos!B151&amp;"")</f>
        <v>0</v>
      </c>
      <c r="C151" s="23">
        <f>IF($A151="","",Produtos!C151&amp;"")</f>
        <v>0</v>
      </c>
      <c r="D151" s="25">
        <f>IF($A151="","",Produtos!D151&amp;"")</f>
        <v>0</v>
      </c>
      <c r="E151" s="26">
        <f>IF($A151="","",N(Produtos!H151))</f>
        <v>0</v>
      </c>
      <c r="F151" s="26">
        <f>IF($A151="","",SUMIFS(MovQtd,MovCod,$A151,MovTipo,"Entrada"))</f>
        <v>0</v>
      </c>
      <c r="G151" s="26">
        <f>IF($A151="","",SUMIFS(MovQtd,MovCod,$A151,MovTipo,"Saída"))</f>
        <v>0</v>
      </c>
      <c r="H151" s="27">
        <f>IF($A151="","",E151+F151-G151)</f>
        <v>0</v>
      </c>
      <c r="I151" s="26">
        <f>IF($A151="","",N(Produtos!I151))</f>
        <v>0</v>
      </c>
      <c r="J151" s="26">
        <f>IF($A151="","",IF(I151&gt;0,ROUNDUP(I151*FatMax,0),""))</f>
        <v>0</v>
      </c>
      <c r="K151" s="24">
        <f>IF($A151="","",N(Produtos!F151))</f>
        <v>0</v>
      </c>
      <c r="L151" s="24">
        <f>IF($A151="","",H151*K151)</f>
        <v>0</v>
      </c>
      <c r="M151" s="26">
        <f>IF($A151="","",SUMIFS(MovQtd,MovCod,$A151,MovTipo,"Saída",MovData,"&gt;="&amp;(Hoje-DiasAn),MovData,"&lt;="&amp;Hoje))</f>
        <v>0</v>
      </c>
      <c r="N151" s="28">
        <f>IF($A151="","",M151/DiasAn)</f>
        <v>0</v>
      </c>
      <c r="O151" s="29">
        <f>IF($A151="","",IF(N151&gt;0,H151/N151,"sem giro"))</f>
        <v>0</v>
      </c>
      <c r="P151" s="30">
        <f>IF($A151="","",SUMPRODUCT(MAX((MovCod=$A151)*(MovTipo="Saída")*MovData)))</f>
        <v>0</v>
      </c>
      <c r="Q151" s="31">
        <f>IF($A151="","",IF(H151&lt;=0,"RUPTURA",IF(AND(I151&gt;0,H151&lt;=I151),"REPOR",IF(AND(J151&lt;&gt;"",H151&gt;J151),"EXCESSO","OK"))))</f>
        <v>0</v>
      </c>
      <c r="R151" s="25">
        <f>IF($A151="","",IF(AND(H151&gt;0,OR(P151=0,Hoje-P151&gt;DiasParado)),"Parado",""))</f>
        <v>0</v>
      </c>
      <c r="S151" s="26">
        <f>IF($A151="","",IF(OR(Q151="RUPTURA",Q151="REPOR"),IF(J151="",0,MAX(0,J151-H151)),0))</f>
        <v>0</v>
      </c>
      <c r="T151" s="24">
        <f>IF($A151="","",M151*IF(N(Produtos!G151)&gt;0,Produtos!G151,K151))</f>
        <v>0</v>
      </c>
      <c r="U151" s="32">
        <f>IF($A151="","",IF(T151&gt;0,T151+ROW()/1000000000,""))</f>
        <v>0</v>
      </c>
      <c r="V151" s="31">
        <f>IF($A151="","",IF(U151="","C",INDEX('Curva ABC'!$H$5:$H$304,MATCH(U151,'Curva ABC'!$B$5:$B$304,0))))</f>
        <v>0</v>
      </c>
      <c r="W151" s="24">
        <f>IF($A151="","",IF(R151="Parado",L151,0))</f>
        <v>0</v>
      </c>
      <c r="X151" s="33">
        <f>IF($A151="","",IF(OR(Q151="RUPTURA",Q151="REPOR"),COUNTIF($Q$5:Q151,"RUPTURA")+COUNTIF($Q$5:Q151,"REPOR"),""))</f>
        <v>0</v>
      </c>
    </row>
    <row r="152" spans="1:24">
      <c r="A152" s="23">
        <f>IF(Produtos!A152="","",Produtos!A152)</f>
        <v>0</v>
      </c>
      <c r="B152" s="23">
        <f>IF($A152="","",Produtos!B152&amp;"")</f>
        <v>0</v>
      </c>
      <c r="C152" s="23">
        <f>IF($A152="","",Produtos!C152&amp;"")</f>
        <v>0</v>
      </c>
      <c r="D152" s="25">
        <f>IF($A152="","",Produtos!D152&amp;"")</f>
        <v>0</v>
      </c>
      <c r="E152" s="26">
        <f>IF($A152="","",N(Produtos!H152))</f>
        <v>0</v>
      </c>
      <c r="F152" s="26">
        <f>IF($A152="","",SUMIFS(MovQtd,MovCod,$A152,MovTipo,"Entrada"))</f>
        <v>0</v>
      </c>
      <c r="G152" s="26">
        <f>IF($A152="","",SUMIFS(MovQtd,MovCod,$A152,MovTipo,"Saída"))</f>
        <v>0</v>
      </c>
      <c r="H152" s="27">
        <f>IF($A152="","",E152+F152-G152)</f>
        <v>0</v>
      </c>
      <c r="I152" s="26">
        <f>IF($A152="","",N(Produtos!I152))</f>
        <v>0</v>
      </c>
      <c r="J152" s="26">
        <f>IF($A152="","",IF(I152&gt;0,ROUNDUP(I152*FatMax,0),""))</f>
        <v>0</v>
      </c>
      <c r="K152" s="24">
        <f>IF($A152="","",N(Produtos!F152))</f>
        <v>0</v>
      </c>
      <c r="L152" s="24">
        <f>IF($A152="","",H152*K152)</f>
        <v>0</v>
      </c>
      <c r="M152" s="26">
        <f>IF($A152="","",SUMIFS(MovQtd,MovCod,$A152,MovTipo,"Saída",MovData,"&gt;="&amp;(Hoje-DiasAn),MovData,"&lt;="&amp;Hoje))</f>
        <v>0</v>
      </c>
      <c r="N152" s="28">
        <f>IF($A152="","",M152/DiasAn)</f>
        <v>0</v>
      </c>
      <c r="O152" s="29">
        <f>IF($A152="","",IF(N152&gt;0,H152/N152,"sem giro"))</f>
        <v>0</v>
      </c>
      <c r="P152" s="30">
        <f>IF($A152="","",SUMPRODUCT(MAX((MovCod=$A152)*(MovTipo="Saída")*MovData)))</f>
        <v>0</v>
      </c>
      <c r="Q152" s="31">
        <f>IF($A152="","",IF(H152&lt;=0,"RUPTURA",IF(AND(I152&gt;0,H152&lt;=I152),"REPOR",IF(AND(J152&lt;&gt;"",H152&gt;J152),"EXCESSO","OK"))))</f>
        <v>0</v>
      </c>
      <c r="R152" s="25">
        <f>IF($A152="","",IF(AND(H152&gt;0,OR(P152=0,Hoje-P152&gt;DiasParado)),"Parado",""))</f>
        <v>0</v>
      </c>
      <c r="S152" s="26">
        <f>IF($A152="","",IF(OR(Q152="RUPTURA",Q152="REPOR"),IF(J152="",0,MAX(0,J152-H152)),0))</f>
        <v>0</v>
      </c>
      <c r="T152" s="24">
        <f>IF($A152="","",M152*IF(N(Produtos!G152)&gt;0,Produtos!G152,K152))</f>
        <v>0</v>
      </c>
      <c r="U152" s="32">
        <f>IF($A152="","",IF(T152&gt;0,T152+ROW()/1000000000,""))</f>
        <v>0</v>
      </c>
      <c r="V152" s="31">
        <f>IF($A152="","",IF(U152="","C",INDEX('Curva ABC'!$H$5:$H$304,MATCH(U152,'Curva ABC'!$B$5:$B$304,0))))</f>
        <v>0</v>
      </c>
      <c r="W152" s="24">
        <f>IF($A152="","",IF(R152="Parado",L152,0))</f>
        <v>0</v>
      </c>
      <c r="X152" s="33">
        <f>IF($A152="","",IF(OR(Q152="RUPTURA",Q152="REPOR"),COUNTIF($Q$5:Q152,"RUPTURA")+COUNTIF($Q$5:Q152,"REPOR"),""))</f>
        <v>0</v>
      </c>
    </row>
    <row r="153" spans="1:24">
      <c r="A153" s="23">
        <f>IF(Produtos!A153="","",Produtos!A153)</f>
        <v>0</v>
      </c>
      <c r="B153" s="23">
        <f>IF($A153="","",Produtos!B153&amp;"")</f>
        <v>0</v>
      </c>
      <c r="C153" s="23">
        <f>IF($A153="","",Produtos!C153&amp;"")</f>
        <v>0</v>
      </c>
      <c r="D153" s="25">
        <f>IF($A153="","",Produtos!D153&amp;"")</f>
        <v>0</v>
      </c>
      <c r="E153" s="26">
        <f>IF($A153="","",N(Produtos!H153))</f>
        <v>0</v>
      </c>
      <c r="F153" s="26">
        <f>IF($A153="","",SUMIFS(MovQtd,MovCod,$A153,MovTipo,"Entrada"))</f>
        <v>0</v>
      </c>
      <c r="G153" s="26">
        <f>IF($A153="","",SUMIFS(MovQtd,MovCod,$A153,MovTipo,"Saída"))</f>
        <v>0</v>
      </c>
      <c r="H153" s="27">
        <f>IF($A153="","",E153+F153-G153)</f>
        <v>0</v>
      </c>
      <c r="I153" s="26">
        <f>IF($A153="","",N(Produtos!I153))</f>
        <v>0</v>
      </c>
      <c r="J153" s="26">
        <f>IF($A153="","",IF(I153&gt;0,ROUNDUP(I153*FatMax,0),""))</f>
        <v>0</v>
      </c>
      <c r="K153" s="24">
        <f>IF($A153="","",N(Produtos!F153))</f>
        <v>0</v>
      </c>
      <c r="L153" s="24">
        <f>IF($A153="","",H153*K153)</f>
        <v>0</v>
      </c>
      <c r="M153" s="26">
        <f>IF($A153="","",SUMIFS(MovQtd,MovCod,$A153,MovTipo,"Saída",MovData,"&gt;="&amp;(Hoje-DiasAn),MovData,"&lt;="&amp;Hoje))</f>
        <v>0</v>
      </c>
      <c r="N153" s="28">
        <f>IF($A153="","",M153/DiasAn)</f>
        <v>0</v>
      </c>
      <c r="O153" s="29">
        <f>IF($A153="","",IF(N153&gt;0,H153/N153,"sem giro"))</f>
        <v>0</v>
      </c>
      <c r="P153" s="30">
        <f>IF($A153="","",SUMPRODUCT(MAX((MovCod=$A153)*(MovTipo="Saída")*MovData)))</f>
        <v>0</v>
      </c>
      <c r="Q153" s="31">
        <f>IF($A153="","",IF(H153&lt;=0,"RUPTURA",IF(AND(I153&gt;0,H153&lt;=I153),"REPOR",IF(AND(J153&lt;&gt;"",H153&gt;J153),"EXCESSO","OK"))))</f>
        <v>0</v>
      </c>
      <c r="R153" s="25">
        <f>IF($A153="","",IF(AND(H153&gt;0,OR(P153=0,Hoje-P153&gt;DiasParado)),"Parado",""))</f>
        <v>0</v>
      </c>
      <c r="S153" s="26">
        <f>IF($A153="","",IF(OR(Q153="RUPTURA",Q153="REPOR"),IF(J153="",0,MAX(0,J153-H153)),0))</f>
        <v>0</v>
      </c>
      <c r="T153" s="24">
        <f>IF($A153="","",M153*IF(N(Produtos!G153)&gt;0,Produtos!G153,K153))</f>
        <v>0</v>
      </c>
      <c r="U153" s="32">
        <f>IF($A153="","",IF(T153&gt;0,T153+ROW()/1000000000,""))</f>
        <v>0</v>
      </c>
      <c r="V153" s="31">
        <f>IF($A153="","",IF(U153="","C",INDEX('Curva ABC'!$H$5:$H$304,MATCH(U153,'Curva ABC'!$B$5:$B$304,0))))</f>
        <v>0</v>
      </c>
      <c r="W153" s="24">
        <f>IF($A153="","",IF(R153="Parado",L153,0))</f>
        <v>0</v>
      </c>
      <c r="X153" s="33">
        <f>IF($A153="","",IF(OR(Q153="RUPTURA",Q153="REPOR"),COUNTIF($Q$5:Q153,"RUPTURA")+COUNTIF($Q$5:Q153,"REPOR"),""))</f>
        <v>0</v>
      </c>
    </row>
    <row r="154" spans="1:24">
      <c r="A154" s="23">
        <f>IF(Produtos!A154="","",Produtos!A154)</f>
        <v>0</v>
      </c>
      <c r="B154" s="23">
        <f>IF($A154="","",Produtos!B154&amp;"")</f>
        <v>0</v>
      </c>
      <c r="C154" s="23">
        <f>IF($A154="","",Produtos!C154&amp;"")</f>
        <v>0</v>
      </c>
      <c r="D154" s="25">
        <f>IF($A154="","",Produtos!D154&amp;"")</f>
        <v>0</v>
      </c>
      <c r="E154" s="26">
        <f>IF($A154="","",N(Produtos!H154))</f>
        <v>0</v>
      </c>
      <c r="F154" s="26">
        <f>IF($A154="","",SUMIFS(MovQtd,MovCod,$A154,MovTipo,"Entrada"))</f>
        <v>0</v>
      </c>
      <c r="G154" s="26">
        <f>IF($A154="","",SUMIFS(MovQtd,MovCod,$A154,MovTipo,"Saída"))</f>
        <v>0</v>
      </c>
      <c r="H154" s="27">
        <f>IF($A154="","",E154+F154-G154)</f>
        <v>0</v>
      </c>
      <c r="I154" s="26">
        <f>IF($A154="","",N(Produtos!I154))</f>
        <v>0</v>
      </c>
      <c r="J154" s="26">
        <f>IF($A154="","",IF(I154&gt;0,ROUNDUP(I154*FatMax,0),""))</f>
        <v>0</v>
      </c>
      <c r="K154" s="24">
        <f>IF($A154="","",N(Produtos!F154))</f>
        <v>0</v>
      </c>
      <c r="L154" s="24">
        <f>IF($A154="","",H154*K154)</f>
        <v>0</v>
      </c>
      <c r="M154" s="26">
        <f>IF($A154="","",SUMIFS(MovQtd,MovCod,$A154,MovTipo,"Saída",MovData,"&gt;="&amp;(Hoje-DiasAn),MovData,"&lt;="&amp;Hoje))</f>
        <v>0</v>
      </c>
      <c r="N154" s="28">
        <f>IF($A154="","",M154/DiasAn)</f>
        <v>0</v>
      </c>
      <c r="O154" s="29">
        <f>IF($A154="","",IF(N154&gt;0,H154/N154,"sem giro"))</f>
        <v>0</v>
      </c>
      <c r="P154" s="30">
        <f>IF($A154="","",SUMPRODUCT(MAX((MovCod=$A154)*(MovTipo="Saída")*MovData)))</f>
        <v>0</v>
      </c>
      <c r="Q154" s="31">
        <f>IF($A154="","",IF(H154&lt;=0,"RUPTURA",IF(AND(I154&gt;0,H154&lt;=I154),"REPOR",IF(AND(J154&lt;&gt;"",H154&gt;J154),"EXCESSO","OK"))))</f>
        <v>0</v>
      </c>
      <c r="R154" s="25">
        <f>IF($A154="","",IF(AND(H154&gt;0,OR(P154=0,Hoje-P154&gt;DiasParado)),"Parado",""))</f>
        <v>0</v>
      </c>
      <c r="S154" s="26">
        <f>IF($A154="","",IF(OR(Q154="RUPTURA",Q154="REPOR"),IF(J154="",0,MAX(0,J154-H154)),0))</f>
        <v>0</v>
      </c>
      <c r="T154" s="24">
        <f>IF($A154="","",M154*IF(N(Produtos!G154)&gt;0,Produtos!G154,K154))</f>
        <v>0</v>
      </c>
      <c r="U154" s="32">
        <f>IF($A154="","",IF(T154&gt;0,T154+ROW()/1000000000,""))</f>
        <v>0</v>
      </c>
      <c r="V154" s="31">
        <f>IF($A154="","",IF(U154="","C",INDEX('Curva ABC'!$H$5:$H$304,MATCH(U154,'Curva ABC'!$B$5:$B$304,0))))</f>
        <v>0</v>
      </c>
      <c r="W154" s="24">
        <f>IF($A154="","",IF(R154="Parado",L154,0))</f>
        <v>0</v>
      </c>
      <c r="X154" s="33">
        <f>IF($A154="","",IF(OR(Q154="RUPTURA",Q154="REPOR"),COUNTIF($Q$5:Q154,"RUPTURA")+COUNTIF($Q$5:Q154,"REPOR"),""))</f>
        <v>0</v>
      </c>
    </row>
    <row r="155" spans="1:24">
      <c r="A155" s="23">
        <f>IF(Produtos!A155="","",Produtos!A155)</f>
        <v>0</v>
      </c>
      <c r="B155" s="23">
        <f>IF($A155="","",Produtos!B155&amp;"")</f>
        <v>0</v>
      </c>
      <c r="C155" s="23">
        <f>IF($A155="","",Produtos!C155&amp;"")</f>
        <v>0</v>
      </c>
      <c r="D155" s="25">
        <f>IF($A155="","",Produtos!D155&amp;"")</f>
        <v>0</v>
      </c>
      <c r="E155" s="26">
        <f>IF($A155="","",N(Produtos!H155))</f>
        <v>0</v>
      </c>
      <c r="F155" s="26">
        <f>IF($A155="","",SUMIFS(MovQtd,MovCod,$A155,MovTipo,"Entrada"))</f>
        <v>0</v>
      </c>
      <c r="G155" s="26">
        <f>IF($A155="","",SUMIFS(MovQtd,MovCod,$A155,MovTipo,"Saída"))</f>
        <v>0</v>
      </c>
      <c r="H155" s="27">
        <f>IF($A155="","",E155+F155-G155)</f>
        <v>0</v>
      </c>
      <c r="I155" s="26">
        <f>IF($A155="","",N(Produtos!I155))</f>
        <v>0</v>
      </c>
      <c r="J155" s="26">
        <f>IF($A155="","",IF(I155&gt;0,ROUNDUP(I155*FatMax,0),""))</f>
        <v>0</v>
      </c>
      <c r="K155" s="24">
        <f>IF($A155="","",N(Produtos!F155))</f>
        <v>0</v>
      </c>
      <c r="L155" s="24">
        <f>IF($A155="","",H155*K155)</f>
        <v>0</v>
      </c>
      <c r="M155" s="26">
        <f>IF($A155="","",SUMIFS(MovQtd,MovCod,$A155,MovTipo,"Saída",MovData,"&gt;="&amp;(Hoje-DiasAn),MovData,"&lt;="&amp;Hoje))</f>
        <v>0</v>
      </c>
      <c r="N155" s="28">
        <f>IF($A155="","",M155/DiasAn)</f>
        <v>0</v>
      </c>
      <c r="O155" s="29">
        <f>IF($A155="","",IF(N155&gt;0,H155/N155,"sem giro"))</f>
        <v>0</v>
      </c>
      <c r="P155" s="30">
        <f>IF($A155="","",SUMPRODUCT(MAX((MovCod=$A155)*(MovTipo="Saída")*MovData)))</f>
        <v>0</v>
      </c>
      <c r="Q155" s="31">
        <f>IF($A155="","",IF(H155&lt;=0,"RUPTURA",IF(AND(I155&gt;0,H155&lt;=I155),"REPOR",IF(AND(J155&lt;&gt;"",H155&gt;J155),"EXCESSO","OK"))))</f>
        <v>0</v>
      </c>
      <c r="R155" s="25">
        <f>IF($A155="","",IF(AND(H155&gt;0,OR(P155=0,Hoje-P155&gt;DiasParado)),"Parado",""))</f>
        <v>0</v>
      </c>
      <c r="S155" s="26">
        <f>IF($A155="","",IF(OR(Q155="RUPTURA",Q155="REPOR"),IF(J155="",0,MAX(0,J155-H155)),0))</f>
        <v>0</v>
      </c>
      <c r="T155" s="24">
        <f>IF($A155="","",M155*IF(N(Produtos!G155)&gt;0,Produtos!G155,K155))</f>
        <v>0</v>
      </c>
      <c r="U155" s="32">
        <f>IF($A155="","",IF(T155&gt;0,T155+ROW()/1000000000,""))</f>
        <v>0</v>
      </c>
      <c r="V155" s="31">
        <f>IF($A155="","",IF(U155="","C",INDEX('Curva ABC'!$H$5:$H$304,MATCH(U155,'Curva ABC'!$B$5:$B$304,0))))</f>
        <v>0</v>
      </c>
      <c r="W155" s="24">
        <f>IF($A155="","",IF(R155="Parado",L155,0))</f>
        <v>0</v>
      </c>
      <c r="X155" s="33">
        <f>IF($A155="","",IF(OR(Q155="RUPTURA",Q155="REPOR"),COUNTIF($Q$5:Q155,"RUPTURA")+COUNTIF($Q$5:Q155,"REPOR"),""))</f>
        <v>0</v>
      </c>
    </row>
    <row r="156" spans="1:24">
      <c r="A156" s="23">
        <f>IF(Produtos!A156="","",Produtos!A156)</f>
        <v>0</v>
      </c>
      <c r="B156" s="23">
        <f>IF($A156="","",Produtos!B156&amp;"")</f>
        <v>0</v>
      </c>
      <c r="C156" s="23">
        <f>IF($A156="","",Produtos!C156&amp;"")</f>
        <v>0</v>
      </c>
      <c r="D156" s="25">
        <f>IF($A156="","",Produtos!D156&amp;"")</f>
        <v>0</v>
      </c>
      <c r="E156" s="26">
        <f>IF($A156="","",N(Produtos!H156))</f>
        <v>0</v>
      </c>
      <c r="F156" s="26">
        <f>IF($A156="","",SUMIFS(MovQtd,MovCod,$A156,MovTipo,"Entrada"))</f>
        <v>0</v>
      </c>
      <c r="G156" s="26">
        <f>IF($A156="","",SUMIFS(MovQtd,MovCod,$A156,MovTipo,"Saída"))</f>
        <v>0</v>
      </c>
      <c r="H156" s="27">
        <f>IF($A156="","",E156+F156-G156)</f>
        <v>0</v>
      </c>
      <c r="I156" s="26">
        <f>IF($A156="","",N(Produtos!I156))</f>
        <v>0</v>
      </c>
      <c r="J156" s="26">
        <f>IF($A156="","",IF(I156&gt;0,ROUNDUP(I156*FatMax,0),""))</f>
        <v>0</v>
      </c>
      <c r="K156" s="24">
        <f>IF($A156="","",N(Produtos!F156))</f>
        <v>0</v>
      </c>
      <c r="L156" s="24">
        <f>IF($A156="","",H156*K156)</f>
        <v>0</v>
      </c>
      <c r="M156" s="26">
        <f>IF($A156="","",SUMIFS(MovQtd,MovCod,$A156,MovTipo,"Saída",MovData,"&gt;="&amp;(Hoje-DiasAn),MovData,"&lt;="&amp;Hoje))</f>
        <v>0</v>
      </c>
      <c r="N156" s="28">
        <f>IF($A156="","",M156/DiasAn)</f>
        <v>0</v>
      </c>
      <c r="O156" s="29">
        <f>IF($A156="","",IF(N156&gt;0,H156/N156,"sem giro"))</f>
        <v>0</v>
      </c>
      <c r="P156" s="30">
        <f>IF($A156="","",SUMPRODUCT(MAX((MovCod=$A156)*(MovTipo="Saída")*MovData)))</f>
        <v>0</v>
      </c>
      <c r="Q156" s="31">
        <f>IF($A156="","",IF(H156&lt;=0,"RUPTURA",IF(AND(I156&gt;0,H156&lt;=I156),"REPOR",IF(AND(J156&lt;&gt;"",H156&gt;J156),"EXCESSO","OK"))))</f>
        <v>0</v>
      </c>
      <c r="R156" s="25">
        <f>IF($A156="","",IF(AND(H156&gt;0,OR(P156=0,Hoje-P156&gt;DiasParado)),"Parado",""))</f>
        <v>0</v>
      </c>
      <c r="S156" s="26">
        <f>IF($A156="","",IF(OR(Q156="RUPTURA",Q156="REPOR"),IF(J156="",0,MAX(0,J156-H156)),0))</f>
        <v>0</v>
      </c>
      <c r="T156" s="24">
        <f>IF($A156="","",M156*IF(N(Produtos!G156)&gt;0,Produtos!G156,K156))</f>
        <v>0</v>
      </c>
      <c r="U156" s="32">
        <f>IF($A156="","",IF(T156&gt;0,T156+ROW()/1000000000,""))</f>
        <v>0</v>
      </c>
      <c r="V156" s="31">
        <f>IF($A156="","",IF(U156="","C",INDEX('Curva ABC'!$H$5:$H$304,MATCH(U156,'Curva ABC'!$B$5:$B$304,0))))</f>
        <v>0</v>
      </c>
      <c r="W156" s="24">
        <f>IF($A156="","",IF(R156="Parado",L156,0))</f>
        <v>0</v>
      </c>
      <c r="X156" s="33">
        <f>IF($A156="","",IF(OR(Q156="RUPTURA",Q156="REPOR"),COUNTIF($Q$5:Q156,"RUPTURA")+COUNTIF($Q$5:Q156,"REPOR"),""))</f>
        <v>0</v>
      </c>
    </row>
    <row r="157" spans="1:24">
      <c r="A157" s="23">
        <f>IF(Produtos!A157="","",Produtos!A157)</f>
        <v>0</v>
      </c>
      <c r="B157" s="23">
        <f>IF($A157="","",Produtos!B157&amp;"")</f>
        <v>0</v>
      </c>
      <c r="C157" s="23">
        <f>IF($A157="","",Produtos!C157&amp;"")</f>
        <v>0</v>
      </c>
      <c r="D157" s="25">
        <f>IF($A157="","",Produtos!D157&amp;"")</f>
        <v>0</v>
      </c>
      <c r="E157" s="26">
        <f>IF($A157="","",N(Produtos!H157))</f>
        <v>0</v>
      </c>
      <c r="F157" s="26">
        <f>IF($A157="","",SUMIFS(MovQtd,MovCod,$A157,MovTipo,"Entrada"))</f>
        <v>0</v>
      </c>
      <c r="G157" s="26">
        <f>IF($A157="","",SUMIFS(MovQtd,MovCod,$A157,MovTipo,"Saída"))</f>
        <v>0</v>
      </c>
      <c r="H157" s="27">
        <f>IF($A157="","",E157+F157-G157)</f>
        <v>0</v>
      </c>
      <c r="I157" s="26">
        <f>IF($A157="","",N(Produtos!I157))</f>
        <v>0</v>
      </c>
      <c r="J157" s="26">
        <f>IF($A157="","",IF(I157&gt;0,ROUNDUP(I157*FatMax,0),""))</f>
        <v>0</v>
      </c>
      <c r="K157" s="24">
        <f>IF($A157="","",N(Produtos!F157))</f>
        <v>0</v>
      </c>
      <c r="L157" s="24">
        <f>IF($A157="","",H157*K157)</f>
        <v>0</v>
      </c>
      <c r="M157" s="26">
        <f>IF($A157="","",SUMIFS(MovQtd,MovCod,$A157,MovTipo,"Saída",MovData,"&gt;="&amp;(Hoje-DiasAn),MovData,"&lt;="&amp;Hoje))</f>
        <v>0</v>
      </c>
      <c r="N157" s="28">
        <f>IF($A157="","",M157/DiasAn)</f>
        <v>0</v>
      </c>
      <c r="O157" s="29">
        <f>IF($A157="","",IF(N157&gt;0,H157/N157,"sem giro"))</f>
        <v>0</v>
      </c>
      <c r="P157" s="30">
        <f>IF($A157="","",SUMPRODUCT(MAX((MovCod=$A157)*(MovTipo="Saída")*MovData)))</f>
        <v>0</v>
      </c>
      <c r="Q157" s="31">
        <f>IF($A157="","",IF(H157&lt;=0,"RUPTURA",IF(AND(I157&gt;0,H157&lt;=I157),"REPOR",IF(AND(J157&lt;&gt;"",H157&gt;J157),"EXCESSO","OK"))))</f>
        <v>0</v>
      </c>
      <c r="R157" s="25">
        <f>IF($A157="","",IF(AND(H157&gt;0,OR(P157=0,Hoje-P157&gt;DiasParado)),"Parado",""))</f>
        <v>0</v>
      </c>
      <c r="S157" s="26">
        <f>IF($A157="","",IF(OR(Q157="RUPTURA",Q157="REPOR"),IF(J157="",0,MAX(0,J157-H157)),0))</f>
        <v>0</v>
      </c>
      <c r="T157" s="24">
        <f>IF($A157="","",M157*IF(N(Produtos!G157)&gt;0,Produtos!G157,K157))</f>
        <v>0</v>
      </c>
      <c r="U157" s="32">
        <f>IF($A157="","",IF(T157&gt;0,T157+ROW()/1000000000,""))</f>
        <v>0</v>
      </c>
      <c r="V157" s="31">
        <f>IF($A157="","",IF(U157="","C",INDEX('Curva ABC'!$H$5:$H$304,MATCH(U157,'Curva ABC'!$B$5:$B$304,0))))</f>
        <v>0</v>
      </c>
      <c r="W157" s="24">
        <f>IF($A157="","",IF(R157="Parado",L157,0))</f>
        <v>0</v>
      </c>
      <c r="X157" s="33">
        <f>IF($A157="","",IF(OR(Q157="RUPTURA",Q157="REPOR"),COUNTIF($Q$5:Q157,"RUPTURA")+COUNTIF($Q$5:Q157,"REPOR"),""))</f>
        <v>0</v>
      </c>
    </row>
    <row r="158" spans="1:24">
      <c r="A158" s="23">
        <f>IF(Produtos!A158="","",Produtos!A158)</f>
        <v>0</v>
      </c>
      <c r="B158" s="23">
        <f>IF($A158="","",Produtos!B158&amp;"")</f>
        <v>0</v>
      </c>
      <c r="C158" s="23">
        <f>IF($A158="","",Produtos!C158&amp;"")</f>
        <v>0</v>
      </c>
      <c r="D158" s="25">
        <f>IF($A158="","",Produtos!D158&amp;"")</f>
        <v>0</v>
      </c>
      <c r="E158" s="26">
        <f>IF($A158="","",N(Produtos!H158))</f>
        <v>0</v>
      </c>
      <c r="F158" s="26">
        <f>IF($A158="","",SUMIFS(MovQtd,MovCod,$A158,MovTipo,"Entrada"))</f>
        <v>0</v>
      </c>
      <c r="G158" s="26">
        <f>IF($A158="","",SUMIFS(MovQtd,MovCod,$A158,MovTipo,"Saída"))</f>
        <v>0</v>
      </c>
      <c r="H158" s="27">
        <f>IF($A158="","",E158+F158-G158)</f>
        <v>0</v>
      </c>
      <c r="I158" s="26">
        <f>IF($A158="","",N(Produtos!I158))</f>
        <v>0</v>
      </c>
      <c r="J158" s="26">
        <f>IF($A158="","",IF(I158&gt;0,ROUNDUP(I158*FatMax,0),""))</f>
        <v>0</v>
      </c>
      <c r="K158" s="24">
        <f>IF($A158="","",N(Produtos!F158))</f>
        <v>0</v>
      </c>
      <c r="L158" s="24">
        <f>IF($A158="","",H158*K158)</f>
        <v>0</v>
      </c>
      <c r="M158" s="26">
        <f>IF($A158="","",SUMIFS(MovQtd,MovCod,$A158,MovTipo,"Saída",MovData,"&gt;="&amp;(Hoje-DiasAn),MovData,"&lt;="&amp;Hoje))</f>
        <v>0</v>
      </c>
      <c r="N158" s="28">
        <f>IF($A158="","",M158/DiasAn)</f>
        <v>0</v>
      </c>
      <c r="O158" s="29">
        <f>IF($A158="","",IF(N158&gt;0,H158/N158,"sem giro"))</f>
        <v>0</v>
      </c>
      <c r="P158" s="30">
        <f>IF($A158="","",SUMPRODUCT(MAX((MovCod=$A158)*(MovTipo="Saída")*MovData)))</f>
        <v>0</v>
      </c>
      <c r="Q158" s="31">
        <f>IF($A158="","",IF(H158&lt;=0,"RUPTURA",IF(AND(I158&gt;0,H158&lt;=I158),"REPOR",IF(AND(J158&lt;&gt;"",H158&gt;J158),"EXCESSO","OK"))))</f>
        <v>0</v>
      </c>
      <c r="R158" s="25">
        <f>IF($A158="","",IF(AND(H158&gt;0,OR(P158=0,Hoje-P158&gt;DiasParado)),"Parado",""))</f>
        <v>0</v>
      </c>
      <c r="S158" s="26">
        <f>IF($A158="","",IF(OR(Q158="RUPTURA",Q158="REPOR"),IF(J158="",0,MAX(0,J158-H158)),0))</f>
        <v>0</v>
      </c>
      <c r="T158" s="24">
        <f>IF($A158="","",M158*IF(N(Produtos!G158)&gt;0,Produtos!G158,K158))</f>
        <v>0</v>
      </c>
      <c r="U158" s="32">
        <f>IF($A158="","",IF(T158&gt;0,T158+ROW()/1000000000,""))</f>
        <v>0</v>
      </c>
      <c r="V158" s="31">
        <f>IF($A158="","",IF(U158="","C",INDEX('Curva ABC'!$H$5:$H$304,MATCH(U158,'Curva ABC'!$B$5:$B$304,0))))</f>
        <v>0</v>
      </c>
      <c r="W158" s="24">
        <f>IF($A158="","",IF(R158="Parado",L158,0))</f>
        <v>0</v>
      </c>
      <c r="X158" s="33">
        <f>IF($A158="","",IF(OR(Q158="RUPTURA",Q158="REPOR"),COUNTIF($Q$5:Q158,"RUPTURA")+COUNTIF($Q$5:Q158,"REPOR"),""))</f>
        <v>0</v>
      </c>
    </row>
    <row r="159" spans="1:24">
      <c r="A159" s="23">
        <f>IF(Produtos!A159="","",Produtos!A159)</f>
        <v>0</v>
      </c>
      <c r="B159" s="23">
        <f>IF($A159="","",Produtos!B159&amp;"")</f>
        <v>0</v>
      </c>
      <c r="C159" s="23">
        <f>IF($A159="","",Produtos!C159&amp;"")</f>
        <v>0</v>
      </c>
      <c r="D159" s="25">
        <f>IF($A159="","",Produtos!D159&amp;"")</f>
        <v>0</v>
      </c>
      <c r="E159" s="26">
        <f>IF($A159="","",N(Produtos!H159))</f>
        <v>0</v>
      </c>
      <c r="F159" s="26">
        <f>IF($A159="","",SUMIFS(MovQtd,MovCod,$A159,MovTipo,"Entrada"))</f>
        <v>0</v>
      </c>
      <c r="G159" s="26">
        <f>IF($A159="","",SUMIFS(MovQtd,MovCod,$A159,MovTipo,"Saída"))</f>
        <v>0</v>
      </c>
      <c r="H159" s="27">
        <f>IF($A159="","",E159+F159-G159)</f>
        <v>0</v>
      </c>
      <c r="I159" s="26">
        <f>IF($A159="","",N(Produtos!I159))</f>
        <v>0</v>
      </c>
      <c r="J159" s="26">
        <f>IF($A159="","",IF(I159&gt;0,ROUNDUP(I159*FatMax,0),""))</f>
        <v>0</v>
      </c>
      <c r="K159" s="24">
        <f>IF($A159="","",N(Produtos!F159))</f>
        <v>0</v>
      </c>
      <c r="L159" s="24">
        <f>IF($A159="","",H159*K159)</f>
        <v>0</v>
      </c>
      <c r="M159" s="26">
        <f>IF($A159="","",SUMIFS(MovQtd,MovCod,$A159,MovTipo,"Saída",MovData,"&gt;="&amp;(Hoje-DiasAn),MovData,"&lt;="&amp;Hoje))</f>
        <v>0</v>
      </c>
      <c r="N159" s="28">
        <f>IF($A159="","",M159/DiasAn)</f>
        <v>0</v>
      </c>
      <c r="O159" s="29">
        <f>IF($A159="","",IF(N159&gt;0,H159/N159,"sem giro"))</f>
        <v>0</v>
      </c>
      <c r="P159" s="30">
        <f>IF($A159="","",SUMPRODUCT(MAX((MovCod=$A159)*(MovTipo="Saída")*MovData)))</f>
        <v>0</v>
      </c>
      <c r="Q159" s="31">
        <f>IF($A159="","",IF(H159&lt;=0,"RUPTURA",IF(AND(I159&gt;0,H159&lt;=I159),"REPOR",IF(AND(J159&lt;&gt;"",H159&gt;J159),"EXCESSO","OK"))))</f>
        <v>0</v>
      </c>
      <c r="R159" s="25">
        <f>IF($A159="","",IF(AND(H159&gt;0,OR(P159=0,Hoje-P159&gt;DiasParado)),"Parado",""))</f>
        <v>0</v>
      </c>
      <c r="S159" s="26">
        <f>IF($A159="","",IF(OR(Q159="RUPTURA",Q159="REPOR"),IF(J159="",0,MAX(0,J159-H159)),0))</f>
        <v>0</v>
      </c>
      <c r="T159" s="24">
        <f>IF($A159="","",M159*IF(N(Produtos!G159)&gt;0,Produtos!G159,K159))</f>
        <v>0</v>
      </c>
      <c r="U159" s="32">
        <f>IF($A159="","",IF(T159&gt;0,T159+ROW()/1000000000,""))</f>
        <v>0</v>
      </c>
      <c r="V159" s="31">
        <f>IF($A159="","",IF(U159="","C",INDEX('Curva ABC'!$H$5:$H$304,MATCH(U159,'Curva ABC'!$B$5:$B$304,0))))</f>
        <v>0</v>
      </c>
      <c r="W159" s="24">
        <f>IF($A159="","",IF(R159="Parado",L159,0))</f>
        <v>0</v>
      </c>
      <c r="X159" s="33">
        <f>IF($A159="","",IF(OR(Q159="RUPTURA",Q159="REPOR"),COUNTIF($Q$5:Q159,"RUPTURA")+COUNTIF($Q$5:Q159,"REPOR"),""))</f>
        <v>0</v>
      </c>
    </row>
    <row r="160" spans="1:24">
      <c r="A160" s="23">
        <f>IF(Produtos!A160="","",Produtos!A160)</f>
        <v>0</v>
      </c>
      <c r="B160" s="23">
        <f>IF($A160="","",Produtos!B160&amp;"")</f>
        <v>0</v>
      </c>
      <c r="C160" s="23">
        <f>IF($A160="","",Produtos!C160&amp;"")</f>
        <v>0</v>
      </c>
      <c r="D160" s="25">
        <f>IF($A160="","",Produtos!D160&amp;"")</f>
        <v>0</v>
      </c>
      <c r="E160" s="26">
        <f>IF($A160="","",N(Produtos!H160))</f>
        <v>0</v>
      </c>
      <c r="F160" s="26">
        <f>IF($A160="","",SUMIFS(MovQtd,MovCod,$A160,MovTipo,"Entrada"))</f>
        <v>0</v>
      </c>
      <c r="G160" s="26">
        <f>IF($A160="","",SUMIFS(MovQtd,MovCod,$A160,MovTipo,"Saída"))</f>
        <v>0</v>
      </c>
      <c r="H160" s="27">
        <f>IF($A160="","",E160+F160-G160)</f>
        <v>0</v>
      </c>
      <c r="I160" s="26">
        <f>IF($A160="","",N(Produtos!I160))</f>
        <v>0</v>
      </c>
      <c r="J160" s="26">
        <f>IF($A160="","",IF(I160&gt;0,ROUNDUP(I160*FatMax,0),""))</f>
        <v>0</v>
      </c>
      <c r="K160" s="24">
        <f>IF($A160="","",N(Produtos!F160))</f>
        <v>0</v>
      </c>
      <c r="L160" s="24">
        <f>IF($A160="","",H160*K160)</f>
        <v>0</v>
      </c>
      <c r="M160" s="26">
        <f>IF($A160="","",SUMIFS(MovQtd,MovCod,$A160,MovTipo,"Saída",MovData,"&gt;="&amp;(Hoje-DiasAn),MovData,"&lt;="&amp;Hoje))</f>
        <v>0</v>
      </c>
      <c r="N160" s="28">
        <f>IF($A160="","",M160/DiasAn)</f>
        <v>0</v>
      </c>
      <c r="O160" s="29">
        <f>IF($A160="","",IF(N160&gt;0,H160/N160,"sem giro"))</f>
        <v>0</v>
      </c>
      <c r="P160" s="30">
        <f>IF($A160="","",SUMPRODUCT(MAX((MovCod=$A160)*(MovTipo="Saída")*MovData)))</f>
        <v>0</v>
      </c>
      <c r="Q160" s="31">
        <f>IF($A160="","",IF(H160&lt;=0,"RUPTURA",IF(AND(I160&gt;0,H160&lt;=I160),"REPOR",IF(AND(J160&lt;&gt;"",H160&gt;J160),"EXCESSO","OK"))))</f>
        <v>0</v>
      </c>
      <c r="R160" s="25">
        <f>IF($A160="","",IF(AND(H160&gt;0,OR(P160=0,Hoje-P160&gt;DiasParado)),"Parado",""))</f>
        <v>0</v>
      </c>
      <c r="S160" s="26">
        <f>IF($A160="","",IF(OR(Q160="RUPTURA",Q160="REPOR"),IF(J160="",0,MAX(0,J160-H160)),0))</f>
        <v>0</v>
      </c>
      <c r="T160" s="24">
        <f>IF($A160="","",M160*IF(N(Produtos!G160)&gt;0,Produtos!G160,K160))</f>
        <v>0</v>
      </c>
      <c r="U160" s="32">
        <f>IF($A160="","",IF(T160&gt;0,T160+ROW()/1000000000,""))</f>
        <v>0</v>
      </c>
      <c r="V160" s="31">
        <f>IF($A160="","",IF(U160="","C",INDEX('Curva ABC'!$H$5:$H$304,MATCH(U160,'Curva ABC'!$B$5:$B$304,0))))</f>
        <v>0</v>
      </c>
      <c r="W160" s="24">
        <f>IF($A160="","",IF(R160="Parado",L160,0))</f>
        <v>0</v>
      </c>
      <c r="X160" s="33">
        <f>IF($A160="","",IF(OR(Q160="RUPTURA",Q160="REPOR"),COUNTIF($Q$5:Q160,"RUPTURA")+COUNTIF($Q$5:Q160,"REPOR"),""))</f>
        <v>0</v>
      </c>
    </row>
    <row r="161" spans="1:24">
      <c r="A161" s="23">
        <f>IF(Produtos!A161="","",Produtos!A161)</f>
        <v>0</v>
      </c>
      <c r="B161" s="23">
        <f>IF($A161="","",Produtos!B161&amp;"")</f>
        <v>0</v>
      </c>
      <c r="C161" s="23">
        <f>IF($A161="","",Produtos!C161&amp;"")</f>
        <v>0</v>
      </c>
      <c r="D161" s="25">
        <f>IF($A161="","",Produtos!D161&amp;"")</f>
        <v>0</v>
      </c>
      <c r="E161" s="26">
        <f>IF($A161="","",N(Produtos!H161))</f>
        <v>0</v>
      </c>
      <c r="F161" s="26">
        <f>IF($A161="","",SUMIFS(MovQtd,MovCod,$A161,MovTipo,"Entrada"))</f>
        <v>0</v>
      </c>
      <c r="G161" s="26">
        <f>IF($A161="","",SUMIFS(MovQtd,MovCod,$A161,MovTipo,"Saída"))</f>
        <v>0</v>
      </c>
      <c r="H161" s="27">
        <f>IF($A161="","",E161+F161-G161)</f>
        <v>0</v>
      </c>
      <c r="I161" s="26">
        <f>IF($A161="","",N(Produtos!I161))</f>
        <v>0</v>
      </c>
      <c r="J161" s="26">
        <f>IF($A161="","",IF(I161&gt;0,ROUNDUP(I161*FatMax,0),""))</f>
        <v>0</v>
      </c>
      <c r="K161" s="24">
        <f>IF($A161="","",N(Produtos!F161))</f>
        <v>0</v>
      </c>
      <c r="L161" s="24">
        <f>IF($A161="","",H161*K161)</f>
        <v>0</v>
      </c>
      <c r="M161" s="26">
        <f>IF($A161="","",SUMIFS(MovQtd,MovCod,$A161,MovTipo,"Saída",MovData,"&gt;="&amp;(Hoje-DiasAn),MovData,"&lt;="&amp;Hoje))</f>
        <v>0</v>
      </c>
      <c r="N161" s="28">
        <f>IF($A161="","",M161/DiasAn)</f>
        <v>0</v>
      </c>
      <c r="O161" s="29">
        <f>IF($A161="","",IF(N161&gt;0,H161/N161,"sem giro"))</f>
        <v>0</v>
      </c>
      <c r="P161" s="30">
        <f>IF($A161="","",SUMPRODUCT(MAX((MovCod=$A161)*(MovTipo="Saída")*MovData)))</f>
        <v>0</v>
      </c>
      <c r="Q161" s="31">
        <f>IF($A161="","",IF(H161&lt;=0,"RUPTURA",IF(AND(I161&gt;0,H161&lt;=I161),"REPOR",IF(AND(J161&lt;&gt;"",H161&gt;J161),"EXCESSO","OK"))))</f>
        <v>0</v>
      </c>
      <c r="R161" s="25">
        <f>IF($A161="","",IF(AND(H161&gt;0,OR(P161=0,Hoje-P161&gt;DiasParado)),"Parado",""))</f>
        <v>0</v>
      </c>
      <c r="S161" s="26">
        <f>IF($A161="","",IF(OR(Q161="RUPTURA",Q161="REPOR"),IF(J161="",0,MAX(0,J161-H161)),0))</f>
        <v>0</v>
      </c>
      <c r="T161" s="24">
        <f>IF($A161="","",M161*IF(N(Produtos!G161)&gt;0,Produtos!G161,K161))</f>
        <v>0</v>
      </c>
      <c r="U161" s="32">
        <f>IF($A161="","",IF(T161&gt;0,T161+ROW()/1000000000,""))</f>
        <v>0</v>
      </c>
      <c r="V161" s="31">
        <f>IF($A161="","",IF(U161="","C",INDEX('Curva ABC'!$H$5:$H$304,MATCH(U161,'Curva ABC'!$B$5:$B$304,0))))</f>
        <v>0</v>
      </c>
      <c r="W161" s="24">
        <f>IF($A161="","",IF(R161="Parado",L161,0))</f>
        <v>0</v>
      </c>
      <c r="X161" s="33">
        <f>IF($A161="","",IF(OR(Q161="RUPTURA",Q161="REPOR"),COUNTIF($Q$5:Q161,"RUPTURA")+COUNTIF($Q$5:Q161,"REPOR"),""))</f>
        <v>0</v>
      </c>
    </row>
    <row r="162" spans="1:24">
      <c r="A162" s="23">
        <f>IF(Produtos!A162="","",Produtos!A162)</f>
        <v>0</v>
      </c>
      <c r="B162" s="23">
        <f>IF($A162="","",Produtos!B162&amp;"")</f>
        <v>0</v>
      </c>
      <c r="C162" s="23">
        <f>IF($A162="","",Produtos!C162&amp;"")</f>
        <v>0</v>
      </c>
      <c r="D162" s="25">
        <f>IF($A162="","",Produtos!D162&amp;"")</f>
        <v>0</v>
      </c>
      <c r="E162" s="26">
        <f>IF($A162="","",N(Produtos!H162))</f>
        <v>0</v>
      </c>
      <c r="F162" s="26">
        <f>IF($A162="","",SUMIFS(MovQtd,MovCod,$A162,MovTipo,"Entrada"))</f>
        <v>0</v>
      </c>
      <c r="G162" s="26">
        <f>IF($A162="","",SUMIFS(MovQtd,MovCod,$A162,MovTipo,"Saída"))</f>
        <v>0</v>
      </c>
      <c r="H162" s="27">
        <f>IF($A162="","",E162+F162-G162)</f>
        <v>0</v>
      </c>
      <c r="I162" s="26">
        <f>IF($A162="","",N(Produtos!I162))</f>
        <v>0</v>
      </c>
      <c r="J162" s="26">
        <f>IF($A162="","",IF(I162&gt;0,ROUNDUP(I162*FatMax,0),""))</f>
        <v>0</v>
      </c>
      <c r="K162" s="24">
        <f>IF($A162="","",N(Produtos!F162))</f>
        <v>0</v>
      </c>
      <c r="L162" s="24">
        <f>IF($A162="","",H162*K162)</f>
        <v>0</v>
      </c>
      <c r="M162" s="26">
        <f>IF($A162="","",SUMIFS(MovQtd,MovCod,$A162,MovTipo,"Saída",MovData,"&gt;="&amp;(Hoje-DiasAn),MovData,"&lt;="&amp;Hoje))</f>
        <v>0</v>
      </c>
      <c r="N162" s="28">
        <f>IF($A162="","",M162/DiasAn)</f>
        <v>0</v>
      </c>
      <c r="O162" s="29">
        <f>IF($A162="","",IF(N162&gt;0,H162/N162,"sem giro"))</f>
        <v>0</v>
      </c>
      <c r="P162" s="30">
        <f>IF($A162="","",SUMPRODUCT(MAX((MovCod=$A162)*(MovTipo="Saída")*MovData)))</f>
        <v>0</v>
      </c>
      <c r="Q162" s="31">
        <f>IF($A162="","",IF(H162&lt;=0,"RUPTURA",IF(AND(I162&gt;0,H162&lt;=I162),"REPOR",IF(AND(J162&lt;&gt;"",H162&gt;J162),"EXCESSO","OK"))))</f>
        <v>0</v>
      </c>
      <c r="R162" s="25">
        <f>IF($A162="","",IF(AND(H162&gt;0,OR(P162=0,Hoje-P162&gt;DiasParado)),"Parado",""))</f>
        <v>0</v>
      </c>
      <c r="S162" s="26">
        <f>IF($A162="","",IF(OR(Q162="RUPTURA",Q162="REPOR"),IF(J162="",0,MAX(0,J162-H162)),0))</f>
        <v>0</v>
      </c>
      <c r="T162" s="24">
        <f>IF($A162="","",M162*IF(N(Produtos!G162)&gt;0,Produtos!G162,K162))</f>
        <v>0</v>
      </c>
      <c r="U162" s="32">
        <f>IF($A162="","",IF(T162&gt;0,T162+ROW()/1000000000,""))</f>
        <v>0</v>
      </c>
      <c r="V162" s="31">
        <f>IF($A162="","",IF(U162="","C",INDEX('Curva ABC'!$H$5:$H$304,MATCH(U162,'Curva ABC'!$B$5:$B$304,0))))</f>
        <v>0</v>
      </c>
      <c r="W162" s="24">
        <f>IF($A162="","",IF(R162="Parado",L162,0))</f>
        <v>0</v>
      </c>
      <c r="X162" s="33">
        <f>IF($A162="","",IF(OR(Q162="RUPTURA",Q162="REPOR"),COUNTIF($Q$5:Q162,"RUPTURA")+COUNTIF($Q$5:Q162,"REPOR"),""))</f>
        <v>0</v>
      </c>
    </row>
    <row r="163" spans="1:24">
      <c r="A163" s="23">
        <f>IF(Produtos!A163="","",Produtos!A163)</f>
        <v>0</v>
      </c>
      <c r="B163" s="23">
        <f>IF($A163="","",Produtos!B163&amp;"")</f>
        <v>0</v>
      </c>
      <c r="C163" s="23">
        <f>IF($A163="","",Produtos!C163&amp;"")</f>
        <v>0</v>
      </c>
      <c r="D163" s="25">
        <f>IF($A163="","",Produtos!D163&amp;"")</f>
        <v>0</v>
      </c>
      <c r="E163" s="26">
        <f>IF($A163="","",N(Produtos!H163))</f>
        <v>0</v>
      </c>
      <c r="F163" s="26">
        <f>IF($A163="","",SUMIFS(MovQtd,MovCod,$A163,MovTipo,"Entrada"))</f>
        <v>0</v>
      </c>
      <c r="G163" s="26">
        <f>IF($A163="","",SUMIFS(MovQtd,MovCod,$A163,MovTipo,"Saída"))</f>
        <v>0</v>
      </c>
      <c r="H163" s="27">
        <f>IF($A163="","",E163+F163-G163)</f>
        <v>0</v>
      </c>
      <c r="I163" s="26">
        <f>IF($A163="","",N(Produtos!I163))</f>
        <v>0</v>
      </c>
      <c r="J163" s="26">
        <f>IF($A163="","",IF(I163&gt;0,ROUNDUP(I163*FatMax,0),""))</f>
        <v>0</v>
      </c>
      <c r="K163" s="24">
        <f>IF($A163="","",N(Produtos!F163))</f>
        <v>0</v>
      </c>
      <c r="L163" s="24">
        <f>IF($A163="","",H163*K163)</f>
        <v>0</v>
      </c>
      <c r="M163" s="26">
        <f>IF($A163="","",SUMIFS(MovQtd,MovCod,$A163,MovTipo,"Saída",MovData,"&gt;="&amp;(Hoje-DiasAn),MovData,"&lt;="&amp;Hoje))</f>
        <v>0</v>
      </c>
      <c r="N163" s="28">
        <f>IF($A163="","",M163/DiasAn)</f>
        <v>0</v>
      </c>
      <c r="O163" s="29">
        <f>IF($A163="","",IF(N163&gt;0,H163/N163,"sem giro"))</f>
        <v>0</v>
      </c>
      <c r="P163" s="30">
        <f>IF($A163="","",SUMPRODUCT(MAX((MovCod=$A163)*(MovTipo="Saída")*MovData)))</f>
        <v>0</v>
      </c>
      <c r="Q163" s="31">
        <f>IF($A163="","",IF(H163&lt;=0,"RUPTURA",IF(AND(I163&gt;0,H163&lt;=I163),"REPOR",IF(AND(J163&lt;&gt;"",H163&gt;J163),"EXCESSO","OK"))))</f>
        <v>0</v>
      </c>
      <c r="R163" s="25">
        <f>IF($A163="","",IF(AND(H163&gt;0,OR(P163=0,Hoje-P163&gt;DiasParado)),"Parado",""))</f>
        <v>0</v>
      </c>
      <c r="S163" s="26">
        <f>IF($A163="","",IF(OR(Q163="RUPTURA",Q163="REPOR"),IF(J163="",0,MAX(0,J163-H163)),0))</f>
        <v>0</v>
      </c>
      <c r="T163" s="24">
        <f>IF($A163="","",M163*IF(N(Produtos!G163)&gt;0,Produtos!G163,K163))</f>
        <v>0</v>
      </c>
      <c r="U163" s="32">
        <f>IF($A163="","",IF(T163&gt;0,T163+ROW()/1000000000,""))</f>
        <v>0</v>
      </c>
      <c r="V163" s="31">
        <f>IF($A163="","",IF(U163="","C",INDEX('Curva ABC'!$H$5:$H$304,MATCH(U163,'Curva ABC'!$B$5:$B$304,0))))</f>
        <v>0</v>
      </c>
      <c r="W163" s="24">
        <f>IF($A163="","",IF(R163="Parado",L163,0))</f>
        <v>0</v>
      </c>
      <c r="X163" s="33">
        <f>IF($A163="","",IF(OR(Q163="RUPTURA",Q163="REPOR"),COUNTIF($Q$5:Q163,"RUPTURA")+COUNTIF($Q$5:Q163,"REPOR"),""))</f>
        <v>0</v>
      </c>
    </row>
    <row r="164" spans="1:24">
      <c r="A164" s="23">
        <f>IF(Produtos!A164="","",Produtos!A164)</f>
        <v>0</v>
      </c>
      <c r="B164" s="23">
        <f>IF($A164="","",Produtos!B164&amp;"")</f>
        <v>0</v>
      </c>
      <c r="C164" s="23">
        <f>IF($A164="","",Produtos!C164&amp;"")</f>
        <v>0</v>
      </c>
      <c r="D164" s="25">
        <f>IF($A164="","",Produtos!D164&amp;"")</f>
        <v>0</v>
      </c>
      <c r="E164" s="26">
        <f>IF($A164="","",N(Produtos!H164))</f>
        <v>0</v>
      </c>
      <c r="F164" s="26">
        <f>IF($A164="","",SUMIFS(MovQtd,MovCod,$A164,MovTipo,"Entrada"))</f>
        <v>0</v>
      </c>
      <c r="G164" s="26">
        <f>IF($A164="","",SUMIFS(MovQtd,MovCod,$A164,MovTipo,"Saída"))</f>
        <v>0</v>
      </c>
      <c r="H164" s="27">
        <f>IF($A164="","",E164+F164-G164)</f>
        <v>0</v>
      </c>
      <c r="I164" s="26">
        <f>IF($A164="","",N(Produtos!I164))</f>
        <v>0</v>
      </c>
      <c r="J164" s="26">
        <f>IF($A164="","",IF(I164&gt;0,ROUNDUP(I164*FatMax,0),""))</f>
        <v>0</v>
      </c>
      <c r="K164" s="24">
        <f>IF($A164="","",N(Produtos!F164))</f>
        <v>0</v>
      </c>
      <c r="L164" s="24">
        <f>IF($A164="","",H164*K164)</f>
        <v>0</v>
      </c>
      <c r="M164" s="26">
        <f>IF($A164="","",SUMIFS(MovQtd,MovCod,$A164,MovTipo,"Saída",MovData,"&gt;="&amp;(Hoje-DiasAn),MovData,"&lt;="&amp;Hoje))</f>
        <v>0</v>
      </c>
      <c r="N164" s="28">
        <f>IF($A164="","",M164/DiasAn)</f>
        <v>0</v>
      </c>
      <c r="O164" s="29">
        <f>IF($A164="","",IF(N164&gt;0,H164/N164,"sem giro"))</f>
        <v>0</v>
      </c>
      <c r="P164" s="30">
        <f>IF($A164="","",SUMPRODUCT(MAX((MovCod=$A164)*(MovTipo="Saída")*MovData)))</f>
        <v>0</v>
      </c>
      <c r="Q164" s="31">
        <f>IF($A164="","",IF(H164&lt;=0,"RUPTURA",IF(AND(I164&gt;0,H164&lt;=I164),"REPOR",IF(AND(J164&lt;&gt;"",H164&gt;J164),"EXCESSO","OK"))))</f>
        <v>0</v>
      </c>
      <c r="R164" s="25">
        <f>IF($A164="","",IF(AND(H164&gt;0,OR(P164=0,Hoje-P164&gt;DiasParado)),"Parado",""))</f>
        <v>0</v>
      </c>
      <c r="S164" s="26">
        <f>IF($A164="","",IF(OR(Q164="RUPTURA",Q164="REPOR"),IF(J164="",0,MAX(0,J164-H164)),0))</f>
        <v>0</v>
      </c>
      <c r="T164" s="24">
        <f>IF($A164="","",M164*IF(N(Produtos!G164)&gt;0,Produtos!G164,K164))</f>
        <v>0</v>
      </c>
      <c r="U164" s="32">
        <f>IF($A164="","",IF(T164&gt;0,T164+ROW()/1000000000,""))</f>
        <v>0</v>
      </c>
      <c r="V164" s="31">
        <f>IF($A164="","",IF(U164="","C",INDEX('Curva ABC'!$H$5:$H$304,MATCH(U164,'Curva ABC'!$B$5:$B$304,0))))</f>
        <v>0</v>
      </c>
      <c r="W164" s="24">
        <f>IF($A164="","",IF(R164="Parado",L164,0))</f>
        <v>0</v>
      </c>
      <c r="X164" s="33">
        <f>IF($A164="","",IF(OR(Q164="RUPTURA",Q164="REPOR"),COUNTIF($Q$5:Q164,"RUPTURA")+COUNTIF($Q$5:Q164,"REPOR"),""))</f>
        <v>0</v>
      </c>
    </row>
    <row r="165" spans="1:24">
      <c r="A165" s="23">
        <f>IF(Produtos!A165="","",Produtos!A165)</f>
        <v>0</v>
      </c>
      <c r="B165" s="23">
        <f>IF($A165="","",Produtos!B165&amp;"")</f>
        <v>0</v>
      </c>
      <c r="C165" s="23">
        <f>IF($A165="","",Produtos!C165&amp;"")</f>
        <v>0</v>
      </c>
      <c r="D165" s="25">
        <f>IF($A165="","",Produtos!D165&amp;"")</f>
        <v>0</v>
      </c>
      <c r="E165" s="26">
        <f>IF($A165="","",N(Produtos!H165))</f>
        <v>0</v>
      </c>
      <c r="F165" s="26">
        <f>IF($A165="","",SUMIFS(MovQtd,MovCod,$A165,MovTipo,"Entrada"))</f>
        <v>0</v>
      </c>
      <c r="G165" s="26">
        <f>IF($A165="","",SUMIFS(MovQtd,MovCod,$A165,MovTipo,"Saída"))</f>
        <v>0</v>
      </c>
      <c r="H165" s="27">
        <f>IF($A165="","",E165+F165-G165)</f>
        <v>0</v>
      </c>
      <c r="I165" s="26">
        <f>IF($A165="","",N(Produtos!I165))</f>
        <v>0</v>
      </c>
      <c r="J165" s="26">
        <f>IF($A165="","",IF(I165&gt;0,ROUNDUP(I165*FatMax,0),""))</f>
        <v>0</v>
      </c>
      <c r="K165" s="24">
        <f>IF($A165="","",N(Produtos!F165))</f>
        <v>0</v>
      </c>
      <c r="L165" s="24">
        <f>IF($A165="","",H165*K165)</f>
        <v>0</v>
      </c>
      <c r="M165" s="26">
        <f>IF($A165="","",SUMIFS(MovQtd,MovCod,$A165,MovTipo,"Saída",MovData,"&gt;="&amp;(Hoje-DiasAn),MovData,"&lt;="&amp;Hoje))</f>
        <v>0</v>
      </c>
      <c r="N165" s="28">
        <f>IF($A165="","",M165/DiasAn)</f>
        <v>0</v>
      </c>
      <c r="O165" s="29">
        <f>IF($A165="","",IF(N165&gt;0,H165/N165,"sem giro"))</f>
        <v>0</v>
      </c>
      <c r="P165" s="30">
        <f>IF($A165="","",SUMPRODUCT(MAX((MovCod=$A165)*(MovTipo="Saída")*MovData)))</f>
        <v>0</v>
      </c>
      <c r="Q165" s="31">
        <f>IF($A165="","",IF(H165&lt;=0,"RUPTURA",IF(AND(I165&gt;0,H165&lt;=I165),"REPOR",IF(AND(J165&lt;&gt;"",H165&gt;J165),"EXCESSO","OK"))))</f>
        <v>0</v>
      </c>
      <c r="R165" s="25">
        <f>IF($A165="","",IF(AND(H165&gt;0,OR(P165=0,Hoje-P165&gt;DiasParado)),"Parado",""))</f>
        <v>0</v>
      </c>
      <c r="S165" s="26">
        <f>IF($A165="","",IF(OR(Q165="RUPTURA",Q165="REPOR"),IF(J165="",0,MAX(0,J165-H165)),0))</f>
        <v>0</v>
      </c>
      <c r="T165" s="24">
        <f>IF($A165="","",M165*IF(N(Produtos!G165)&gt;0,Produtos!G165,K165))</f>
        <v>0</v>
      </c>
      <c r="U165" s="32">
        <f>IF($A165="","",IF(T165&gt;0,T165+ROW()/1000000000,""))</f>
        <v>0</v>
      </c>
      <c r="V165" s="31">
        <f>IF($A165="","",IF(U165="","C",INDEX('Curva ABC'!$H$5:$H$304,MATCH(U165,'Curva ABC'!$B$5:$B$304,0))))</f>
        <v>0</v>
      </c>
      <c r="W165" s="24">
        <f>IF($A165="","",IF(R165="Parado",L165,0))</f>
        <v>0</v>
      </c>
      <c r="X165" s="33">
        <f>IF($A165="","",IF(OR(Q165="RUPTURA",Q165="REPOR"),COUNTIF($Q$5:Q165,"RUPTURA")+COUNTIF($Q$5:Q165,"REPOR"),""))</f>
        <v>0</v>
      </c>
    </row>
    <row r="166" spans="1:24">
      <c r="A166" s="23">
        <f>IF(Produtos!A166="","",Produtos!A166)</f>
        <v>0</v>
      </c>
      <c r="B166" s="23">
        <f>IF($A166="","",Produtos!B166&amp;"")</f>
        <v>0</v>
      </c>
      <c r="C166" s="23">
        <f>IF($A166="","",Produtos!C166&amp;"")</f>
        <v>0</v>
      </c>
      <c r="D166" s="25">
        <f>IF($A166="","",Produtos!D166&amp;"")</f>
        <v>0</v>
      </c>
      <c r="E166" s="26">
        <f>IF($A166="","",N(Produtos!H166))</f>
        <v>0</v>
      </c>
      <c r="F166" s="26">
        <f>IF($A166="","",SUMIFS(MovQtd,MovCod,$A166,MovTipo,"Entrada"))</f>
        <v>0</v>
      </c>
      <c r="G166" s="26">
        <f>IF($A166="","",SUMIFS(MovQtd,MovCod,$A166,MovTipo,"Saída"))</f>
        <v>0</v>
      </c>
      <c r="H166" s="27">
        <f>IF($A166="","",E166+F166-G166)</f>
        <v>0</v>
      </c>
      <c r="I166" s="26">
        <f>IF($A166="","",N(Produtos!I166))</f>
        <v>0</v>
      </c>
      <c r="J166" s="26">
        <f>IF($A166="","",IF(I166&gt;0,ROUNDUP(I166*FatMax,0),""))</f>
        <v>0</v>
      </c>
      <c r="K166" s="24">
        <f>IF($A166="","",N(Produtos!F166))</f>
        <v>0</v>
      </c>
      <c r="L166" s="24">
        <f>IF($A166="","",H166*K166)</f>
        <v>0</v>
      </c>
      <c r="M166" s="26">
        <f>IF($A166="","",SUMIFS(MovQtd,MovCod,$A166,MovTipo,"Saída",MovData,"&gt;="&amp;(Hoje-DiasAn),MovData,"&lt;="&amp;Hoje))</f>
        <v>0</v>
      </c>
      <c r="N166" s="28">
        <f>IF($A166="","",M166/DiasAn)</f>
        <v>0</v>
      </c>
      <c r="O166" s="29">
        <f>IF($A166="","",IF(N166&gt;0,H166/N166,"sem giro"))</f>
        <v>0</v>
      </c>
      <c r="P166" s="30">
        <f>IF($A166="","",SUMPRODUCT(MAX((MovCod=$A166)*(MovTipo="Saída")*MovData)))</f>
        <v>0</v>
      </c>
      <c r="Q166" s="31">
        <f>IF($A166="","",IF(H166&lt;=0,"RUPTURA",IF(AND(I166&gt;0,H166&lt;=I166),"REPOR",IF(AND(J166&lt;&gt;"",H166&gt;J166),"EXCESSO","OK"))))</f>
        <v>0</v>
      </c>
      <c r="R166" s="25">
        <f>IF($A166="","",IF(AND(H166&gt;0,OR(P166=0,Hoje-P166&gt;DiasParado)),"Parado",""))</f>
        <v>0</v>
      </c>
      <c r="S166" s="26">
        <f>IF($A166="","",IF(OR(Q166="RUPTURA",Q166="REPOR"),IF(J166="",0,MAX(0,J166-H166)),0))</f>
        <v>0</v>
      </c>
      <c r="T166" s="24">
        <f>IF($A166="","",M166*IF(N(Produtos!G166)&gt;0,Produtos!G166,K166))</f>
        <v>0</v>
      </c>
      <c r="U166" s="32">
        <f>IF($A166="","",IF(T166&gt;0,T166+ROW()/1000000000,""))</f>
        <v>0</v>
      </c>
      <c r="V166" s="31">
        <f>IF($A166="","",IF(U166="","C",INDEX('Curva ABC'!$H$5:$H$304,MATCH(U166,'Curva ABC'!$B$5:$B$304,0))))</f>
        <v>0</v>
      </c>
      <c r="W166" s="24">
        <f>IF($A166="","",IF(R166="Parado",L166,0))</f>
        <v>0</v>
      </c>
      <c r="X166" s="33">
        <f>IF($A166="","",IF(OR(Q166="RUPTURA",Q166="REPOR"),COUNTIF($Q$5:Q166,"RUPTURA")+COUNTIF($Q$5:Q166,"REPOR"),""))</f>
        <v>0</v>
      </c>
    </row>
    <row r="167" spans="1:24">
      <c r="A167" s="23">
        <f>IF(Produtos!A167="","",Produtos!A167)</f>
        <v>0</v>
      </c>
      <c r="B167" s="23">
        <f>IF($A167="","",Produtos!B167&amp;"")</f>
        <v>0</v>
      </c>
      <c r="C167" s="23">
        <f>IF($A167="","",Produtos!C167&amp;"")</f>
        <v>0</v>
      </c>
      <c r="D167" s="25">
        <f>IF($A167="","",Produtos!D167&amp;"")</f>
        <v>0</v>
      </c>
      <c r="E167" s="26">
        <f>IF($A167="","",N(Produtos!H167))</f>
        <v>0</v>
      </c>
      <c r="F167" s="26">
        <f>IF($A167="","",SUMIFS(MovQtd,MovCod,$A167,MovTipo,"Entrada"))</f>
        <v>0</v>
      </c>
      <c r="G167" s="26">
        <f>IF($A167="","",SUMIFS(MovQtd,MovCod,$A167,MovTipo,"Saída"))</f>
        <v>0</v>
      </c>
      <c r="H167" s="27">
        <f>IF($A167="","",E167+F167-G167)</f>
        <v>0</v>
      </c>
      <c r="I167" s="26">
        <f>IF($A167="","",N(Produtos!I167))</f>
        <v>0</v>
      </c>
      <c r="J167" s="26">
        <f>IF($A167="","",IF(I167&gt;0,ROUNDUP(I167*FatMax,0),""))</f>
        <v>0</v>
      </c>
      <c r="K167" s="24">
        <f>IF($A167="","",N(Produtos!F167))</f>
        <v>0</v>
      </c>
      <c r="L167" s="24">
        <f>IF($A167="","",H167*K167)</f>
        <v>0</v>
      </c>
      <c r="M167" s="26">
        <f>IF($A167="","",SUMIFS(MovQtd,MovCod,$A167,MovTipo,"Saída",MovData,"&gt;="&amp;(Hoje-DiasAn),MovData,"&lt;="&amp;Hoje))</f>
        <v>0</v>
      </c>
      <c r="N167" s="28">
        <f>IF($A167="","",M167/DiasAn)</f>
        <v>0</v>
      </c>
      <c r="O167" s="29">
        <f>IF($A167="","",IF(N167&gt;0,H167/N167,"sem giro"))</f>
        <v>0</v>
      </c>
      <c r="P167" s="30">
        <f>IF($A167="","",SUMPRODUCT(MAX((MovCod=$A167)*(MovTipo="Saída")*MovData)))</f>
        <v>0</v>
      </c>
      <c r="Q167" s="31">
        <f>IF($A167="","",IF(H167&lt;=0,"RUPTURA",IF(AND(I167&gt;0,H167&lt;=I167),"REPOR",IF(AND(J167&lt;&gt;"",H167&gt;J167),"EXCESSO","OK"))))</f>
        <v>0</v>
      </c>
      <c r="R167" s="25">
        <f>IF($A167="","",IF(AND(H167&gt;0,OR(P167=0,Hoje-P167&gt;DiasParado)),"Parado",""))</f>
        <v>0</v>
      </c>
      <c r="S167" s="26">
        <f>IF($A167="","",IF(OR(Q167="RUPTURA",Q167="REPOR"),IF(J167="",0,MAX(0,J167-H167)),0))</f>
        <v>0</v>
      </c>
      <c r="T167" s="24">
        <f>IF($A167="","",M167*IF(N(Produtos!G167)&gt;0,Produtos!G167,K167))</f>
        <v>0</v>
      </c>
      <c r="U167" s="32">
        <f>IF($A167="","",IF(T167&gt;0,T167+ROW()/1000000000,""))</f>
        <v>0</v>
      </c>
      <c r="V167" s="31">
        <f>IF($A167="","",IF(U167="","C",INDEX('Curva ABC'!$H$5:$H$304,MATCH(U167,'Curva ABC'!$B$5:$B$304,0))))</f>
        <v>0</v>
      </c>
      <c r="W167" s="24">
        <f>IF($A167="","",IF(R167="Parado",L167,0))</f>
        <v>0</v>
      </c>
      <c r="X167" s="33">
        <f>IF($A167="","",IF(OR(Q167="RUPTURA",Q167="REPOR"),COUNTIF($Q$5:Q167,"RUPTURA")+COUNTIF($Q$5:Q167,"REPOR"),""))</f>
        <v>0</v>
      </c>
    </row>
    <row r="168" spans="1:24">
      <c r="A168" s="23">
        <f>IF(Produtos!A168="","",Produtos!A168)</f>
        <v>0</v>
      </c>
      <c r="B168" s="23">
        <f>IF($A168="","",Produtos!B168&amp;"")</f>
        <v>0</v>
      </c>
      <c r="C168" s="23">
        <f>IF($A168="","",Produtos!C168&amp;"")</f>
        <v>0</v>
      </c>
      <c r="D168" s="25">
        <f>IF($A168="","",Produtos!D168&amp;"")</f>
        <v>0</v>
      </c>
      <c r="E168" s="26">
        <f>IF($A168="","",N(Produtos!H168))</f>
        <v>0</v>
      </c>
      <c r="F168" s="26">
        <f>IF($A168="","",SUMIFS(MovQtd,MovCod,$A168,MovTipo,"Entrada"))</f>
        <v>0</v>
      </c>
      <c r="G168" s="26">
        <f>IF($A168="","",SUMIFS(MovQtd,MovCod,$A168,MovTipo,"Saída"))</f>
        <v>0</v>
      </c>
      <c r="H168" s="27">
        <f>IF($A168="","",E168+F168-G168)</f>
        <v>0</v>
      </c>
      <c r="I168" s="26">
        <f>IF($A168="","",N(Produtos!I168))</f>
        <v>0</v>
      </c>
      <c r="J168" s="26">
        <f>IF($A168="","",IF(I168&gt;0,ROUNDUP(I168*FatMax,0),""))</f>
        <v>0</v>
      </c>
      <c r="K168" s="24">
        <f>IF($A168="","",N(Produtos!F168))</f>
        <v>0</v>
      </c>
      <c r="L168" s="24">
        <f>IF($A168="","",H168*K168)</f>
        <v>0</v>
      </c>
      <c r="M168" s="26">
        <f>IF($A168="","",SUMIFS(MovQtd,MovCod,$A168,MovTipo,"Saída",MovData,"&gt;="&amp;(Hoje-DiasAn),MovData,"&lt;="&amp;Hoje))</f>
        <v>0</v>
      </c>
      <c r="N168" s="28">
        <f>IF($A168="","",M168/DiasAn)</f>
        <v>0</v>
      </c>
      <c r="O168" s="29">
        <f>IF($A168="","",IF(N168&gt;0,H168/N168,"sem giro"))</f>
        <v>0</v>
      </c>
      <c r="P168" s="30">
        <f>IF($A168="","",SUMPRODUCT(MAX((MovCod=$A168)*(MovTipo="Saída")*MovData)))</f>
        <v>0</v>
      </c>
      <c r="Q168" s="31">
        <f>IF($A168="","",IF(H168&lt;=0,"RUPTURA",IF(AND(I168&gt;0,H168&lt;=I168),"REPOR",IF(AND(J168&lt;&gt;"",H168&gt;J168),"EXCESSO","OK"))))</f>
        <v>0</v>
      </c>
      <c r="R168" s="25">
        <f>IF($A168="","",IF(AND(H168&gt;0,OR(P168=0,Hoje-P168&gt;DiasParado)),"Parado",""))</f>
        <v>0</v>
      </c>
      <c r="S168" s="26">
        <f>IF($A168="","",IF(OR(Q168="RUPTURA",Q168="REPOR"),IF(J168="",0,MAX(0,J168-H168)),0))</f>
        <v>0</v>
      </c>
      <c r="T168" s="24">
        <f>IF($A168="","",M168*IF(N(Produtos!G168)&gt;0,Produtos!G168,K168))</f>
        <v>0</v>
      </c>
      <c r="U168" s="32">
        <f>IF($A168="","",IF(T168&gt;0,T168+ROW()/1000000000,""))</f>
        <v>0</v>
      </c>
      <c r="V168" s="31">
        <f>IF($A168="","",IF(U168="","C",INDEX('Curva ABC'!$H$5:$H$304,MATCH(U168,'Curva ABC'!$B$5:$B$304,0))))</f>
        <v>0</v>
      </c>
      <c r="W168" s="24">
        <f>IF($A168="","",IF(R168="Parado",L168,0))</f>
        <v>0</v>
      </c>
      <c r="X168" s="33">
        <f>IF($A168="","",IF(OR(Q168="RUPTURA",Q168="REPOR"),COUNTIF($Q$5:Q168,"RUPTURA")+COUNTIF($Q$5:Q168,"REPOR"),""))</f>
        <v>0</v>
      </c>
    </row>
    <row r="169" spans="1:24">
      <c r="A169" s="23">
        <f>IF(Produtos!A169="","",Produtos!A169)</f>
        <v>0</v>
      </c>
      <c r="B169" s="23">
        <f>IF($A169="","",Produtos!B169&amp;"")</f>
        <v>0</v>
      </c>
      <c r="C169" s="23">
        <f>IF($A169="","",Produtos!C169&amp;"")</f>
        <v>0</v>
      </c>
      <c r="D169" s="25">
        <f>IF($A169="","",Produtos!D169&amp;"")</f>
        <v>0</v>
      </c>
      <c r="E169" s="26">
        <f>IF($A169="","",N(Produtos!H169))</f>
        <v>0</v>
      </c>
      <c r="F169" s="26">
        <f>IF($A169="","",SUMIFS(MovQtd,MovCod,$A169,MovTipo,"Entrada"))</f>
        <v>0</v>
      </c>
      <c r="G169" s="26">
        <f>IF($A169="","",SUMIFS(MovQtd,MovCod,$A169,MovTipo,"Saída"))</f>
        <v>0</v>
      </c>
      <c r="H169" s="27">
        <f>IF($A169="","",E169+F169-G169)</f>
        <v>0</v>
      </c>
      <c r="I169" s="26">
        <f>IF($A169="","",N(Produtos!I169))</f>
        <v>0</v>
      </c>
      <c r="J169" s="26">
        <f>IF($A169="","",IF(I169&gt;0,ROUNDUP(I169*FatMax,0),""))</f>
        <v>0</v>
      </c>
      <c r="K169" s="24">
        <f>IF($A169="","",N(Produtos!F169))</f>
        <v>0</v>
      </c>
      <c r="L169" s="24">
        <f>IF($A169="","",H169*K169)</f>
        <v>0</v>
      </c>
      <c r="M169" s="26">
        <f>IF($A169="","",SUMIFS(MovQtd,MovCod,$A169,MovTipo,"Saída",MovData,"&gt;="&amp;(Hoje-DiasAn),MovData,"&lt;="&amp;Hoje))</f>
        <v>0</v>
      </c>
      <c r="N169" s="28">
        <f>IF($A169="","",M169/DiasAn)</f>
        <v>0</v>
      </c>
      <c r="O169" s="29">
        <f>IF($A169="","",IF(N169&gt;0,H169/N169,"sem giro"))</f>
        <v>0</v>
      </c>
      <c r="P169" s="30">
        <f>IF($A169="","",SUMPRODUCT(MAX((MovCod=$A169)*(MovTipo="Saída")*MovData)))</f>
        <v>0</v>
      </c>
      <c r="Q169" s="31">
        <f>IF($A169="","",IF(H169&lt;=0,"RUPTURA",IF(AND(I169&gt;0,H169&lt;=I169),"REPOR",IF(AND(J169&lt;&gt;"",H169&gt;J169),"EXCESSO","OK"))))</f>
        <v>0</v>
      </c>
      <c r="R169" s="25">
        <f>IF($A169="","",IF(AND(H169&gt;0,OR(P169=0,Hoje-P169&gt;DiasParado)),"Parado",""))</f>
        <v>0</v>
      </c>
      <c r="S169" s="26">
        <f>IF($A169="","",IF(OR(Q169="RUPTURA",Q169="REPOR"),IF(J169="",0,MAX(0,J169-H169)),0))</f>
        <v>0</v>
      </c>
      <c r="T169" s="24">
        <f>IF($A169="","",M169*IF(N(Produtos!G169)&gt;0,Produtos!G169,K169))</f>
        <v>0</v>
      </c>
      <c r="U169" s="32">
        <f>IF($A169="","",IF(T169&gt;0,T169+ROW()/1000000000,""))</f>
        <v>0</v>
      </c>
      <c r="V169" s="31">
        <f>IF($A169="","",IF(U169="","C",INDEX('Curva ABC'!$H$5:$H$304,MATCH(U169,'Curva ABC'!$B$5:$B$304,0))))</f>
        <v>0</v>
      </c>
      <c r="W169" s="24">
        <f>IF($A169="","",IF(R169="Parado",L169,0))</f>
        <v>0</v>
      </c>
      <c r="X169" s="33">
        <f>IF($A169="","",IF(OR(Q169="RUPTURA",Q169="REPOR"),COUNTIF($Q$5:Q169,"RUPTURA")+COUNTIF($Q$5:Q169,"REPOR"),""))</f>
        <v>0</v>
      </c>
    </row>
    <row r="170" spans="1:24">
      <c r="A170" s="23">
        <f>IF(Produtos!A170="","",Produtos!A170)</f>
        <v>0</v>
      </c>
      <c r="B170" s="23">
        <f>IF($A170="","",Produtos!B170&amp;"")</f>
        <v>0</v>
      </c>
      <c r="C170" s="23">
        <f>IF($A170="","",Produtos!C170&amp;"")</f>
        <v>0</v>
      </c>
      <c r="D170" s="25">
        <f>IF($A170="","",Produtos!D170&amp;"")</f>
        <v>0</v>
      </c>
      <c r="E170" s="26">
        <f>IF($A170="","",N(Produtos!H170))</f>
        <v>0</v>
      </c>
      <c r="F170" s="26">
        <f>IF($A170="","",SUMIFS(MovQtd,MovCod,$A170,MovTipo,"Entrada"))</f>
        <v>0</v>
      </c>
      <c r="G170" s="26">
        <f>IF($A170="","",SUMIFS(MovQtd,MovCod,$A170,MovTipo,"Saída"))</f>
        <v>0</v>
      </c>
      <c r="H170" s="27">
        <f>IF($A170="","",E170+F170-G170)</f>
        <v>0</v>
      </c>
      <c r="I170" s="26">
        <f>IF($A170="","",N(Produtos!I170))</f>
        <v>0</v>
      </c>
      <c r="J170" s="26">
        <f>IF($A170="","",IF(I170&gt;0,ROUNDUP(I170*FatMax,0),""))</f>
        <v>0</v>
      </c>
      <c r="K170" s="24">
        <f>IF($A170="","",N(Produtos!F170))</f>
        <v>0</v>
      </c>
      <c r="L170" s="24">
        <f>IF($A170="","",H170*K170)</f>
        <v>0</v>
      </c>
      <c r="M170" s="26">
        <f>IF($A170="","",SUMIFS(MovQtd,MovCod,$A170,MovTipo,"Saída",MovData,"&gt;="&amp;(Hoje-DiasAn),MovData,"&lt;="&amp;Hoje))</f>
        <v>0</v>
      </c>
      <c r="N170" s="28">
        <f>IF($A170="","",M170/DiasAn)</f>
        <v>0</v>
      </c>
      <c r="O170" s="29">
        <f>IF($A170="","",IF(N170&gt;0,H170/N170,"sem giro"))</f>
        <v>0</v>
      </c>
      <c r="P170" s="30">
        <f>IF($A170="","",SUMPRODUCT(MAX((MovCod=$A170)*(MovTipo="Saída")*MovData)))</f>
        <v>0</v>
      </c>
      <c r="Q170" s="31">
        <f>IF($A170="","",IF(H170&lt;=0,"RUPTURA",IF(AND(I170&gt;0,H170&lt;=I170),"REPOR",IF(AND(J170&lt;&gt;"",H170&gt;J170),"EXCESSO","OK"))))</f>
        <v>0</v>
      </c>
      <c r="R170" s="25">
        <f>IF($A170="","",IF(AND(H170&gt;0,OR(P170=0,Hoje-P170&gt;DiasParado)),"Parado",""))</f>
        <v>0</v>
      </c>
      <c r="S170" s="26">
        <f>IF($A170="","",IF(OR(Q170="RUPTURA",Q170="REPOR"),IF(J170="",0,MAX(0,J170-H170)),0))</f>
        <v>0</v>
      </c>
      <c r="T170" s="24">
        <f>IF($A170="","",M170*IF(N(Produtos!G170)&gt;0,Produtos!G170,K170))</f>
        <v>0</v>
      </c>
      <c r="U170" s="32">
        <f>IF($A170="","",IF(T170&gt;0,T170+ROW()/1000000000,""))</f>
        <v>0</v>
      </c>
      <c r="V170" s="31">
        <f>IF($A170="","",IF(U170="","C",INDEX('Curva ABC'!$H$5:$H$304,MATCH(U170,'Curva ABC'!$B$5:$B$304,0))))</f>
        <v>0</v>
      </c>
      <c r="W170" s="24">
        <f>IF($A170="","",IF(R170="Parado",L170,0))</f>
        <v>0</v>
      </c>
      <c r="X170" s="33">
        <f>IF($A170="","",IF(OR(Q170="RUPTURA",Q170="REPOR"),COUNTIF($Q$5:Q170,"RUPTURA")+COUNTIF($Q$5:Q170,"REPOR"),""))</f>
        <v>0</v>
      </c>
    </row>
    <row r="171" spans="1:24">
      <c r="A171" s="23">
        <f>IF(Produtos!A171="","",Produtos!A171)</f>
        <v>0</v>
      </c>
      <c r="B171" s="23">
        <f>IF($A171="","",Produtos!B171&amp;"")</f>
        <v>0</v>
      </c>
      <c r="C171" s="23">
        <f>IF($A171="","",Produtos!C171&amp;"")</f>
        <v>0</v>
      </c>
      <c r="D171" s="25">
        <f>IF($A171="","",Produtos!D171&amp;"")</f>
        <v>0</v>
      </c>
      <c r="E171" s="26">
        <f>IF($A171="","",N(Produtos!H171))</f>
        <v>0</v>
      </c>
      <c r="F171" s="26">
        <f>IF($A171="","",SUMIFS(MovQtd,MovCod,$A171,MovTipo,"Entrada"))</f>
        <v>0</v>
      </c>
      <c r="G171" s="26">
        <f>IF($A171="","",SUMIFS(MovQtd,MovCod,$A171,MovTipo,"Saída"))</f>
        <v>0</v>
      </c>
      <c r="H171" s="27">
        <f>IF($A171="","",E171+F171-G171)</f>
        <v>0</v>
      </c>
      <c r="I171" s="26">
        <f>IF($A171="","",N(Produtos!I171))</f>
        <v>0</v>
      </c>
      <c r="J171" s="26">
        <f>IF($A171="","",IF(I171&gt;0,ROUNDUP(I171*FatMax,0),""))</f>
        <v>0</v>
      </c>
      <c r="K171" s="24">
        <f>IF($A171="","",N(Produtos!F171))</f>
        <v>0</v>
      </c>
      <c r="L171" s="24">
        <f>IF($A171="","",H171*K171)</f>
        <v>0</v>
      </c>
      <c r="M171" s="26">
        <f>IF($A171="","",SUMIFS(MovQtd,MovCod,$A171,MovTipo,"Saída",MovData,"&gt;="&amp;(Hoje-DiasAn),MovData,"&lt;="&amp;Hoje))</f>
        <v>0</v>
      </c>
      <c r="N171" s="28">
        <f>IF($A171="","",M171/DiasAn)</f>
        <v>0</v>
      </c>
      <c r="O171" s="29">
        <f>IF($A171="","",IF(N171&gt;0,H171/N171,"sem giro"))</f>
        <v>0</v>
      </c>
      <c r="P171" s="30">
        <f>IF($A171="","",SUMPRODUCT(MAX((MovCod=$A171)*(MovTipo="Saída")*MovData)))</f>
        <v>0</v>
      </c>
      <c r="Q171" s="31">
        <f>IF($A171="","",IF(H171&lt;=0,"RUPTURA",IF(AND(I171&gt;0,H171&lt;=I171),"REPOR",IF(AND(J171&lt;&gt;"",H171&gt;J171),"EXCESSO","OK"))))</f>
        <v>0</v>
      </c>
      <c r="R171" s="25">
        <f>IF($A171="","",IF(AND(H171&gt;0,OR(P171=0,Hoje-P171&gt;DiasParado)),"Parado",""))</f>
        <v>0</v>
      </c>
      <c r="S171" s="26">
        <f>IF($A171="","",IF(OR(Q171="RUPTURA",Q171="REPOR"),IF(J171="",0,MAX(0,J171-H171)),0))</f>
        <v>0</v>
      </c>
      <c r="T171" s="24">
        <f>IF($A171="","",M171*IF(N(Produtos!G171)&gt;0,Produtos!G171,K171))</f>
        <v>0</v>
      </c>
      <c r="U171" s="32">
        <f>IF($A171="","",IF(T171&gt;0,T171+ROW()/1000000000,""))</f>
        <v>0</v>
      </c>
      <c r="V171" s="31">
        <f>IF($A171="","",IF(U171="","C",INDEX('Curva ABC'!$H$5:$H$304,MATCH(U171,'Curva ABC'!$B$5:$B$304,0))))</f>
        <v>0</v>
      </c>
      <c r="W171" s="24">
        <f>IF($A171="","",IF(R171="Parado",L171,0))</f>
        <v>0</v>
      </c>
      <c r="X171" s="33">
        <f>IF($A171="","",IF(OR(Q171="RUPTURA",Q171="REPOR"),COUNTIF($Q$5:Q171,"RUPTURA")+COUNTIF($Q$5:Q171,"REPOR"),""))</f>
        <v>0</v>
      </c>
    </row>
    <row r="172" spans="1:24">
      <c r="A172" s="23">
        <f>IF(Produtos!A172="","",Produtos!A172)</f>
        <v>0</v>
      </c>
      <c r="B172" s="23">
        <f>IF($A172="","",Produtos!B172&amp;"")</f>
        <v>0</v>
      </c>
      <c r="C172" s="23">
        <f>IF($A172="","",Produtos!C172&amp;"")</f>
        <v>0</v>
      </c>
      <c r="D172" s="25">
        <f>IF($A172="","",Produtos!D172&amp;"")</f>
        <v>0</v>
      </c>
      <c r="E172" s="26">
        <f>IF($A172="","",N(Produtos!H172))</f>
        <v>0</v>
      </c>
      <c r="F172" s="26">
        <f>IF($A172="","",SUMIFS(MovQtd,MovCod,$A172,MovTipo,"Entrada"))</f>
        <v>0</v>
      </c>
      <c r="G172" s="26">
        <f>IF($A172="","",SUMIFS(MovQtd,MovCod,$A172,MovTipo,"Saída"))</f>
        <v>0</v>
      </c>
      <c r="H172" s="27">
        <f>IF($A172="","",E172+F172-G172)</f>
        <v>0</v>
      </c>
      <c r="I172" s="26">
        <f>IF($A172="","",N(Produtos!I172))</f>
        <v>0</v>
      </c>
      <c r="J172" s="26">
        <f>IF($A172="","",IF(I172&gt;0,ROUNDUP(I172*FatMax,0),""))</f>
        <v>0</v>
      </c>
      <c r="K172" s="24">
        <f>IF($A172="","",N(Produtos!F172))</f>
        <v>0</v>
      </c>
      <c r="L172" s="24">
        <f>IF($A172="","",H172*K172)</f>
        <v>0</v>
      </c>
      <c r="M172" s="26">
        <f>IF($A172="","",SUMIFS(MovQtd,MovCod,$A172,MovTipo,"Saída",MovData,"&gt;="&amp;(Hoje-DiasAn),MovData,"&lt;="&amp;Hoje))</f>
        <v>0</v>
      </c>
      <c r="N172" s="28">
        <f>IF($A172="","",M172/DiasAn)</f>
        <v>0</v>
      </c>
      <c r="O172" s="29">
        <f>IF($A172="","",IF(N172&gt;0,H172/N172,"sem giro"))</f>
        <v>0</v>
      </c>
      <c r="P172" s="30">
        <f>IF($A172="","",SUMPRODUCT(MAX((MovCod=$A172)*(MovTipo="Saída")*MovData)))</f>
        <v>0</v>
      </c>
      <c r="Q172" s="31">
        <f>IF($A172="","",IF(H172&lt;=0,"RUPTURA",IF(AND(I172&gt;0,H172&lt;=I172),"REPOR",IF(AND(J172&lt;&gt;"",H172&gt;J172),"EXCESSO","OK"))))</f>
        <v>0</v>
      </c>
      <c r="R172" s="25">
        <f>IF($A172="","",IF(AND(H172&gt;0,OR(P172=0,Hoje-P172&gt;DiasParado)),"Parado",""))</f>
        <v>0</v>
      </c>
      <c r="S172" s="26">
        <f>IF($A172="","",IF(OR(Q172="RUPTURA",Q172="REPOR"),IF(J172="",0,MAX(0,J172-H172)),0))</f>
        <v>0</v>
      </c>
      <c r="T172" s="24">
        <f>IF($A172="","",M172*IF(N(Produtos!G172)&gt;0,Produtos!G172,K172))</f>
        <v>0</v>
      </c>
      <c r="U172" s="32">
        <f>IF($A172="","",IF(T172&gt;0,T172+ROW()/1000000000,""))</f>
        <v>0</v>
      </c>
      <c r="V172" s="31">
        <f>IF($A172="","",IF(U172="","C",INDEX('Curva ABC'!$H$5:$H$304,MATCH(U172,'Curva ABC'!$B$5:$B$304,0))))</f>
        <v>0</v>
      </c>
      <c r="W172" s="24">
        <f>IF($A172="","",IF(R172="Parado",L172,0))</f>
        <v>0</v>
      </c>
      <c r="X172" s="33">
        <f>IF($A172="","",IF(OR(Q172="RUPTURA",Q172="REPOR"),COUNTIF($Q$5:Q172,"RUPTURA")+COUNTIF($Q$5:Q172,"REPOR"),""))</f>
        <v>0</v>
      </c>
    </row>
    <row r="173" spans="1:24">
      <c r="A173" s="23">
        <f>IF(Produtos!A173="","",Produtos!A173)</f>
        <v>0</v>
      </c>
      <c r="B173" s="23">
        <f>IF($A173="","",Produtos!B173&amp;"")</f>
        <v>0</v>
      </c>
      <c r="C173" s="23">
        <f>IF($A173="","",Produtos!C173&amp;"")</f>
        <v>0</v>
      </c>
      <c r="D173" s="25">
        <f>IF($A173="","",Produtos!D173&amp;"")</f>
        <v>0</v>
      </c>
      <c r="E173" s="26">
        <f>IF($A173="","",N(Produtos!H173))</f>
        <v>0</v>
      </c>
      <c r="F173" s="26">
        <f>IF($A173="","",SUMIFS(MovQtd,MovCod,$A173,MovTipo,"Entrada"))</f>
        <v>0</v>
      </c>
      <c r="G173" s="26">
        <f>IF($A173="","",SUMIFS(MovQtd,MovCod,$A173,MovTipo,"Saída"))</f>
        <v>0</v>
      </c>
      <c r="H173" s="27">
        <f>IF($A173="","",E173+F173-G173)</f>
        <v>0</v>
      </c>
      <c r="I173" s="26">
        <f>IF($A173="","",N(Produtos!I173))</f>
        <v>0</v>
      </c>
      <c r="J173" s="26">
        <f>IF($A173="","",IF(I173&gt;0,ROUNDUP(I173*FatMax,0),""))</f>
        <v>0</v>
      </c>
      <c r="K173" s="24">
        <f>IF($A173="","",N(Produtos!F173))</f>
        <v>0</v>
      </c>
      <c r="L173" s="24">
        <f>IF($A173="","",H173*K173)</f>
        <v>0</v>
      </c>
      <c r="M173" s="26">
        <f>IF($A173="","",SUMIFS(MovQtd,MovCod,$A173,MovTipo,"Saída",MovData,"&gt;="&amp;(Hoje-DiasAn),MovData,"&lt;="&amp;Hoje))</f>
        <v>0</v>
      </c>
      <c r="N173" s="28">
        <f>IF($A173="","",M173/DiasAn)</f>
        <v>0</v>
      </c>
      <c r="O173" s="29">
        <f>IF($A173="","",IF(N173&gt;0,H173/N173,"sem giro"))</f>
        <v>0</v>
      </c>
      <c r="P173" s="30">
        <f>IF($A173="","",SUMPRODUCT(MAX((MovCod=$A173)*(MovTipo="Saída")*MovData)))</f>
        <v>0</v>
      </c>
      <c r="Q173" s="31">
        <f>IF($A173="","",IF(H173&lt;=0,"RUPTURA",IF(AND(I173&gt;0,H173&lt;=I173),"REPOR",IF(AND(J173&lt;&gt;"",H173&gt;J173),"EXCESSO","OK"))))</f>
        <v>0</v>
      </c>
      <c r="R173" s="25">
        <f>IF($A173="","",IF(AND(H173&gt;0,OR(P173=0,Hoje-P173&gt;DiasParado)),"Parado",""))</f>
        <v>0</v>
      </c>
      <c r="S173" s="26">
        <f>IF($A173="","",IF(OR(Q173="RUPTURA",Q173="REPOR"),IF(J173="",0,MAX(0,J173-H173)),0))</f>
        <v>0</v>
      </c>
      <c r="T173" s="24">
        <f>IF($A173="","",M173*IF(N(Produtos!G173)&gt;0,Produtos!G173,K173))</f>
        <v>0</v>
      </c>
      <c r="U173" s="32">
        <f>IF($A173="","",IF(T173&gt;0,T173+ROW()/1000000000,""))</f>
        <v>0</v>
      </c>
      <c r="V173" s="31">
        <f>IF($A173="","",IF(U173="","C",INDEX('Curva ABC'!$H$5:$H$304,MATCH(U173,'Curva ABC'!$B$5:$B$304,0))))</f>
        <v>0</v>
      </c>
      <c r="W173" s="24">
        <f>IF($A173="","",IF(R173="Parado",L173,0))</f>
        <v>0</v>
      </c>
      <c r="X173" s="33">
        <f>IF($A173="","",IF(OR(Q173="RUPTURA",Q173="REPOR"),COUNTIF($Q$5:Q173,"RUPTURA")+COUNTIF($Q$5:Q173,"REPOR"),""))</f>
        <v>0</v>
      </c>
    </row>
    <row r="174" spans="1:24">
      <c r="A174" s="23">
        <f>IF(Produtos!A174="","",Produtos!A174)</f>
        <v>0</v>
      </c>
      <c r="B174" s="23">
        <f>IF($A174="","",Produtos!B174&amp;"")</f>
        <v>0</v>
      </c>
      <c r="C174" s="23">
        <f>IF($A174="","",Produtos!C174&amp;"")</f>
        <v>0</v>
      </c>
      <c r="D174" s="25">
        <f>IF($A174="","",Produtos!D174&amp;"")</f>
        <v>0</v>
      </c>
      <c r="E174" s="26">
        <f>IF($A174="","",N(Produtos!H174))</f>
        <v>0</v>
      </c>
      <c r="F174" s="26">
        <f>IF($A174="","",SUMIFS(MovQtd,MovCod,$A174,MovTipo,"Entrada"))</f>
        <v>0</v>
      </c>
      <c r="G174" s="26">
        <f>IF($A174="","",SUMIFS(MovQtd,MovCod,$A174,MovTipo,"Saída"))</f>
        <v>0</v>
      </c>
      <c r="H174" s="27">
        <f>IF($A174="","",E174+F174-G174)</f>
        <v>0</v>
      </c>
      <c r="I174" s="26">
        <f>IF($A174="","",N(Produtos!I174))</f>
        <v>0</v>
      </c>
      <c r="J174" s="26">
        <f>IF($A174="","",IF(I174&gt;0,ROUNDUP(I174*FatMax,0),""))</f>
        <v>0</v>
      </c>
      <c r="K174" s="24">
        <f>IF($A174="","",N(Produtos!F174))</f>
        <v>0</v>
      </c>
      <c r="L174" s="24">
        <f>IF($A174="","",H174*K174)</f>
        <v>0</v>
      </c>
      <c r="M174" s="26">
        <f>IF($A174="","",SUMIFS(MovQtd,MovCod,$A174,MovTipo,"Saída",MovData,"&gt;="&amp;(Hoje-DiasAn),MovData,"&lt;="&amp;Hoje))</f>
        <v>0</v>
      </c>
      <c r="N174" s="28">
        <f>IF($A174="","",M174/DiasAn)</f>
        <v>0</v>
      </c>
      <c r="O174" s="29">
        <f>IF($A174="","",IF(N174&gt;0,H174/N174,"sem giro"))</f>
        <v>0</v>
      </c>
      <c r="P174" s="30">
        <f>IF($A174="","",SUMPRODUCT(MAX((MovCod=$A174)*(MovTipo="Saída")*MovData)))</f>
        <v>0</v>
      </c>
      <c r="Q174" s="31">
        <f>IF($A174="","",IF(H174&lt;=0,"RUPTURA",IF(AND(I174&gt;0,H174&lt;=I174),"REPOR",IF(AND(J174&lt;&gt;"",H174&gt;J174),"EXCESSO","OK"))))</f>
        <v>0</v>
      </c>
      <c r="R174" s="25">
        <f>IF($A174="","",IF(AND(H174&gt;0,OR(P174=0,Hoje-P174&gt;DiasParado)),"Parado",""))</f>
        <v>0</v>
      </c>
      <c r="S174" s="26">
        <f>IF($A174="","",IF(OR(Q174="RUPTURA",Q174="REPOR"),IF(J174="",0,MAX(0,J174-H174)),0))</f>
        <v>0</v>
      </c>
      <c r="T174" s="24">
        <f>IF($A174="","",M174*IF(N(Produtos!G174)&gt;0,Produtos!G174,K174))</f>
        <v>0</v>
      </c>
      <c r="U174" s="32">
        <f>IF($A174="","",IF(T174&gt;0,T174+ROW()/1000000000,""))</f>
        <v>0</v>
      </c>
      <c r="V174" s="31">
        <f>IF($A174="","",IF(U174="","C",INDEX('Curva ABC'!$H$5:$H$304,MATCH(U174,'Curva ABC'!$B$5:$B$304,0))))</f>
        <v>0</v>
      </c>
      <c r="W174" s="24">
        <f>IF($A174="","",IF(R174="Parado",L174,0))</f>
        <v>0</v>
      </c>
      <c r="X174" s="33">
        <f>IF($A174="","",IF(OR(Q174="RUPTURA",Q174="REPOR"),COUNTIF($Q$5:Q174,"RUPTURA")+COUNTIF($Q$5:Q174,"REPOR"),""))</f>
        <v>0</v>
      </c>
    </row>
    <row r="175" spans="1:24">
      <c r="A175" s="23">
        <f>IF(Produtos!A175="","",Produtos!A175)</f>
        <v>0</v>
      </c>
      <c r="B175" s="23">
        <f>IF($A175="","",Produtos!B175&amp;"")</f>
        <v>0</v>
      </c>
      <c r="C175" s="23">
        <f>IF($A175="","",Produtos!C175&amp;"")</f>
        <v>0</v>
      </c>
      <c r="D175" s="25">
        <f>IF($A175="","",Produtos!D175&amp;"")</f>
        <v>0</v>
      </c>
      <c r="E175" s="26">
        <f>IF($A175="","",N(Produtos!H175))</f>
        <v>0</v>
      </c>
      <c r="F175" s="26">
        <f>IF($A175="","",SUMIFS(MovQtd,MovCod,$A175,MovTipo,"Entrada"))</f>
        <v>0</v>
      </c>
      <c r="G175" s="26">
        <f>IF($A175="","",SUMIFS(MovQtd,MovCod,$A175,MovTipo,"Saída"))</f>
        <v>0</v>
      </c>
      <c r="H175" s="27">
        <f>IF($A175="","",E175+F175-G175)</f>
        <v>0</v>
      </c>
      <c r="I175" s="26">
        <f>IF($A175="","",N(Produtos!I175))</f>
        <v>0</v>
      </c>
      <c r="J175" s="26">
        <f>IF($A175="","",IF(I175&gt;0,ROUNDUP(I175*FatMax,0),""))</f>
        <v>0</v>
      </c>
      <c r="K175" s="24">
        <f>IF($A175="","",N(Produtos!F175))</f>
        <v>0</v>
      </c>
      <c r="L175" s="24">
        <f>IF($A175="","",H175*K175)</f>
        <v>0</v>
      </c>
      <c r="M175" s="26">
        <f>IF($A175="","",SUMIFS(MovQtd,MovCod,$A175,MovTipo,"Saída",MovData,"&gt;="&amp;(Hoje-DiasAn),MovData,"&lt;="&amp;Hoje))</f>
        <v>0</v>
      </c>
      <c r="N175" s="28">
        <f>IF($A175="","",M175/DiasAn)</f>
        <v>0</v>
      </c>
      <c r="O175" s="29">
        <f>IF($A175="","",IF(N175&gt;0,H175/N175,"sem giro"))</f>
        <v>0</v>
      </c>
      <c r="P175" s="30">
        <f>IF($A175="","",SUMPRODUCT(MAX((MovCod=$A175)*(MovTipo="Saída")*MovData)))</f>
        <v>0</v>
      </c>
      <c r="Q175" s="31">
        <f>IF($A175="","",IF(H175&lt;=0,"RUPTURA",IF(AND(I175&gt;0,H175&lt;=I175),"REPOR",IF(AND(J175&lt;&gt;"",H175&gt;J175),"EXCESSO","OK"))))</f>
        <v>0</v>
      </c>
      <c r="R175" s="25">
        <f>IF($A175="","",IF(AND(H175&gt;0,OR(P175=0,Hoje-P175&gt;DiasParado)),"Parado",""))</f>
        <v>0</v>
      </c>
      <c r="S175" s="26">
        <f>IF($A175="","",IF(OR(Q175="RUPTURA",Q175="REPOR"),IF(J175="",0,MAX(0,J175-H175)),0))</f>
        <v>0</v>
      </c>
      <c r="T175" s="24">
        <f>IF($A175="","",M175*IF(N(Produtos!G175)&gt;0,Produtos!G175,K175))</f>
        <v>0</v>
      </c>
      <c r="U175" s="32">
        <f>IF($A175="","",IF(T175&gt;0,T175+ROW()/1000000000,""))</f>
        <v>0</v>
      </c>
      <c r="V175" s="31">
        <f>IF($A175="","",IF(U175="","C",INDEX('Curva ABC'!$H$5:$H$304,MATCH(U175,'Curva ABC'!$B$5:$B$304,0))))</f>
        <v>0</v>
      </c>
      <c r="W175" s="24">
        <f>IF($A175="","",IF(R175="Parado",L175,0))</f>
        <v>0</v>
      </c>
      <c r="X175" s="33">
        <f>IF($A175="","",IF(OR(Q175="RUPTURA",Q175="REPOR"),COUNTIF($Q$5:Q175,"RUPTURA")+COUNTIF($Q$5:Q175,"REPOR"),""))</f>
        <v>0</v>
      </c>
    </row>
    <row r="176" spans="1:24">
      <c r="A176" s="23">
        <f>IF(Produtos!A176="","",Produtos!A176)</f>
        <v>0</v>
      </c>
      <c r="B176" s="23">
        <f>IF($A176="","",Produtos!B176&amp;"")</f>
        <v>0</v>
      </c>
      <c r="C176" s="23">
        <f>IF($A176="","",Produtos!C176&amp;"")</f>
        <v>0</v>
      </c>
      <c r="D176" s="25">
        <f>IF($A176="","",Produtos!D176&amp;"")</f>
        <v>0</v>
      </c>
      <c r="E176" s="26">
        <f>IF($A176="","",N(Produtos!H176))</f>
        <v>0</v>
      </c>
      <c r="F176" s="26">
        <f>IF($A176="","",SUMIFS(MovQtd,MovCod,$A176,MovTipo,"Entrada"))</f>
        <v>0</v>
      </c>
      <c r="G176" s="26">
        <f>IF($A176="","",SUMIFS(MovQtd,MovCod,$A176,MovTipo,"Saída"))</f>
        <v>0</v>
      </c>
      <c r="H176" s="27">
        <f>IF($A176="","",E176+F176-G176)</f>
        <v>0</v>
      </c>
      <c r="I176" s="26">
        <f>IF($A176="","",N(Produtos!I176))</f>
        <v>0</v>
      </c>
      <c r="J176" s="26">
        <f>IF($A176="","",IF(I176&gt;0,ROUNDUP(I176*FatMax,0),""))</f>
        <v>0</v>
      </c>
      <c r="K176" s="24">
        <f>IF($A176="","",N(Produtos!F176))</f>
        <v>0</v>
      </c>
      <c r="L176" s="24">
        <f>IF($A176="","",H176*K176)</f>
        <v>0</v>
      </c>
      <c r="M176" s="26">
        <f>IF($A176="","",SUMIFS(MovQtd,MovCod,$A176,MovTipo,"Saída",MovData,"&gt;="&amp;(Hoje-DiasAn),MovData,"&lt;="&amp;Hoje))</f>
        <v>0</v>
      </c>
      <c r="N176" s="28">
        <f>IF($A176="","",M176/DiasAn)</f>
        <v>0</v>
      </c>
      <c r="O176" s="29">
        <f>IF($A176="","",IF(N176&gt;0,H176/N176,"sem giro"))</f>
        <v>0</v>
      </c>
      <c r="P176" s="30">
        <f>IF($A176="","",SUMPRODUCT(MAX((MovCod=$A176)*(MovTipo="Saída")*MovData)))</f>
        <v>0</v>
      </c>
      <c r="Q176" s="31">
        <f>IF($A176="","",IF(H176&lt;=0,"RUPTURA",IF(AND(I176&gt;0,H176&lt;=I176),"REPOR",IF(AND(J176&lt;&gt;"",H176&gt;J176),"EXCESSO","OK"))))</f>
        <v>0</v>
      </c>
      <c r="R176" s="25">
        <f>IF($A176="","",IF(AND(H176&gt;0,OR(P176=0,Hoje-P176&gt;DiasParado)),"Parado",""))</f>
        <v>0</v>
      </c>
      <c r="S176" s="26">
        <f>IF($A176="","",IF(OR(Q176="RUPTURA",Q176="REPOR"),IF(J176="",0,MAX(0,J176-H176)),0))</f>
        <v>0</v>
      </c>
      <c r="T176" s="24">
        <f>IF($A176="","",M176*IF(N(Produtos!G176)&gt;0,Produtos!G176,K176))</f>
        <v>0</v>
      </c>
      <c r="U176" s="32">
        <f>IF($A176="","",IF(T176&gt;0,T176+ROW()/1000000000,""))</f>
        <v>0</v>
      </c>
      <c r="V176" s="31">
        <f>IF($A176="","",IF(U176="","C",INDEX('Curva ABC'!$H$5:$H$304,MATCH(U176,'Curva ABC'!$B$5:$B$304,0))))</f>
        <v>0</v>
      </c>
      <c r="W176" s="24">
        <f>IF($A176="","",IF(R176="Parado",L176,0))</f>
        <v>0</v>
      </c>
      <c r="X176" s="33">
        <f>IF($A176="","",IF(OR(Q176="RUPTURA",Q176="REPOR"),COUNTIF($Q$5:Q176,"RUPTURA")+COUNTIF($Q$5:Q176,"REPOR"),""))</f>
        <v>0</v>
      </c>
    </row>
    <row r="177" spans="1:24">
      <c r="A177" s="23">
        <f>IF(Produtos!A177="","",Produtos!A177)</f>
        <v>0</v>
      </c>
      <c r="B177" s="23">
        <f>IF($A177="","",Produtos!B177&amp;"")</f>
        <v>0</v>
      </c>
      <c r="C177" s="23">
        <f>IF($A177="","",Produtos!C177&amp;"")</f>
        <v>0</v>
      </c>
      <c r="D177" s="25">
        <f>IF($A177="","",Produtos!D177&amp;"")</f>
        <v>0</v>
      </c>
      <c r="E177" s="26">
        <f>IF($A177="","",N(Produtos!H177))</f>
        <v>0</v>
      </c>
      <c r="F177" s="26">
        <f>IF($A177="","",SUMIFS(MovQtd,MovCod,$A177,MovTipo,"Entrada"))</f>
        <v>0</v>
      </c>
      <c r="G177" s="26">
        <f>IF($A177="","",SUMIFS(MovQtd,MovCod,$A177,MovTipo,"Saída"))</f>
        <v>0</v>
      </c>
      <c r="H177" s="27">
        <f>IF($A177="","",E177+F177-G177)</f>
        <v>0</v>
      </c>
      <c r="I177" s="26">
        <f>IF($A177="","",N(Produtos!I177))</f>
        <v>0</v>
      </c>
      <c r="J177" s="26">
        <f>IF($A177="","",IF(I177&gt;0,ROUNDUP(I177*FatMax,0),""))</f>
        <v>0</v>
      </c>
      <c r="K177" s="24">
        <f>IF($A177="","",N(Produtos!F177))</f>
        <v>0</v>
      </c>
      <c r="L177" s="24">
        <f>IF($A177="","",H177*K177)</f>
        <v>0</v>
      </c>
      <c r="M177" s="26">
        <f>IF($A177="","",SUMIFS(MovQtd,MovCod,$A177,MovTipo,"Saída",MovData,"&gt;="&amp;(Hoje-DiasAn),MovData,"&lt;="&amp;Hoje))</f>
        <v>0</v>
      </c>
      <c r="N177" s="28">
        <f>IF($A177="","",M177/DiasAn)</f>
        <v>0</v>
      </c>
      <c r="O177" s="29">
        <f>IF($A177="","",IF(N177&gt;0,H177/N177,"sem giro"))</f>
        <v>0</v>
      </c>
      <c r="P177" s="30">
        <f>IF($A177="","",SUMPRODUCT(MAX((MovCod=$A177)*(MovTipo="Saída")*MovData)))</f>
        <v>0</v>
      </c>
      <c r="Q177" s="31">
        <f>IF($A177="","",IF(H177&lt;=0,"RUPTURA",IF(AND(I177&gt;0,H177&lt;=I177),"REPOR",IF(AND(J177&lt;&gt;"",H177&gt;J177),"EXCESSO","OK"))))</f>
        <v>0</v>
      </c>
      <c r="R177" s="25">
        <f>IF($A177="","",IF(AND(H177&gt;0,OR(P177=0,Hoje-P177&gt;DiasParado)),"Parado",""))</f>
        <v>0</v>
      </c>
      <c r="S177" s="26">
        <f>IF($A177="","",IF(OR(Q177="RUPTURA",Q177="REPOR"),IF(J177="",0,MAX(0,J177-H177)),0))</f>
        <v>0</v>
      </c>
      <c r="T177" s="24">
        <f>IF($A177="","",M177*IF(N(Produtos!G177)&gt;0,Produtos!G177,K177))</f>
        <v>0</v>
      </c>
      <c r="U177" s="32">
        <f>IF($A177="","",IF(T177&gt;0,T177+ROW()/1000000000,""))</f>
        <v>0</v>
      </c>
      <c r="V177" s="31">
        <f>IF($A177="","",IF(U177="","C",INDEX('Curva ABC'!$H$5:$H$304,MATCH(U177,'Curva ABC'!$B$5:$B$304,0))))</f>
        <v>0</v>
      </c>
      <c r="W177" s="24">
        <f>IF($A177="","",IF(R177="Parado",L177,0))</f>
        <v>0</v>
      </c>
      <c r="X177" s="33">
        <f>IF($A177="","",IF(OR(Q177="RUPTURA",Q177="REPOR"),COUNTIF($Q$5:Q177,"RUPTURA")+COUNTIF($Q$5:Q177,"REPOR"),""))</f>
        <v>0</v>
      </c>
    </row>
    <row r="178" spans="1:24">
      <c r="A178" s="23">
        <f>IF(Produtos!A178="","",Produtos!A178)</f>
        <v>0</v>
      </c>
      <c r="B178" s="23">
        <f>IF($A178="","",Produtos!B178&amp;"")</f>
        <v>0</v>
      </c>
      <c r="C178" s="23">
        <f>IF($A178="","",Produtos!C178&amp;"")</f>
        <v>0</v>
      </c>
      <c r="D178" s="25">
        <f>IF($A178="","",Produtos!D178&amp;"")</f>
        <v>0</v>
      </c>
      <c r="E178" s="26">
        <f>IF($A178="","",N(Produtos!H178))</f>
        <v>0</v>
      </c>
      <c r="F178" s="26">
        <f>IF($A178="","",SUMIFS(MovQtd,MovCod,$A178,MovTipo,"Entrada"))</f>
        <v>0</v>
      </c>
      <c r="G178" s="26">
        <f>IF($A178="","",SUMIFS(MovQtd,MovCod,$A178,MovTipo,"Saída"))</f>
        <v>0</v>
      </c>
      <c r="H178" s="27">
        <f>IF($A178="","",E178+F178-G178)</f>
        <v>0</v>
      </c>
      <c r="I178" s="26">
        <f>IF($A178="","",N(Produtos!I178))</f>
        <v>0</v>
      </c>
      <c r="J178" s="26">
        <f>IF($A178="","",IF(I178&gt;0,ROUNDUP(I178*FatMax,0),""))</f>
        <v>0</v>
      </c>
      <c r="K178" s="24">
        <f>IF($A178="","",N(Produtos!F178))</f>
        <v>0</v>
      </c>
      <c r="L178" s="24">
        <f>IF($A178="","",H178*K178)</f>
        <v>0</v>
      </c>
      <c r="M178" s="26">
        <f>IF($A178="","",SUMIFS(MovQtd,MovCod,$A178,MovTipo,"Saída",MovData,"&gt;="&amp;(Hoje-DiasAn),MovData,"&lt;="&amp;Hoje))</f>
        <v>0</v>
      </c>
      <c r="N178" s="28">
        <f>IF($A178="","",M178/DiasAn)</f>
        <v>0</v>
      </c>
      <c r="O178" s="29">
        <f>IF($A178="","",IF(N178&gt;0,H178/N178,"sem giro"))</f>
        <v>0</v>
      </c>
      <c r="P178" s="30">
        <f>IF($A178="","",SUMPRODUCT(MAX((MovCod=$A178)*(MovTipo="Saída")*MovData)))</f>
        <v>0</v>
      </c>
      <c r="Q178" s="31">
        <f>IF($A178="","",IF(H178&lt;=0,"RUPTURA",IF(AND(I178&gt;0,H178&lt;=I178),"REPOR",IF(AND(J178&lt;&gt;"",H178&gt;J178),"EXCESSO","OK"))))</f>
        <v>0</v>
      </c>
      <c r="R178" s="25">
        <f>IF($A178="","",IF(AND(H178&gt;0,OR(P178=0,Hoje-P178&gt;DiasParado)),"Parado",""))</f>
        <v>0</v>
      </c>
      <c r="S178" s="26">
        <f>IF($A178="","",IF(OR(Q178="RUPTURA",Q178="REPOR"),IF(J178="",0,MAX(0,J178-H178)),0))</f>
        <v>0</v>
      </c>
      <c r="T178" s="24">
        <f>IF($A178="","",M178*IF(N(Produtos!G178)&gt;0,Produtos!G178,K178))</f>
        <v>0</v>
      </c>
      <c r="U178" s="32">
        <f>IF($A178="","",IF(T178&gt;0,T178+ROW()/1000000000,""))</f>
        <v>0</v>
      </c>
      <c r="V178" s="31">
        <f>IF($A178="","",IF(U178="","C",INDEX('Curva ABC'!$H$5:$H$304,MATCH(U178,'Curva ABC'!$B$5:$B$304,0))))</f>
        <v>0</v>
      </c>
      <c r="W178" s="24">
        <f>IF($A178="","",IF(R178="Parado",L178,0))</f>
        <v>0</v>
      </c>
      <c r="X178" s="33">
        <f>IF($A178="","",IF(OR(Q178="RUPTURA",Q178="REPOR"),COUNTIF($Q$5:Q178,"RUPTURA")+COUNTIF($Q$5:Q178,"REPOR"),""))</f>
        <v>0</v>
      </c>
    </row>
    <row r="179" spans="1:24">
      <c r="A179" s="23">
        <f>IF(Produtos!A179="","",Produtos!A179)</f>
        <v>0</v>
      </c>
      <c r="B179" s="23">
        <f>IF($A179="","",Produtos!B179&amp;"")</f>
        <v>0</v>
      </c>
      <c r="C179" s="23">
        <f>IF($A179="","",Produtos!C179&amp;"")</f>
        <v>0</v>
      </c>
      <c r="D179" s="25">
        <f>IF($A179="","",Produtos!D179&amp;"")</f>
        <v>0</v>
      </c>
      <c r="E179" s="26">
        <f>IF($A179="","",N(Produtos!H179))</f>
        <v>0</v>
      </c>
      <c r="F179" s="26">
        <f>IF($A179="","",SUMIFS(MovQtd,MovCod,$A179,MovTipo,"Entrada"))</f>
        <v>0</v>
      </c>
      <c r="G179" s="26">
        <f>IF($A179="","",SUMIFS(MovQtd,MovCod,$A179,MovTipo,"Saída"))</f>
        <v>0</v>
      </c>
      <c r="H179" s="27">
        <f>IF($A179="","",E179+F179-G179)</f>
        <v>0</v>
      </c>
      <c r="I179" s="26">
        <f>IF($A179="","",N(Produtos!I179))</f>
        <v>0</v>
      </c>
      <c r="J179" s="26">
        <f>IF($A179="","",IF(I179&gt;0,ROUNDUP(I179*FatMax,0),""))</f>
        <v>0</v>
      </c>
      <c r="K179" s="24">
        <f>IF($A179="","",N(Produtos!F179))</f>
        <v>0</v>
      </c>
      <c r="L179" s="24">
        <f>IF($A179="","",H179*K179)</f>
        <v>0</v>
      </c>
      <c r="M179" s="26">
        <f>IF($A179="","",SUMIFS(MovQtd,MovCod,$A179,MovTipo,"Saída",MovData,"&gt;="&amp;(Hoje-DiasAn),MovData,"&lt;="&amp;Hoje))</f>
        <v>0</v>
      </c>
      <c r="N179" s="28">
        <f>IF($A179="","",M179/DiasAn)</f>
        <v>0</v>
      </c>
      <c r="O179" s="29">
        <f>IF($A179="","",IF(N179&gt;0,H179/N179,"sem giro"))</f>
        <v>0</v>
      </c>
      <c r="P179" s="30">
        <f>IF($A179="","",SUMPRODUCT(MAX((MovCod=$A179)*(MovTipo="Saída")*MovData)))</f>
        <v>0</v>
      </c>
      <c r="Q179" s="31">
        <f>IF($A179="","",IF(H179&lt;=0,"RUPTURA",IF(AND(I179&gt;0,H179&lt;=I179),"REPOR",IF(AND(J179&lt;&gt;"",H179&gt;J179),"EXCESSO","OK"))))</f>
        <v>0</v>
      </c>
      <c r="R179" s="25">
        <f>IF($A179="","",IF(AND(H179&gt;0,OR(P179=0,Hoje-P179&gt;DiasParado)),"Parado",""))</f>
        <v>0</v>
      </c>
      <c r="S179" s="26">
        <f>IF($A179="","",IF(OR(Q179="RUPTURA",Q179="REPOR"),IF(J179="",0,MAX(0,J179-H179)),0))</f>
        <v>0</v>
      </c>
      <c r="T179" s="24">
        <f>IF($A179="","",M179*IF(N(Produtos!G179)&gt;0,Produtos!G179,K179))</f>
        <v>0</v>
      </c>
      <c r="U179" s="32">
        <f>IF($A179="","",IF(T179&gt;0,T179+ROW()/1000000000,""))</f>
        <v>0</v>
      </c>
      <c r="V179" s="31">
        <f>IF($A179="","",IF(U179="","C",INDEX('Curva ABC'!$H$5:$H$304,MATCH(U179,'Curva ABC'!$B$5:$B$304,0))))</f>
        <v>0</v>
      </c>
      <c r="W179" s="24">
        <f>IF($A179="","",IF(R179="Parado",L179,0))</f>
        <v>0</v>
      </c>
      <c r="X179" s="33">
        <f>IF($A179="","",IF(OR(Q179="RUPTURA",Q179="REPOR"),COUNTIF($Q$5:Q179,"RUPTURA")+COUNTIF($Q$5:Q179,"REPOR"),""))</f>
        <v>0</v>
      </c>
    </row>
    <row r="180" spans="1:24">
      <c r="A180" s="23">
        <f>IF(Produtos!A180="","",Produtos!A180)</f>
        <v>0</v>
      </c>
      <c r="B180" s="23">
        <f>IF($A180="","",Produtos!B180&amp;"")</f>
        <v>0</v>
      </c>
      <c r="C180" s="23">
        <f>IF($A180="","",Produtos!C180&amp;"")</f>
        <v>0</v>
      </c>
      <c r="D180" s="25">
        <f>IF($A180="","",Produtos!D180&amp;"")</f>
        <v>0</v>
      </c>
      <c r="E180" s="26">
        <f>IF($A180="","",N(Produtos!H180))</f>
        <v>0</v>
      </c>
      <c r="F180" s="26">
        <f>IF($A180="","",SUMIFS(MovQtd,MovCod,$A180,MovTipo,"Entrada"))</f>
        <v>0</v>
      </c>
      <c r="G180" s="26">
        <f>IF($A180="","",SUMIFS(MovQtd,MovCod,$A180,MovTipo,"Saída"))</f>
        <v>0</v>
      </c>
      <c r="H180" s="27">
        <f>IF($A180="","",E180+F180-G180)</f>
        <v>0</v>
      </c>
      <c r="I180" s="26">
        <f>IF($A180="","",N(Produtos!I180))</f>
        <v>0</v>
      </c>
      <c r="J180" s="26">
        <f>IF($A180="","",IF(I180&gt;0,ROUNDUP(I180*FatMax,0),""))</f>
        <v>0</v>
      </c>
      <c r="K180" s="24">
        <f>IF($A180="","",N(Produtos!F180))</f>
        <v>0</v>
      </c>
      <c r="L180" s="24">
        <f>IF($A180="","",H180*K180)</f>
        <v>0</v>
      </c>
      <c r="M180" s="26">
        <f>IF($A180="","",SUMIFS(MovQtd,MovCod,$A180,MovTipo,"Saída",MovData,"&gt;="&amp;(Hoje-DiasAn),MovData,"&lt;="&amp;Hoje))</f>
        <v>0</v>
      </c>
      <c r="N180" s="28">
        <f>IF($A180="","",M180/DiasAn)</f>
        <v>0</v>
      </c>
      <c r="O180" s="29">
        <f>IF($A180="","",IF(N180&gt;0,H180/N180,"sem giro"))</f>
        <v>0</v>
      </c>
      <c r="P180" s="30">
        <f>IF($A180="","",SUMPRODUCT(MAX((MovCod=$A180)*(MovTipo="Saída")*MovData)))</f>
        <v>0</v>
      </c>
      <c r="Q180" s="31">
        <f>IF($A180="","",IF(H180&lt;=0,"RUPTURA",IF(AND(I180&gt;0,H180&lt;=I180),"REPOR",IF(AND(J180&lt;&gt;"",H180&gt;J180),"EXCESSO","OK"))))</f>
        <v>0</v>
      </c>
      <c r="R180" s="25">
        <f>IF($A180="","",IF(AND(H180&gt;0,OR(P180=0,Hoje-P180&gt;DiasParado)),"Parado",""))</f>
        <v>0</v>
      </c>
      <c r="S180" s="26">
        <f>IF($A180="","",IF(OR(Q180="RUPTURA",Q180="REPOR"),IF(J180="",0,MAX(0,J180-H180)),0))</f>
        <v>0</v>
      </c>
      <c r="T180" s="24">
        <f>IF($A180="","",M180*IF(N(Produtos!G180)&gt;0,Produtos!G180,K180))</f>
        <v>0</v>
      </c>
      <c r="U180" s="32">
        <f>IF($A180="","",IF(T180&gt;0,T180+ROW()/1000000000,""))</f>
        <v>0</v>
      </c>
      <c r="V180" s="31">
        <f>IF($A180="","",IF(U180="","C",INDEX('Curva ABC'!$H$5:$H$304,MATCH(U180,'Curva ABC'!$B$5:$B$304,0))))</f>
        <v>0</v>
      </c>
      <c r="W180" s="24">
        <f>IF($A180="","",IF(R180="Parado",L180,0))</f>
        <v>0</v>
      </c>
      <c r="X180" s="33">
        <f>IF($A180="","",IF(OR(Q180="RUPTURA",Q180="REPOR"),COUNTIF($Q$5:Q180,"RUPTURA")+COUNTIF($Q$5:Q180,"REPOR"),""))</f>
        <v>0</v>
      </c>
    </row>
    <row r="181" spans="1:24">
      <c r="A181" s="23">
        <f>IF(Produtos!A181="","",Produtos!A181)</f>
        <v>0</v>
      </c>
      <c r="B181" s="23">
        <f>IF($A181="","",Produtos!B181&amp;"")</f>
        <v>0</v>
      </c>
      <c r="C181" s="23">
        <f>IF($A181="","",Produtos!C181&amp;"")</f>
        <v>0</v>
      </c>
      <c r="D181" s="25">
        <f>IF($A181="","",Produtos!D181&amp;"")</f>
        <v>0</v>
      </c>
      <c r="E181" s="26">
        <f>IF($A181="","",N(Produtos!H181))</f>
        <v>0</v>
      </c>
      <c r="F181" s="26">
        <f>IF($A181="","",SUMIFS(MovQtd,MovCod,$A181,MovTipo,"Entrada"))</f>
        <v>0</v>
      </c>
      <c r="G181" s="26">
        <f>IF($A181="","",SUMIFS(MovQtd,MovCod,$A181,MovTipo,"Saída"))</f>
        <v>0</v>
      </c>
      <c r="H181" s="27">
        <f>IF($A181="","",E181+F181-G181)</f>
        <v>0</v>
      </c>
      <c r="I181" s="26">
        <f>IF($A181="","",N(Produtos!I181))</f>
        <v>0</v>
      </c>
      <c r="J181" s="26">
        <f>IF($A181="","",IF(I181&gt;0,ROUNDUP(I181*FatMax,0),""))</f>
        <v>0</v>
      </c>
      <c r="K181" s="24">
        <f>IF($A181="","",N(Produtos!F181))</f>
        <v>0</v>
      </c>
      <c r="L181" s="24">
        <f>IF($A181="","",H181*K181)</f>
        <v>0</v>
      </c>
      <c r="M181" s="26">
        <f>IF($A181="","",SUMIFS(MovQtd,MovCod,$A181,MovTipo,"Saída",MovData,"&gt;="&amp;(Hoje-DiasAn),MovData,"&lt;="&amp;Hoje))</f>
        <v>0</v>
      </c>
      <c r="N181" s="28">
        <f>IF($A181="","",M181/DiasAn)</f>
        <v>0</v>
      </c>
      <c r="O181" s="29">
        <f>IF($A181="","",IF(N181&gt;0,H181/N181,"sem giro"))</f>
        <v>0</v>
      </c>
      <c r="P181" s="30">
        <f>IF($A181="","",SUMPRODUCT(MAX((MovCod=$A181)*(MovTipo="Saída")*MovData)))</f>
        <v>0</v>
      </c>
      <c r="Q181" s="31">
        <f>IF($A181="","",IF(H181&lt;=0,"RUPTURA",IF(AND(I181&gt;0,H181&lt;=I181),"REPOR",IF(AND(J181&lt;&gt;"",H181&gt;J181),"EXCESSO","OK"))))</f>
        <v>0</v>
      </c>
      <c r="R181" s="25">
        <f>IF($A181="","",IF(AND(H181&gt;0,OR(P181=0,Hoje-P181&gt;DiasParado)),"Parado",""))</f>
        <v>0</v>
      </c>
      <c r="S181" s="26">
        <f>IF($A181="","",IF(OR(Q181="RUPTURA",Q181="REPOR"),IF(J181="",0,MAX(0,J181-H181)),0))</f>
        <v>0</v>
      </c>
      <c r="T181" s="24">
        <f>IF($A181="","",M181*IF(N(Produtos!G181)&gt;0,Produtos!G181,K181))</f>
        <v>0</v>
      </c>
      <c r="U181" s="32">
        <f>IF($A181="","",IF(T181&gt;0,T181+ROW()/1000000000,""))</f>
        <v>0</v>
      </c>
      <c r="V181" s="31">
        <f>IF($A181="","",IF(U181="","C",INDEX('Curva ABC'!$H$5:$H$304,MATCH(U181,'Curva ABC'!$B$5:$B$304,0))))</f>
        <v>0</v>
      </c>
      <c r="W181" s="24">
        <f>IF($A181="","",IF(R181="Parado",L181,0))</f>
        <v>0</v>
      </c>
      <c r="X181" s="33">
        <f>IF($A181="","",IF(OR(Q181="RUPTURA",Q181="REPOR"),COUNTIF($Q$5:Q181,"RUPTURA")+COUNTIF($Q$5:Q181,"REPOR"),""))</f>
        <v>0</v>
      </c>
    </row>
    <row r="182" spans="1:24">
      <c r="A182" s="23">
        <f>IF(Produtos!A182="","",Produtos!A182)</f>
        <v>0</v>
      </c>
      <c r="B182" s="23">
        <f>IF($A182="","",Produtos!B182&amp;"")</f>
        <v>0</v>
      </c>
      <c r="C182" s="23">
        <f>IF($A182="","",Produtos!C182&amp;"")</f>
        <v>0</v>
      </c>
      <c r="D182" s="25">
        <f>IF($A182="","",Produtos!D182&amp;"")</f>
        <v>0</v>
      </c>
      <c r="E182" s="26">
        <f>IF($A182="","",N(Produtos!H182))</f>
        <v>0</v>
      </c>
      <c r="F182" s="26">
        <f>IF($A182="","",SUMIFS(MovQtd,MovCod,$A182,MovTipo,"Entrada"))</f>
        <v>0</v>
      </c>
      <c r="G182" s="26">
        <f>IF($A182="","",SUMIFS(MovQtd,MovCod,$A182,MovTipo,"Saída"))</f>
        <v>0</v>
      </c>
      <c r="H182" s="27">
        <f>IF($A182="","",E182+F182-G182)</f>
        <v>0</v>
      </c>
      <c r="I182" s="26">
        <f>IF($A182="","",N(Produtos!I182))</f>
        <v>0</v>
      </c>
      <c r="J182" s="26">
        <f>IF($A182="","",IF(I182&gt;0,ROUNDUP(I182*FatMax,0),""))</f>
        <v>0</v>
      </c>
      <c r="K182" s="24">
        <f>IF($A182="","",N(Produtos!F182))</f>
        <v>0</v>
      </c>
      <c r="L182" s="24">
        <f>IF($A182="","",H182*K182)</f>
        <v>0</v>
      </c>
      <c r="M182" s="26">
        <f>IF($A182="","",SUMIFS(MovQtd,MovCod,$A182,MovTipo,"Saída",MovData,"&gt;="&amp;(Hoje-DiasAn),MovData,"&lt;="&amp;Hoje))</f>
        <v>0</v>
      </c>
      <c r="N182" s="28">
        <f>IF($A182="","",M182/DiasAn)</f>
        <v>0</v>
      </c>
      <c r="O182" s="29">
        <f>IF($A182="","",IF(N182&gt;0,H182/N182,"sem giro"))</f>
        <v>0</v>
      </c>
      <c r="P182" s="30">
        <f>IF($A182="","",SUMPRODUCT(MAX((MovCod=$A182)*(MovTipo="Saída")*MovData)))</f>
        <v>0</v>
      </c>
      <c r="Q182" s="31">
        <f>IF($A182="","",IF(H182&lt;=0,"RUPTURA",IF(AND(I182&gt;0,H182&lt;=I182),"REPOR",IF(AND(J182&lt;&gt;"",H182&gt;J182),"EXCESSO","OK"))))</f>
        <v>0</v>
      </c>
      <c r="R182" s="25">
        <f>IF($A182="","",IF(AND(H182&gt;0,OR(P182=0,Hoje-P182&gt;DiasParado)),"Parado",""))</f>
        <v>0</v>
      </c>
      <c r="S182" s="26">
        <f>IF($A182="","",IF(OR(Q182="RUPTURA",Q182="REPOR"),IF(J182="",0,MAX(0,J182-H182)),0))</f>
        <v>0</v>
      </c>
      <c r="T182" s="24">
        <f>IF($A182="","",M182*IF(N(Produtos!G182)&gt;0,Produtos!G182,K182))</f>
        <v>0</v>
      </c>
      <c r="U182" s="32">
        <f>IF($A182="","",IF(T182&gt;0,T182+ROW()/1000000000,""))</f>
        <v>0</v>
      </c>
      <c r="V182" s="31">
        <f>IF($A182="","",IF(U182="","C",INDEX('Curva ABC'!$H$5:$H$304,MATCH(U182,'Curva ABC'!$B$5:$B$304,0))))</f>
        <v>0</v>
      </c>
      <c r="W182" s="24">
        <f>IF($A182="","",IF(R182="Parado",L182,0))</f>
        <v>0</v>
      </c>
      <c r="X182" s="33">
        <f>IF($A182="","",IF(OR(Q182="RUPTURA",Q182="REPOR"),COUNTIF($Q$5:Q182,"RUPTURA")+COUNTIF($Q$5:Q182,"REPOR"),""))</f>
        <v>0</v>
      </c>
    </row>
    <row r="183" spans="1:24">
      <c r="A183" s="23">
        <f>IF(Produtos!A183="","",Produtos!A183)</f>
        <v>0</v>
      </c>
      <c r="B183" s="23">
        <f>IF($A183="","",Produtos!B183&amp;"")</f>
        <v>0</v>
      </c>
      <c r="C183" s="23">
        <f>IF($A183="","",Produtos!C183&amp;"")</f>
        <v>0</v>
      </c>
      <c r="D183" s="25">
        <f>IF($A183="","",Produtos!D183&amp;"")</f>
        <v>0</v>
      </c>
      <c r="E183" s="26">
        <f>IF($A183="","",N(Produtos!H183))</f>
        <v>0</v>
      </c>
      <c r="F183" s="26">
        <f>IF($A183="","",SUMIFS(MovQtd,MovCod,$A183,MovTipo,"Entrada"))</f>
        <v>0</v>
      </c>
      <c r="G183" s="26">
        <f>IF($A183="","",SUMIFS(MovQtd,MovCod,$A183,MovTipo,"Saída"))</f>
        <v>0</v>
      </c>
      <c r="H183" s="27">
        <f>IF($A183="","",E183+F183-G183)</f>
        <v>0</v>
      </c>
      <c r="I183" s="26">
        <f>IF($A183="","",N(Produtos!I183))</f>
        <v>0</v>
      </c>
      <c r="J183" s="26">
        <f>IF($A183="","",IF(I183&gt;0,ROUNDUP(I183*FatMax,0),""))</f>
        <v>0</v>
      </c>
      <c r="K183" s="24">
        <f>IF($A183="","",N(Produtos!F183))</f>
        <v>0</v>
      </c>
      <c r="L183" s="24">
        <f>IF($A183="","",H183*K183)</f>
        <v>0</v>
      </c>
      <c r="M183" s="26">
        <f>IF($A183="","",SUMIFS(MovQtd,MovCod,$A183,MovTipo,"Saída",MovData,"&gt;="&amp;(Hoje-DiasAn),MovData,"&lt;="&amp;Hoje))</f>
        <v>0</v>
      </c>
      <c r="N183" s="28">
        <f>IF($A183="","",M183/DiasAn)</f>
        <v>0</v>
      </c>
      <c r="O183" s="29">
        <f>IF($A183="","",IF(N183&gt;0,H183/N183,"sem giro"))</f>
        <v>0</v>
      </c>
      <c r="P183" s="30">
        <f>IF($A183="","",SUMPRODUCT(MAX((MovCod=$A183)*(MovTipo="Saída")*MovData)))</f>
        <v>0</v>
      </c>
      <c r="Q183" s="31">
        <f>IF($A183="","",IF(H183&lt;=0,"RUPTURA",IF(AND(I183&gt;0,H183&lt;=I183),"REPOR",IF(AND(J183&lt;&gt;"",H183&gt;J183),"EXCESSO","OK"))))</f>
        <v>0</v>
      </c>
      <c r="R183" s="25">
        <f>IF($A183="","",IF(AND(H183&gt;0,OR(P183=0,Hoje-P183&gt;DiasParado)),"Parado",""))</f>
        <v>0</v>
      </c>
      <c r="S183" s="26">
        <f>IF($A183="","",IF(OR(Q183="RUPTURA",Q183="REPOR"),IF(J183="",0,MAX(0,J183-H183)),0))</f>
        <v>0</v>
      </c>
      <c r="T183" s="24">
        <f>IF($A183="","",M183*IF(N(Produtos!G183)&gt;0,Produtos!G183,K183))</f>
        <v>0</v>
      </c>
      <c r="U183" s="32">
        <f>IF($A183="","",IF(T183&gt;0,T183+ROW()/1000000000,""))</f>
        <v>0</v>
      </c>
      <c r="V183" s="31">
        <f>IF($A183="","",IF(U183="","C",INDEX('Curva ABC'!$H$5:$H$304,MATCH(U183,'Curva ABC'!$B$5:$B$304,0))))</f>
        <v>0</v>
      </c>
      <c r="W183" s="24">
        <f>IF($A183="","",IF(R183="Parado",L183,0))</f>
        <v>0</v>
      </c>
      <c r="X183" s="33">
        <f>IF($A183="","",IF(OR(Q183="RUPTURA",Q183="REPOR"),COUNTIF($Q$5:Q183,"RUPTURA")+COUNTIF($Q$5:Q183,"REPOR"),""))</f>
        <v>0</v>
      </c>
    </row>
    <row r="184" spans="1:24">
      <c r="A184" s="23">
        <f>IF(Produtos!A184="","",Produtos!A184)</f>
        <v>0</v>
      </c>
      <c r="B184" s="23">
        <f>IF($A184="","",Produtos!B184&amp;"")</f>
        <v>0</v>
      </c>
      <c r="C184" s="23">
        <f>IF($A184="","",Produtos!C184&amp;"")</f>
        <v>0</v>
      </c>
      <c r="D184" s="25">
        <f>IF($A184="","",Produtos!D184&amp;"")</f>
        <v>0</v>
      </c>
      <c r="E184" s="26">
        <f>IF($A184="","",N(Produtos!H184))</f>
        <v>0</v>
      </c>
      <c r="F184" s="26">
        <f>IF($A184="","",SUMIFS(MovQtd,MovCod,$A184,MovTipo,"Entrada"))</f>
        <v>0</v>
      </c>
      <c r="G184" s="26">
        <f>IF($A184="","",SUMIFS(MovQtd,MovCod,$A184,MovTipo,"Saída"))</f>
        <v>0</v>
      </c>
      <c r="H184" s="27">
        <f>IF($A184="","",E184+F184-G184)</f>
        <v>0</v>
      </c>
      <c r="I184" s="26">
        <f>IF($A184="","",N(Produtos!I184))</f>
        <v>0</v>
      </c>
      <c r="J184" s="26">
        <f>IF($A184="","",IF(I184&gt;0,ROUNDUP(I184*FatMax,0),""))</f>
        <v>0</v>
      </c>
      <c r="K184" s="24">
        <f>IF($A184="","",N(Produtos!F184))</f>
        <v>0</v>
      </c>
      <c r="L184" s="24">
        <f>IF($A184="","",H184*K184)</f>
        <v>0</v>
      </c>
      <c r="M184" s="26">
        <f>IF($A184="","",SUMIFS(MovQtd,MovCod,$A184,MovTipo,"Saída",MovData,"&gt;="&amp;(Hoje-DiasAn),MovData,"&lt;="&amp;Hoje))</f>
        <v>0</v>
      </c>
      <c r="N184" s="28">
        <f>IF($A184="","",M184/DiasAn)</f>
        <v>0</v>
      </c>
      <c r="O184" s="29">
        <f>IF($A184="","",IF(N184&gt;0,H184/N184,"sem giro"))</f>
        <v>0</v>
      </c>
      <c r="P184" s="30">
        <f>IF($A184="","",SUMPRODUCT(MAX((MovCod=$A184)*(MovTipo="Saída")*MovData)))</f>
        <v>0</v>
      </c>
      <c r="Q184" s="31">
        <f>IF($A184="","",IF(H184&lt;=0,"RUPTURA",IF(AND(I184&gt;0,H184&lt;=I184),"REPOR",IF(AND(J184&lt;&gt;"",H184&gt;J184),"EXCESSO","OK"))))</f>
        <v>0</v>
      </c>
      <c r="R184" s="25">
        <f>IF($A184="","",IF(AND(H184&gt;0,OR(P184=0,Hoje-P184&gt;DiasParado)),"Parado",""))</f>
        <v>0</v>
      </c>
      <c r="S184" s="26">
        <f>IF($A184="","",IF(OR(Q184="RUPTURA",Q184="REPOR"),IF(J184="",0,MAX(0,J184-H184)),0))</f>
        <v>0</v>
      </c>
      <c r="T184" s="24">
        <f>IF($A184="","",M184*IF(N(Produtos!G184)&gt;0,Produtos!G184,K184))</f>
        <v>0</v>
      </c>
      <c r="U184" s="32">
        <f>IF($A184="","",IF(T184&gt;0,T184+ROW()/1000000000,""))</f>
        <v>0</v>
      </c>
      <c r="V184" s="31">
        <f>IF($A184="","",IF(U184="","C",INDEX('Curva ABC'!$H$5:$H$304,MATCH(U184,'Curva ABC'!$B$5:$B$304,0))))</f>
        <v>0</v>
      </c>
      <c r="W184" s="24">
        <f>IF($A184="","",IF(R184="Parado",L184,0))</f>
        <v>0</v>
      </c>
      <c r="X184" s="33">
        <f>IF($A184="","",IF(OR(Q184="RUPTURA",Q184="REPOR"),COUNTIF($Q$5:Q184,"RUPTURA")+COUNTIF($Q$5:Q184,"REPOR"),""))</f>
        <v>0</v>
      </c>
    </row>
    <row r="185" spans="1:24">
      <c r="A185" s="23">
        <f>IF(Produtos!A185="","",Produtos!A185)</f>
        <v>0</v>
      </c>
      <c r="B185" s="23">
        <f>IF($A185="","",Produtos!B185&amp;"")</f>
        <v>0</v>
      </c>
      <c r="C185" s="23">
        <f>IF($A185="","",Produtos!C185&amp;"")</f>
        <v>0</v>
      </c>
      <c r="D185" s="25">
        <f>IF($A185="","",Produtos!D185&amp;"")</f>
        <v>0</v>
      </c>
      <c r="E185" s="26">
        <f>IF($A185="","",N(Produtos!H185))</f>
        <v>0</v>
      </c>
      <c r="F185" s="26">
        <f>IF($A185="","",SUMIFS(MovQtd,MovCod,$A185,MovTipo,"Entrada"))</f>
        <v>0</v>
      </c>
      <c r="G185" s="26">
        <f>IF($A185="","",SUMIFS(MovQtd,MovCod,$A185,MovTipo,"Saída"))</f>
        <v>0</v>
      </c>
      <c r="H185" s="27">
        <f>IF($A185="","",E185+F185-G185)</f>
        <v>0</v>
      </c>
      <c r="I185" s="26">
        <f>IF($A185="","",N(Produtos!I185))</f>
        <v>0</v>
      </c>
      <c r="J185" s="26">
        <f>IF($A185="","",IF(I185&gt;0,ROUNDUP(I185*FatMax,0),""))</f>
        <v>0</v>
      </c>
      <c r="K185" s="24">
        <f>IF($A185="","",N(Produtos!F185))</f>
        <v>0</v>
      </c>
      <c r="L185" s="24">
        <f>IF($A185="","",H185*K185)</f>
        <v>0</v>
      </c>
      <c r="M185" s="26">
        <f>IF($A185="","",SUMIFS(MovQtd,MovCod,$A185,MovTipo,"Saída",MovData,"&gt;="&amp;(Hoje-DiasAn),MovData,"&lt;="&amp;Hoje))</f>
        <v>0</v>
      </c>
      <c r="N185" s="28">
        <f>IF($A185="","",M185/DiasAn)</f>
        <v>0</v>
      </c>
      <c r="O185" s="29">
        <f>IF($A185="","",IF(N185&gt;0,H185/N185,"sem giro"))</f>
        <v>0</v>
      </c>
      <c r="P185" s="30">
        <f>IF($A185="","",SUMPRODUCT(MAX((MovCod=$A185)*(MovTipo="Saída")*MovData)))</f>
        <v>0</v>
      </c>
      <c r="Q185" s="31">
        <f>IF($A185="","",IF(H185&lt;=0,"RUPTURA",IF(AND(I185&gt;0,H185&lt;=I185),"REPOR",IF(AND(J185&lt;&gt;"",H185&gt;J185),"EXCESSO","OK"))))</f>
        <v>0</v>
      </c>
      <c r="R185" s="25">
        <f>IF($A185="","",IF(AND(H185&gt;0,OR(P185=0,Hoje-P185&gt;DiasParado)),"Parado",""))</f>
        <v>0</v>
      </c>
      <c r="S185" s="26">
        <f>IF($A185="","",IF(OR(Q185="RUPTURA",Q185="REPOR"),IF(J185="",0,MAX(0,J185-H185)),0))</f>
        <v>0</v>
      </c>
      <c r="T185" s="24">
        <f>IF($A185="","",M185*IF(N(Produtos!G185)&gt;0,Produtos!G185,K185))</f>
        <v>0</v>
      </c>
      <c r="U185" s="32">
        <f>IF($A185="","",IF(T185&gt;0,T185+ROW()/1000000000,""))</f>
        <v>0</v>
      </c>
      <c r="V185" s="31">
        <f>IF($A185="","",IF(U185="","C",INDEX('Curva ABC'!$H$5:$H$304,MATCH(U185,'Curva ABC'!$B$5:$B$304,0))))</f>
        <v>0</v>
      </c>
      <c r="W185" s="24">
        <f>IF($A185="","",IF(R185="Parado",L185,0))</f>
        <v>0</v>
      </c>
      <c r="X185" s="33">
        <f>IF($A185="","",IF(OR(Q185="RUPTURA",Q185="REPOR"),COUNTIF($Q$5:Q185,"RUPTURA")+COUNTIF($Q$5:Q185,"REPOR"),""))</f>
        <v>0</v>
      </c>
    </row>
    <row r="186" spans="1:24">
      <c r="A186" s="23">
        <f>IF(Produtos!A186="","",Produtos!A186)</f>
        <v>0</v>
      </c>
      <c r="B186" s="23">
        <f>IF($A186="","",Produtos!B186&amp;"")</f>
        <v>0</v>
      </c>
      <c r="C186" s="23">
        <f>IF($A186="","",Produtos!C186&amp;"")</f>
        <v>0</v>
      </c>
      <c r="D186" s="25">
        <f>IF($A186="","",Produtos!D186&amp;"")</f>
        <v>0</v>
      </c>
      <c r="E186" s="26">
        <f>IF($A186="","",N(Produtos!H186))</f>
        <v>0</v>
      </c>
      <c r="F186" s="26">
        <f>IF($A186="","",SUMIFS(MovQtd,MovCod,$A186,MovTipo,"Entrada"))</f>
        <v>0</v>
      </c>
      <c r="G186" s="26">
        <f>IF($A186="","",SUMIFS(MovQtd,MovCod,$A186,MovTipo,"Saída"))</f>
        <v>0</v>
      </c>
      <c r="H186" s="27">
        <f>IF($A186="","",E186+F186-G186)</f>
        <v>0</v>
      </c>
      <c r="I186" s="26">
        <f>IF($A186="","",N(Produtos!I186))</f>
        <v>0</v>
      </c>
      <c r="J186" s="26">
        <f>IF($A186="","",IF(I186&gt;0,ROUNDUP(I186*FatMax,0),""))</f>
        <v>0</v>
      </c>
      <c r="K186" s="24">
        <f>IF($A186="","",N(Produtos!F186))</f>
        <v>0</v>
      </c>
      <c r="L186" s="24">
        <f>IF($A186="","",H186*K186)</f>
        <v>0</v>
      </c>
      <c r="M186" s="26">
        <f>IF($A186="","",SUMIFS(MovQtd,MovCod,$A186,MovTipo,"Saída",MovData,"&gt;="&amp;(Hoje-DiasAn),MovData,"&lt;="&amp;Hoje))</f>
        <v>0</v>
      </c>
      <c r="N186" s="28">
        <f>IF($A186="","",M186/DiasAn)</f>
        <v>0</v>
      </c>
      <c r="O186" s="29">
        <f>IF($A186="","",IF(N186&gt;0,H186/N186,"sem giro"))</f>
        <v>0</v>
      </c>
      <c r="P186" s="30">
        <f>IF($A186="","",SUMPRODUCT(MAX((MovCod=$A186)*(MovTipo="Saída")*MovData)))</f>
        <v>0</v>
      </c>
      <c r="Q186" s="31">
        <f>IF($A186="","",IF(H186&lt;=0,"RUPTURA",IF(AND(I186&gt;0,H186&lt;=I186),"REPOR",IF(AND(J186&lt;&gt;"",H186&gt;J186),"EXCESSO","OK"))))</f>
        <v>0</v>
      </c>
      <c r="R186" s="25">
        <f>IF($A186="","",IF(AND(H186&gt;0,OR(P186=0,Hoje-P186&gt;DiasParado)),"Parado",""))</f>
        <v>0</v>
      </c>
      <c r="S186" s="26">
        <f>IF($A186="","",IF(OR(Q186="RUPTURA",Q186="REPOR"),IF(J186="",0,MAX(0,J186-H186)),0))</f>
        <v>0</v>
      </c>
      <c r="T186" s="24">
        <f>IF($A186="","",M186*IF(N(Produtos!G186)&gt;0,Produtos!G186,K186))</f>
        <v>0</v>
      </c>
      <c r="U186" s="32">
        <f>IF($A186="","",IF(T186&gt;0,T186+ROW()/1000000000,""))</f>
        <v>0</v>
      </c>
      <c r="V186" s="31">
        <f>IF($A186="","",IF(U186="","C",INDEX('Curva ABC'!$H$5:$H$304,MATCH(U186,'Curva ABC'!$B$5:$B$304,0))))</f>
        <v>0</v>
      </c>
      <c r="W186" s="24">
        <f>IF($A186="","",IF(R186="Parado",L186,0))</f>
        <v>0</v>
      </c>
      <c r="X186" s="33">
        <f>IF($A186="","",IF(OR(Q186="RUPTURA",Q186="REPOR"),COUNTIF($Q$5:Q186,"RUPTURA")+COUNTIF($Q$5:Q186,"REPOR"),""))</f>
        <v>0</v>
      </c>
    </row>
    <row r="187" spans="1:24">
      <c r="A187" s="23">
        <f>IF(Produtos!A187="","",Produtos!A187)</f>
        <v>0</v>
      </c>
      <c r="B187" s="23">
        <f>IF($A187="","",Produtos!B187&amp;"")</f>
        <v>0</v>
      </c>
      <c r="C187" s="23">
        <f>IF($A187="","",Produtos!C187&amp;"")</f>
        <v>0</v>
      </c>
      <c r="D187" s="25">
        <f>IF($A187="","",Produtos!D187&amp;"")</f>
        <v>0</v>
      </c>
      <c r="E187" s="26">
        <f>IF($A187="","",N(Produtos!H187))</f>
        <v>0</v>
      </c>
      <c r="F187" s="26">
        <f>IF($A187="","",SUMIFS(MovQtd,MovCod,$A187,MovTipo,"Entrada"))</f>
        <v>0</v>
      </c>
      <c r="G187" s="26">
        <f>IF($A187="","",SUMIFS(MovQtd,MovCod,$A187,MovTipo,"Saída"))</f>
        <v>0</v>
      </c>
      <c r="H187" s="27">
        <f>IF($A187="","",E187+F187-G187)</f>
        <v>0</v>
      </c>
      <c r="I187" s="26">
        <f>IF($A187="","",N(Produtos!I187))</f>
        <v>0</v>
      </c>
      <c r="J187" s="26">
        <f>IF($A187="","",IF(I187&gt;0,ROUNDUP(I187*FatMax,0),""))</f>
        <v>0</v>
      </c>
      <c r="K187" s="24">
        <f>IF($A187="","",N(Produtos!F187))</f>
        <v>0</v>
      </c>
      <c r="L187" s="24">
        <f>IF($A187="","",H187*K187)</f>
        <v>0</v>
      </c>
      <c r="M187" s="26">
        <f>IF($A187="","",SUMIFS(MovQtd,MovCod,$A187,MovTipo,"Saída",MovData,"&gt;="&amp;(Hoje-DiasAn),MovData,"&lt;="&amp;Hoje))</f>
        <v>0</v>
      </c>
      <c r="N187" s="28">
        <f>IF($A187="","",M187/DiasAn)</f>
        <v>0</v>
      </c>
      <c r="O187" s="29">
        <f>IF($A187="","",IF(N187&gt;0,H187/N187,"sem giro"))</f>
        <v>0</v>
      </c>
      <c r="P187" s="30">
        <f>IF($A187="","",SUMPRODUCT(MAX((MovCod=$A187)*(MovTipo="Saída")*MovData)))</f>
        <v>0</v>
      </c>
      <c r="Q187" s="31">
        <f>IF($A187="","",IF(H187&lt;=0,"RUPTURA",IF(AND(I187&gt;0,H187&lt;=I187),"REPOR",IF(AND(J187&lt;&gt;"",H187&gt;J187),"EXCESSO","OK"))))</f>
        <v>0</v>
      </c>
      <c r="R187" s="25">
        <f>IF($A187="","",IF(AND(H187&gt;0,OR(P187=0,Hoje-P187&gt;DiasParado)),"Parado",""))</f>
        <v>0</v>
      </c>
      <c r="S187" s="26">
        <f>IF($A187="","",IF(OR(Q187="RUPTURA",Q187="REPOR"),IF(J187="",0,MAX(0,J187-H187)),0))</f>
        <v>0</v>
      </c>
      <c r="T187" s="24">
        <f>IF($A187="","",M187*IF(N(Produtos!G187)&gt;0,Produtos!G187,K187))</f>
        <v>0</v>
      </c>
      <c r="U187" s="32">
        <f>IF($A187="","",IF(T187&gt;0,T187+ROW()/1000000000,""))</f>
        <v>0</v>
      </c>
      <c r="V187" s="31">
        <f>IF($A187="","",IF(U187="","C",INDEX('Curva ABC'!$H$5:$H$304,MATCH(U187,'Curva ABC'!$B$5:$B$304,0))))</f>
        <v>0</v>
      </c>
      <c r="W187" s="24">
        <f>IF($A187="","",IF(R187="Parado",L187,0))</f>
        <v>0</v>
      </c>
      <c r="X187" s="33">
        <f>IF($A187="","",IF(OR(Q187="RUPTURA",Q187="REPOR"),COUNTIF($Q$5:Q187,"RUPTURA")+COUNTIF($Q$5:Q187,"REPOR"),""))</f>
        <v>0</v>
      </c>
    </row>
    <row r="188" spans="1:24">
      <c r="A188" s="23">
        <f>IF(Produtos!A188="","",Produtos!A188)</f>
        <v>0</v>
      </c>
      <c r="B188" s="23">
        <f>IF($A188="","",Produtos!B188&amp;"")</f>
        <v>0</v>
      </c>
      <c r="C188" s="23">
        <f>IF($A188="","",Produtos!C188&amp;"")</f>
        <v>0</v>
      </c>
      <c r="D188" s="25">
        <f>IF($A188="","",Produtos!D188&amp;"")</f>
        <v>0</v>
      </c>
      <c r="E188" s="26">
        <f>IF($A188="","",N(Produtos!H188))</f>
        <v>0</v>
      </c>
      <c r="F188" s="26">
        <f>IF($A188="","",SUMIFS(MovQtd,MovCod,$A188,MovTipo,"Entrada"))</f>
        <v>0</v>
      </c>
      <c r="G188" s="26">
        <f>IF($A188="","",SUMIFS(MovQtd,MovCod,$A188,MovTipo,"Saída"))</f>
        <v>0</v>
      </c>
      <c r="H188" s="27">
        <f>IF($A188="","",E188+F188-G188)</f>
        <v>0</v>
      </c>
      <c r="I188" s="26">
        <f>IF($A188="","",N(Produtos!I188))</f>
        <v>0</v>
      </c>
      <c r="J188" s="26">
        <f>IF($A188="","",IF(I188&gt;0,ROUNDUP(I188*FatMax,0),""))</f>
        <v>0</v>
      </c>
      <c r="K188" s="24">
        <f>IF($A188="","",N(Produtos!F188))</f>
        <v>0</v>
      </c>
      <c r="L188" s="24">
        <f>IF($A188="","",H188*K188)</f>
        <v>0</v>
      </c>
      <c r="M188" s="26">
        <f>IF($A188="","",SUMIFS(MovQtd,MovCod,$A188,MovTipo,"Saída",MovData,"&gt;="&amp;(Hoje-DiasAn),MovData,"&lt;="&amp;Hoje))</f>
        <v>0</v>
      </c>
      <c r="N188" s="28">
        <f>IF($A188="","",M188/DiasAn)</f>
        <v>0</v>
      </c>
      <c r="O188" s="29">
        <f>IF($A188="","",IF(N188&gt;0,H188/N188,"sem giro"))</f>
        <v>0</v>
      </c>
      <c r="P188" s="30">
        <f>IF($A188="","",SUMPRODUCT(MAX((MovCod=$A188)*(MovTipo="Saída")*MovData)))</f>
        <v>0</v>
      </c>
      <c r="Q188" s="31">
        <f>IF($A188="","",IF(H188&lt;=0,"RUPTURA",IF(AND(I188&gt;0,H188&lt;=I188),"REPOR",IF(AND(J188&lt;&gt;"",H188&gt;J188),"EXCESSO","OK"))))</f>
        <v>0</v>
      </c>
      <c r="R188" s="25">
        <f>IF($A188="","",IF(AND(H188&gt;0,OR(P188=0,Hoje-P188&gt;DiasParado)),"Parado",""))</f>
        <v>0</v>
      </c>
      <c r="S188" s="26">
        <f>IF($A188="","",IF(OR(Q188="RUPTURA",Q188="REPOR"),IF(J188="",0,MAX(0,J188-H188)),0))</f>
        <v>0</v>
      </c>
      <c r="T188" s="24">
        <f>IF($A188="","",M188*IF(N(Produtos!G188)&gt;0,Produtos!G188,K188))</f>
        <v>0</v>
      </c>
      <c r="U188" s="32">
        <f>IF($A188="","",IF(T188&gt;0,T188+ROW()/1000000000,""))</f>
        <v>0</v>
      </c>
      <c r="V188" s="31">
        <f>IF($A188="","",IF(U188="","C",INDEX('Curva ABC'!$H$5:$H$304,MATCH(U188,'Curva ABC'!$B$5:$B$304,0))))</f>
        <v>0</v>
      </c>
      <c r="W188" s="24">
        <f>IF($A188="","",IF(R188="Parado",L188,0))</f>
        <v>0</v>
      </c>
      <c r="X188" s="33">
        <f>IF($A188="","",IF(OR(Q188="RUPTURA",Q188="REPOR"),COUNTIF($Q$5:Q188,"RUPTURA")+COUNTIF($Q$5:Q188,"REPOR"),""))</f>
        <v>0</v>
      </c>
    </row>
    <row r="189" spans="1:24">
      <c r="A189" s="23">
        <f>IF(Produtos!A189="","",Produtos!A189)</f>
        <v>0</v>
      </c>
      <c r="B189" s="23">
        <f>IF($A189="","",Produtos!B189&amp;"")</f>
        <v>0</v>
      </c>
      <c r="C189" s="23">
        <f>IF($A189="","",Produtos!C189&amp;"")</f>
        <v>0</v>
      </c>
      <c r="D189" s="25">
        <f>IF($A189="","",Produtos!D189&amp;"")</f>
        <v>0</v>
      </c>
      <c r="E189" s="26">
        <f>IF($A189="","",N(Produtos!H189))</f>
        <v>0</v>
      </c>
      <c r="F189" s="26">
        <f>IF($A189="","",SUMIFS(MovQtd,MovCod,$A189,MovTipo,"Entrada"))</f>
        <v>0</v>
      </c>
      <c r="G189" s="26">
        <f>IF($A189="","",SUMIFS(MovQtd,MovCod,$A189,MovTipo,"Saída"))</f>
        <v>0</v>
      </c>
      <c r="H189" s="27">
        <f>IF($A189="","",E189+F189-G189)</f>
        <v>0</v>
      </c>
      <c r="I189" s="26">
        <f>IF($A189="","",N(Produtos!I189))</f>
        <v>0</v>
      </c>
      <c r="J189" s="26">
        <f>IF($A189="","",IF(I189&gt;0,ROUNDUP(I189*FatMax,0),""))</f>
        <v>0</v>
      </c>
      <c r="K189" s="24">
        <f>IF($A189="","",N(Produtos!F189))</f>
        <v>0</v>
      </c>
      <c r="L189" s="24">
        <f>IF($A189="","",H189*K189)</f>
        <v>0</v>
      </c>
      <c r="M189" s="26">
        <f>IF($A189="","",SUMIFS(MovQtd,MovCod,$A189,MovTipo,"Saída",MovData,"&gt;="&amp;(Hoje-DiasAn),MovData,"&lt;="&amp;Hoje))</f>
        <v>0</v>
      </c>
      <c r="N189" s="28">
        <f>IF($A189="","",M189/DiasAn)</f>
        <v>0</v>
      </c>
      <c r="O189" s="29">
        <f>IF($A189="","",IF(N189&gt;0,H189/N189,"sem giro"))</f>
        <v>0</v>
      </c>
      <c r="P189" s="30">
        <f>IF($A189="","",SUMPRODUCT(MAX((MovCod=$A189)*(MovTipo="Saída")*MovData)))</f>
        <v>0</v>
      </c>
      <c r="Q189" s="31">
        <f>IF($A189="","",IF(H189&lt;=0,"RUPTURA",IF(AND(I189&gt;0,H189&lt;=I189),"REPOR",IF(AND(J189&lt;&gt;"",H189&gt;J189),"EXCESSO","OK"))))</f>
        <v>0</v>
      </c>
      <c r="R189" s="25">
        <f>IF($A189="","",IF(AND(H189&gt;0,OR(P189=0,Hoje-P189&gt;DiasParado)),"Parado",""))</f>
        <v>0</v>
      </c>
      <c r="S189" s="26">
        <f>IF($A189="","",IF(OR(Q189="RUPTURA",Q189="REPOR"),IF(J189="",0,MAX(0,J189-H189)),0))</f>
        <v>0</v>
      </c>
      <c r="T189" s="24">
        <f>IF($A189="","",M189*IF(N(Produtos!G189)&gt;0,Produtos!G189,K189))</f>
        <v>0</v>
      </c>
      <c r="U189" s="32">
        <f>IF($A189="","",IF(T189&gt;0,T189+ROW()/1000000000,""))</f>
        <v>0</v>
      </c>
      <c r="V189" s="31">
        <f>IF($A189="","",IF(U189="","C",INDEX('Curva ABC'!$H$5:$H$304,MATCH(U189,'Curva ABC'!$B$5:$B$304,0))))</f>
        <v>0</v>
      </c>
      <c r="W189" s="24">
        <f>IF($A189="","",IF(R189="Parado",L189,0))</f>
        <v>0</v>
      </c>
      <c r="X189" s="33">
        <f>IF($A189="","",IF(OR(Q189="RUPTURA",Q189="REPOR"),COUNTIF($Q$5:Q189,"RUPTURA")+COUNTIF($Q$5:Q189,"REPOR"),""))</f>
        <v>0</v>
      </c>
    </row>
    <row r="190" spans="1:24">
      <c r="A190" s="23">
        <f>IF(Produtos!A190="","",Produtos!A190)</f>
        <v>0</v>
      </c>
      <c r="B190" s="23">
        <f>IF($A190="","",Produtos!B190&amp;"")</f>
        <v>0</v>
      </c>
      <c r="C190" s="23">
        <f>IF($A190="","",Produtos!C190&amp;"")</f>
        <v>0</v>
      </c>
      <c r="D190" s="25">
        <f>IF($A190="","",Produtos!D190&amp;"")</f>
        <v>0</v>
      </c>
      <c r="E190" s="26">
        <f>IF($A190="","",N(Produtos!H190))</f>
        <v>0</v>
      </c>
      <c r="F190" s="26">
        <f>IF($A190="","",SUMIFS(MovQtd,MovCod,$A190,MovTipo,"Entrada"))</f>
        <v>0</v>
      </c>
      <c r="G190" s="26">
        <f>IF($A190="","",SUMIFS(MovQtd,MovCod,$A190,MovTipo,"Saída"))</f>
        <v>0</v>
      </c>
      <c r="H190" s="27">
        <f>IF($A190="","",E190+F190-G190)</f>
        <v>0</v>
      </c>
      <c r="I190" s="26">
        <f>IF($A190="","",N(Produtos!I190))</f>
        <v>0</v>
      </c>
      <c r="J190" s="26">
        <f>IF($A190="","",IF(I190&gt;0,ROUNDUP(I190*FatMax,0),""))</f>
        <v>0</v>
      </c>
      <c r="K190" s="24">
        <f>IF($A190="","",N(Produtos!F190))</f>
        <v>0</v>
      </c>
      <c r="L190" s="24">
        <f>IF($A190="","",H190*K190)</f>
        <v>0</v>
      </c>
      <c r="M190" s="26">
        <f>IF($A190="","",SUMIFS(MovQtd,MovCod,$A190,MovTipo,"Saída",MovData,"&gt;="&amp;(Hoje-DiasAn),MovData,"&lt;="&amp;Hoje))</f>
        <v>0</v>
      </c>
      <c r="N190" s="28">
        <f>IF($A190="","",M190/DiasAn)</f>
        <v>0</v>
      </c>
      <c r="O190" s="29">
        <f>IF($A190="","",IF(N190&gt;0,H190/N190,"sem giro"))</f>
        <v>0</v>
      </c>
      <c r="P190" s="30">
        <f>IF($A190="","",SUMPRODUCT(MAX((MovCod=$A190)*(MovTipo="Saída")*MovData)))</f>
        <v>0</v>
      </c>
      <c r="Q190" s="31">
        <f>IF($A190="","",IF(H190&lt;=0,"RUPTURA",IF(AND(I190&gt;0,H190&lt;=I190),"REPOR",IF(AND(J190&lt;&gt;"",H190&gt;J190),"EXCESSO","OK"))))</f>
        <v>0</v>
      </c>
      <c r="R190" s="25">
        <f>IF($A190="","",IF(AND(H190&gt;0,OR(P190=0,Hoje-P190&gt;DiasParado)),"Parado",""))</f>
        <v>0</v>
      </c>
      <c r="S190" s="26">
        <f>IF($A190="","",IF(OR(Q190="RUPTURA",Q190="REPOR"),IF(J190="",0,MAX(0,J190-H190)),0))</f>
        <v>0</v>
      </c>
      <c r="T190" s="24">
        <f>IF($A190="","",M190*IF(N(Produtos!G190)&gt;0,Produtos!G190,K190))</f>
        <v>0</v>
      </c>
      <c r="U190" s="32">
        <f>IF($A190="","",IF(T190&gt;0,T190+ROW()/1000000000,""))</f>
        <v>0</v>
      </c>
      <c r="V190" s="31">
        <f>IF($A190="","",IF(U190="","C",INDEX('Curva ABC'!$H$5:$H$304,MATCH(U190,'Curva ABC'!$B$5:$B$304,0))))</f>
        <v>0</v>
      </c>
      <c r="W190" s="24">
        <f>IF($A190="","",IF(R190="Parado",L190,0))</f>
        <v>0</v>
      </c>
      <c r="X190" s="33">
        <f>IF($A190="","",IF(OR(Q190="RUPTURA",Q190="REPOR"),COUNTIF($Q$5:Q190,"RUPTURA")+COUNTIF($Q$5:Q190,"REPOR"),""))</f>
        <v>0</v>
      </c>
    </row>
    <row r="191" spans="1:24">
      <c r="A191" s="23">
        <f>IF(Produtos!A191="","",Produtos!A191)</f>
        <v>0</v>
      </c>
      <c r="B191" s="23">
        <f>IF($A191="","",Produtos!B191&amp;"")</f>
        <v>0</v>
      </c>
      <c r="C191" s="23">
        <f>IF($A191="","",Produtos!C191&amp;"")</f>
        <v>0</v>
      </c>
      <c r="D191" s="25">
        <f>IF($A191="","",Produtos!D191&amp;"")</f>
        <v>0</v>
      </c>
      <c r="E191" s="26">
        <f>IF($A191="","",N(Produtos!H191))</f>
        <v>0</v>
      </c>
      <c r="F191" s="26">
        <f>IF($A191="","",SUMIFS(MovQtd,MovCod,$A191,MovTipo,"Entrada"))</f>
        <v>0</v>
      </c>
      <c r="G191" s="26">
        <f>IF($A191="","",SUMIFS(MovQtd,MovCod,$A191,MovTipo,"Saída"))</f>
        <v>0</v>
      </c>
      <c r="H191" s="27">
        <f>IF($A191="","",E191+F191-G191)</f>
        <v>0</v>
      </c>
      <c r="I191" s="26">
        <f>IF($A191="","",N(Produtos!I191))</f>
        <v>0</v>
      </c>
      <c r="J191" s="26">
        <f>IF($A191="","",IF(I191&gt;0,ROUNDUP(I191*FatMax,0),""))</f>
        <v>0</v>
      </c>
      <c r="K191" s="24">
        <f>IF($A191="","",N(Produtos!F191))</f>
        <v>0</v>
      </c>
      <c r="L191" s="24">
        <f>IF($A191="","",H191*K191)</f>
        <v>0</v>
      </c>
      <c r="M191" s="26">
        <f>IF($A191="","",SUMIFS(MovQtd,MovCod,$A191,MovTipo,"Saída",MovData,"&gt;="&amp;(Hoje-DiasAn),MovData,"&lt;="&amp;Hoje))</f>
        <v>0</v>
      </c>
      <c r="N191" s="28">
        <f>IF($A191="","",M191/DiasAn)</f>
        <v>0</v>
      </c>
      <c r="O191" s="29">
        <f>IF($A191="","",IF(N191&gt;0,H191/N191,"sem giro"))</f>
        <v>0</v>
      </c>
      <c r="P191" s="30">
        <f>IF($A191="","",SUMPRODUCT(MAX((MovCod=$A191)*(MovTipo="Saída")*MovData)))</f>
        <v>0</v>
      </c>
      <c r="Q191" s="31">
        <f>IF($A191="","",IF(H191&lt;=0,"RUPTURA",IF(AND(I191&gt;0,H191&lt;=I191),"REPOR",IF(AND(J191&lt;&gt;"",H191&gt;J191),"EXCESSO","OK"))))</f>
        <v>0</v>
      </c>
      <c r="R191" s="25">
        <f>IF($A191="","",IF(AND(H191&gt;0,OR(P191=0,Hoje-P191&gt;DiasParado)),"Parado",""))</f>
        <v>0</v>
      </c>
      <c r="S191" s="26">
        <f>IF($A191="","",IF(OR(Q191="RUPTURA",Q191="REPOR"),IF(J191="",0,MAX(0,J191-H191)),0))</f>
        <v>0</v>
      </c>
      <c r="T191" s="24">
        <f>IF($A191="","",M191*IF(N(Produtos!G191)&gt;0,Produtos!G191,K191))</f>
        <v>0</v>
      </c>
      <c r="U191" s="32">
        <f>IF($A191="","",IF(T191&gt;0,T191+ROW()/1000000000,""))</f>
        <v>0</v>
      </c>
      <c r="V191" s="31">
        <f>IF($A191="","",IF(U191="","C",INDEX('Curva ABC'!$H$5:$H$304,MATCH(U191,'Curva ABC'!$B$5:$B$304,0))))</f>
        <v>0</v>
      </c>
      <c r="W191" s="24">
        <f>IF($A191="","",IF(R191="Parado",L191,0))</f>
        <v>0</v>
      </c>
      <c r="X191" s="33">
        <f>IF($A191="","",IF(OR(Q191="RUPTURA",Q191="REPOR"),COUNTIF($Q$5:Q191,"RUPTURA")+COUNTIF($Q$5:Q191,"REPOR"),""))</f>
        <v>0</v>
      </c>
    </row>
    <row r="192" spans="1:24">
      <c r="A192" s="23">
        <f>IF(Produtos!A192="","",Produtos!A192)</f>
        <v>0</v>
      </c>
      <c r="B192" s="23">
        <f>IF($A192="","",Produtos!B192&amp;"")</f>
        <v>0</v>
      </c>
      <c r="C192" s="23">
        <f>IF($A192="","",Produtos!C192&amp;"")</f>
        <v>0</v>
      </c>
      <c r="D192" s="25">
        <f>IF($A192="","",Produtos!D192&amp;"")</f>
        <v>0</v>
      </c>
      <c r="E192" s="26">
        <f>IF($A192="","",N(Produtos!H192))</f>
        <v>0</v>
      </c>
      <c r="F192" s="26">
        <f>IF($A192="","",SUMIFS(MovQtd,MovCod,$A192,MovTipo,"Entrada"))</f>
        <v>0</v>
      </c>
      <c r="G192" s="26">
        <f>IF($A192="","",SUMIFS(MovQtd,MovCod,$A192,MovTipo,"Saída"))</f>
        <v>0</v>
      </c>
      <c r="H192" s="27">
        <f>IF($A192="","",E192+F192-G192)</f>
        <v>0</v>
      </c>
      <c r="I192" s="26">
        <f>IF($A192="","",N(Produtos!I192))</f>
        <v>0</v>
      </c>
      <c r="J192" s="26">
        <f>IF($A192="","",IF(I192&gt;0,ROUNDUP(I192*FatMax,0),""))</f>
        <v>0</v>
      </c>
      <c r="K192" s="24">
        <f>IF($A192="","",N(Produtos!F192))</f>
        <v>0</v>
      </c>
      <c r="L192" s="24">
        <f>IF($A192="","",H192*K192)</f>
        <v>0</v>
      </c>
      <c r="M192" s="26">
        <f>IF($A192="","",SUMIFS(MovQtd,MovCod,$A192,MovTipo,"Saída",MovData,"&gt;="&amp;(Hoje-DiasAn),MovData,"&lt;="&amp;Hoje))</f>
        <v>0</v>
      </c>
      <c r="N192" s="28">
        <f>IF($A192="","",M192/DiasAn)</f>
        <v>0</v>
      </c>
      <c r="O192" s="29">
        <f>IF($A192="","",IF(N192&gt;0,H192/N192,"sem giro"))</f>
        <v>0</v>
      </c>
      <c r="P192" s="30">
        <f>IF($A192="","",SUMPRODUCT(MAX((MovCod=$A192)*(MovTipo="Saída")*MovData)))</f>
        <v>0</v>
      </c>
      <c r="Q192" s="31">
        <f>IF($A192="","",IF(H192&lt;=0,"RUPTURA",IF(AND(I192&gt;0,H192&lt;=I192),"REPOR",IF(AND(J192&lt;&gt;"",H192&gt;J192),"EXCESSO","OK"))))</f>
        <v>0</v>
      </c>
      <c r="R192" s="25">
        <f>IF($A192="","",IF(AND(H192&gt;0,OR(P192=0,Hoje-P192&gt;DiasParado)),"Parado",""))</f>
        <v>0</v>
      </c>
      <c r="S192" s="26">
        <f>IF($A192="","",IF(OR(Q192="RUPTURA",Q192="REPOR"),IF(J192="",0,MAX(0,J192-H192)),0))</f>
        <v>0</v>
      </c>
      <c r="T192" s="24">
        <f>IF($A192="","",M192*IF(N(Produtos!G192)&gt;0,Produtos!G192,K192))</f>
        <v>0</v>
      </c>
      <c r="U192" s="32">
        <f>IF($A192="","",IF(T192&gt;0,T192+ROW()/1000000000,""))</f>
        <v>0</v>
      </c>
      <c r="V192" s="31">
        <f>IF($A192="","",IF(U192="","C",INDEX('Curva ABC'!$H$5:$H$304,MATCH(U192,'Curva ABC'!$B$5:$B$304,0))))</f>
        <v>0</v>
      </c>
      <c r="W192" s="24">
        <f>IF($A192="","",IF(R192="Parado",L192,0))</f>
        <v>0</v>
      </c>
      <c r="X192" s="33">
        <f>IF($A192="","",IF(OR(Q192="RUPTURA",Q192="REPOR"),COUNTIF($Q$5:Q192,"RUPTURA")+COUNTIF($Q$5:Q192,"REPOR"),""))</f>
        <v>0</v>
      </c>
    </row>
    <row r="193" spans="1:24">
      <c r="A193" s="23">
        <f>IF(Produtos!A193="","",Produtos!A193)</f>
        <v>0</v>
      </c>
      <c r="B193" s="23">
        <f>IF($A193="","",Produtos!B193&amp;"")</f>
        <v>0</v>
      </c>
      <c r="C193" s="23">
        <f>IF($A193="","",Produtos!C193&amp;"")</f>
        <v>0</v>
      </c>
      <c r="D193" s="25">
        <f>IF($A193="","",Produtos!D193&amp;"")</f>
        <v>0</v>
      </c>
      <c r="E193" s="26">
        <f>IF($A193="","",N(Produtos!H193))</f>
        <v>0</v>
      </c>
      <c r="F193" s="26">
        <f>IF($A193="","",SUMIFS(MovQtd,MovCod,$A193,MovTipo,"Entrada"))</f>
        <v>0</v>
      </c>
      <c r="G193" s="26">
        <f>IF($A193="","",SUMIFS(MovQtd,MovCod,$A193,MovTipo,"Saída"))</f>
        <v>0</v>
      </c>
      <c r="H193" s="27">
        <f>IF($A193="","",E193+F193-G193)</f>
        <v>0</v>
      </c>
      <c r="I193" s="26">
        <f>IF($A193="","",N(Produtos!I193))</f>
        <v>0</v>
      </c>
      <c r="J193" s="26">
        <f>IF($A193="","",IF(I193&gt;0,ROUNDUP(I193*FatMax,0),""))</f>
        <v>0</v>
      </c>
      <c r="K193" s="24">
        <f>IF($A193="","",N(Produtos!F193))</f>
        <v>0</v>
      </c>
      <c r="L193" s="24">
        <f>IF($A193="","",H193*K193)</f>
        <v>0</v>
      </c>
      <c r="M193" s="26">
        <f>IF($A193="","",SUMIFS(MovQtd,MovCod,$A193,MovTipo,"Saída",MovData,"&gt;="&amp;(Hoje-DiasAn),MovData,"&lt;="&amp;Hoje))</f>
        <v>0</v>
      </c>
      <c r="N193" s="28">
        <f>IF($A193="","",M193/DiasAn)</f>
        <v>0</v>
      </c>
      <c r="O193" s="29">
        <f>IF($A193="","",IF(N193&gt;0,H193/N193,"sem giro"))</f>
        <v>0</v>
      </c>
      <c r="P193" s="30">
        <f>IF($A193="","",SUMPRODUCT(MAX((MovCod=$A193)*(MovTipo="Saída")*MovData)))</f>
        <v>0</v>
      </c>
      <c r="Q193" s="31">
        <f>IF($A193="","",IF(H193&lt;=0,"RUPTURA",IF(AND(I193&gt;0,H193&lt;=I193),"REPOR",IF(AND(J193&lt;&gt;"",H193&gt;J193),"EXCESSO","OK"))))</f>
        <v>0</v>
      </c>
      <c r="R193" s="25">
        <f>IF($A193="","",IF(AND(H193&gt;0,OR(P193=0,Hoje-P193&gt;DiasParado)),"Parado",""))</f>
        <v>0</v>
      </c>
      <c r="S193" s="26">
        <f>IF($A193="","",IF(OR(Q193="RUPTURA",Q193="REPOR"),IF(J193="",0,MAX(0,J193-H193)),0))</f>
        <v>0</v>
      </c>
      <c r="T193" s="24">
        <f>IF($A193="","",M193*IF(N(Produtos!G193)&gt;0,Produtos!G193,K193))</f>
        <v>0</v>
      </c>
      <c r="U193" s="32">
        <f>IF($A193="","",IF(T193&gt;0,T193+ROW()/1000000000,""))</f>
        <v>0</v>
      </c>
      <c r="V193" s="31">
        <f>IF($A193="","",IF(U193="","C",INDEX('Curva ABC'!$H$5:$H$304,MATCH(U193,'Curva ABC'!$B$5:$B$304,0))))</f>
        <v>0</v>
      </c>
      <c r="W193" s="24">
        <f>IF($A193="","",IF(R193="Parado",L193,0))</f>
        <v>0</v>
      </c>
      <c r="X193" s="33">
        <f>IF($A193="","",IF(OR(Q193="RUPTURA",Q193="REPOR"),COUNTIF($Q$5:Q193,"RUPTURA")+COUNTIF($Q$5:Q193,"REPOR"),""))</f>
        <v>0</v>
      </c>
    </row>
    <row r="194" spans="1:24">
      <c r="A194" s="23">
        <f>IF(Produtos!A194="","",Produtos!A194)</f>
        <v>0</v>
      </c>
      <c r="B194" s="23">
        <f>IF($A194="","",Produtos!B194&amp;"")</f>
        <v>0</v>
      </c>
      <c r="C194" s="23">
        <f>IF($A194="","",Produtos!C194&amp;"")</f>
        <v>0</v>
      </c>
      <c r="D194" s="25">
        <f>IF($A194="","",Produtos!D194&amp;"")</f>
        <v>0</v>
      </c>
      <c r="E194" s="26">
        <f>IF($A194="","",N(Produtos!H194))</f>
        <v>0</v>
      </c>
      <c r="F194" s="26">
        <f>IF($A194="","",SUMIFS(MovQtd,MovCod,$A194,MovTipo,"Entrada"))</f>
        <v>0</v>
      </c>
      <c r="G194" s="26">
        <f>IF($A194="","",SUMIFS(MovQtd,MovCod,$A194,MovTipo,"Saída"))</f>
        <v>0</v>
      </c>
      <c r="H194" s="27">
        <f>IF($A194="","",E194+F194-G194)</f>
        <v>0</v>
      </c>
      <c r="I194" s="26">
        <f>IF($A194="","",N(Produtos!I194))</f>
        <v>0</v>
      </c>
      <c r="J194" s="26">
        <f>IF($A194="","",IF(I194&gt;0,ROUNDUP(I194*FatMax,0),""))</f>
        <v>0</v>
      </c>
      <c r="K194" s="24">
        <f>IF($A194="","",N(Produtos!F194))</f>
        <v>0</v>
      </c>
      <c r="L194" s="24">
        <f>IF($A194="","",H194*K194)</f>
        <v>0</v>
      </c>
      <c r="M194" s="26">
        <f>IF($A194="","",SUMIFS(MovQtd,MovCod,$A194,MovTipo,"Saída",MovData,"&gt;="&amp;(Hoje-DiasAn),MovData,"&lt;="&amp;Hoje))</f>
        <v>0</v>
      </c>
      <c r="N194" s="28">
        <f>IF($A194="","",M194/DiasAn)</f>
        <v>0</v>
      </c>
      <c r="O194" s="29">
        <f>IF($A194="","",IF(N194&gt;0,H194/N194,"sem giro"))</f>
        <v>0</v>
      </c>
      <c r="P194" s="30">
        <f>IF($A194="","",SUMPRODUCT(MAX((MovCod=$A194)*(MovTipo="Saída")*MovData)))</f>
        <v>0</v>
      </c>
      <c r="Q194" s="31">
        <f>IF($A194="","",IF(H194&lt;=0,"RUPTURA",IF(AND(I194&gt;0,H194&lt;=I194),"REPOR",IF(AND(J194&lt;&gt;"",H194&gt;J194),"EXCESSO","OK"))))</f>
        <v>0</v>
      </c>
      <c r="R194" s="25">
        <f>IF($A194="","",IF(AND(H194&gt;0,OR(P194=0,Hoje-P194&gt;DiasParado)),"Parado",""))</f>
        <v>0</v>
      </c>
      <c r="S194" s="26">
        <f>IF($A194="","",IF(OR(Q194="RUPTURA",Q194="REPOR"),IF(J194="",0,MAX(0,J194-H194)),0))</f>
        <v>0</v>
      </c>
      <c r="T194" s="24">
        <f>IF($A194="","",M194*IF(N(Produtos!G194)&gt;0,Produtos!G194,K194))</f>
        <v>0</v>
      </c>
      <c r="U194" s="32">
        <f>IF($A194="","",IF(T194&gt;0,T194+ROW()/1000000000,""))</f>
        <v>0</v>
      </c>
      <c r="V194" s="31">
        <f>IF($A194="","",IF(U194="","C",INDEX('Curva ABC'!$H$5:$H$304,MATCH(U194,'Curva ABC'!$B$5:$B$304,0))))</f>
        <v>0</v>
      </c>
      <c r="W194" s="24">
        <f>IF($A194="","",IF(R194="Parado",L194,0))</f>
        <v>0</v>
      </c>
      <c r="X194" s="33">
        <f>IF($A194="","",IF(OR(Q194="RUPTURA",Q194="REPOR"),COUNTIF($Q$5:Q194,"RUPTURA")+COUNTIF($Q$5:Q194,"REPOR"),""))</f>
        <v>0</v>
      </c>
    </row>
    <row r="195" spans="1:24">
      <c r="A195" s="23">
        <f>IF(Produtos!A195="","",Produtos!A195)</f>
        <v>0</v>
      </c>
      <c r="B195" s="23">
        <f>IF($A195="","",Produtos!B195&amp;"")</f>
        <v>0</v>
      </c>
      <c r="C195" s="23">
        <f>IF($A195="","",Produtos!C195&amp;"")</f>
        <v>0</v>
      </c>
      <c r="D195" s="25">
        <f>IF($A195="","",Produtos!D195&amp;"")</f>
        <v>0</v>
      </c>
      <c r="E195" s="26">
        <f>IF($A195="","",N(Produtos!H195))</f>
        <v>0</v>
      </c>
      <c r="F195" s="26">
        <f>IF($A195="","",SUMIFS(MovQtd,MovCod,$A195,MovTipo,"Entrada"))</f>
        <v>0</v>
      </c>
      <c r="G195" s="26">
        <f>IF($A195="","",SUMIFS(MovQtd,MovCod,$A195,MovTipo,"Saída"))</f>
        <v>0</v>
      </c>
      <c r="H195" s="27">
        <f>IF($A195="","",E195+F195-G195)</f>
        <v>0</v>
      </c>
      <c r="I195" s="26">
        <f>IF($A195="","",N(Produtos!I195))</f>
        <v>0</v>
      </c>
      <c r="J195" s="26">
        <f>IF($A195="","",IF(I195&gt;0,ROUNDUP(I195*FatMax,0),""))</f>
        <v>0</v>
      </c>
      <c r="K195" s="24">
        <f>IF($A195="","",N(Produtos!F195))</f>
        <v>0</v>
      </c>
      <c r="L195" s="24">
        <f>IF($A195="","",H195*K195)</f>
        <v>0</v>
      </c>
      <c r="M195" s="26">
        <f>IF($A195="","",SUMIFS(MovQtd,MovCod,$A195,MovTipo,"Saída",MovData,"&gt;="&amp;(Hoje-DiasAn),MovData,"&lt;="&amp;Hoje))</f>
        <v>0</v>
      </c>
      <c r="N195" s="28">
        <f>IF($A195="","",M195/DiasAn)</f>
        <v>0</v>
      </c>
      <c r="O195" s="29">
        <f>IF($A195="","",IF(N195&gt;0,H195/N195,"sem giro"))</f>
        <v>0</v>
      </c>
      <c r="P195" s="30">
        <f>IF($A195="","",SUMPRODUCT(MAX((MovCod=$A195)*(MovTipo="Saída")*MovData)))</f>
        <v>0</v>
      </c>
      <c r="Q195" s="31">
        <f>IF($A195="","",IF(H195&lt;=0,"RUPTURA",IF(AND(I195&gt;0,H195&lt;=I195),"REPOR",IF(AND(J195&lt;&gt;"",H195&gt;J195),"EXCESSO","OK"))))</f>
        <v>0</v>
      </c>
      <c r="R195" s="25">
        <f>IF($A195="","",IF(AND(H195&gt;0,OR(P195=0,Hoje-P195&gt;DiasParado)),"Parado",""))</f>
        <v>0</v>
      </c>
      <c r="S195" s="26">
        <f>IF($A195="","",IF(OR(Q195="RUPTURA",Q195="REPOR"),IF(J195="",0,MAX(0,J195-H195)),0))</f>
        <v>0</v>
      </c>
      <c r="T195" s="24">
        <f>IF($A195="","",M195*IF(N(Produtos!G195)&gt;0,Produtos!G195,K195))</f>
        <v>0</v>
      </c>
      <c r="U195" s="32">
        <f>IF($A195="","",IF(T195&gt;0,T195+ROW()/1000000000,""))</f>
        <v>0</v>
      </c>
      <c r="V195" s="31">
        <f>IF($A195="","",IF(U195="","C",INDEX('Curva ABC'!$H$5:$H$304,MATCH(U195,'Curva ABC'!$B$5:$B$304,0))))</f>
        <v>0</v>
      </c>
      <c r="W195" s="24">
        <f>IF($A195="","",IF(R195="Parado",L195,0))</f>
        <v>0</v>
      </c>
      <c r="X195" s="33">
        <f>IF($A195="","",IF(OR(Q195="RUPTURA",Q195="REPOR"),COUNTIF($Q$5:Q195,"RUPTURA")+COUNTIF($Q$5:Q195,"REPOR"),""))</f>
        <v>0</v>
      </c>
    </row>
    <row r="196" spans="1:24">
      <c r="A196" s="23">
        <f>IF(Produtos!A196="","",Produtos!A196)</f>
        <v>0</v>
      </c>
      <c r="B196" s="23">
        <f>IF($A196="","",Produtos!B196&amp;"")</f>
        <v>0</v>
      </c>
      <c r="C196" s="23">
        <f>IF($A196="","",Produtos!C196&amp;"")</f>
        <v>0</v>
      </c>
      <c r="D196" s="25">
        <f>IF($A196="","",Produtos!D196&amp;"")</f>
        <v>0</v>
      </c>
      <c r="E196" s="26">
        <f>IF($A196="","",N(Produtos!H196))</f>
        <v>0</v>
      </c>
      <c r="F196" s="26">
        <f>IF($A196="","",SUMIFS(MovQtd,MovCod,$A196,MovTipo,"Entrada"))</f>
        <v>0</v>
      </c>
      <c r="G196" s="26">
        <f>IF($A196="","",SUMIFS(MovQtd,MovCod,$A196,MovTipo,"Saída"))</f>
        <v>0</v>
      </c>
      <c r="H196" s="27">
        <f>IF($A196="","",E196+F196-G196)</f>
        <v>0</v>
      </c>
      <c r="I196" s="26">
        <f>IF($A196="","",N(Produtos!I196))</f>
        <v>0</v>
      </c>
      <c r="J196" s="26">
        <f>IF($A196="","",IF(I196&gt;0,ROUNDUP(I196*FatMax,0),""))</f>
        <v>0</v>
      </c>
      <c r="K196" s="24">
        <f>IF($A196="","",N(Produtos!F196))</f>
        <v>0</v>
      </c>
      <c r="L196" s="24">
        <f>IF($A196="","",H196*K196)</f>
        <v>0</v>
      </c>
      <c r="M196" s="26">
        <f>IF($A196="","",SUMIFS(MovQtd,MovCod,$A196,MovTipo,"Saída",MovData,"&gt;="&amp;(Hoje-DiasAn),MovData,"&lt;="&amp;Hoje))</f>
        <v>0</v>
      </c>
      <c r="N196" s="28">
        <f>IF($A196="","",M196/DiasAn)</f>
        <v>0</v>
      </c>
      <c r="O196" s="29">
        <f>IF($A196="","",IF(N196&gt;0,H196/N196,"sem giro"))</f>
        <v>0</v>
      </c>
      <c r="P196" s="30">
        <f>IF($A196="","",SUMPRODUCT(MAX((MovCod=$A196)*(MovTipo="Saída")*MovData)))</f>
        <v>0</v>
      </c>
      <c r="Q196" s="31">
        <f>IF($A196="","",IF(H196&lt;=0,"RUPTURA",IF(AND(I196&gt;0,H196&lt;=I196),"REPOR",IF(AND(J196&lt;&gt;"",H196&gt;J196),"EXCESSO","OK"))))</f>
        <v>0</v>
      </c>
      <c r="R196" s="25">
        <f>IF($A196="","",IF(AND(H196&gt;0,OR(P196=0,Hoje-P196&gt;DiasParado)),"Parado",""))</f>
        <v>0</v>
      </c>
      <c r="S196" s="26">
        <f>IF($A196="","",IF(OR(Q196="RUPTURA",Q196="REPOR"),IF(J196="",0,MAX(0,J196-H196)),0))</f>
        <v>0</v>
      </c>
      <c r="T196" s="24">
        <f>IF($A196="","",M196*IF(N(Produtos!G196)&gt;0,Produtos!G196,K196))</f>
        <v>0</v>
      </c>
      <c r="U196" s="32">
        <f>IF($A196="","",IF(T196&gt;0,T196+ROW()/1000000000,""))</f>
        <v>0</v>
      </c>
      <c r="V196" s="31">
        <f>IF($A196="","",IF(U196="","C",INDEX('Curva ABC'!$H$5:$H$304,MATCH(U196,'Curva ABC'!$B$5:$B$304,0))))</f>
        <v>0</v>
      </c>
      <c r="W196" s="24">
        <f>IF($A196="","",IF(R196="Parado",L196,0))</f>
        <v>0</v>
      </c>
      <c r="X196" s="33">
        <f>IF($A196="","",IF(OR(Q196="RUPTURA",Q196="REPOR"),COUNTIF($Q$5:Q196,"RUPTURA")+COUNTIF($Q$5:Q196,"REPOR"),""))</f>
        <v>0</v>
      </c>
    </row>
    <row r="197" spans="1:24">
      <c r="A197" s="23">
        <f>IF(Produtos!A197="","",Produtos!A197)</f>
        <v>0</v>
      </c>
      <c r="B197" s="23">
        <f>IF($A197="","",Produtos!B197&amp;"")</f>
        <v>0</v>
      </c>
      <c r="C197" s="23">
        <f>IF($A197="","",Produtos!C197&amp;"")</f>
        <v>0</v>
      </c>
      <c r="D197" s="25">
        <f>IF($A197="","",Produtos!D197&amp;"")</f>
        <v>0</v>
      </c>
      <c r="E197" s="26">
        <f>IF($A197="","",N(Produtos!H197))</f>
        <v>0</v>
      </c>
      <c r="F197" s="26">
        <f>IF($A197="","",SUMIFS(MovQtd,MovCod,$A197,MovTipo,"Entrada"))</f>
        <v>0</v>
      </c>
      <c r="G197" s="26">
        <f>IF($A197="","",SUMIFS(MovQtd,MovCod,$A197,MovTipo,"Saída"))</f>
        <v>0</v>
      </c>
      <c r="H197" s="27">
        <f>IF($A197="","",E197+F197-G197)</f>
        <v>0</v>
      </c>
      <c r="I197" s="26">
        <f>IF($A197="","",N(Produtos!I197))</f>
        <v>0</v>
      </c>
      <c r="J197" s="26">
        <f>IF($A197="","",IF(I197&gt;0,ROUNDUP(I197*FatMax,0),""))</f>
        <v>0</v>
      </c>
      <c r="K197" s="24">
        <f>IF($A197="","",N(Produtos!F197))</f>
        <v>0</v>
      </c>
      <c r="L197" s="24">
        <f>IF($A197="","",H197*K197)</f>
        <v>0</v>
      </c>
      <c r="M197" s="26">
        <f>IF($A197="","",SUMIFS(MovQtd,MovCod,$A197,MovTipo,"Saída",MovData,"&gt;="&amp;(Hoje-DiasAn),MovData,"&lt;="&amp;Hoje))</f>
        <v>0</v>
      </c>
      <c r="N197" s="28">
        <f>IF($A197="","",M197/DiasAn)</f>
        <v>0</v>
      </c>
      <c r="O197" s="29">
        <f>IF($A197="","",IF(N197&gt;0,H197/N197,"sem giro"))</f>
        <v>0</v>
      </c>
      <c r="P197" s="30">
        <f>IF($A197="","",SUMPRODUCT(MAX((MovCod=$A197)*(MovTipo="Saída")*MovData)))</f>
        <v>0</v>
      </c>
      <c r="Q197" s="31">
        <f>IF($A197="","",IF(H197&lt;=0,"RUPTURA",IF(AND(I197&gt;0,H197&lt;=I197),"REPOR",IF(AND(J197&lt;&gt;"",H197&gt;J197),"EXCESSO","OK"))))</f>
        <v>0</v>
      </c>
      <c r="R197" s="25">
        <f>IF($A197="","",IF(AND(H197&gt;0,OR(P197=0,Hoje-P197&gt;DiasParado)),"Parado",""))</f>
        <v>0</v>
      </c>
      <c r="S197" s="26">
        <f>IF($A197="","",IF(OR(Q197="RUPTURA",Q197="REPOR"),IF(J197="",0,MAX(0,J197-H197)),0))</f>
        <v>0</v>
      </c>
      <c r="T197" s="24">
        <f>IF($A197="","",M197*IF(N(Produtos!G197)&gt;0,Produtos!G197,K197))</f>
        <v>0</v>
      </c>
      <c r="U197" s="32">
        <f>IF($A197="","",IF(T197&gt;0,T197+ROW()/1000000000,""))</f>
        <v>0</v>
      </c>
      <c r="V197" s="31">
        <f>IF($A197="","",IF(U197="","C",INDEX('Curva ABC'!$H$5:$H$304,MATCH(U197,'Curva ABC'!$B$5:$B$304,0))))</f>
        <v>0</v>
      </c>
      <c r="W197" s="24">
        <f>IF($A197="","",IF(R197="Parado",L197,0))</f>
        <v>0</v>
      </c>
      <c r="X197" s="33">
        <f>IF($A197="","",IF(OR(Q197="RUPTURA",Q197="REPOR"),COUNTIF($Q$5:Q197,"RUPTURA")+COUNTIF($Q$5:Q197,"REPOR"),""))</f>
        <v>0</v>
      </c>
    </row>
    <row r="198" spans="1:24">
      <c r="A198" s="23">
        <f>IF(Produtos!A198="","",Produtos!A198)</f>
        <v>0</v>
      </c>
      <c r="B198" s="23">
        <f>IF($A198="","",Produtos!B198&amp;"")</f>
        <v>0</v>
      </c>
      <c r="C198" s="23">
        <f>IF($A198="","",Produtos!C198&amp;"")</f>
        <v>0</v>
      </c>
      <c r="D198" s="25">
        <f>IF($A198="","",Produtos!D198&amp;"")</f>
        <v>0</v>
      </c>
      <c r="E198" s="26">
        <f>IF($A198="","",N(Produtos!H198))</f>
        <v>0</v>
      </c>
      <c r="F198" s="26">
        <f>IF($A198="","",SUMIFS(MovQtd,MovCod,$A198,MovTipo,"Entrada"))</f>
        <v>0</v>
      </c>
      <c r="G198" s="26">
        <f>IF($A198="","",SUMIFS(MovQtd,MovCod,$A198,MovTipo,"Saída"))</f>
        <v>0</v>
      </c>
      <c r="H198" s="27">
        <f>IF($A198="","",E198+F198-G198)</f>
        <v>0</v>
      </c>
      <c r="I198" s="26">
        <f>IF($A198="","",N(Produtos!I198))</f>
        <v>0</v>
      </c>
      <c r="J198" s="26">
        <f>IF($A198="","",IF(I198&gt;0,ROUNDUP(I198*FatMax,0),""))</f>
        <v>0</v>
      </c>
      <c r="K198" s="24">
        <f>IF($A198="","",N(Produtos!F198))</f>
        <v>0</v>
      </c>
      <c r="L198" s="24">
        <f>IF($A198="","",H198*K198)</f>
        <v>0</v>
      </c>
      <c r="M198" s="26">
        <f>IF($A198="","",SUMIFS(MovQtd,MovCod,$A198,MovTipo,"Saída",MovData,"&gt;="&amp;(Hoje-DiasAn),MovData,"&lt;="&amp;Hoje))</f>
        <v>0</v>
      </c>
      <c r="N198" s="28">
        <f>IF($A198="","",M198/DiasAn)</f>
        <v>0</v>
      </c>
      <c r="O198" s="29">
        <f>IF($A198="","",IF(N198&gt;0,H198/N198,"sem giro"))</f>
        <v>0</v>
      </c>
      <c r="P198" s="30">
        <f>IF($A198="","",SUMPRODUCT(MAX((MovCod=$A198)*(MovTipo="Saída")*MovData)))</f>
        <v>0</v>
      </c>
      <c r="Q198" s="31">
        <f>IF($A198="","",IF(H198&lt;=0,"RUPTURA",IF(AND(I198&gt;0,H198&lt;=I198),"REPOR",IF(AND(J198&lt;&gt;"",H198&gt;J198),"EXCESSO","OK"))))</f>
        <v>0</v>
      </c>
      <c r="R198" s="25">
        <f>IF($A198="","",IF(AND(H198&gt;0,OR(P198=0,Hoje-P198&gt;DiasParado)),"Parado",""))</f>
        <v>0</v>
      </c>
      <c r="S198" s="26">
        <f>IF($A198="","",IF(OR(Q198="RUPTURA",Q198="REPOR"),IF(J198="",0,MAX(0,J198-H198)),0))</f>
        <v>0</v>
      </c>
      <c r="T198" s="24">
        <f>IF($A198="","",M198*IF(N(Produtos!G198)&gt;0,Produtos!G198,K198))</f>
        <v>0</v>
      </c>
      <c r="U198" s="32">
        <f>IF($A198="","",IF(T198&gt;0,T198+ROW()/1000000000,""))</f>
        <v>0</v>
      </c>
      <c r="V198" s="31">
        <f>IF($A198="","",IF(U198="","C",INDEX('Curva ABC'!$H$5:$H$304,MATCH(U198,'Curva ABC'!$B$5:$B$304,0))))</f>
        <v>0</v>
      </c>
      <c r="W198" s="24">
        <f>IF($A198="","",IF(R198="Parado",L198,0))</f>
        <v>0</v>
      </c>
      <c r="X198" s="33">
        <f>IF($A198="","",IF(OR(Q198="RUPTURA",Q198="REPOR"),COUNTIF($Q$5:Q198,"RUPTURA")+COUNTIF($Q$5:Q198,"REPOR"),""))</f>
        <v>0</v>
      </c>
    </row>
    <row r="199" spans="1:24">
      <c r="A199" s="23">
        <f>IF(Produtos!A199="","",Produtos!A199)</f>
        <v>0</v>
      </c>
      <c r="B199" s="23">
        <f>IF($A199="","",Produtos!B199&amp;"")</f>
        <v>0</v>
      </c>
      <c r="C199" s="23">
        <f>IF($A199="","",Produtos!C199&amp;"")</f>
        <v>0</v>
      </c>
      <c r="D199" s="25">
        <f>IF($A199="","",Produtos!D199&amp;"")</f>
        <v>0</v>
      </c>
      <c r="E199" s="26">
        <f>IF($A199="","",N(Produtos!H199))</f>
        <v>0</v>
      </c>
      <c r="F199" s="26">
        <f>IF($A199="","",SUMIFS(MovQtd,MovCod,$A199,MovTipo,"Entrada"))</f>
        <v>0</v>
      </c>
      <c r="G199" s="26">
        <f>IF($A199="","",SUMIFS(MovQtd,MovCod,$A199,MovTipo,"Saída"))</f>
        <v>0</v>
      </c>
      <c r="H199" s="27">
        <f>IF($A199="","",E199+F199-G199)</f>
        <v>0</v>
      </c>
      <c r="I199" s="26">
        <f>IF($A199="","",N(Produtos!I199))</f>
        <v>0</v>
      </c>
      <c r="J199" s="26">
        <f>IF($A199="","",IF(I199&gt;0,ROUNDUP(I199*FatMax,0),""))</f>
        <v>0</v>
      </c>
      <c r="K199" s="24">
        <f>IF($A199="","",N(Produtos!F199))</f>
        <v>0</v>
      </c>
      <c r="L199" s="24">
        <f>IF($A199="","",H199*K199)</f>
        <v>0</v>
      </c>
      <c r="M199" s="26">
        <f>IF($A199="","",SUMIFS(MovQtd,MovCod,$A199,MovTipo,"Saída",MovData,"&gt;="&amp;(Hoje-DiasAn),MovData,"&lt;="&amp;Hoje))</f>
        <v>0</v>
      </c>
      <c r="N199" s="28">
        <f>IF($A199="","",M199/DiasAn)</f>
        <v>0</v>
      </c>
      <c r="O199" s="29">
        <f>IF($A199="","",IF(N199&gt;0,H199/N199,"sem giro"))</f>
        <v>0</v>
      </c>
      <c r="P199" s="30">
        <f>IF($A199="","",SUMPRODUCT(MAX((MovCod=$A199)*(MovTipo="Saída")*MovData)))</f>
        <v>0</v>
      </c>
      <c r="Q199" s="31">
        <f>IF($A199="","",IF(H199&lt;=0,"RUPTURA",IF(AND(I199&gt;0,H199&lt;=I199),"REPOR",IF(AND(J199&lt;&gt;"",H199&gt;J199),"EXCESSO","OK"))))</f>
        <v>0</v>
      </c>
      <c r="R199" s="25">
        <f>IF($A199="","",IF(AND(H199&gt;0,OR(P199=0,Hoje-P199&gt;DiasParado)),"Parado",""))</f>
        <v>0</v>
      </c>
      <c r="S199" s="26">
        <f>IF($A199="","",IF(OR(Q199="RUPTURA",Q199="REPOR"),IF(J199="",0,MAX(0,J199-H199)),0))</f>
        <v>0</v>
      </c>
      <c r="T199" s="24">
        <f>IF($A199="","",M199*IF(N(Produtos!G199)&gt;0,Produtos!G199,K199))</f>
        <v>0</v>
      </c>
      <c r="U199" s="32">
        <f>IF($A199="","",IF(T199&gt;0,T199+ROW()/1000000000,""))</f>
        <v>0</v>
      </c>
      <c r="V199" s="31">
        <f>IF($A199="","",IF(U199="","C",INDEX('Curva ABC'!$H$5:$H$304,MATCH(U199,'Curva ABC'!$B$5:$B$304,0))))</f>
        <v>0</v>
      </c>
      <c r="W199" s="24">
        <f>IF($A199="","",IF(R199="Parado",L199,0))</f>
        <v>0</v>
      </c>
      <c r="X199" s="33">
        <f>IF($A199="","",IF(OR(Q199="RUPTURA",Q199="REPOR"),COUNTIF($Q$5:Q199,"RUPTURA")+COUNTIF($Q$5:Q199,"REPOR"),""))</f>
        <v>0</v>
      </c>
    </row>
    <row r="200" spans="1:24">
      <c r="A200" s="23">
        <f>IF(Produtos!A200="","",Produtos!A200)</f>
        <v>0</v>
      </c>
      <c r="B200" s="23">
        <f>IF($A200="","",Produtos!B200&amp;"")</f>
        <v>0</v>
      </c>
      <c r="C200" s="23">
        <f>IF($A200="","",Produtos!C200&amp;"")</f>
        <v>0</v>
      </c>
      <c r="D200" s="25">
        <f>IF($A200="","",Produtos!D200&amp;"")</f>
        <v>0</v>
      </c>
      <c r="E200" s="26">
        <f>IF($A200="","",N(Produtos!H200))</f>
        <v>0</v>
      </c>
      <c r="F200" s="26">
        <f>IF($A200="","",SUMIFS(MovQtd,MovCod,$A200,MovTipo,"Entrada"))</f>
        <v>0</v>
      </c>
      <c r="G200" s="26">
        <f>IF($A200="","",SUMIFS(MovQtd,MovCod,$A200,MovTipo,"Saída"))</f>
        <v>0</v>
      </c>
      <c r="H200" s="27">
        <f>IF($A200="","",E200+F200-G200)</f>
        <v>0</v>
      </c>
      <c r="I200" s="26">
        <f>IF($A200="","",N(Produtos!I200))</f>
        <v>0</v>
      </c>
      <c r="J200" s="26">
        <f>IF($A200="","",IF(I200&gt;0,ROUNDUP(I200*FatMax,0),""))</f>
        <v>0</v>
      </c>
      <c r="K200" s="24">
        <f>IF($A200="","",N(Produtos!F200))</f>
        <v>0</v>
      </c>
      <c r="L200" s="24">
        <f>IF($A200="","",H200*K200)</f>
        <v>0</v>
      </c>
      <c r="M200" s="26">
        <f>IF($A200="","",SUMIFS(MovQtd,MovCod,$A200,MovTipo,"Saída",MovData,"&gt;="&amp;(Hoje-DiasAn),MovData,"&lt;="&amp;Hoje))</f>
        <v>0</v>
      </c>
      <c r="N200" s="28">
        <f>IF($A200="","",M200/DiasAn)</f>
        <v>0</v>
      </c>
      <c r="O200" s="29">
        <f>IF($A200="","",IF(N200&gt;0,H200/N200,"sem giro"))</f>
        <v>0</v>
      </c>
      <c r="P200" s="30">
        <f>IF($A200="","",SUMPRODUCT(MAX((MovCod=$A200)*(MovTipo="Saída")*MovData)))</f>
        <v>0</v>
      </c>
      <c r="Q200" s="31">
        <f>IF($A200="","",IF(H200&lt;=0,"RUPTURA",IF(AND(I200&gt;0,H200&lt;=I200),"REPOR",IF(AND(J200&lt;&gt;"",H200&gt;J200),"EXCESSO","OK"))))</f>
        <v>0</v>
      </c>
      <c r="R200" s="25">
        <f>IF($A200="","",IF(AND(H200&gt;0,OR(P200=0,Hoje-P200&gt;DiasParado)),"Parado",""))</f>
        <v>0</v>
      </c>
      <c r="S200" s="26">
        <f>IF($A200="","",IF(OR(Q200="RUPTURA",Q200="REPOR"),IF(J200="",0,MAX(0,J200-H200)),0))</f>
        <v>0</v>
      </c>
      <c r="T200" s="24">
        <f>IF($A200="","",M200*IF(N(Produtos!G200)&gt;0,Produtos!G200,K200))</f>
        <v>0</v>
      </c>
      <c r="U200" s="32">
        <f>IF($A200="","",IF(T200&gt;0,T200+ROW()/1000000000,""))</f>
        <v>0</v>
      </c>
      <c r="V200" s="31">
        <f>IF($A200="","",IF(U200="","C",INDEX('Curva ABC'!$H$5:$H$304,MATCH(U200,'Curva ABC'!$B$5:$B$304,0))))</f>
        <v>0</v>
      </c>
      <c r="W200" s="24">
        <f>IF($A200="","",IF(R200="Parado",L200,0))</f>
        <v>0</v>
      </c>
      <c r="X200" s="33">
        <f>IF($A200="","",IF(OR(Q200="RUPTURA",Q200="REPOR"),COUNTIF($Q$5:Q200,"RUPTURA")+COUNTIF($Q$5:Q200,"REPOR"),""))</f>
        <v>0</v>
      </c>
    </row>
    <row r="201" spans="1:24">
      <c r="A201" s="23">
        <f>IF(Produtos!A201="","",Produtos!A201)</f>
        <v>0</v>
      </c>
      <c r="B201" s="23">
        <f>IF($A201="","",Produtos!B201&amp;"")</f>
        <v>0</v>
      </c>
      <c r="C201" s="23">
        <f>IF($A201="","",Produtos!C201&amp;"")</f>
        <v>0</v>
      </c>
      <c r="D201" s="25">
        <f>IF($A201="","",Produtos!D201&amp;"")</f>
        <v>0</v>
      </c>
      <c r="E201" s="26">
        <f>IF($A201="","",N(Produtos!H201))</f>
        <v>0</v>
      </c>
      <c r="F201" s="26">
        <f>IF($A201="","",SUMIFS(MovQtd,MovCod,$A201,MovTipo,"Entrada"))</f>
        <v>0</v>
      </c>
      <c r="G201" s="26">
        <f>IF($A201="","",SUMIFS(MovQtd,MovCod,$A201,MovTipo,"Saída"))</f>
        <v>0</v>
      </c>
      <c r="H201" s="27">
        <f>IF($A201="","",E201+F201-G201)</f>
        <v>0</v>
      </c>
      <c r="I201" s="26">
        <f>IF($A201="","",N(Produtos!I201))</f>
        <v>0</v>
      </c>
      <c r="J201" s="26">
        <f>IF($A201="","",IF(I201&gt;0,ROUNDUP(I201*FatMax,0),""))</f>
        <v>0</v>
      </c>
      <c r="K201" s="24">
        <f>IF($A201="","",N(Produtos!F201))</f>
        <v>0</v>
      </c>
      <c r="L201" s="24">
        <f>IF($A201="","",H201*K201)</f>
        <v>0</v>
      </c>
      <c r="M201" s="26">
        <f>IF($A201="","",SUMIFS(MovQtd,MovCod,$A201,MovTipo,"Saída",MovData,"&gt;="&amp;(Hoje-DiasAn),MovData,"&lt;="&amp;Hoje))</f>
        <v>0</v>
      </c>
      <c r="N201" s="28">
        <f>IF($A201="","",M201/DiasAn)</f>
        <v>0</v>
      </c>
      <c r="O201" s="29">
        <f>IF($A201="","",IF(N201&gt;0,H201/N201,"sem giro"))</f>
        <v>0</v>
      </c>
      <c r="P201" s="30">
        <f>IF($A201="","",SUMPRODUCT(MAX((MovCod=$A201)*(MovTipo="Saída")*MovData)))</f>
        <v>0</v>
      </c>
      <c r="Q201" s="31">
        <f>IF($A201="","",IF(H201&lt;=0,"RUPTURA",IF(AND(I201&gt;0,H201&lt;=I201),"REPOR",IF(AND(J201&lt;&gt;"",H201&gt;J201),"EXCESSO","OK"))))</f>
        <v>0</v>
      </c>
      <c r="R201" s="25">
        <f>IF($A201="","",IF(AND(H201&gt;0,OR(P201=0,Hoje-P201&gt;DiasParado)),"Parado",""))</f>
        <v>0</v>
      </c>
      <c r="S201" s="26">
        <f>IF($A201="","",IF(OR(Q201="RUPTURA",Q201="REPOR"),IF(J201="",0,MAX(0,J201-H201)),0))</f>
        <v>0</v>
      </c>
      <c r="T201" s="24">
        <f>IF($A201="","",M201*IF(N(Produtos!G201)&gt;0,Produtos!G201,K201))</f>
        <v>0</v>
      </c>
      <c r="U201" s="32">
        <f>IF($A201="","",IF(T201&gt;0,T201+ROW()/1000000000,""))</f>
        <v>0</v>
      </c>
      <c r="V201" s="31">
        <f>IF($A201="","",IF(U201="","C",INDEX('Curva ABC'!$H$5:$H$304,MATCH(U201,'Curva ABC'!$B$5:$B$304,0))))</f>
        <v>0</v>
      </c>
      <c r="W201" s="24">
        <f>IF($A201="","",IF(R201="Parado",L201,0))</f>
        <v>0</v>
      </c>
      <c r="X201" s="33">
        <f>IF($A201="","",IF(OR(Q201="RUPTURA",Q201="REPOR"),COUNTIF($Q$5:Q201,"RUPTURA")+COUNTIF($Q$5:Q201,"REPOR"),""))</f>
        <v>0</v>
      </c>
    </row>
    <row r="202" spans="1:24">
      <c r="A202" s="23">
        <f>IF(Produtos!A202="","",Produtos!A202)</f>
        <v>0</v>
      </c>
      <c r="B202" s="23">
        <f>IF($A202="","",Produtos!B202&amp;"")</f>
        <v>0</v>
      </c>
      <c r="C202" s="23">
        <f>IF($A202="","",Produtos!C202&amp;"")</f>
        <v>0</v>
      </c>
      <c r="D202" s="25">
        <f>IF($A202="","",Produtos!D202&amp;"")</f>
        <v>0</v>
      </c>
      <c r="E202" s="26">
        <f>IF($A202="","",N(Produtos!H202))</f>
        <v>0</v>
      </c>
      <c r="F202" s="26">
        <f>IF($A202="","",SUMIFS(MovQtd,MovCod,$A202,MovTipo,"Entrada"))</f>
        <v>0</v>
      </c>
      <c r="G202" s="26">
        <f>IF($A202="","",SUMIFS(MovQtd,MovCod,$A202,MovTipo,"Saída"))</f>
        <v>0</v>
      </c>
      <c r="H202" s="27">
        <f>IF($A202="","",E202+F202-G202)</f>
        <v>0</v>
      </c>
      <c r="I202" s="26">
        <f>IF($A202="","",N(Produtos!I202))</f>
        <v>0</v>
      </c>
      <c r="J202" s="26">
        <f>IF($A202="","",IF(I202&gt;0,ROUNDUP(I202*FatMax,0),""))</f>
        <v>0</v>
      </c>
      <c r="K202" s="24">
        <f>IF($A202="","",N(Produtos!F202))</f>
        <v>0</v>
      </c>
      <c r="L202" s="24">
        <f>IF($A202="","",H202*K202)</f>
        <v>0</v>
      </c>
      <c r="M202" s="26">
        <f>IF($A202="","",SUMIFS(MovQtd,MovCod,$A202,MovTipo,"Saída",MovData,"&gt;="&amp;(Hoje-DiasAn),MovData,"&lt;="&amp;Hoje))</f>
        <v>0</v>
      </c>
      <c r="N202" s="28">
        <f>IF($A202="","",M202/DiasAn)</f>
        <v>0</v>
      </c>
      <c r="O202" s="29">
        <f>IF($A202="","",IF(N202&gt;0,H202/N202,"sem giro"))</f>
        <v>0</v>
      </c>
      <c r="P202" s="30">
        <f>IF($A202="","",SUMPRODUCT(MAX((MovCod=$A202)*(MovTipo="Saída")*MovData)))</f>
        <v>0</v>
      </c>
      <c r="Q202" s="31">
        <f>IF($A202="","",IF(H202&lt;=0,"RUPTURA",IF(AND(I202&gt;0,H202&lt;=I202),"REPOR",IF(AND(J202&lt;&gt;"",H202&gt;J202),"EXCESSO","OK"))))</f>
        <v>0</v>
      </c>
      <c r="R202" s="25">
        <f>IF($A202="","",IF(AND(H202&gt;0,OR(P202=0,Hoje-P202&gt;DiasParado)),"Parado",""))</f>
        <v>0</v>
      </c>
      <c r="S202" s="26">
        <f>IF($A202="","",IF(OR(Q202="RUPTURA",Q202="REPOR"),IF(J202="",0,MAX(0,J202-H202)),0))</f>
        <v>0</v>
      </c>
      <c r="T202" s="24">
        <f>IF($A202="","",M202*IF(N(Produtos!G202)&gt;0,Produtos!G202,K202))</f>
        <v>0</v>
      </c>
      <c r="U202" s="32">
        <f>IF($A202="","",IF(T202&gt;0,T202+ROW()/1000000000,""))</f>
        <v>0</v>
      </c>
      <c r="V202" s="31">
        <f>IF($A202="","",IF(U202="","C",INDEX('Curva ABC'!$H$5:$H$304,MATCH(U202,'Curva ABC'!$B$5:$B$304,0))))</f>
        <v>0</v>
      </c>
      <c r="W202" s="24">
        <f>IF($A202="","",IF(R202="Parado",L202,0))</f>
        <v>0</v>
      </c>
      <c r="X202" s="33">
        <f>IF($A202="","",IF(OR(Q202="RUPTURA",Q202="REPOR"),COUNTIF($Q$5:Q202,"RUPTURA")+COUNTIF($Q$5:Q202,"REPOR"),""))</f>
        <v>0</v>
      </c>
    </row>
    <row r="203" spans="1:24">
      <c r="A203" s="23">
        <f>IF(Produtos!A203="","",Produtos!A203)</f>
        <v>0</v>
      </c>
      <c r="B203" s="23">
        <f>IF($A203="","",Produtos!B203&amp;"")</f>
        <v>0</v>
      </c>
      <c r="C203" s="23">
        <f>IF($A203="","",Produtos!C203&amp;"")</f>
        <v>0</v>
      </c>
      <c r="D203" s="25">
        <f>IF($A203="","",Produtos!D203&amp;"")</f>
        <v>0</v>
      </c>
      <c r="E203" s="26">
        <f>IF($A203="","",N(Produtos!H203))</f>
        <v>0</v>
      </c>
      <c r="F203" s="26">
        <f>IF($A203="","",SUMIFS(MovQtd,MovCod,$A203,MovTipo,"Entrada"))</f>
        <v>0</v>
      </c>
      <c r="G203" s="26">
        <f>IF($A203="","",SUMIFS(MovQtd,MovCod,$A203,MovTipo,"Saída"))</f>
        <v>0</v>
      </c>
      <c r="H203" s="27">
        <f>IF($A203="","",E203+F203-G203)</f>
        <v>0</v>
      </c>
      <c r="I203" s="26">
        <f>IF($A203="","",N(Produtos!I203))</f>
        <v>0</v>
      </c>
      <c r="J203" s="26">
        <f>IF($A203="","",IF(I203&gt;0,ROUNDUP(I203*FatMax,0),""))</f>
        <v>0</v>
      </c>
      <c r="K203" s="24">
        <f>IF($A203="","",N(Produtos!F203))</f>
        <v>0</v>
      </c>
      <c r="L203" s="24">
        <f>IF($A203="","",H203*K203)</f>
        <v>0</v>
      </c>
      <c r="M203" s="26">
        <f>IF($A203="","",SUMIFS(MovQtd,MovCod,$A203,MovTipo,"Saída",MovData,"&gt;="&amp;(Hoje-DiasAn),MovData,"&lt;="&amp;Hoje))</f>
        <v>0</v>
      </c>
      <c r="N203" s="28">
        <f>IF($A203="","",M203/DiasAn)</f>
        <v>0</v>
      </c>
      <c r="O203" s="29">
        <f>IF($A203="","",IF(N203&gt;0,H203/N203,"sem giro"))</f>
        <v>0</v>
      </c>
      <c r="P203" s="30">
        <f>IF($A203="","",SUMPRODUCT(MAX((MovCod=$A203)*(MovTipo="Saída")*MovData)))</f>
        <v>0</v>
      </c>
      <c r="Q203" s="31">
        <f>IF($A203="","",IF(H203&lt;=0,"RUPTURA",IF(AND(I203&gt;0,H203&lt;=I203),"REPOR",IF(AND(J203&lt;&gt;"",H203&gt;J203),"EXCESSO","OK"))))</f>
        <v>0</v>
      </c>
      <c r="R203" s="25">
        <f>IF($A203="","",IF(AND(H203&gt;0,OR(P203=0,Hoje-P203&gt;DiasParado)),"Parado",""))</f>
        <v>0</v>
      </c>
      <c r="S203" s="26">
        <f>IF($A203="","",IF(OR(Q203="RUPTURA",Q203="REPOR"),IF(J203="",0,MAX(0,J203-H203)),0))</f>
        <v>0</v>
      </c>
      <c r="T203" s="24">
        <f>IF($A203="","",M203*IF(N(Produtos!G203)&gt;0,Produtos!G203,K203))</f>
        <v>0</v>
      </c>
      <c r="U203" s="32">
        <f>IF($A203="","",IF(T203&gt;0,T203+ROW()/1000000000,""))</f>
        <v>0</v>
      </c>
      <c r="V203" s="31">
        <f>IF($A203="","",IF(U203="","C",INDEX('Curva ABC'!$H$5:$H$304,MATCH(U203,'Curva ABC'!$B$5:$B$304,0))))</f>
        <v>0</v>
      </c>
      <c r="W203" s="24">
        <f>IF($A203="","",IF(R203="Parado",L203,0))</f>
        <v>0</v>
      </c>
      <c r="X203" s="33">
        <f>IF($A203="","",IF(OR(Q203="RUPTURA",Q203="REPOR"),COUNTIF($Q$5:Q203,"RUPTURA")+COUNTIF($Q$5:Q203,"REPOR"),""))</f>
        <v>0</v>
      </c>
    </row>
    <row r="204" spans="1:24">
      <c r="A204" s="23">
        <f>IF(Produtos!A204="","",Produtos!A204)</f>
        <v>0</v>
      </c>
      <c r="B204" s="23">
        <f>IF($A204="","",Produtos!B204&amp;"")</f>
        <v>0</v>
      </c>
      <c r="C204" s="23">
        <f>IF($A204="","",Produtos!C204&amp;"")</f>
        <v>0</v>
      </c>
      <c r="D204" s="25">
        <f>IF($A204="","",Produtos!D204&amp;"")</f>
        <v>0</v>
      </c>
      <c r="E204" s="26">
        <f>IF($A204="","",N(Produtos!H204))</f>
        <v>0</v>
      </c>
      <c r="F204" s="26">
        <f>IF($A204="","",SUMIFS(MovQtd,MovCod,$A204,MovTipo,"Entrada"))</f>
        <v>0</v>
      </c>
      <c r="G204" s="26">
        <f>IF($A204="","",SUMIFS(MovQtd,MovCod,$A204,MovTipo,"Saída"))</f>
        <v>0</v>
      </c>
      <c r="H204" s="27">
        <f>IF($A204="","",E204+F204-G204)</f>
        <v>0</v>
      </c>
      <c r="I204" s="26">
        <f>IF($A204="","",N(Produtos!I204))</f>
        <v>0</v>
      </c>
      <c r="J204" s="26">
        <f>IF($A204="","",IF(I204&gt;0,ROUNDUP(I204*FatMax,0),""))</f>
        <v>0</v>
      </c>
      <c r="K204" s="24">
        <f>IF($A204="","",N(Produtos!F204))</f>
        <v>0</v>
      </c>
      <c r="L204" s="24">
        <f>IF($A204="","",H204*K204)</f>
        <v>0</v>
      </c>
      <c r="M204" s="26">
        <f>IF($A204="","",SUMIFS(MovQtd,MovCod,$A204,MovTipo,"Saída",MovData,"&gt;="&amp;(Hoje-DiasAn),MovData,"&lt;="&amp;Hoje))</f>
        <v>0</v>
      </c>
      <c r="N204" s="28">
        <f>IF($A204="","",M204/DiasAn)</f>
        <v>0</v>
      </c>
      <c r="O204" s="29">
        <f>IF($A204="","",IF(N204&gt;0,H204/N204,"sem giro"))</f>
        <v>0</v>
      </c>
      <c r="P204" s="30">
        <f>IF($A204="","",SUMPRODUCT(MAX((MovCod=$A204)*(MovTipo="Saída")*MovData)))</f>
        <v>0</v>
      </c>
      <c r="Q204" s="31">
        <f>IF($A204="","",IF(H204&lt;=0,"RUPTURA",IF(AND(I204&gt;0,H204&lt;=I204),"REPOR",IF(AND(J204&lt;&gt;"",H204&gt;J204),"EXCESSO","OK"))))</f>
        <v>0</v>
      </c>
      <c r="R204" s="25">
        <f>IF($A204="","",IF(AND(H204&gt;0,OR(P204=0,Hoje-P204&gt;DiasParado)),"Parado",""))</f>
        <v>0</v>
      </c>
      <c r="S204" s="26">
        <f>IF($A204="","",IF(OR(Q204="RUPTURA",Q204="REPOR"),IF(J204="",0,MAX(0,J204-H204)),0))</f>
        <v>0</v>
      </c>
      <c r="T204" s="24">
        <f>IF($A204="","",M204*IF(N(Produtos!G204)&gt;0,Produtos!G204,K204))</f>
        <v>0</v>
      </c>
      <c r="U204" s="32">
        <f>IF($A204="","",IF(T204&gt;0,T204+ROW()/1000000000,""))</f>
        <v>0</v>
      </c>
      <c r="V204" s="31">
        <f>IF($A204="","",IF(U204="","C",INDEX('Curva ABC'!$H$5:$H$304,MATCH(U204,'Curva ABC'!$B$5:$B$304,0))))</f>
        <v>0</v>
      </c>
      <c r="W204" s="24">
        <f>IF($A204="","",IF(R204="Parado",L204,0))</f>
        <v>0</v>
      </c>
      <c r="X204" s="33">
        <f>IF($A204="","",IF(OR(Q204="RUPTURA",Q204="REPOR"),COUNTIF($Q$5:Q204,"RUPTURA")+COUNTIF($Q$5:Q204,"REPOR"),""))</f>
        <v>0</v>
      </c>
    </row>
    <row r="205" spans="1:24">
      <c r="A205" s="23">
        <f>IF(Produtos!A205="","",Produtos!A205)</f>
        <v>0</v>
      </c>
      <c r="B205" s="23">
        <f>IF($A205="","",Produtos!B205&amp;"")</f>
        <v>0</v>
      </c>
      <c r="C205" s="23">
        <f>IF($A205="","",Produtos!C205&amp;"")</f>
        <v>0</v>
      </c>
      <c r="D205" s="25">
        <f>IF($A205="","",Produtos!D205&amp;"")</f>
        <v>0</v>
      </c>
      <c r="E205" s="26">
        <f>IF($A205="","",N(Produtos!H205))</f>
        <v>0</v>
      </c>
      <c r="F205" s="26">
        <f>IF($A205="","",SUMIFS(MovQtd,MovCod,$A205,MovTipo,"Entrada"))</f>
        <v>0</v>
      </c>
      <c r="G205" s="26">
        <f>IF($A205="","",SUMIFS(MovQtd,MovCod,$A205,MovTipo,"Saída"))</f>
        <v>0</v>
      </c>
      <c r="H205" s="27">
        <f>IF($A205="","",E205+F205-G205)</f>
        <v>0</v>
      </c>
      <c r="I205" s="26">
        <f>IF($A205="","",N(Produtos!I205))</f>
        <v>0</v>
      </c>
      <c r="J205" s="26">
        <f>IF($A205="","",IF(I205&gt;0,ROUNDUP(I205*FatMax,0),""))</f>
        <v>0</v>
      </c>
      <c r="K205" s="24">
        <f>IF($A205="","",N(Produtos!F205))</f>
        <v>0</v>
      </c>
      <c r="L205" s="24">
        <f>IF($A205="","",H205*K205)</f>
        <v>0</v>
      </c>
      <c r="M205" s="26">
        <f>IF($A205="","",SUMIFS(MovQtd,MovCod,$A205,MovTipo,"Saída",MovData,"&gt;="&amp;(Hoje-DiasAn),MovData,"&lt;="&amp;Hoje))</f>
        <v>0</v>
      </c>
      <c r="N205" s="28">
        <f>IF($A205="","",M205/DiasAn)</f>
        <v>0</v>
      </c>
      <c r="O205" s="29">
        <f>IF($A205="","",IF(N205&gt;0,H205/N205,"sem giro"))</f>
        <v>0</v>
      </c>
      <c r="P205" s="30">
        <f>IF($A205="","",SUMPRODUCT(MAX((MovCod=$A205)*(MovTipo="Saída")*MovData)))</f>
        <v>0</v>
      </c>
      <c r="Q205" s="31">
        <f>IF($A205="","",IF(H205&lt;=0,"RUPTURA",IF(AND(I205&gt;0,H205&lt;=I205),"REPOR",IF(AND(J205&lt;&gt;"",H205&gt;J205),"EXCESSO","OK"))))</f>
        <v>0</v>
      </c>
      <c r="R205" s="25">
        <f>IF($A205="","",IF(AND(H205&gt;0,OR(P205=0,Hoje-P205&gt;DiasParado)),"Parado",""))</f>
        <v>0</v>
      </c>
      <c r="S205" s="26">
        <f>IF($A205="","",IF(OR(Q205="RUPTURA",Q205="REPOR"),IF(J205="",0,MAX(0,J205-H205)),0))</f>
        <v>0</v>
      </c>
      <c r="T205" s="24">
        <f>IF($A205="","",M205*IF(N(Produtos!G205)&gt;0,Produtos!G205,K205))</f>
        <v>0</v>
      </c>
      <c r="U205" s="32">
        <f>IF($A205="","",IF(T205&gt;0,T205+ROW()/1000000000,""))</f>
        <v>0</v>
      </c>
      <c r="V205" s="31">
        <f>IF($A205="","",IF(U205="","C",INDEX('Curva ABC'!$H$5:$H$304,MATCH(U205,'Curva ABC'!$B$5:$B$304,0))))</f>
        <v>0</v>
      </c>
      <c r="W205" s="24">
        <f>IF($A205="","",IF(R205="Parado",L205,0))</f>
        <v>0</v>
      </c>
      <c r="X205" s="33">
        <f>IF($A205="","",IF(OR(Q205="RUPTURA",Q205="REPOR"),COUNTIF($Q$5:Q205,"RUPTURA")+COUNTIF($Q$5:Q205,"REPOR"),""))</f>
        <v>0</v>
      </c>
    </row>
    <row r="206" spans="1:24">
      <c r="A206" s="23">
        <f>IF(Produtos!A206="","",Produtos!A206)</f>
        <v>0</v>
      </c>
      <c r="B206" s="23">
        <f>IF($A206="","",Produtos!B206&amp;"")</f>
        <v>0</v>
      </c>
      <c r="C206" s="23">
        <f>IF($A206="","",Produtos!C206&amp;"")</f>
        <v>0</v>
      </c>
      <c r="D206" s="25">
        <f>IF($A206="","",Produtos!D206&amp;"")</f>
        <v>0</v>
      </c>
      <c r="E206" s="26">
        <f>IF($A206="","",N(Produtos!H206))</f>
        <v>0</v>
      </c>
      <c r="F206" s="26">
        <f>IF($A206="","",SUMIFS(MovQtd,MovCod,$A206,MovTipo,"Entrada"))</f>
        <v>0</v>
      </c>
      <c r="G206" s="26">
        <f>IF($A206="","",SUMIFS(MovQtd,MovCod,$A206,MovTipo,"Saída"))</f>
        <v>0</v>
      </c>
      <c r="H206" s="27">
        <f>IF($A206="","",E206+F206-G206)</f>
        <v>0</v>
      </c>
      <c r="I206" s="26">
        <f>IF($A206="","",N(Produtos!I206))</f>
        <v>0</v>
      </c>
      <c r="J206" s="26">
        <f>IF($A206="","",IF(I206&gt;0,ROUNDUP(I206*FatMax,0),""))</f>
        <v>0</v>
      </c>
      <c r="K206" s="24">
        <f>IF($A206="","",N(Produtos!F206))</f>
        <v>0</v>
      </c>
      <c r="L206" s="24">
        <f>IF($A206="","",H206*K206)</f>
        <v>0</v>
      </c>
      <c r="M206" s="26">
        <f>IF($A206="","",SUMIFS(MovQtd,MovCod,$A206,MovTipo,"Saída",MovData,"&gt;="&amp;(Hoje-DiasAn),MovData,"&lt;="&amp;Hoje))</f>
        <v>0</v>
      </c>
      <c r="N206" s="28">
        <f>IF($A206="","",M206/DiasAn)</f>
        <v>0</v>
      </c>
      <c r="O206" s="29">
        <f>IF($A206="","",IF(N206&gt;0,H206/N206,"sem giro"))</f>
        <v>0</v>
      </c>
      <c r="P206" s="30">
        <f>IF($A206="","",SUMPRODUCT(MAX((MovCod=$A206)*(MovTipo="Saída")*MovData)))</f>
        <v>0</v>
      </c>
      <c r="Q206" s="31">
        <f>IF($A206="","",IF(H206&lt;=0,"RUPTURA",IF(AND(I206&gt;0,H206&lt;=I206),"REPOR",IF(AND(J206&lt;&gt;"",H206&gt;J206),"EXCESSO","OK"))))</f>
        <v>0</v>
      </c>
      <c r="R206" s="25">
        <f>IF($A206="","",IF(AND(H206&gt;0,OR(P206=0,Hoje-P206&gt;DiasParado)),"Parado",""))</f>
        <v>0</v>
      </c>
      <c r="S206" s="26">
        <f>IF($A206="","",IF(OR(Q206="RUPTURA",Q206="REPOR"),IF(J206="",0,MAX(0,J206-H206)),0))</f>
        <v>0</v>
      </c>
      <c r="T206" s="24">
        <f>IF($A206="","",M206*IF(N(Produtos!G206)&gt;0,Produtos!G206,K206))</f>
        <v>0</v>
      </c>
      <c r="U206" s="32">
        <f>IF($A206="","",IF(T206&gt;0,T206+ROW()/1000000000,""))</f>
        <v>0</v>
      </c>
      <c r="V206" s="31">
        <f>IF($A206="","",IF(U206="","C",INDEX('Curva ABC'!$H$5:$H$304,MATCH(U206,'Curva ABC'!$B$5:$B$304,0))))</f>
        <v>0</v>
      </c>
      <c r="W206" s="24">
        <f>IF($A206="","",IF(R206="Parado",L206,0))</f>
        <v>0</v>
      </c>
      <c r="X206" s="33">
        <f>IF($A206="","",IF(OR(Q206="RUPTURA",Q206="REPOR"),COUNTIF($Q$5:Q206,"RUPTURA")+COUNTIF($Q$5:Q206,"REPOR"),""))</f>
        <v>0</v>
      </c>
    </row>
    <row r="207" spans="1:24">
      <c r="A207" s="23">
        <f>IF(Produtos!A207="","",Produtos!A207)</f>
        <v>0</v>
      </c>
      <c r="B207" s="23">
        <f>IF($A207="","",Produtos!B207&amp;"")</f>
        <v>0</v>
      </c>
      <c r="C207" s="23">
        <f>IF($A207="","",Produtos!C207&amp;"")</f>
        <v>0</v>
      </c>
      <c r="D207" s="25">
        <f>IF($A207="","",Produtos!D207&amp;"")</f>
        <v>0</v>
      </c>
      <c r="E207" s="26">
        <f>IF($A207="","",N(Produtos!H207))</f>
        <v>0</v>
      </c>
      <c r="F207" s="26">
        <f>IF($A207="","",SUMIFS(MovQtd,MovCod,$A207,MovTipo,"Entrada"))</f>
        <v>0</v>
      </c>
      <c r="G207" s="26">
        <f>IF($A207="","",SUMIFS(MovQtd,MovCod,$A207,MovTipo,"Saída"))</f>
        <v>0</v>
      </c>
      <c r="H207" s="27">
        <f>IF($A207="","",E207+F207-G207)</f>
        <v>0</v>
      </c>
      <c r="I207" s="26">
        <f>IF($A207="","",N(Produtos!I207))</f>
        <v>0</v>
      </c>
      <c r="J207" s="26">
        <f>IF($A207="","",IF(I207&gt;0,ROUNDUP(I207*FatMax,0),""))</f>
        <v>0</v>
      </c>
      <c r="K207" s="24">
        <f>IF($A207="","",N(Produtos!F207))</f>
        <v>0</v>
      </c>
      <c r="L207" s="24">
        <f>IF($A207="","",H207*K207)</f>
        <v>0</v>
      </c>
      <c r="M207" s="26">
        <f>IF($A207="","",SUMIFS(MovQtd,MovCod,$A207,MovTipo,"Saída",MovData,"&gt;="&amp;(Hoje-DiasAn),MovData,"&lt;="&amp;Hoje))</f>
        <v>0</v>
      </c>
      <c r="N207" s="28">
        <f>IF($A207="","",M207/DiasAn)</f>
        <v>0</v>
      </c>
      <c r="O207" s="29">
        <f>IF($A207="","",IF(N207&gt;0,H207/N207,"sem giro"))</f>
        <v>0</v>
      </c>
      <c r="P207" s="30">
        <f>IF($A207="","",SUMPRODUCT(MAX((MovCod=$A207)*(MovTipo="Saída")*MovData)))</f>
        <v>0</v>
      </c>
      <c r="Q207" s="31">
        <f>IF($A207="","",IF(H207&lt;=0,"RUPTURA",IF(AND(I207&gt;0,H207&lt;=I207),"REPOR",IF(AND(J207&lt;&gt;"",H207&gt;J207),"EXCESSO","OK"))))</f>
        <v>0</v>
      </c>
      <c r="R207" s="25">
        <f>IF($A207="","",IF(AND(H207&gt;0,OR(P207=0,Hoje-P207&gt;DiasParado)),"Parado",""))</f>
        <v>0</v>
      </c>
      <c r="S207" s="26">
        <f>IF($A207="","",IF(OR(Q207="RUPTURA",Q207="REPOR"),IF(J207="",0,MAX(0,J207-H207)),0))</f>
        <v>0</v>
      </c>
      <c r="T207" s="24">
        <f>IF($A207="","",M207*IF(N(Produtos!G207)&gt;0,Produtos!G207,K207))</f>
        <v>0</v>
      </c>
      <c r="U207" s="32">
        <f>IF($A207="","",IF(T207&gt;0,T207+ROW()/1000000000,""))</f>
        <v>0</v>
      </c>
      <c r="V207" s="31">
        <f>IF($A207="","",IF(U207="","C",INDEX('Curva ABC'!$H$5:$H$304,MATCH(U207,'Curva ABC'!$B$5:$B$304,0))))</f>
        <v>0</v>
      </c>
      <c r="W207" s="24">
        <f>IF($A207="","",IF(R207="Parado",L207,0))</f>
        <v>0</v>
      </c>
      <c r="X207" s="33">
        <f>IF($A207="","",IF(OR(Q207="RUPTURA",Q207="REPOR"),COUNTIF($Q$5:Q207,"RUPTURA")+COUNTIF($Q$5:Q207,"REPOR"),""))</f>
        <v>0</v>
      </c>
    </row>
    <row r="208" spans="1:24">
      <c r="A208" s="23">
        <f>IF(Produtos!A208="","",Produtos!A208)</f>
        <v>0</v>
      </c>
      <c r="B208" s="23">
        <f>IF($A208="","",Produtos!B208&amp;"")</f>
        <v>0</v>
      </c>
      <c r="C208" s="23">
        <f>IF($A208="","",Produtos!C208&amp;"")</f>
        <v>0</v>
      </c>
      <c r="D208" s="25">
        <f>IF($A208="","",Produtos!D208&amp;"")</f>
        <v>0</v>
      </c>
      <c r="E208" s="26">
        <f>IF($A208="","",N(Produtos!H208))</f>
        <v>0</v>
      </c>
      <c r="F208" s="26">
        <f>IF($A208="","",SUMIFS(MovQtd,MovCod,$A208,MovTipo,"Entrada"))</f>
        <v>0</v>
      </c>
      <c r="G208" s="26">
        <f>IF($A208="","",SUMIFS(MovQtd,MovCod,$A208,MovTipo,"Saída"))</f>
        <v>0</v>
      </c>
      <c r="H208" s="27">
        <f>IF($A208="","",E208+F208-G208)</f>
        <v>0</v>
      </c>
      <c r="I208" s="26">
        <f>IF($A208="","",N(Produtos!I208))</f>
        <v>0</v>
      </c>
      <c r="J208" s="26">
        <f>IF($A208="","",IF(I208&gt;0,ROUNDUP(I208*FatMax,0),""))</f>
        <v>0</v>
      </c>
      <c r="K208" s="24">
        <f>IF($A208="","",N(Produtos!F208))</f>
        <v>0</v>
      </c>
      <c r="L208" s="24">
        <f>IF($A208="","",H208*K208)</f>
        <v>0</v>
      </c>
      <c r="M208" s="26">
        <f>IF($A208="","",SUMIFS(MovQtd,MovCod,$A208,MovTipo,"Saída",MovData,"&gt;="&amp;(Hoje-DiasAn),MovData,"&lt;="&amp;Hoje))</f>
        <v>0</v>
      </c>
      <c r="N208" s="28">
        <f>IF($A208="","",M208/DiasAn)</f>
        <v>0</v>
      </c>
      <c r="O208" s="29">
        <f>IF($A208="","",IF(N208&gt;0,H208/N208,"sem giro"))</f>
        <v>0</v>
      </c>
      <c r="P208" s="30">
        <f>IF($A208="","",SUMPRODUCT(MAX((MovCod=$A208)*(MovTipo="Saída")*MovData)))</f>
        <v>0</v>
      </c>
      <c r="Q208" s="31">
        <f>IF($A208="","",IF(H208&lt;=0,"RUPTURA",IF(AND(I208&gt;0,H208&lt;=I208),"REPOR",IF(AND(J208&lt;&gt;"",H208&gt;J208),"EXCESSO","OK"))))</f>
        <v>0</v>
      </c>
      <c r="R208" s="25">
        <f>IF($A208="","",IF(AND(H208&gt;0,OR(P208=0,Hoje-P208&gt;DiasParado)),"Parado",""))</f>
        <v>0</v>
      </c>
      <c r="S208" s="26">
        <f>IF($A208="","",IF(OR(Q208="RUPTURA",Q208="REPOR"),IF(J208="",0,MAX(0,J208-H208)),0))</f>
        <v>0</v>
      </c>
      <c r="T208" s="24">
        <f>IF($A208="","",M208*IF(N(Produtos!G208)&gt;0,Produtos!G208,K208))</f>
        <v>0</v>
      </c>
      <c r="U208" s="32">
        <f>IF($A208="","",IF(T208&gt;0,T208+ROW()/1000000000,""))</f>
        <v>0</v>
      </c>
      <c r="V208" s="31">
        <f>IF($A208="","",IF(U208="","C",INDEX('Curva ABC'!$H$5:$H$304,MATCH(U208,'Curva ABC'!$B$5:$B$304,0))))</f>
        <v>0</v>
      </c>
      <c r="W208" s="24">
        <f>IF($A208="","",IF(R208="Parado",L208,0))</f>
        <v>0</v>
      </c>
      <c r="X208" s="33">
        <f>IF($A208="","",IF(OR(Q208="RUPTURA",Q208="REPOR"),COUNTIF($Q$5:Q208,"RUPTURA")+COUNTIF($Q$5:Q208,"REPOR"),""))</f>
        <v>0</v>
      </c>
    </row>
    <row r="209" spans="1:24">
      <c r="A209" s="23">
        <f>IF(Produtos!A209="","",Produtos!A209)</f>
        <v>0</v>
      </c>
      <c r="B209" s="23">
        <f>IF($A209="","",Produtos!B209&amp;"")</f>
        <v>0</v>
      </c>
      <c r="C209" s="23">
        <f>IF($A209="","",Produtos!C209&amp;"")</f>
        <v>0</v>
      </c>
      <c r="D209" s="25">
        <f>IF($A209="","",Produtos!D209&amp;"")</f>
        <v>0</v>
      </c>
      <c r="E209" s="26">
        <f>IF($A209="","",N(Produtos!H209))</f>
        <v>0</v>
      </c>
      <c r="F209" s="26">
        <f>IF($A209="","",SUMIFS(MovQtd,MovCod,$A209,MovTipo,"Entrada"))</f>
        <v>0</v>
      </c>
      <c r="G209" s="26">
        <f>IF($A209="","",SUMIFS(MovQtd,MovCod,$A209,MovTipo,"Saída"))</f>
        <v>0</v>
      </c>
      <c r="H209" s="27">
        <f>IF($A209="","",E209+F209-G209)</f>
        <v>0</v>
      </c>
      <c r="I209" s="26">
        <f>IF($A209="","",N(Produtos!I209))</f>
        <v>0</v>
      </c>
      <c r="J209" s="26">
        <f>IF($A209="","",IF(I209&gt;0,ROUNDUP(I209*FatMax,0),""))</f>
        <v>0</v>
      </c>
      <c r="K209" s="24">
        <f>IF($A209="","",N(Produtos!F209))</f>
        <v>0</v>
      </c>
      <c r="L209" s="24">
        <f>IF($A209="","",H209*K209)</f>
        <v>0</v>
      </c>
      <c r="M209" s="26">
        <f>IF($A209="","",SUMIFS(MovQtd,MovCod,$A209,MovTipo,"Saída",MovData,"&gt;="&amp;(Hoje-DiasAn),MovData,"&lt;="&amp;Hoje))</f>
        <v>0</v>
      </c>
      <c r="N209" s="28">
        <f>IF($A209="","",M209/DiasAn)</f>
        <v>0</v>
      </c>
      <c r="O209" s="29">
        <f>IF($A209="","",IF(N209&gt;0,H209/N209,"sem giro"))</f>
        <v>0</v>
      </c>
      <c r="P209" s="30">
        <f>IF($A209="","",SUMPRODUCT(MAX((MovCod=$A209)*(MovTipo="Saída")*MovData)))</f>
        <v>0</v>
      </c>
      <c r="Q209" s="31">
        <f>IF($A209="","",IF(H209&lt;=0,"RUPTURA",IF(AND(I209&gt;0,H209&lt;=I209),"REPOR",IF(AND(J209&lt;&gt;"",H209&gt;J209),"EXCESSO","OK"))))</f>
        <v>0</v>
      </c>
      <c r="R209" s="25">
        <f>IF($A209="","",IF(AND(H209&gt;0,OR(P209=0,Hoje-P209&gt;DiasParado)),"Parado",""))</f>
        <v>0</v>
      </c>
      <c r="S209" s="26">
        <f>IF($A209="","",IF(OR(Q209="RUPTURA",Q209="REPOR"),IF(J209="",0,MAX(0,J209-H209)),0))</f>
        <v>0</v>
      </c>
      <c r="T209" s="24">
        <f>IF($A209="","",M209*IF(N(Produtos!G209)&gt;0,Produtos!G209,K209))</f>
        <v>0</v>
      </c>
      <c r="U209" s="32">
        <f>IF($A209="","",IF(T209&gt;0,T209+ROW()/1000000000,""))</f>
        <v>0</v>
      </c>
      <c r="V209" s="31">
        <f>IF($A209="","",IF(U209="","C",INDEX('Curva ABC'!$H$5:$H$304,MATCH(U209,'Curva ABC'!$B$5:$B$304,0))))</f>
        <v>0</v>
      </c>
      <c r="W209" s="24">
        <f>IF($A209="","",IF(R209="Parado",L209,0))</f>
        <v>0</v>
      </c>
      <c r="X209" s="33">
        <f>IF($A209="","",IF(OR(Q209="RUPTURA",Q209="REPOR"),COUNTIF($Q$5:Q209,"RUPTURA")+COUNTIF($Q$5:Q209,"REPOR"),""))</f>
        <v>0</v>
      </c>
    </row>
    <row r="210" spans="1:24">
      <c r="A210" s="23">
        <f>IF(Produtos!A210="","",Produtos!A210)</f>
        <v>0</v>
      </c>
      <c r="B210" s="23">
        <f>IF($A210="","",Produtos!B210&amp;"")</f>
        <v>0</v>
      </c>
      <c r="C210" s="23">
        <f>IF($A210="","",Produtos!C210&amp;"")</f>
        <v>0</v>
      </c>
      <c r="D210" s="25">
        <f>IF($A210="","",Produtos!D210&amp;"")</f>
        <v>0</v>
      </c>
      <c r="E210" s="26">
        <f>IF($A210="","",N(Produtos!H210))</f>
        <v>0</v>
      </c>
      <c r="F210" s="26">
        <f>IF($A210="","",SUMIFS(MovQtd,MovCod,$A210,MovTipo,"Entrada"))</f>
        <v>0</v>
      </c>
      <c r="G210" s="26">
        <f>IF($A210="","",SUMIFS(MovQtd,MovCod,$A210,MovTipo,"Saída"))</f>
        <v>0</v>
      </c>
      <c r="H210" s="27">
        <f>IF($A210="","",E210+F210-G210)</f>
        <v>0</v>
      </c>
      <c r="I210" s="26">
        <f>IF($A210="","",N(Produtos!I210))</f>
        <v>0</v>
      </c>
      <c r="J210" s="26">
        <f>IF($A210="","",IF(I210&gt;0,ROUNDUP(I210*FatMax,0),""))</f>
        <v>0</v>
      </c>
      <c r="K210" s="24">
        <f>IF($A210="","",N(Produtos!F210))</f>
        <v>0</v>
      </c>
      <c r="L210" s="24">
        <f>IF($A210="","",H210*K210)</f>
        <v>0</v>
      </c>
      <c r="M210" s="26">
        <f>IF($A210="","",SUMIFS(MovQtd,MovCod,$A210,MovTipo,"Saída",MovData,"&gt;="&amp;(Hoje-DiasAn),MovData,"&lt;="&amp;Hoje))</f>
        <v>0</v>
      </c>
      <c r="N210" s="28">
        <f>IF($A210="","",M210/DiasAn)</f>
        <v>0</v>
      </c>
      <c r="O210" s="29">
        <f>IF($A210="","",IF(N210&gt;0,H210/N210,"sem giro"))</f>
        <v>0</v>
      </c>
      <c r="P210" s="30">
        <f>IF($A210="","",SUMPRODUCT(MAX((MovCod=$A210)*(MovTipo="Saída")*MovData)))</f>
        <v>0</v>
      </c>
      <c r="Q210" s="31">
        <f>IF($A210="","",IF(H210&lt;=0,"RUPTURA",IF(AND(I210&gt;0,H210&lt;=I210),"REPOR",IF(AND(J210&lt;&gt;"",H210&gt;J210),"EXCESSO","OK"))))</f>
        <v>0</v>
      </c>
      <c r="R210" s="25">
        <f>IF($A210="","",IF(AND(H210&gt;0,OR(P210=0,Hoje-P210&gt;DiasParado)),"Parado",""))</f>
        <v>0</v>
      </c>
      <c r="S210" s="26">
        <f>IF($A210="","",IF(OR(Q210="RUPTURA",Q210="REPOR"),IF(J210="",0,MAX(0,J210-H210)),0))</f>
        <v>0</v>
      </c>
      <c r="T210" s="24">
        <f>IF($A210="","",M210*IF(N(Produtos!G210)&gt;0,Produtos!G210,K210))</f>
        <v>0</v>
      </c>
      <c r="U210" s="32">
        <f>IF($A210="","",IF(T210&gt;0,T210+ROW()/1000000000,""))</f>
        <v>0</v>
      </c>
      <c r="V210" s="31">
        <f>IF($A210="","",IF(U210="","C",INDEX('Curva ABC'!$H$5:$H$304,MATCH(U210,'Curva ABC'!$B$5:$B$304,0))))</f>
        <v>0</v>
      </c>
      <c r="W210" s="24">
        <f>IF($A210="","",IF(R210="Parado",L210,0))</f>
        <v>0</v>
      </c>
      <c r="X210" s="33">
        <f>IF($A210="","",IF(OR(Q210="RUPTURA",Q210="REPOR"),COUNTIF($Q$5:Q210,"RUPTURA")+COUNTIF($Q$5:Q210,"REPOR"),""))</f>
        <v>0</v>
      </c>
    </row>
    <row r="211" spans="1:24">
      <c r="A211" s="23">
        <f>IF(Produtos!A211="","",Produtos!A211)</f>
        <v>0</v>
      </c>
      <c r="B211" s="23">
        <f>IF($A211="","",Produtos!B211&amp;"")</f>
        <v>0</v>
      </c>
      <c r="C211" s="23">
        <f>IF($A211="","",Produtos!C211&amp;"")</f>
        <v>0</v>
      </c>
      <c r="D211" s="25">
        <f>IF($A211="","",Produtos!D211&amp;"")</f>
        <v>0</v>
      </c>
      <c r="E211" s="26">
        <f>IF($A211="","",N(Produtos!H211))</f>
        <v>0</v>
      </c>
      <c r="F211" s="26">
        <f>IF($A211="","",SUMIFS(MovQtd,MovCod,$A211,MovTipo,"Entrada"))</f>
        <v>0</v>
      </c>
      <c r="G211" s="26">
        <f>IF($A211="","",SUMIFS(MovQtd,MovCod,$A211,MovTipo,"Saída"))</f>
        <v>0</v>
      </c>
      <c r="H211" s="27">
        <f>IF($A211="","",E211+F211-G211)</f>
        <v>0</v>
      </c>
      <c r="I211" s="26">
        <f>IF($A211="","",N(Produtos!I211))</f>
        <v>0</v>
      </c>
      <c r="J211" s="26">
        <f>IF($A211="","",IF(I211&gt;0,ROUNDUP(I211*FatMax,0),""))</f>
        <v>0</v>
      </c>
      <c r="K211" s="24">
        <f>IF($A211="","",N(Produtos!F211))</f>
        <v>0</v>
      </c>
      <c r="L211" s="24">
        <f>IF($A211="","",H211*K211)</f>
        <v>0</v>
      </c>
      <c r="M211" s="26">
        <f>IF($A211="","",SUMIFS(MovQtd,MovCod,$A211,MovTipo,"Saída",MovData,"&gt;="&amp;(Hoje-DiasAn),MovData,"&lt;="&amp;Hoje))</f>
        <v>0</v>
      </c>
      <c r="N211" s="28">
        <f>IF($A211="","",M211/DiasAn)</f>
        <v>0</v>
      </c>
      <c r="O211" s="29">
        <f>IF($A211="","",IF(N211&gt;0,H211/N211,"sem giro"))</f>
        <v>0</v>
      </c>
      <c r="P211" s="30">
        <f>IF($A211="","",SUMPRODUCT(MAX((MovCod=$A211)*(MovTipo="Saída")*MovData)))</f>
        <v>0</v>
      </c>
      <c r="Q211" s="31">
        <f>IF($A211="","",IF(H211&lt;=0,"RUPTURA",IF(AND(I211&gt;0,H211&lt;=I211),"REPOR",IF(AND(J211&lt;&gt;"",H211&gt;J211),"EXCESSO","OK"))))</f>
        <v>0</v>
      </c>
      <c r="R211" s="25">
        <f>IF($A211="","",IF(AND(H211&gt;0,OR(P211=0,Hoje-P211&gt;DiasParado)),"Parado",""))</f>
        <v>0</v>
      </c>
      <c r="S211" s="26">
        <f>IF($A211="","",IF(OR(Q211="RUPTURA",Q211="REPOR"),IF(J211="",0,MAX(0,J211-H211)),0))</f>
        <v>0</v>
      </c>
      <c r="T211" s="24">
        <f>IF($A211="","",M211*IF(N(Produtos!G211)&gt;0,Produtos!G211,K211))</f>
        <v>0</v>
      </c>
      <c r="U211" s="32">
        <f>IF($A211="","",IF(T211&gt;0,T211+ROW()/1000000000,""))</f>
        <v>0</v>
      </c>
      <c r="V211" s="31">
        <f>IF($A211="","",IF(U211="","C",INDEX('Curva ABC'!$H$5:$H$304,MATCH(U211,'Curva ABC'!$B$5:$B$304,0))))</f>
        <v>0</v>
      </c>
      <c r="W211" s="24">
        <f>IF($A211="","",IF(R211="Parado",L211,0))</f>
        <v>0</v>
      </c>
      <c r="X211" s="33">
        <f>IF($A211="","",IF(OR(Q211="RUPTURA",Q211="REPOR"),COUNTIF($Q$5:Q211,"RUPTURA")+COUNTIF($Q$5:Q211,"REPOR"),""))</f>
        <v>0</v>
      </c>
    </row>
    <row r="212" spans="1:24">
      <c r="A212" s="23">
        <f>IF(Produtos!A212="","",Produtos!A212)</f>
        <v>0</v>
      </c>
      <c r="B212" s="23">
        <f>IF($A212="","",Produtos!B212&amp;"")</f>
        <v>0</v>
      </c>
      <c r="C212" s="23">
        <f>IF($A212="","",Produtos!C212&amp;"")</f>
        <v>0</v>
      </c>
      <c r="D212" s="25">
        <f>IF($A212="","",Produtos!D212&amp;"")</f>
        <v>0</v>
      </c>
      <c r="E212" s="26">
        <f>IF($A212="","",N(Produtos!H212))</f>
        <v>0</v>
      </c>
      <c r="F212" s="26">
        <f>IF($A212="","",SUMIFS(MovQtd,MovCod,$A212,MovTipo,"Entrada"))</f>
        <v>0</v>
      </c>
      <c r="G212" s="26">
        <f>IF($A212="","",SUMIFS(MovQtd,MovCod,$A212,MovTipo,"Saída"))</f>
        <v>0</v>
      </c>
      <c r="H212" s="27">
        <f>IF($A212="","",E212+F212-G212)</f>
        <v>0</v>
      </c>
      <c r="I212" s="26">
        <f>IF($A212="","",N(Produtos!I212))</f>
        <v>0</v>
      </c>
      <c r="J212" s="26">
        <f>IF($A212="","",IF(I212&gt;0,ROUNDUP(I212*FatMax,0),""))</f>
        <v>0</v>
      </c>
      <c r="K212" s="24">
        <f>IF($A212="","",N(Produtos!F212))</f>
        <v>0</v>
      </c>
      <c r="L212" s="24">
        <f>IF($A212="","",H212*K212)</f>
        <v>0</v>
      </c>
      <c r="M212" s="26">
        <f>IF($A212="","",SUMIFS(MovQtd,MovCod,$A212,MovTipo,"Saída",MovData,"&gt;="&amp;(Hoje-DiasAn),MovData,"&lt;="&amp;Hoje))</f>
        <v>0</v>
      </c>
      <c r="N212" s="28">
        <f>IF($A212="","",M212/DiasAn)</f>
        <v>0</v>
      </c>
      <c r="O212" s="29">
        <f>IF($A212="","",IF(N212&gt;0,H212/N212,"sem giro"))</f>
        <v>0</v>
      </c>
      <c r="P212" s="30">
        <f>IF($A212="","",SUMPRODUCT(MAX((MovCod=$A212)*(MovTipo="Saída")*MovData)))</f>
        <v>0</v>
      </c>
      <c r="Q212" s="31">
        <f>IF($A212="","",IF(H212&lt;=0,"RUPTURA",IF(AND(I212&gt;0,H212&lt;=I212),"REPOR",IF(AND(J212&lt;&gt;"",H212&gt;J212),"EXCESSO","OK"))))</f>
        <v>0</v>
      </c>
      <c r="R212" s="25">
        <f>IF($A212="","",IF(AND(H212&gt;0,OR(P212=0,Hoje-P212&gt;DiasParado)),"Parado",""))</f>
        <v>0</v>
      </c>
      <c r="S212" s="26">
        <f>IF($A212="","",IF(OR(Q212="RUPTURA",Q212="REPOR"),IF(J212="",0,MAX(0,J212-H212)),0))</f>
        <v>0</v>
      </c>
      <c r="T212" s="24">
        <f>IF($A212="","",M212*IF(N(Produtos!G212)&gt;0,Produtos!G212,K212))</f>
        <v>0</v>
      </c>
      <c r="U212" s="32">
        <f>IF($A212="","",IF(T212&gt;0,T212+ROW()/1000000000,""))</f>
        <v>0</v>
      </c>
      <c r="V212" s="31">
        <f>IF($A212="","",IF(U212="","C",INDEX('Curva ABC'!$H$5:$H$304,MATCH(U212,'Curva ABC'!$B$5:$B$304,0))))</f>
        <v>0</v>
      </c>
      <c r="W212" s="24">
        <f>IF($A212="","",IF(R212="Parado",L212,0))</f>
        <v>0</v>
      </c>
      <c r="X212" s="33">
        <f>IF($A212="","",IF(OR(Q212="RUPTURA",Q212="REPOR"),COUNTIF($Q$5:Q212,"RUPTURA")+COUNTIF($Q$5:Q212,"REPOR"),""))</f>
        <v>0</v>
      </c>
    </row>
    <row r="213" spans="1:24">
      <c r="A213" s="23">
        <f>IF(Produtos!A213="","",Produtos!A213)</f>
        <v>0</v>
      </c>
      <c r="B213" s="23">
        <f>IF($A213="","",Produtos!B213&amp;"")</f>
        <v>0</v>
      </c>
      <c r="C213" s="23">
        <f>IF($A213="","",Produtos!C213&amp;"")</f>
        <v>0</v>
      </c>
      <c r="D213" s="25">
        <f>IF($A213="","",Produtos!D213&amp;"")</f>
        <v>0</v>
      </c>
      <c r="E213" s="26">
        <f>IF($A213="","",N(Produtos!H213))</f>
        <v>0</v>
      </c>
      <c r="F213" s="26">
        <f>IF($A213="","",SUMIFS(MovQtd,MovCod,$A213,MovTipo,"Entrada"))</f>
        <v>0</v>
      </c>
      <c r="G213" s="26">
        <f>IF($A213="","",SUMIFS(MovQtd,MovCod,$A213,MovTipo,"Saída"))</f>
        <v>0</v>
      </c>
      <c r="H213" s="27">
        <f>IF($A213="","",E213+F213-G213)</f>
        <v>0</v>
      </c>
      <c r="I213" s="26">
        <f>IF($A213="","",N(Produtos!I213))</f>
        <v>0</v>
      </c>
      <c r="J213" s="26">
        <f>IF($A213="","",IF(I213&gt;0,ROUNDUP(I213*FatMax,0),""))</f>
        <v>0</v>
      </c>
      <c r="K213" s="24">
        <f>IF($A213="","",N(Produtos!F213))</f>
        <v>0</v>
      </c>
      <c r="L213" s="24">
        <f>IF($A213="","",H213*K213)</f>
        <v>0</v>
      </c>
      <c r="M213" s="26">
        <f>IF($A213="","",SUMIFS(MovQtd,MovCod,$A213,MovTipo,"Saída",MovData,"&gt;="&amp;(Hoje-DiasAn),MovData,"&lt;="&amp;Hoje))</f>
        <v>0</v>
      </c>
      <c r="N213" s="28">
        <f>IF($A213="","",M213/DiasAn)</f>
        <v>0</v>
      </c>
      <c r="O213" s="29">
        <f>IF($A213="","",IF(N213&gt;0,H213/N213,"sem giro"))</f>
        <v>0</v>
      </c>
      <c r="P213" s="30">
        <f>IF($A213="","",SUMPRODUCT(MAX((MovCod=$A213)*(MovTipo="Saída")*MovData)))</f>
        <v>0</v>
      </c>
      <c r="Q213" s="31">
        <f>IF($A213="","",IF(H213&lt;=0,"RUPTURA",IF(AND(I213&gt;0,H213&lt;=I213),"REPOR",IF(AND(J213&lt;&gt;"",H213&gt;J213),"EXCESSO","OK"))))</f>
        <v>0</v>
      </c>
      <c r="R213" s="25">
        <f>IF($A213="","",IF(AND(H213&gt;0,OR(P213=0,Hoje-P213&gt;DiasParado)),"Parado",""))</f>
        <v>0</v>
      </c>
      <c r="S213" s="26">
        <f>IF($A213="","",IF(OR(Q213="RUPTURA",Q213="REPOR"),IF(J213="",0,MAX(0,J213-H213)),0))</f>
        <v>0</v>
      </c>
      <c r="T213" s="24">
        <f>IF($A213="","",M213*IF(N(Produtos!G213)&gt;0,Produtos!G213,K213))</f>
        <v>0</v>
      </c>
      <c r="U213" s="32">
        <f>IF($A213="","",IF(T213&gt;0,T213+ROW()/1000000000,""))</f>
        <v>0</v>
      </c>
      <c r="V213" s="31">
        <f>IF($A213="","",IF(U213="","C",INDEX('Curva ABC'!$H$5:$H$304,MATCH(U213,'Curva ABC'!$B$5:$B$304,0))))</f>
        <v>0</v>
      </c>
      <c r="W213" s="24">
        <f>IF($A213="","",IF(R213="Parado",L213,0))</f>
        <v>0</v>
      </c>
      <c r="X213" s="33">
        <f>IF($A213="","",IF(OR(Q213="RUPTURA",Q213="REPOR"),COUNTIF($Q$5:Q213,"RUPTURA")+COUNTIF($Q$5:Q213,"REPOR"),""))</f>
        <v>0</v>
      </c>
    </row>
    <row r="214" spans="1:24">
      <c r="A214" s="23">
        <f>IF(Produtos!A214="","",Produtos!A214)</f>
        <v>0</v>
      </c>
      <c r="B214" s="23">
        <f>IF($A214="","",Produtos!B214&amp;"")</f>
        <v>0</v>
      </c>
      <c r="C214" s="23">
        <f>IF($A214="","",Produtos!C214&amp;"")</f>
        <v>0</v>
      </c>
      <c r="D214" s="25">
        <f>IF($A214="","",Produtos!D214&amp;"")</f>
        <v>0</v>
      </c>
      <c r="E214" s="26">
        <f>IF($A214="","",N(Produtos!H214))</f>
        <v>0</v>
      </c>
      <c r="F214" s="26">
        <f>IF($A214="","",SUMIFS(MovQtd,MovCod,$A214,MovTipo,"Entrada"))</f>
        <v>0</v>
      </c>
      <c r="G214" s="26">
        <f>IF($A214="","",SUMIFS(MovQtd,MovCod,$A214,MovTipo,"Saída"))</f>
        <v>0</v>
      </c>
      <c r="H214" s="27">
        <f>IF($A214="","",E214+F214-G214)</f>
        <v>0</v>
      </c>
      <c r="I214" s="26">
        <f>IF($A214="","",N(Produtos!I214))</f>
        <v>0</v>
      </c>
      <c r="J214" s="26">
        <f>IF($A214="","",IF(I214&gt;0,ROUNDUP(I214*FatMax,0),""))</f>
        <v>0</v>
      </c>
      <c r="K214" s="24">
        <f>IF($A214="","",N(Produtos!F214))</f>
        <v>0</v>
      </c>
      <c r="L214" s="24">
        <f>IF($A214="","",H214*K214)</f>
        <v>0</v>
      </c>
      <c r="M214" s="26">
        <f>IF($A214="","",SUMIFS(MovQtd,MovCod,$A214,MovTipo,"Saída",MovData,"&gt;="&amp;(Hoje-DiasAn),MovData,"&lt;="&amp;Hoje))</f>
        <v>0</v>
      </c>
      <c r="N214" s="28">
        <f>IF($A214="","",M214/DiasAn)</f>
        <v>0</v>
      </c>
      <c r="O214" s="29">
        <f>IF($A214="","",IF(N214&gt;0,H214/N214,"sem giro"))</f>
        <v>0</v>
      </c>
      <c r="P214" s="30">
        <f>IF($A214="","",SUMPRODUCT(MAX((MovCod=$A214)*(MovTipo="Saída")*MovData)))</f>
        <v>0</v>
      </c>
      <c r="Q214" s="31">
        <f>IF($A214="","",IF(H214&lt;=0,"RUPTURA",IF(AND(I214&gt;0,H214&lt;=I214),"REPOR",IF(AND(J214&lt;&gt;"",H214&gt;J214),"EXCESSO","OK"))))</f>
        <v>0</v>
      </c>
      <c r="R214" s="25">
        <f>IF($A214="","",IF(AND(H214&gt;0,OR(P214=0,Hoje-P214&gt;DiasParado)),"Parado",""))</f>
        <v>0</v>
      </c>
      <c r="S214" s="26">
        <f>IF($A214="","",IF(OR(Q214="RUPTURA",Q214="REPOR"),IF(J214="",0,MAX(0,J214-H214)),0))</f>
        <v>0</v>
      </c>
      <c r="T214" s="24">
        <f>IF($A214="","",M214*IF(N(Produtos!G214)&gt;0,Produtos!G214,K214))</f>
        <v>0</v>
      </c>
      <c r="U214" s="32">
        <f>IF($A214="","",IF(T214&gt;0,T214+ROW()/1000000000,""))</f>
        <v>0</v>
      </c>
      <c r="V214" s="31">
        <f>IF($A214="","",IF(U214="","C",INDEX('Curva ABC'!$H$5:$H$304,MATCH(U214,'Curva ABC'!$B$5:$B$304,0))))</f>
        <v>0</v>
      </c>
      <c r="W214" s="24">
        <f>IF($A214="","",IF(R214="Parado",L214,0))</f>
        <v>0</v>
      </c>
      <c r="X214" s="33">
        <f>IF($A214="","",IF(OR(Q214="RUPTURA",Q214="REPOR"),COUNTIF($Q$5:Q214,"RUPTURA")+COUNTIF($Q$5:Q214,"REPOR"),""))</f>
        <v>0</v>
      </c>
    </row>
    <row r="215" spans="1:24">
      <c r="A215" s="23">
        <f>IF(Produtos!A215="","",Produtos!A215)</f>
        <v>0</v>
      </c>
      <c r="B215" s="23">
        <f>IF($A215="","",Produtos!B215&amp;"")</f>
        <v>0</v>
      </c>
      <c r="C215" s="23">
        <f>IF($A215="","",Produtos!C215&amp;"")</f>
        <v>0</v>
      </c>
      <c r="D215" s="25">
        <f>IF($A215="","",Produtos!D215&amp;"")</f>
        <v>0</v>
      </c>
      <c r="E215" s="26">
        <f>IF($A215="","",N(Produtos!H215))</f>
        <v>0</v>
      </c>
      <c r="F215" s="26">
        <f>IF($A215="","",SUMIFS(MovQtd,MovCod,$A215,MovTipo,"Entrada"))</f>
        <v>0</v>
      </c>
      <c r="G215" s="26">
        <f>IF($A215="","",SUMIFS(MovQtd,MovCod,$A215,MovTipo,"Saída"))</f>
        <v>0</v>
      </c>
      <c r="H215" s="27">
        <f>IF($A215="","",E215+F215-G215)</f>
        <v>0</v>
      </c>
      <c r="I215" s="26">
        <f>IF($A215="","",N(Produtos!I215))</f>
        <v>0</v>
      </c>
      <c r="J215" s="26">
        <f>IF($A215="","",IF(I215&gt;0,ROUNDUP(I215*FatMax,0),""))</f>
        <v>0</v>
      </c>
      <c r="K215" s="24">
        <f>IF($A215="","",N(Produtos!F215))</f>
        <v>0</v>
      </c>
      <c r="L215" s="24">
        <f>IF($A215="","",H215*K215)</f>
        <v>0</v>
      </c>
      <c r="M215" s="26">
        <f>IF($A215="","",SUMIFS(MovQtd,MovCod,$A215,MovTipo,"Saída",MovData,"&gt;="&amp;(Hoje-DiasAn),MovData,"&lt;="&amp;Hoje))</f>
        <v>0</v>
      </c>
      <c r="N215" s="28">
        <f>IF($A215="","",M215/DiasAn)</f>
        <v>0</v>
      </c>
      <c r="O215" s="29">
        <f>IF($A215="","",IF(N215&gt;0,H215/N215,"sem giro"))</f>
        <v>0</v>
      </c>
      <c r="P215" s="30">
        <f>IF($A215="","",SUMPRODUCT(MAX((MovCod=$A215)*(MovTipo="Saída")*MovData)))</f>
        <v>0</v>
      </c>
      <c r="Q215" s="31">
        <f>IF($A215="","",IF(H215&lt;=0,"RUPTURA",IF(AND(I215&gt;0,H215&lt;=I215),"REPOR",IF(AND(J215&lt;&gt;"",H215&gt;J215),"EXCESSO","OK"))))</f>
        <v>0</v>
      </c>
      <c r="R215" s="25">
        <f>IF($A215="","",IF(AND(H215&gt;0,OR(P215=0,Hoje-P215&gt;DiasParado)),"Parado",""))</f>
        <v>0</v>
      </c>
      <c r="S215" s="26">
        <f>IF($A215="","",IF(OR(Q215="RUPTURA",Q215="REPOR"),IF(J215="",0,MAX(0,J215-H215)),0))</f>
        <v>0</v>
      </c>
      <c r="T215" s="24">
        <f>IF($A215="","",M215*IF(N(Produtos!G215)&gt;0,Produtos!G215,K215))</f>
        <v>0</v>
      </c>
      <c r="U215" s="32">
        <f>IF($A215="","",IF(T215&gt;0,T215+ROW()/1000000000,""))</f>
        <v>0</v>
      </c>
      <c r="V215" s="31">
        <f>IF($A215="","",IF(U215="","C",INDEX('Curva ABC'!$H$5:$H$304,MATCH(U215,'Curva ABC'!$B$5:$B$304,0))))</f>
        <v>0</v>
      </c>
      <c r="W215" s="24">
        <f>IF($A215="","",IF(R215="Parado",L215,0))</f>
        <v>0</v>
      </c>
      <c r="X215" s="33">
        <f>IF($A215="","",IF(OR(Q215="RUPTURA",Q215="REPOR"),COUNTIF($Q$5:Q215,"RUPTURA")+COUNTIF($Q$5:Q215,"REPOR"),""))</f>
        <v>0</v>
      </c>
    </row>
    <row r="216" spans="1:24">
      <c r="A216" s="23">
        <f>IF(Produtos!A216="","",Produtos!A216)</f>
        <v>0</v>
      </c>
      <c r="B216" s="23">
        <f>IF($A216="","",Produtos!B216&amp;"")</f>
        <v>0</v>
      </c>
      <c r="C216" s="23">
        <f>IF($A216="","",Produtos!C216&amp;"")</f>
        <v>0</v>
      </c>
      <c r="D216" s="25">
        <f>IF($A216="","",Produtos!D216&amp;"")</f>
        <v>0</v>
      </c>
      <c r="E216" s="26">
        <f>IF($A216="","",N(Produtos!H216))</f>
        <v>0</v>
      </c>
      <c r="F216" s="26">
        <f>IF($A216="","",SUMIFS(MovQtd,MovCod,$A216,MovTipo,"Entrada"))</f>
        <v>0</v>
      </c>
      <c r="G216" s="26">
        <f>IF($A216="","",SUMIFS(MovQtd,MovCod,$A216,MovTipo,"Saída"))</f>
        <v>0</v>
      </c>
      <c r="H216" s="27">
        <f>IF($A216="","",E216+F216-G216)</f>
        <v>0</v>
      </c>
      <c r="I216" s="26">
        <f>IF($A216="","",N(Produtos!I216))</f>
        <v>0</v>
      </c>
      <c r="J216" s="26">
        <f>IF($A216="","",IF(I216&gt;0,ROUNDUP(I216*FatMax,0),""))</f>
        <v>0</v>
      </c>
      <c r="K216" s="24">
        <f>IF($A216="","",N(Produtos!F216))</f>
        <v>0</v>
      </c>
      <c r="L216" s="24">
        <f>IF($A216="","",H216*K216)</f>
        <v>0</v>
      </c>
      <c r="M216" s="26">
        <f>IF($A216="","",SUMIFS(MovQtd,MovCod,$A216,MovTipo,"Saída",MovData,"&gt;="&amp;(Hoje-DiasAn),MovData,"&lt;="&amp;Hoje))</f>
        <v>0</v>
      </c>
      <c r="N216" s="28">
        <f>IF($A216="","",M216/DiasAn)</f>
        <v>0</v>
      </c>
      <c r="O216" s="29">
        <f>IF($A216="","",IF(N216&gt;0,H216/N216,"sem giro"))</f>
        <v>0</v>
      </c>
      <c r="P216" s="30">
        <f>IF($A216="","",SUMPRODUCT(MAX((MovCod=$A216)*(MovTipo="Saída")*MovData)))</f>
        <v>0</v>
      </c>
      <c r="Q216" s="31">
        <f>IF($A216="","",IF(H216&lt;=0,"RUPTURA",IF(AND(I216&gt;0,H216&lt;=I216),"REPOR",IF(AND(J216&lt;&gt;"",H216&gt;J216),"EXCESSO","OK"))))</f>
        <v>0</v>
      </c>
      <c r="R216" s="25">
        <f>IF($A216="","",IF(AND(H216&gt;0,OR(P216=0,Hoje-P216&gt;DiasParado)),"Parado",""))</f>
        <v>0</v>
      </c>
      <c r="S216" s="26">
        <f>IF($A216="","",IF(OR(Q216="RUPTURA",Q216="REPOR"),IF(J216="",0,MAX(0,J216-H216)),0))</f>
        <v>0</v>
      </c>
      <c r="T216" s="24">
        <f>IF($A216="","",M216*IF(N(Produtos!G216)&gt;0,Produtos!G216,K216))</f>
        <v>0</v>
      </c>
      <c r="U216" s="32">
        <f>IF($A216="","",IF(T216&gt;0,T216+ROW()/1000000000,""))</f>
        <v>0</v>
      </c>
      <c r="V216" s="31">
        <f>IF($A216="","",IF(U216="","C",INDEX('Curva ABC'!$H$5:$H$304,MATCH(U216,'Curva ABC'!$B$5:$B$304,0))))</f>
        <v>0</v>
      </c>
      <c r="W216" s="24">
        <f>IF($A216="","",IF(R216="Parado",L216,0))</f>
        <v>0</v>
      </c>
      <c r="X216" s="33">
        <f>IF($A216="","",IF(OR(Q216="RUPTURA",Q216="REPOR"),COUNTIF($Q$5:Q216,"RUPTURA")+COUNTIF($Q$5:Q216,"REPOR"),""))</f>
        <v>0</v>
      </c>
    </row>
    <row r="217" spans="1:24">
      <c r="A217" s="23">
        <f>IF(Produtos!A217="","",Produtos!A217)</f>
        <v>0</v>
      </c>
      <c r="B217" s="23">
        <f>IF($A217="","",Produtos!B217&amp;"")</f>
        <v>0</v>
      </c>
      <c r="C217" s="23">
        <f>IF($A217="","",Produtos!C217&amp;"")</f>
        <v>0</v>
      </c>
      <c r="D217" s="25">
        <f>IF($A217="","",Produtos!D217&amp;"")</f>
        <v>0</v>
      </c>
      <c r="E217" s="26">
        <f>IF($A217="","",N(Produtos!H217))</f>
        <v>0</v>
      </c>
      <c r="F217" s="26">
        <f>IF($A217="","",SUMIFS(MovQtd,MovCod,$A217,MovTipo,"Entrada"))</f>
        <v>0</v>
      </c>
      <c r="G217" s="26">
        <f>IF($A217="","",SUMIFS(MovQtd,MovCod,$A217,MovTipo,"Saída"))</f>
        <v>0</v>
      </c>
      <c r="H217" s="27">
        <f>IF($A217="","",E217+F217-G217)</f>
        <v>0</v>
      </c>
      <c r="I217" s="26">
        <f>IF($A217="","",N(Produtos!I217))</f>
        <v>0</v>
      </c>
      <c r="J217" s="26">
        <f>IF($A217="","",IF(I217&gt;0,ROUNDUP(I217*FatMax,0),""))</f>
        <v>0</v>
      </c>
      <c r="K217" s="24">
        <f>IF($A217="","",N(Produtos!F217))</f>
        <v>0</v>
      </c>
      <c r="L217" s="24">
        <f>IF($A217="","",H217*K217)</f>
        <v>0</v>
      </c>
      <c r="M217" s="26">
        <f>IF($A217="","",SUMIFS(MovQtd,MovCod,$A217,MovTipo,"Saída",MovData,"&gt;="&amp;(Hoje-DiasAn),MovData,"&lt;="&amp;Hoje))</f>
        <v>0</v>
      </c>
      <c r="N217" s="28">
        <f>IF($A217="","",M217/DiasAn)</f>
        <v>0</v>
      </c>
      <c r="O217" s="29">
        <f>IF($A217="","",IF(N217&gt;0,H217/N217,"sem giro"))</f>
        <v>0</v>
      </c>
      <c r="P217" s="30">
        <f>IF($A217="","",SUMPRODUCT(MAX((MovCod=$A217)*(MovTipo="Saída")*MovData)))</f>
        <v>0</v>
      </c>
      <c r="Q217" s="31">
        <f>IF($A217="","",IF(H217&lt;=0,"RUPTURA",IF(AND(I217&gt;0,H217&lt;=I217),"REPOR",IF(AND(J217&lt;&gt;"",H217&gt;J217),"EXCESSO","OK"))))</f>
        <v>0</v>
      </c>
      <c r="R217" s="25">
        <f>IF($A217="","",IF(AND(H217&gt;0,OR(P217=0,Hoje-P217&gt;DiasParado)),"Parado",""))</f>
        <v>0</v>
      </c>
      <c r="S217" s="26">
        <f>IF($A217="","",IF(OR(Q217="RUPTURA",Q217="REPOR"),IF(J217="",0,MAX(0,J217-H217)),0))</f>
        <v>0</v>
      </c>
      <c r="T217" s="24">
        <f>IF($A217="","",M217*IF(N(Produtos!G217)&gt;0,Produtos!G217,K217))</f>
        <v>0</v>
      </c>
      <c r="U217" s="32">
        <f>IF($A217="","",IF(T217&gt;0,T217+ROW()/1000000000,""))</f>
        <v>0</v>
      </c>
      <c r="V217" s="31">
        <f>IF($A217="","",IF(U217="","C",INDEX('Curva ABC'!$H$5:$H$304,MATCH(U217,'Curva ABC'!$B$5:$B$304,0))))</f>
        <v>0</v>
      </c>
      <c r="W217" s="24">
        <f>IF($A217="","",IF(R217="Parado",L217,0))</f>
        <v>0</v>
      </c>
      <c r="X217" s="33">
        <f>IF($A217="","",IF(OR(Q217="RUPTURA",Q217="REPOR"),COUNTIF($Q$5:Q217,"RUPTURA")+COUNTIF($Q$5:Q217,"REPOR"),""))</f>
        <v>0</v>
      </c>
    </row>
    <row r="218" spans="1:24">
      <c r="A218" s="23">
        <f>IF(Produtos!A218="","",Produtos!A218)</f>
        <v>0</v>
      </c>
      <c r="B218" s="23">
        <f>IF($A218="","",Produtos!B218&amp;"")</f>
        <v>0</v>
      </c>
      <c r="C218" s="23">
        <f>IF($A218="","",Produtos!C218&amp;"")</f>
        <v>0</v>
      </c>
      <c r="D218" s="25">
        <f>IF($A218="","",Produtos!D218&amp;"")</f>
        <v>0</v>
      </c>
      <c r="E218" s="26">
        <f>IF($A218="","",N(Produtos!H218))</f>
        <v>0</v>
      </c>
      <c r="F218" s="26">
        <f>IF($A218="","",SUMIFS(MovQtd,MovCod,$A218,MovTipo,"Entrada"))</f>
        <v>0</v>
      </c>
      <c r="G218" s="26">
        <f>IF($A218="","",SUMIFS(MovQtd,MovCod,$A218,MovTipo,"Saída"))</f>
        <v>0</v>
      </c>
      <c r="H218" s="27">
        <f>IF($A218="","",E218+F218-G218)</f>
        <v>0</v>
      </c>
      <c r="I218" s="26">
        <f>IF($A218="","",N(Produtos!I218))</f>
        <v>0</v>
      </c>
      <c r="J218" s="26">
        <f>IF($A218="","",IF(I218&gt;0,ROUNDUP(I218*FatMax,0),""))</f>
        <v>0</v>
      </c>
      <c r="K218" s="24">
        <f>IF($A218="","",N(Produtos!F218))</f>
        <v>0</v>
      </c>
      <c r="L218" s="24">
        <f>IF($A218="","",H218*K218)</f>
        <v>0</v>
      </c>
      <c r="M218" s="26">
        <f>IF($A218="","",SUMIFS(MovQtd,MovCod,$A218,MovTipo,"Saída",MovData,"&gt;="&amp;(Hoje-DiasAn),MovData,"&lt;="&amp;Hoje))</f>
        <v>0</v>
      </c>
      <c r="N218" s="28">
        <f>IF($A218="","",M218/DiasAn)</f>
        <v>0</v>
      </c>
      <c r="O218" s="29">
        <f>IF($A218="","",IF(N218&gt;0,H218/N218,"sem giro"))</f>
        <v>0</v>
      </c>
      <c r="P218" s="30">
        <f>IF($A218="","",SUMPRODUCT(MAX((MovCod=$A218)*(MovTipo="Saída")*MovData)))</f>
        <v>0</v>
      </c>
      <c r="Q218" s="31">
        <f>IF($A218="","",IF(H218&lt;=0,"RUPTURA",IF(AND(I218&gt;0,H218&lt;=I218),"REPOR",IF(AND(J218&lt;&gt;"",H218&gt;J218),"EXCESSO","OK"))))</f>
        <v>0</v>
      </c>
      <c r="R218" s="25">
        <f>IF($A218="","",IF(AND(H218&gt;0,OR(P218=0,Hoje-P218&gt;DiasParado)),"Parado",""))</f>
        <v>0</v>
      </c>
      <c r="S218" s="26">
        <f>IF($A218="","",IF(OR(Q218="RUPTURA",Q218="REPOR"),IF(J218="",0,MAX(0,J218-H218)),0))</f>
        <v>0</v>
      </c>
      <c r="T218" s="24">
        <f>IF($A218="","",M218*IF(N(Produtos!G218)&gt;0,Produtos!G218,K218))</f>
        <v>0</v>
      </c>
      <c r="U218" s="32">
        <f>IF($A218="","",IF(T218&gt;0,T218+ROW()/1000000000,""))</f>
        <v>0</v>
      </c>
      <c r="V218" s="31">
        <f>IF($A218="","",IF(U218="","C",INDEX('Curva ABC'!$H$5:$H$304,MATCH(U218,'Curva ABC'!$B$5:$B$304,0))))</f>
        <v>0</v>
      </c>
      <c r="W218" s="24">
        <f>IF($A218="","",IF(R218="Parado",L218,0))</f>
        <v>0</v>
      </c>
      <c r="X218" s="33">
        <f>IF($A218="","",IF(OR(Q218="RUPTURA",Q218="REPOR"),COUNTIF($Q$5:Q218,"RUPTURA")+COUNTIF($Q$5:Q218,"REPOR"),""))</f>
        <v>0</v>
      </c>
    </row>
    <row r="219" spans="1:24">
      <c r="A219" s="23">
        <f>IF(Produtos!A219="","",Produtos!A219)</f>
        <v>0</v>
      </c>
      <c r="B219" s="23">
        <f>IF($A219="","",Produtos!B219&amp;"")</f>
        <v>0</v>
      </c>
      <c r="C219" s="23">
        <f>IF($A219="","",Produtos!C219&amp;"")</f>
        <v>0</v>
      </c>
      <c r="D219" s="25">
        <f>IF($A219="","",Produtos!D219&amp;"")</f>
        <v>0</v>
      </c>
      <c r="E219" s="26">
        <f>IF($A219="","",N(Produtos!H219))</f>
        <v>0</v>
      </c>
      <c r="F219" s="26">
        <f>IF($A219="","",SUMIFS(MovQtd,MovCod,$A219,MovTipo,"Entrada"))</f>
        <v>0</v>
      </c>
      <c r="G219" s="26">
        <f>IF($A219="","",SUMIFS(MovQtd,MovCod,$A219,MovTipo,"Saída"))</f>
        <v>0</v>
      </c>
      <c r="H219" s="27">
        <f>IF($A219="","",E219+F219-G219)</f>
        <v>0</v>
      </c>
      <c r="I219" s="26">
        <f>IF($A219="","",N(Produtos!I219))</f>
        <v>0</v>
      </c>
      <c r="J219" s="26">
        <f>IF($A219="","",IF(I219&gt;0,ROUNDUP(I219*FatMax,0),""))</f>
        <v>0</v>
      </c>
      <c r="K219" s="24">
        <f>IF($A219="","",N(Produtos!F219))</f>
        <v>0</v>
      </c>
      <c r="L219" s="24">
        <f>IF($A219="","",H219*K219)</f>
        <v>0</v>
      </c>
      <c r="M219" s="26">
        <f>IF($A219="","",SUMIFS(MovQtd,MovCod,$A219,MovTipo,"Saída",MovData,"&gt;="&amp;(Hoje-DiasAn),MovData,"&lt;="&amp;Hoje))</f>
        <v>0</v>
      </c>
      <c r="N219" s="28">
        <f>IF($A219="","",M219/DiasAn)</f>
        <v>0</v>
      </c>
      <c r="O219" s="29">
        <f>IF($A219="","",IF(N219&gt;0,H219/N219,"sem giro"))</f>
        <v>0</v>
      </c>
      <c r="P219" s="30">
        <f>IF($A219="","",SUMPRODUCT(MAX((MovCod=$A219)*(MovTipo="Saída")*MovData)))</f>
        <v>0</v>
      </c>
      <c r="Q219" s="31">
        <f>IF($A219="","",IF(H219&lt;=0,"RUPTURA",IF(AND(I219&gt;0,H219&lt;=I219),"REPOR",IF(AND(J219&lt;&gt;"",H219&gt;J219),"EXCESSO","OK"))))</f>
        <v>0</v>
      </c>
      <c r="R219" s="25">
        <f>IF($A219="","",IF(AND(H219&gt;0,OR(P219=0,Hoje-P219&gt;DiasParado)),"Parado",""))</f>
        <v>0</v>
      </c>
      <c r="S219" s="26">
        <f>IF($A219="","",IF(OR(Q219="RUPTURA",Q219="REPOR"),IF(J219="",0,MAX(0,J219-H219)),0))</f>
        <v>0</v>
      </c>
      <c r="T219" s="24">
        <f>IF($A219="","",M219*IF(N(Produtos!G219)&gt;0,Produtos!G219,K219))</f>
        <v>0</v>
      </c>
      <c r="U219" s="32">
        <f>IF($A219="","",IF(T219&gt;0,T219+ROW()/1000000000,""))</f>
        <v>0</v>
      </c>
      <c r="V219" s="31">
        <f>IF($A219="","",IF(U219="","C",INDEX('Curva ABC'!$H$5:$H$304,MATCH(U219,'Curva ABC'!$B$5:$B$304,0))))</f>
        <v>0</v>
      </c>
      <c r="W219" s="24">
        <f>IF($A219="","",IF(R219="Parado",L219,0))</f>
        <v>0</v>
      </c>
      <c r="X219" s="33">
        <f>IF($A219="","",IF(OR(Q219="RUPTURA",Q219="REPOR"),COUNTIF($Q$5:Q219,"RUPTURA")+COUNTIF($Q$5:Q219,"REPOR"),""))</f>
        <v>0</v>
      </c>
    </row>
    <row r="220" spans="1:24">
      <c r="A220" s="23">
        <f>IF(Produtos!A220="","",Produtos!A220)</f>
        <v>0</v>
      </c>
      <c r="B220" s="23">
        <f>IF($A220="","",Produtos!B220&amp;"")</f>
        <v>0</v>
      </c>
      <c r="C220" s="23">
        <f>IF($A220="","",Produtos!C220&amp;"")</f>
        <v>0</v>
      </c>
      <c r="D220" s="25">
        <f>IF($A220="","",Produtos!D220&amp;"")</f>
        <v>0</v>
      </c>
      <c r="E220" s="26">
        <f>IF($A220="","",N(Produtos!H220))</f>
        <v>0</v>
      </c>
      <c r="F220" s="26">
        <f>IF($A220="","",SUMIFS(MovQtd,MovCod,$A220,MovTipo,"Entrada"))</f>
        <v>0</v>
      </c>
      <c r="G220" s="26">
        <f>IF($A220="","",SUMIFS(MovQtd,MovCod,$A220,MovTipo,"Saída"))</f>
        <v>0</v>
      </c>
      <c r="H220" s="27">
        <f>IF($A220="","",E220+F220-G220)</f>
        <v>0</v>
      </c>
      <c r="I220" s="26">
        <f>IF($A220="","",N(Produtos!I220))</f>
        <v>0</v>
      </c>
      <c r="J220" s="26">
        <f>IF($A220="","",IF(I220&gt;0,ROUNDUP(I220*FatMax,0),""))</f>
        <v>0</v>
      </c>
      <c r="K220" s="24">
        <f>IF($A220="","",N(Produtos!F220))</f>
        <v>0</v>
      </c>
      <c r="L220" s="24">
        <f>IF($A220="","",H220*K220)</f>
        <v>0</v>
      </c>
      <c r="M220" s="26">
        <f>IF($A220="","",SUMIFS(MovQtd,MovCod,$A220,MovTipo,"Saída",MovData,"&gt;="&amp;(Hoje-DiasAn),MovData,"&lt;="&amp;Hoje))</f>
        <v>0</v>
      </c>
      <c r="N220" s="28">
        <f>IF($A220="","",M220/DiasAn)</f>
        <v>0</v>
      </c>
      <c r="O220" s="29">
        <f>IF($A220="","",IF(N220&gt;0,H220/N220,"sem giro"))</f>
        <v>0</v>
      </c>
      <c r="P220" s="30">
        <f>IF($A220="","",SUMPRODUCT(MAX((MovCod=$A220)*(MovTipo="Saída")*MovData)))</f>
        <v>0</v>
      </c>
      <c r="Q220" s="31">
        <f>IF($A220="","",IF(H220&lt;=0,"RUPTURA",IF(AND(I220&gt;0,H220&lt;=I220),"REPOR",IF(AND(J220&lt;&gt;"",H220&gt;J220),"EXCESSO","OK"))))</f>
        <v>0</v>
      </c>
      <c r="R220" s="25">
        <f>IF($A220="","",IF(AND(H220&gt;0,OR(P220=0,Hoje-P220&gt;DiasParado)),"Parado",""))</f>
        <v>0</v>
      </c>
      <c r="S220" s="26">
        <f>IF($A220="","",IF(OR(Q220="RUPTURA",Q220="REPOR"),IF(J220="",0,MAX(0,J220-H220)),0))</f>
        <v>0</v>
      </c>
      <c r="T220" s="24">
        <f>IF($A220="","",M220*IF(N(Produtos!G220)&gt;0,Produtos!G220,K220))</f>
        <v>0</v>
      </c>
      <c r="U220" s="32">
        <f>IF($A220="","",IF(T220&gt;0,T220+ROW()/1000000000,""))</f>
        <v>0</v>
      </c>
      <c r="V220" s="31">
        <f>IF($A220="","",IF(U220="","C",INDEX('Curva ABC'!$H$5:$H$304,MATCH(U220,'Curva ABC'!$B$5:$B$304,0))))</f>
        <v>0</v>
      </c>
      <c r="W220" s="24">
        <f>IF($A220="","",IF(R220="Parado",L220,0))</f>
        <v>0</v>
      </c>
      <c r="X220" s="33">
        <f>IF($A220="","",IF(OR(Q220="RUPTURA",Q220="REPOR"),COUNTIF($Q$5:Q220,"RUPTURA")+COUNTIF($Q$5:Q220,"REPOR"),""))</f>
        <v>0</v>
      </c>
    </row>
    <row r="221" spans="1:24">
      <c r="A221" s="23">
        <f>IF(Produtos!A221="","",Produtos!A221)</f>
        <v>0</v>
      </c>
      <c r="B221" s="23">
        <f>IF($A221="","",Produtos!B221&amp;"")</f>
        <v>0</v>
      </c>
      <c r="C221" s="23">
        <f>IF($A221="","",Produtos!C221&amp;"")</f>
        <v>0</v>
      </c>
      <c r="D221" s="25">
        <f>IF($A221="","",Produtos!D221&amp;"")</f>
        <v>0</v>
      </c>
      <c r="E221" s="26">
        <f>IF($A221="","",N(Produtos!H221))</f>
        <v>0</v>
      </c>
      <c r="F221" s="26">
        <f>IF($A221="","",SUMIFS(MovQtd,MovCod,$A221,MovTipo,"Entrada"))</f>
        <v>0</v>
      </c>
      <c r="G221" s="26">
        <f>IF($A221="","",SUMIFS(MovQtd,MovCod,$A221,MovTipo,"Saída"))</f>
        <v>0</v>
      </c>
      <c r="H221" s="27">
        <f>IF($A221="","",E221+F221-G221)</f>
        <v>0</v>
      </c>
      <c r="I221" s="26">
        <f>IF($A221="","",N(Produtos!I221))</f>
        <v>0</v>
      </c>
      <c r="J221" s="26">
        <f>IF($A221="","",IF(I221&gt;0,ROUNDUP(I221*FatMax,0),""))</f>
        <v>0</v>
      </c>
      <c r="K221" s="24">
        <f>IF($A221="","",N(Produtos!F221))</f>
        <v>0</v>
      </c>
      <c r="L221" s="24">
        <f>IF($A221="","",H221*K221)</f>
        <v>0</v>
      </c>
      <c r="M221" s="26">
        <f>IF($A221="","",SUMIFS(MovQtd,MovCod,$A221,MovTipo,"Saída",MovData,"&gt;="&amp;(Hoje-DiasAn),MovData,"&lt;="&amp;Hoje))</f>
        <v>0</v>
      </c>
      <c r="N221" s="28">
        <f>IF($A221="","",M221/DiasAn)</f>
        <v>0</v>
      </c>
      <c r="O221" s="29">
        <f>IF($A221="","",IF(N221&gt;0,H221/N221,"sem giro"))</f>
        <v>0</v>
      </c>
      <c r="P221" s="30">
        <f>IF($A221="","",SUMPRODUCT(MAX((MovCod=$A221)*(MovTipo="Saída")*MovData)))</f>
        <v>0</v>
      </c>
      <c r="Q221" s="31">
        <f>IF($A221="","",IF(H221&lt;=0,"RUPTURA",IF(AND(I221&gt;0,H221&lt;=I221),"REPOR",IF(AND(J221&lt;&gt;"",H221&gt;J221),"EXCESSO","OK"))))</f>
        <v>0</v>
      </c>
      <c r="R221" s="25">
        <f>IF($A221="","",IF(AND(H221&gt;0,OR(P221=0,Hoje-P221&gt;DiasParado)),"Parado",""))</f>
        <v>0</v>
      </c>
      <c r="S221" s="26">
        <f>IF($A221="","",IF(OR(Q221="RUPTURA",Q221="REPOR"),IF(J221="",0,MAX(0,J221-H221)),0))</f>
        <v>0</v>
      </c>
      <c r="T221" s="24">
        <f>IF($A221="","",M221*IF(N(Produtos!G221)&gt;0,Produtos!G221,K221))</f>
        <v>0</v>
      </c>
      <c r="U221" s="32">
        <f>IF($A221="","",IF(T221&gt;0,T221+ROW()/1000000000,""))</f>
        <v>0</v>
      </c>
      <c r="V221" s="31">
        <f>IF($A221="","",IF(U221="","C",INDEX('Curva ABC'!$H$5:$H$304,MATCH(U221,'Curva ABC'!$B$5:$B$304,0))))</f>
        <v>0</v>
      </c>
      <c r="W221" s="24">
        <f>IF($A221="","",IF(R221="Parado",L221,0))</f>
        <v>0</v>
      </c>
      <c r="X221" s="33">
        <f>IF($A221="","",IF(OR(Q221="RUPTURA",Q221="REPOR"),COUNTIF($Q$5:Q221,"RUPTURA")+COUNTIF($Q$5:Q221,"REPOR"),""))</f>
        <v>0</v>
      </c>
    </row>
    <row r="222" spans="1:24">
      <c r="A222" s="23">
        <f>IF(Produtos!A222="","",Produtos!A222)</f>
        <v>0</v>
      </c>
      <c r="B222" s="23">
        <f>IF($A222="","",Produtos!B222&amp;"")</f>
        <v>0</v>
      </c>
      <c r="C222" s="23">
        <f>IF($A222="","",Produtos!C222&amp;"")</f>
        <v>0</v>
      </c>
      <c r="D222" s="25">
        <f>IF($A222="","",Produtos!D222&amp;"")</f>
        <v>0</v>
      </c>
      <c r="E222" s="26">
        <f>IF($A222="","",N(Produtos!H222))</f>
        <v>0</v>
      </c>
      <c r="F222" s="26">
        <f>IF($A222="","",SUMIFS(MovQtd,MovCod,$A222,MovTipo,"Entrada"))</f>
        <v>0</v>
      </c>
      <c r="G222" s="26">
        <f>IF($A222="","",SUMIFS(MovQtd,MovCod,$A222,MovTipo,"Saída"))</f>
        <v>0</v>
      </c>
      <c r="H222" s="27">
        <f>IF($A222="","",E222+F222-G222)</f>
        <v>0</v>
      </c>
      <c r="I222" s="26">
        <f>IF($A222="","",N(Produtos!I222))</f>
        <v>0</v>
      </c>
      <c r="J222" s="26">
        <f>IF($A222="","",IF(I222&gt;0,ROUNDUP(I222*FatMax,0),""))</f>
        <v>0</v>
      </c>
      <c r="K222" s="24">
        <f>IF($A222="","",N(Produtos!F222))</f>
        <v>0</v>
      </c>
      <c r="L222" s="24">
        <f>IF($A222="","",H222*K222)</f>
        <v>0</v>
      </c>
      <c r="M222" s="26">
        <f>IF($A222="","",SUMIFS(MovQtd,MovCod,$A222,MovTipo,"Saída",MovData,"&gt;="&amp;(Hoje-DiasAn),MovData,"&lt;="&amp;Hoje))</f>
        <v>0</v>
      </c>
      <c r="N222" s="28">
        <f>IF($A222="","",M222/DiasAn)</f>
        <v>0</v>
      </c>
      <c r="O222" s="29">
        <f>IF($A222="","",IF(N222&gt;0,H222/N222,"sem giro"))</f>
        <v>0</v>
      </c>
      <c r="P222" s="30">
        <f>IF($A222="","",SUMPRODUCT(MAX((MovCod=$A222)*(MovTipo="Saída")*MovData)))</f>
        <v>0</v>
      </c>
      <c r="Q222" s="31">
        <f>IF($A222="","",IF(H222&lt;=0,"RUPTURA",IF(AND(I222&gt;0,H222&lt;=I222),"REPOR",IF(AND(J222&lt;&gt;"",H222&gt;J222),"EXCESSO","OK"))))</f>
        <v>0</v>
      </c>
      <c r="R222" s="25">
        <f>IF($A222="","",IF(AND(H222&gt;0,OR(P222=0,Hoje-P222&gt;DiasParado)),"Parado",""))</f>
        <v>0</v>
      </c>
      <c r="S222" s="26">
        <f>IF($A222="","",IF(OR(Q222="RUPTURA",Q222="REPOR"),IF(J222="",0,MAX(0,J222-H222)),0))</f>
        <v>0</v>
      </c>
      <c r="T222" s="24">
        <f>IF($A222="","",M222*IF(N(Produtos!G222)&gt;0,Produtos!G222,K222))</f>
        <v>0</v>
      </c>
      <c r="U222" s="32">
        <f>IF($A222="","",IF(T222&gt;0,T222+ROW()/1000000000,""))</f>
        <v>0</v>
      </c>
      <c r="V222" s="31">
        <f>IF($A222="","",IF(U222="","C",INDEX('Curva ABC'!$H$5:$H$304,MATCH(U222,'Curva ABC'!$B$5:$B$304,0))))</f>
        <v>0</v>
      </c>
      <c r="W222" s="24">
        <f>IF($A222="","",IF(R222="Parado",L222,0))</f>
        <v>0</v>
      </c>
      <c r="X222" s="33">
        <f>IF($A222="","",IF(OR(Q222="RUPTURA",Q222="REPOR"),COUNTIF($Q$5:Q222,"RUPTURA")+COUNTIF($Q$5:Q222,"REPOR"),""))</f>
        <v>0</v>
      </c>
    </row>
    <row r="223" spans="1:24">
      <c r="A223" s="23">
        <f>IF(Produtos!A223="","",Produtos!A223)</f>
        <v>0</v>
      </c>
      <c r="B223" s="23">
        <f>IF($A223="","",Produtos!B223&amp;"")</f>
        <v>0</v>
      </c>
      <c r="C223" s="23">
        <f>IF($A223="","",Produtos!C223&amp;"")</f>
        <v>0</v>
      </c>
      <c r="D223" s="25">
        <f>IF($A223="","",Produtos!D223&amp;"")</f>
        <v>0</v>
      </c>
      <c r="E223" s="26">
        <f>IF($A223="","",N(Produtos!H223))</f>
        <v>0</v>
      </c>
      <c r="F223" s="26">
        <f>IF($A223="","",SUMIFS(MovQtd,MovCod,$A223,MovTipo,"Entrada"))</f>
        <v>0</v>
      </c>
      <c r="G223" s="26">
        <f>IF($A223="","",SUMIFS(MovQtd,MovCod,$A223,MovTipo,"Saída"))</f>
        <v>0</v>
      </c>
      <c r="H223" s="27">
        <f>IF($A223="","",E223+F223-G223)</f>
        <v>0</v>
      </c>
      <c r="I223" s="26">
        <f>IF($A223="","",N(Produtos!I223))</f>
        <v>0</v>
      </c>
      <c r="J223" s="26">
        <f>IF($A223="","",IF(I223&gt;0,ROUNDUP(I223*FatMax,0),""))</f>
        <v>0</v>
      </c>
      <c r="K223" s="24">
        <f>IF($A223="","",N(Produtos!F223))</f>
        <v>0</v>
      </c>
      <c r="L223" s="24">
        <f>IF($A223="","",H223*K223)</f>
        <v>0</v>
      </c>
      <c r="M223" s="26">
        <f>IF($A223="","",SUMIFS(MovQtd,MovCod,$A223,MovTipo,"Saída",MovData,"&gt;="&amp;(Hoje-DiasAn),MovData,"&lt;="&amp;Hoje))</f>
        <v>0</v>
      </c>
      <c r="N223" s="28">
        <f>IF($A223="","",M223/DiasAn)</f>
        <v>0</v>
      </c>
      <c r="O223" s="29">
        <f>IF($A223="","",IF(N223&gt;0,H223/N223,"sem giro"))</f>
        <v>0</v>
      </c>
      <c r="P223" s="30">
        <f>IF($A223="","",SUMPRODUCT(MAX((MovCod=$A223)*(MovTipo="Saída")*MovData)))</f>
        <v>0</v>
      </c>
      <c r="Q223" s="31">
        <f>IF($A223="","",IF(H223&lt;=0,"RUPTURA",IF(AND(I223&gt;0,H223&lt;=I223),"REPOR",IF(AND(J223&lt;&gt;"",H223&gt;J223),"EXCESSO","OK"))))</f>
        <v>0</v>
      </c>
      <c r="R223" s="25">
        <f>IF($A223="","",IF(AND(H223&gt;0,OR(P223=0,Hoje-P223&gt;DiasParado)),"Parado",""))</f>
        <v>0</v>
      </c>
      <c r="S223" s="26">
        <f>IF($A223="","",IF(OR(Q223="RUPTURA",Q223="REPOR"),IF(J223="",0,MAX(0,J223-H223)),0))</f>
        <v>0</v>
      </c>
      <c r="T223" s="24">
        <f>IF($A223="","",M223*IF(N(Produtos!G223)&gt;0,Produtos!G223,K223))</f>
        <v>0</v>
      </c>
      <c r="U223" s="32">
        <f>IF($A223="","",IF(T223&gt;0,T223+ROW()/1000000000,""))</f>
        <v>0</v>
      </c>
      <c r="V223" s="31">
        <f>IF($A223="","",IF(U223="","C",INDEX('Curva ABC'!$H$5:$H$304,MATCH(U223,'Curva ABC'!$B$5:$B$304,0))))</f>
        <v>0</v>
      </c>
      <c r="W223" s="24">
        <f>IF($A223="","",IF(R223="Parado",L223,0))</f>
        <v>0</v>
      </c>
      <c r="X223" s="33">
        <f>IF($A223="","",IF(OR(Q223="RUPTURA",Q223="REPOR"),COUNTIF($Q$5:Q223,"RUPTURA")+COUNTIF($Q$5:Q223,"REPOR"),""))</f>
        <v>0</v>
      </c>
    </row>
    <row r="224" spans="1:24">
      <c r="A224" s="23">
        <f>IF(Produtos!A224="","",Produtos!A224)</f>
        <v>0</v>
      </c>
      <c r="B224" s="23">
        <f>IF($A224="","",Produtos!B224&amp;"")</f>
        <v>0</v>
      </c>
      <c r="C224" s="23">
        <f>IF($A224="","",Produtos!C224&amp;"")</f>
        <v>0</v>
      </c>
      <c r="D224" s="25">
        <f>IF($A224="","",Produtos!D224&amp;"")</f>
        <v>0</v>
      </c>
      <c r="E224" s="26">
        <f>IF($A224="","",N(Produtos!H224))</f>
        <v>0</v>
      </c>
      <c r="F224" s="26">
        <f>IF($A224="","",SUMIFS(MovQtd,MovCod,$A224,MovTipo,"Entrada"))</f>
        <v>0</v>
      </c>
      <c r="G224" s="26">
        <f>IF($A224="","",SUMIFS(MovQtd,MovCod,$A224,MovTipo,"Saída"))</f>
        <v>0</v>
      </c>
      <c r="H224" s="27">
        <f>IF($A224="","",E224+F224-G224)</f>
        <v>0</v>
      </c>
      <c r="I224" s="26">
        <f>IF($A224="","",N(Produtos!I224))</f>
        <v>0</v>
      </c>
      <c r="J224" s="26">
        <f>IF($A224="","",IF(I224&gt;0,ROUNDUP(I224*FatMax,0),""))</f>
        <v>0</v>
      </c>
      <c r="K224" s="24">
        <f>IF($A224="","",N(Produtos!F224))</f>
        <v>0</v>
      </c>
      <c r="L224" s="24">
        <f>IF($A224="","",H224*K224)</f>
        <v>0</v>
      </c>
      <c r="M224" s="26">
        <f>IF($A224="","",SUMIFS(MovQtd,MovCod,$A224,MovTipo,"Saída",MovData,"&gt;="&amp;(Hoje-DiasAn),MovData,"&lt;="&amp;Hoje))</f>
        <v>0</v>
      </c>
      <c r="N224" s="28">
        <f>IF($A224="","",M224/DiasAn)</f>
        <v>0</v>
      </c>
      <c r="O224" s="29">
        <f>IF($A224="","",IF(N224&gt;0,H224/N224,"sem giro"))</f>
        <v>0</v>
      </c>
      <c r="P224" s="30">
        <f>IF($A224="","",SUMPRODUCT(MAX((MovCod=$A224)*(MovTipo="Saída")*MovData)))</f>
        <v>0</v>
      </c>
      <c r="Q224" s="31">
        <f>IF($A224="","",IF(H224&lt;=0,"RUPTURA",IF(AND(I224&gt;0,H224&lt;=I224),"REPOR",IF(AND(J224&lt;&gt;"",H224&gt;J224),"EXCESSO","OK"))))</f>
        <v>0</v>
      </c>
      <c r="R224" s="25">
        <f>IF($A224="","",IF(AND(H224&gt;0,OR(P224=0,Hoje-P224&gt;DiasParado)),"Parado",""))</f>
        <v>0</v>
      </c>
      <c r="S224" s="26">
        <f>IF($A224="","",IF(OR(Q224="RUPTURA",Q224="REPOR"),IF(J224="",0,MAX(0,J224-H224)),0))</f>
        <v>0</v>
      </c>
      <c r="T224" s="24">
        <f>IF($A224="","",M224*IF(N(Produtos!G224)&gt;0,Produtos!G224,K224))</f>
        <v>0</v>
      </c>
      <c r="U224" s="32">
        <f>IF($A224="","",IF(T224&gt;0,T224+ROW()/1000000000,""))</f>
        <v>0</v>
      </c>
      <c r="V224" s="31">
        <f>IF($A224="","",IF(U224="","C",INDEX('Curva ABC'!$H$5:$H$304,MATCH(U224,'Curva ABC'!$B$5:$B$304,0))))</f>
        <v>0</v>
      </c>
      <c r="W224" s="24">
        <f>IF($A224="","",IF(R224="Parado",L224,0))</f>
        <v>0</v>
      </c>
      <c r="X224" s="33">
        <f>IF($A224="","",IF(OR(Q224="RUPTURA",Q224="REPOR"),COUNTIF($Q$5:Q224,"RUPTURA")+COUNTIF($Q$5:Q224,"REPOR"),""))</f>
        <v>0</v>
      </c>
    </row>
    <row r="225" spans="1:24">
      <c r="A225" s="23">
        <f>IF(Produtos!A225="","",Produtos!A225)</f>
        <v>0</v>
      </c>
      <c r="B225" s="23">
        <f>IF($A225="","",Produtos!B225&amp;"")</f>
        <v>0</v>
      </c>
      <c r="C225" s="23">
        <f>IF($A225="","",Produtos!C225&amp;"")</f>
        <v>0</v>
      </c>
      <c r="D225" s="25">
        <f>IF($A225="","",Produtos!D225&amp;"")</f>
        <v>0</v>
      </c>
      <c r="E225" s="26">
        <f>IF($A225="","",N(Produtos!H225))</f>
        <v>0</v>
      </c>
      <c r="F225" s="26">
        <f>IF($A225="","",SUMIFS(MovQtd,MovCod,$A225,MovTipo,"Entrada"))</f>
        <v>0</v>
      </c>
      <c r="G225" s="26">
        <f>IF($A225="","",SUMIFS(MovQtd,MovCod,$A225,MovTipo,"Saída"))</f>
        <v>0</v>
      </c>
      <c r="H225" s="27">
        <f>IF($A225="","",E225+F225-G225)</f>
        <v>0</v>
      </c>
      <c r="I225" s="26">
        <f>IF($A225="","",N(Produtos!I225))</f>
        <v>0</v>
      </c>
      <c r="J225" s="26">
        <f>IF($A225="","",IF(I225&gt;0,ROUNDUP(I225*FatMax,0),""))</f>
        <v>0</v>
      </c>
      <c r="K225" s="24">
        <f>IF($A225="","",N(Produtos!F225))</f>
        <v>0</v>
      </c>
      <c r="L225" s="24">
        <f>IF($A225="","",H225*K225)</f>
        <v>0</v>
      </c>
      <c r="M225" s="26">
        <f>IF($A225="","",SUMIFS(MovQtd,MovCod,$A225,MovTipo,"Saída",MovData,"&gt;="&amp;(Hoje-DiasAn),MovData,"&lt;="&amp;Hoje))</f>
        <v>0</v>
      </c>
      <c r="N225" s="28">
        <f>IF($A225="","",M225/DiasAn)</f>
        <v>0</v>
      </c>
      <c r="O225" s="29">
        <f>IF($A225="","",IF(N225&gt;0,H225/N225,"sem giro"))</f>
        <v>0</v>
      </c>
      <c r="P225" s="30">
        <f>IF($A225="","",SUMPRODUCT(MAX((MovCod=$A225)*(MovTipo="Saída")*MovData)))</f>
        <v>0</v>
      </c>
      <c r="Q225" s="31">
        <f>IF($A225="","",IF(H225&lt;=0,"RUPTURA",IF(AND(I225&gt;0,H225&lt;=I225),"REPOR",IF(AND(J225&lt;&gt;"",H225&gt;J225),"EXCESSO","OK"))))</f>
        <v>0</v>
      </c>
      <c r="R225" s="25">
        <f>IF($A225="","",IF(AND(H225&gt;0,OR(P225=0,Hoje-P225&gt;DiasParado)),"Parado",""))</f>
        <v>0</v>
      </c>
      <c r="S225" s="26">
        <f>IF($A225="","",IF(OR(Q225="RUPTURA",Q225="REPOR"),IF(J225="",0,MAX(0,J225-H225)),0))</f>
        <v>0</v>
      </c>
      <c r="T225" s="24">
        <f>IF($A225="","",M225*IF(N(Produtos!G225)&gt;0,Produtos!G225,K225))</f>
        <v>0</v>
      </c>
      <c r="U225" s="32">
        <f>IF($A225="","",IF(T225&gt;0,T225+ROW()/1000000000,""))</f>
        <v>0</v>
      </c>
      <c r="V225" s="31">
        <f>IF($A225="","",IF(U225="","C",INDEX('Curva ABC'!$H$5:$H$304,MATCH(U225,'Curva ABC'!$B$5:$B$304,0))))</f>
        <v>0</v>
      </c>
      <c r="W225" s="24">
        <f>IF($A225="","",IF(R225="Parado",L225,0))</f>
        <v>0</v>
      </c>
      <c r="X225" s="33">
        <f>IF($A225="","",IF(OR(Q225="RUPTURA",Q225="REPOR"),COUNTIF($Q$5:Q225,"RUPTURA")+COUNTIF($Q$5:Q225,"REPOR"),""))</f>
        <v>0</v>
      </c>
    </row>
    <row r="226" spans="1:24">
      <c r="A226" s="23">
        <f>IF(Produtos!A226="","",Produtos!A226)</f>
        <v>0</v>
      </c>
      <c r="B226" s="23">
        <f>IF($A226="","",Produtos!B226&amp;"")</f>
        <v>0</v>
      </c>
      <c r="C226" s="23">
        <f>IF($A226="","",Produtos!C226&amp;"")</f>
        <v>0</v>
      </c>
      <c r="D226" s="25">
        <f>IF($A226="","",Produtos!D226&amp;"")</f>
        <v>0</v>
      </c>
      <c r="E226" s="26">
        <f>IF($A226="","",N(Produtos!H226))</f>
        <v>0</v>
      </c>
      <c r="F226" s="26">
        <f>IF($A226="","",SUMIFS(MovQtd,MovCod,$A226,MovTipo,"Entrada"))</f>
        <v>0</v>
      </c>
      <c r="G226" s="26">
        <f>IF($A226="","",SUMIFS(MovQtd,MovCod,$A226,MovTipo,"Saída"))</f>
        <v>0</v>
      </c>
      <c r="H226" s="27">
        <f>IF($A226="","",E226+F226-G226)</f>
        <v>0</v>
      </c>
      <c r="I226" s="26">
        <f>IF($A226="","",N(Produtos!I226))</f>
        <v>0</v>
      </c>
      <c r="J226" s="26">
        <f>IF($A226="","",IF(I226&gt;0,ROUNDUP(I226*FatMax,0),""))</f>
        <v>0</v>
      </c>
      <c r="K226" s="24">
        <f>IF($A226="","",N(Produtos!F226))</f>
        <v>0</v>
      </c>
      <c r="L226" s="24">
        <f>IF($A226="","",H226*K226)</f>
        <v>0</v>
      </c>
      <c r="M226" s="26">
        <f>IF($A226="","",SUMIFS(MovQtd,MovCod,$A226,MovTipo,"Saída",MovData,"&gt;="&amp;(Hoje-DiasAn),MovData,"&lt;="&amp;Hoje))</f>
        <v>0</v>
      </c>
      <c r="N226" s="28">
        <f>IF($A226="","",M226/DiasAn)</f>
        <v>0</v>
      </c>
      <c r="O226" s="29">
        <f>IF($A226="","",IF(N226&gt;0,H226/N226,"sem giro"))</f>
        <v>0</v>
      </c>
      <c r="P226" s="30">
        <f>IF($A226="","",SUMPRODUCT(MAX((MovCod=$A226)*(MovTipo="Saída")*MovData)))</f>
        <v>0</v>
      </c>
      <c r="Q226" s="31">
        <f>IF($A226="","",IF(H226&lt;=0,"RUPTURA",IF(AND(I226&gt;0,H226&lt;=I226),"REPOR",IF(AND(J226&lt;&gt;"",H226&gt;J226),"EXCESSO","OK"))))</f>
        <v>0</v>
      </c>
      <c r="R226" s="25">
        <f>IF($A226="","",IF(AND(H226&gt;0,OR(P226=0,Hoje-P226&gt;DiasParado)),"Parado",""))</f>
        <v>0</v>
      </c>
      <c r="S226" s="26">
        <f>IF($A226="","",IF(OR(Q226="RUPTURA",Q226="REPOR"),IF(J226="",0,MAX(0,J226-H226)),0))</f>
        <v>0</v>
      </c>
      <c r="T226" s="24">
        <f>IF($A226="","",M226*IF(N(Produtos!G226)&gt;0,Produtos!G226,K226))</f>
        <v>0</v>
      </c>
      <c r="U226" s="32">
        <f>IF($A226="","",IF(T226&gt;0,T226+ROW()/1000000000,""))</f>
        <v>0</v>
      </c>
      <c r="V226" s="31">
        <f>IF($A226="","",IF(U226="","C",INDEX('Curva ABC'!$H$5:$H$304,MATCH(U226,'Curva ABC'!$B$5:$B$304,0))))</f>
        <v>0</v>
      </c>
      <c r="W226" s="24">
        <f>IF($A226="","",IF(R226="Parado",L226,0))</f>
        <v>0</v>
      </c>
      <c r="X226" s="33">
        <f>IF($A226="","",IF(OR(Q226="RUPTURA",Q226="REPOR"),COUNTIF($Q$5:Q226,"RUPTURA")+COUNTIF($Q$5:Q226,"REPOR"),""))</f>
        <v>0</v>
      </c>
    </row>
    <row r="227" spans="1:24">
      <c r="A227" s="23">
        <f>IF(Produtos!A227="","",Produtos!A227)</f>
        <v>0</v>
      </c>
      <c r="B227" s="23">
        <f>IF($A227="","",Produtos!B227&amp;"")</f>
        <v>0</v>
      </c>
      <c r="C227" s="23">
        <f>IF($A227="","",Produtos!C227&amp;"")</f>
        <v>0</v>
      </c>
      <c r="D227" s="25">
        <f>IF($A227="","",Produtos!D227&amp;"")</f>
        <v>0</v>
      </c>
      <c r="E227" s="26">
        <f>IF($A227="","",N(Produtos!H227))</f>
        <v>0</v>
      </c>
      <c r="F227" s="26">
        <f>IF($A227="","",SUMIFS(MovQtd,MovCod,$A227,MovTipo,"Entrada"))</f>
        <v>0</v>
      </c>
      <c r="G227" s="26">
        <f>IF($A227="","",SUMIFS(MovQtd,MovCod,$A227,MovTipo,"Saída"))</f>
        <v>0</v>
      </c>
      <c r="H227" s="27">
        <f>IF($A227="","",E227+F227-G227)</f>
        <v>0</v>
      </c>
      <c r="I227" s="26">
        <f>IF($A227="","",N(Produtos!I227))</f>
        <v>0</v>
      </c>
      <c r="J227" s="26">
        <f>IF($A227="","",IF(I227&gt;0,ROUNDUP(I227*FatMax,0),""))</f>
        <v>0</v>
      </c>
      <c r="K227" s="24">
        <f>IF($A227="","",N(Produtos!F227))</f>
        <v>0</v>
      </c>
      <c r="L227" s="24">
        <f>IF($A227="","",H227*K227)</f>
        <v>0</v>
      </c>
      <c r="M227" s="26">
        <f>IF($A227="","",SUMIFS(MovQtd,MovCod,$A227,MovTipo,"Saída",MovData,"&gt;="&amp;(Hoje-DiasAn),MovData,"&lt;="&amp;Hoje))</f>
        <v>0</v>
      </c>
      <c r="N227" s="28">
        <f>IF($A227="","",M227/DiasAn)</f>
        <v>0</v>
      </c>
      <c r="O227" s="29">
        <f>IF($A227="","",IF(N227&gt;0,H227/N227,"sem giro"))</f>
        <v>0</v>
      </c>
      <c r="P227" s="30">
        <f>IF($A227="","",SUMPRODUCT(MAX((MovCod=$A227)*(MovTipo="Saída")*MovData)))</f>
        <v>0</v>
      </c>
      <c r="Q227" s="31">
        <f>IF($A227="","",IF(H227&lt;=0,"RUPTURA",IF(AND(I227&gt;0,H227&lt;=I227),"REPOR",IF(AND(J227&lt;&gt;"",H227&gt;J227),"EXCESSO","OK"))))</f>
        <v>0</v>
      </c>
      <c r="R227" s="25">
        <f>IF($A227="","",IF(AND(H227&gt;0,OR(P227=0,Hoje-P227&gt;DiasParado)),"Parado",""))</f>
        <v>0</v>
      </c>
      <c r="S227" s="26">
        <f>IF($A227="","",IF(OR(Q227="RUPTURA",Q227="REPOR"),IF(J227="",0,MAX(0,J227-H227)),0))</f>
        <v>0</v>
      </c>
      <c r="T227" s="24">
        <f>IF($A227="","",M227*IF(N(Produtos!G227)&gt;0,Produtos!G227,K227))</f>
        <v>0</v>
      </c>
      <c r="U227" s="32">
        <f>IF($A227="","",IF(T227&gt;0,T227+ROW()/1000000000,""))</f>
        <v>0</v>
      </c>
      <c r="V227" s="31">
        <f>IF($A227="","",IF(U227="","C",INDEX('Curva ABC'!$H$5:$H$304,MATCH(U227,'Curva ABC'!$B$5:$B$304,0))))</f>
        <v>0</v>
      </c>
      <c r="W227" s="24">
        <f>IF($A227="","",IF(R227="Parado",L227,0))</f>
        <v>0</v>
      </c>
      <c r="X227" s="33">
        <f>IF($A227="","",IF(OR(Q227="RUPTURA",Q227="REPOR"),COUNTIF($Q$5:Q227,"RUPTURA")+COUNTIF($Q$5:Q227,"REPOR"),""))</f>
        <v>0</v>
      </c>
    </row>
    <row r="228" spans="1:24">
      <c r="A228" s="23">
        <f>IF(Produtos!A228="","",Produtos!A228)</f>
        <v>0</v>
      </c>
      <c r="B228" s="23">
        <f>IF($A228="","",Produtos!B228&amp;"")</f>
        <v>0</v>
      </c>
      <c r="C228" s="23">
        <f>IF($A228="","",Produtos!C228&amp;"")</f>
        <v>0</v>
      </c>
      <c r="D228" s="25">
        <f>IF($A228="","",Produtos!D228&amp;"")</f>
        <v>0</v>
      </c>
      <c r="E228" s="26">
        <f>IF($A228="","",N(Produtos!H228))</f>
        <v>0</v>
      </c>
      <c r="F228" s="26">
        <f>IF($A228="","",SUMIFS(MovQtd,MovCod,$A228,MovTipo,"Entrada"))</f>
        <v>0</v>
      </c>
      <c r="G228" s="26">
        <f>IF($A228="","",SUMIFS(MovQtd,MovCod,$A228,MovTipo,"Saída"))</f>
        <v>0</v>
      </c>
      <c r="H228" s="27">
        <f>IF($A228="","",E228+F228-G228)</f>
        <v>0</v>
      </c>
      <c r="I228" s="26">
        <f>IF($A228="","",N(Produtos!I228))</f>
        <v>0</v>
      </c>
      <c r="J228" s="26">
        <f>IF($A228="","",IF(I228&gt;0,ROUNDUP(I228*FatMax,0),""))</f>
        <v>0</v>
      </c>
      <c r="K228" s="24">
        <f>IF($A228="","",N(Produtos!F228))</f>
        <v>0</v>
      </c>
      <c r="L228" s="24">
        <f>IF($A228="","",H228*K228)</f>
        <v>0</v>
      </c>
      <c r="M228" s="26">
        <f>IF($A228="","",SUMIFS(MovQtd,MovCod,$A228,MovTipo,"Saída",MovData,"&gt;="&amp;(Hoje-DiasAn),MovData,"&lt;="&amp;Hoje))</f>
        <v>0</v>
      </c>
      <c r="N228" s="28">
        <f>IF($A228="","",M228/DiasAn)</f>
        <v>0</v>
      </c>
      <c r="O228" s="29">
        <f>IF($A228="","",IF(N228&gt;0,H228/N228,"sem giro"))</f>
        <v>0</v>
      </c>
      <c r="P228" s="30">
        <f>IF($A228="","",SUMPRODUCT(MAX((MovCod=$A228)*(MovTipo="Saída")*MovData)))</f>
        <v>0</v>
      </c>
      <c r="Q228" s="31">
        <f>IF($A228="","",IF(H228&lt;=0,"RUPTURA",IF(AND(I228&gt;0,H228&lt;=I228),"REPOR",IF(AND(J228&lt;&gt;"",H228&gt;J228),"EXCESSO","OK"))))</f>
        <v>0</v>
      </c>
      <c r="R228" s="25">
        <f>IF($A228="","",IF(AND(H228&gt;0,OR(P228=0,Hoje-P228&gt;DiasParado)),"Parado",""))</f>
        <v>0</v>
      </c>
      <c r="S228" s="26">
        <f>IF($A228="","",IF(OR(Q228="RUPTURA",Q228="REPOR"),IF(J228="",0,MAX(0,J228-H228)),0))</f>
        <v>0</v>
      </c>
      <c r="T228" s="24">
        <f>IF($A228="","",M228*IF(N(Produtos!G228)&gt;0,Produtos!G228,K228))</f>
        <v>0</v>
      </c>
      <c r="U228" s="32">
        <f>IF($A228="","",IF(T228&gt;0,T228+ROW()/1000000000,""))</f>
        <v>0</v>
      </c>
      <c r="V228" s="31">
        <f>IF($A228="","",IF(U228="","C",INDEX('Curva ABC'!$H$5:$H$304,MATCH(U228,'Curva ABC'!$B$5:$B$304,0))))</f>
        <v>0</v>
      </c>
      <c r="W228" s="24">
        <f>IF($A228="","",IF(R228="Parado",L228,0))</f>
        <v>0</v>
      </c>
      <c r="X228" s="33">
        <f>IF($A228="","",IF(OR(Q228="RUPTURA",Q228="REPOR"),COUNTIF($Q$5:Q228,"RUPTURA")+COUNTIF($Q$5:Q228,"REPOR"),""))</f>
        <v>0</v>
      </c>
    </row>
    <row r="229" spans="1:24">
      <c r="A229" s="23">
        <f>IF(Produtos!A229="","",Produtos!A229)</f>
        <v>0</v>
      </c>
      <c r="B229" s="23">
        <f>IF($A229="","",Produtos!B229&amp;"")</f>
        <v>0</v>
      </c>
      <c r="C229" s="23">
        <f>IF($A229="","",Produtos!C229&amp;"")</f>
        <v>0</v>
      </c>
      <c r="D229" s="25">
        <f>IF($A229="","",Produtos!D229&amp;"")</f>
        <v>0</v>
      </c>
      <c r="E229" s="26">
        <f>IF($A229="","",N(Produtos!H229))</f>
        <v>0</v>
      </c>
      <c r="F229" s="26">
        <f>IF($A229="","",SUMIFS(MovQtd,MovCod,$A229,MovTipo,"Entrada"))</f>
        <v>0</v>
      </c>
      <c r="G229" s="26">
        <f>IF($A229="","",SUMIFS(MovQtd,MovCod,$A229,MovTipo,"Saída"))</f>
        <v>0</v>
      </c>
      <c r="H229" s="27">
        <f>IF($A229="","",E229+F229-G229)</f>
        <v>0</v>
      </c>
      <c r="I229" s="26">
        <f>IF($A229="","",N(Produtos!I229))</f>
        <v>0</v>
      </c>
      <c r="J229" s="26">
        <f>IF($A229="","",IF(I229&gt;0,ROUNDUP(I229*FatMax,0),""))</f>
        <v>0</v>
      </c>
      <c r="K229" s="24">
        <f>IF($A229="","",N(Produtos!F229))</f>
        <v>0</v>
      </c>
      <c r="L229" s="24">
        <f>IF($A229="","",H229*K229)</f>
        <v>0</v>
      </c>
      <c r="M229" s="26">
        <f>IF($A229="","",SUMIFS(MovQtd,MovCod,$A229,MovTipo,"Saída",MovData,"&gt;="&amp;(Hoje-DiasAn),MovData,"&lt;="&amp;Hoje))</f>
        <v>0</v>
      </c>
      <c r="N229" s="28">
        <f>IF($A229="","",M229/DiasAn)</f>
        <v>0</v>
      </c>
      <c r="O229" s="29">
        <f>IF($A229="","",IF(N229&gt;0,H229/N229,"sem giro"))</f>
        <v>0</v>
      </c>
      <c r="P229" s="30">
        <f>IF($A229="","",SUMPRODUCT(MAX((MovCod=$A229)*(MovTipo="Saída")*MovData)))</f>
        <v>0</v>
      </c>
      <c r="Q229" s="31">
        <f>IF($A229="","",IF(H229&lt;=0,"RUPTURA",IF(AND(I229&gt;0,H229&lt;=I229),"REPOR",IF(AND(J229&lt;&gt;"",H229&gt;J229),"EXCESSO","OK"))))</f>
        <v>0</v>
      </c>
      <c r="R229" s="25">
        <f>IF($A229="","",IF(AND(H229&gt;0,OR(P229=0,Hoje-P229&gt;DiasParado)),"Parado",""))</f>
        <v>0</v>
      </c>
      <c r="S229" s="26">
        <f>IF($A229="","",IF(OR(Q229="RUPTURA",Q229="REPOR"),IF(J229="",0,MAX(0,J229-H229)),0))</f>
        <v>0</v>
      </c>
      <c r="T229" s="24">
        <f>IF($A229="","",M229*IF(N(Produtos!G229)&gt;0,Produtos!G229,K229))</f>
        <v>0</v>
      </c>
      <c r="U229" s="32">
        <f>IF($A229="","",IF(T229&gt;0,T229+ROW()/1000000000,""))</f>
        <v>0</v>
      </c>
      <c r="V229" s="31">
        <f>IF($A229="","",IF(U229="","C",INDEX('Curva ABC'!$H$5:$H$304,MATCH(U229,'Curva ABC'!$B$5:$B$304,0))))</f>
        <v>0</v>
      </c>
      <c r="W229" s="24">
        <f>IF($A229="","",IF(R229="Parado",L229,0))</f>
        <v>0</v>
      </c>
      <c r="X229" s="33">
        <f>IF($A229="","",IF(OR(Q229="RUPTURA",Q229="REPOR"),COUNTIF($Q$5:Q229,"RUPTURA")+COUNTIF($Q$5:Q229,"REPOR"),""))</f>
        <v>0</v>
      </c>
    </row>
    <row r="230" spans="1:24">
      <c r="A230" s="23">
        <f>IF(Produtos!A230="","",Produtos!A230)</f>
        <v>0</v>
      </c>
      <c r="B230" s="23">
        <f>IF($A230="","",Produtos!B230&amp;"")</f>
        <v>0</v>
      </c>
      <c r="C230" s="23">
        <f>IF($A230="","",Produtos!C230&amp;"")</f>
        <v>0</v>
      </c>
      <c r="D230" s="25">
        <f>IF($A230="","",Produtos!D230&amp;"")</f>
        <v>0</v>
      </c>
      <c r="E230" s="26">
        <f>IF($A230="","",N(Produtos!H230))</f>
        <v>0</v>
      </c>
      <c r="F230" s="26">
        <f>IF($A230="","",SUMIFS(MovQtd,MovCod,$A230,MovTipo,"Entrada"))</f>
        <v>0</v>
      </c>
      <c r="G230" s="26">
        <f>IF($A230="","",SUMIFS(MovQtd,MovCod,$A230,MovTipo,"Saída"))</f>
        <v>0</v>
      </c>
      <c r="H230" s="27">
        <f>IF($A230="","",E230+F230-G230)</f>
        <v>0</v>
      </c>
      <c r="I230" s="26">
        <f>IF($A230="","",N(Produtos!I230))</f>
        <v>0</v>
      </c>
      <c r="J230" s="26">
        <f>IF($A230="","",IF(I230&gt;0,ROUNDUP(I230*FatMax,0),""))</f>
        <v>0</v>
      </c>
      <c r="K230" s="24">
        <f>IF($A230="","",N(Produtos!F230))</f>
        <v>0</v>
      </c>
      <c r="L230" s="24">
        <f>IF($A230="","",H230*K230)</f>
        <v>0</v>
      </c>
      <c r="M230" s="26">
        <f>IF($A230="","",SUMIFS(MovQtd,MovCod,$A230,MovTipo,"Saída",MovData,"&gt;="&amp;(Hoje-DiasAn),MovData,"&lt;="&amp;Hoje))</f>
        <v>0</v>
      </c>
      <c r="N230" s="28">
        <f>IF($A230="","",M230/DiasAn)</f>
        <v>0</v>
      </c>
      <c r="O230" s="29">
        <f>IF($A230="","",IF(N230&gt;0,H230/N230,"sem giro"))</f>
        <v>0</v>
      </c>
      <c r="P230" s="30">
        <f>IF($A230="","",SUMPRODUCT(MAX((MovCod=$A230)*(MovTipo="Saída")*MovData)))</f>
        <v>0</v>
      </c>
      <c r="Q230" s="31">
        <f>IF($A230="","",IF(H230&lt;=0,"RUPTURA",IF(AND(I230&gt;0,H230&lt;=I230),"REPOR",IF(AND(J230&lt;&gt;"",H230&gt;J230),"EXCESSO","OK"))))</f>
        <v>0</v>
      </c>
      <c r="R230" s="25">
        <f>IF($A230="","",IF(AND(H230&gt;0,OR(P230=0,Hoje-P230&gt;DiasParado)),"Parado",""))</f>
        <v>0</v>
      </c>
      <c r="S230" s="26">
        <f>IF($A230="","",IF(OR(Q230="RUPTURA",Q230="REPOR"),IF(J230="",0,MAX(0,J230-H230)),0))</f>
        <v>0</v>
      </c>
      <c r="T230" s="24">
        <f>IF($A230="","",M230*IF(N(Produtos!G230)&gt;0,Produtos!G230,K230))</f>
        <v>0</v>
      </c>
      <c r="U230" s="32">
        <f>IF($A230="","",IF(T230&gt;0,T230+ROW()/1000000000,""))</f>
        <v>0</v>
      </c>
      <c r="V230" s="31">
        <f>IF($A230="","",IF(U230="","C",INDEX('Curva ABC'!$H$5:$H$304,MATCH(U230,'Curva ABC'!$B$5:$B$304,0))))</f>
        <v>0</v>
      </c>
      <c r="W230" s="24">
        <f>IF($A230="","",IF(R230="Parado",L230,0))</f>
        <v>0</v>
      </c>
      <c r="X230" s="33">
        <f>IF($A230="","",IF(OR(Q230="RUPTURA",Q230="REPOR"),COUNTIF($Q$5:Q230,"RUPTURA")+COUNTIF($Q$5:Q230,"REPOR"),""))</f>
        <v>0</v>
      </c>
    </row>
    <row r="231" spans="1:24">
      <c r="A231" s="23">
        <f>IF(Produtos!A231="","",Produtos!A231)</f>
        <v>0</v>
      </c>
      <c r="B231" s="23">
        <f>IF($A231="","",Produtos!B231&amp;"")</f>
        <v>0</v>
      </c>
      <c r="C231" s="23">
        <f>IF($A231="","",Produtos!C231&amp;"")</f>
        <v>0</v>
      </c>
      <c r="D231" s="25">
        <f>IF($A231="","",Produtos!D231&amp;"")</f>
        <v>0</v>
      </c>
      <c r="E231" s="26">
        <f>IF($A231="","",N(Produtos!H231))</f>
        <v>0</v>
      </c>
      <c r="F231" s="26">
        <f>IF($A231="","",SUMIFS(MovQtd,MovCod,$A231,MovTipo,"Entrada"))</f>
        <v>0</v>
      </c>
      <c r="G231" s="26">
        <f>IF($A231="","",SUMIFS(MovQtd,MovCod,$A231,MovTipo,"Saída"))</f>
        <v>0</v>
      </c>
      <c r="H231" s="27">
        <f>IF($A231="","",E231+F231-G231)</f>
        <v>0</v>
      </c>
      <c r="I231" s="26">
        <f>IF($A231="","",N(Produtos!I231))</f>
        <v>0</v>
      </c>
      <c r="J231" s="26">
        <f>IF($A231="","",IF(I231&gt;0,ROUNDUP(I231*FatMax,0),""))</f>
        <v>0</v>
      </c>
      <c r="K231" s="24">
        <f>IF($A231="","",N(Produtos!F231))</f>
        <v>0</v>
      </c>
      <c r="L231" s="24">
        <f>IF($A231="","",H231*K231)</f>
        <v>0</v>
      </c>
      <c r="M231" s="26">
        <f>IF($A231="","",SUMIFS(MovQtd,MovCod,$A231,MovTipo,"Saída",MovData,"&gt;="&amp;(Hoje-DiasAn),MovData,"&lt;="&amp;Hoje))</f>
        <v>0</v>
      </c>
      <c r="N231" s="28">
        <f>IF($A231="","",M231/DiasAn)</f>
        <v>0</v>
      </c>
      <c r="O231" s="29">
        <f>IF($A231="","",IF(N231&gt;0,H231/N231,"sem giro"))</f>
        <v>0</v>
      </c>
      <c r="P231" s="30">
        <f>IF($A231="","",SUMPRODUCT(MAX((MovCod=$A231)*(MovTipo="Saída")*MovData)))</f>
        <v>0</v>
      </c>
      <c r="Q231" s="31">
        <f>IF($A231="","",IF(H231&lt;=0,"RUPTURA",IF(AND(I231&gt;0,H231&lt;=I231),"REPOR",IF(AND(J231&lt;&gt;"",H231&gt;J231),"EXCESSO","OK"))))</f>
        <v>0</v>
      </c>
      <c r="R231" s="25">
        <f>IF($A231="","",IF(AND(H231&gt;0,OR(P231=0,Hoje-P231&gt;DiasParado)),"Parado",""))</f>
        <v>0</v>
      </c>
      <c r="S231" s="26">
        <f>IF($A231="","",IF(OR(Q231="RUPTURA",Q231="REPOR"),IF(J231="",0,MAX(0,J231-H231)),0))</f>
        <v>0</v>
      </c>
      <c r="T231" s="24">
        <f>IF($A231="","",M231*IF(N(Produtos!G231)&gt;0,Produtos!G231,K231))</f>
        <v>0</v>
      </c>
      <c r="U231" s="32">
        <f>IF($A231="","",IF(T231&gt;0,T231+ROW()/1000000000,""))</f>
        <v>0</v>
      </c>
      <c r="V231" s="31">
        <f>IF($A231="","",IF(U231="","C",INDEX('Curva ABC'!$H$5:$H$304,MATCH(U231,'Curva ABC'!$B$5:$B$304,0))))</f>
        <v>0</v>
      </c>
      <c r="W231" s="24">
        <f>IF($A231="","",IF(R231="Parado",L231,0))</f>
        <v>0</v>
      </c>
      <c r="X231" s="33">
        <f>IF($A231="","",IF(OR(Q231="RUPTURA",Q231="REPOR"),COUNTIF($Q$5:Q231,"RUPTURA")+COUNTIF($Q$5:Q231,"REPOR"),""))</f>
        <v>0</v>
      </c>
    </row>
    <row r="232" spans="1:24">
      <c r="A232" s="23">
        <f>IF(Produtos!A232="","",Produtos!A232)</f>
        <v>0</v>
      </c>
      <c r="B232" s="23">
        <f>IF($A232="","",Produtos!B232&amp;"")</f>
        <v>0</v>
      </c>
      <c r="C232" s="23">
        <f>IF($A232="","",Produtos!C232&amp;"")</f>
        <v>0</v>
      </c>
      <c r="D232" s="25">
        <f>IF($A232="","",Produtos!D232&amp;"")</f>
        <v>0</v>
      </c>
      <c r="E232" s="26">
        <f>IF($A232="","",N(Produtos!H232))</f>
        <v>0</v>
      </c>
      <c r="F232" s="26">
        <f>IF($A232="","",SUMIFS(MovQtd,MovCod,$A232,MovTipo,"Entrada"))</f>
        <v>0</v>
      </c>
      <c r="G232" s="26">
        <f>IF($A232="","",SUMIFS(MovQtd,MovCod,$A232,MovTipo,"Saída"))</f>
        <v>0</v>
      </c>
      <c r="H232" s="27">
        <f>IF($A232="","",E232+F232-G232)</f>
        <v>0</v>
      </c>
      <c r="I232" s="26">
        <f>IF($A232="","",N(Produtos!I232))</f>
        <v>0</v>
      </c>
      <c r="J232" s="26">
        <f>IF($A232="","",IF(I232&gt;0,ROUNDUP(I232*FatMax,0),""))</f>
        <v>0</v>
      </c>
      <c r="K232" s="24">
        <f>IF($A232="","",N(Produtos!F232))</f>
        <v>0</v>
      </c>
      <c r="L232" s="24">
        <f>IF($A232="","",H232*K232)</f>
        <v>0</v>
      </c>
      <c r="M232" s="26">
        <f>IF($A232="","",SUMIFS(MovQtd,MovCod,$A232,MovTipo,"Saída",MovData,"&gt;="&amp;(Hoje-DiasAn),MovData,"&lt;="&amp;Hoje))</f>
        <v>0</v>
      </c>
      <c r="N232" s="28">
        <f>IF($A232="","",M232/DiasAn)</f>
        <v>0</v>
      </c>
      <c r="O232" s="29">
        <f>IF($A232="","",IF(N232&gt;0,H232/N232,"sem giro"))</f>
        <v>0</v>
      </c>
      <c r="P232" s="30">
        <f>IF($A232="","",SUMPRODUCT(MAX((MovCod=$A232)*(MovTipo="Saída")*MovData)))</f>
        <v>0</v>
      </c>
      <c r="Q232" s="31">
        <f>IF($A232="","",IF(H232&lt;=0,"RUPTURA",IF(AND(I232&gt;0,H232&lt;=I232),"REPOR",IF(AND(J232&lt;&gt;"",H232&gt;J232),"EXCESSO","OK"))))</f>
        <v>0</v>
      </c>
      <c r="R232" s="25">
        <f>IF($A232="","",IF(AND(H232&gt;0,OR(P232=0,Hoje-P232&gt;DiasParado)),"Parado",""))</f>
        <v>0</v>
      </c>
      <c r="S232" s="26">
        <f>IF($A232="","",IF(OR(Q232="RUPTURA",Q232="REPOR"),IF(J232="",0,MAX(0,J232-H232)),0))</f>
        <v>0</v>
      </c>
      <c r="T232" s="24">
        <f>IF($A232="","",M232*IF(N(Produtos!G232)&gt;0,Produtos!G232,K232))</f>
        <v>0</v>
      </c>
      <c r="U232" s="32">
        <f>IF($A232="","",IF(T232&gt;0,T232+ROW()/1000000000,""))</f>
        <v>0</v>
      </c>
      <c r="V232" s="31">
        <f>IF($A232="","",IF(U232="","C",INDEX('Curva ABC'!$H$5:$H$304,MATCH(U232,'Curva ABC'!$B$5:$B$304,0))))</f>
        <v>0</v>
      </c>
      <c r="W232" s="24">
        <f>IF($A232="","",IF(R232="Parado",L232,0))</f>
        <v>0</v>
      </c>
      <c r="X232" s="33">
        <f>IF($A232="","",IF(OR(Q232="RUPTURA",Q232="REPOR"),COUNTIF($Q$5:Q232,"RUPTURA")+COUNTIF($Q$5:Q232,"REPOR"),""))</f>
        <v>0</v>
      </c>
    </row>
    <row r="233" spans="1:24">
      <c r="A233" s="23">
        <f>IF(Produtos!A233="","",Produtos!A233)</f>
        <v>0</v>
      </c>
      <c r="B233" s="23">
        <f>IF($A233="","",Produtos!B233&amp;"")</f>
        <v>0</v>
      </c>
      <c r="C233" s="23">
        <f>IF($A233="","",Produtos!C233&amp;"")</f>
        <v>0</v>
      </c>
      <c r="D233" s="25">
        <f>IF($A233="","",Produtos!D233&amp;"")</f>
        <v>0</v>
      </c>
      <c r="E233" s="26">
        <f>IF($A233="","",N(Produtos!H233))</f>
        <v>0</v>
      </c>
      <c r="F233" s="26">
        <f>IF($A233="","",SUMIFS(MovQtd,MovCod,$A233,MovTipo,"Entrada"))</f>
        <v>0</v>
      </c>
      <c r="G233" s="26">
        <f>IF($A233="","",SUMIFS(MovQtd,MovCod,$A233,MovTipo,"Saída"))</f>
        <v>0</v>
      </c>
      <c r="H233" s="27">
        <f>IF($A233="","",E233+F233-G233)</f>
        <v>0</v>
      </c>
      <c r="I233" s="26">
        <f>IF($A233="","",N(Produtos!I233))</f>
        <v>0</v>
      </c>
      <c r="J233" s="26">
        <f>IF($A233="","",IF(I233&gt;0,ROUNDUP(I233*FatMax,0),""))</f>
        <v>0</v>
      </c>
      <c r="K233" s="24">
        <f>IF($A233="","",N(Produtos!F233))</f>
        <v>0</v>
      </c>
      <c r="L233" s="24">
        <f>IF($A233="","",H233*K233)</f>
        <v>0</v>
      </c>
      <c r="M233" s="26">
        <f>IF($A233="","",SUMIFS(MovQtd,MovCod,$A233,MovTipo,"Saída",MovData,"&gt;="&amp;(Hoje-DiasAn),MovData,"&lt;="&amp;Hoje))</f>
        <v>0</v>
      </c>
      <c r="N233" s="28">
        <f>IF($A233="","",M233/DiasAn)</f>
        <v>0</v>
      </c>
      <c r="O233" s="29">
        <f>IF($A233="","",IF(N233&gt;0,H233/N233,"sem giro"))</f>
        <v>0</v>
      </c>
      <c r="P233" s="30">
        <f>IF($A233="","",SUMPRODUCT(MAX((MovCod=$A233)*(MovTipo="Saída")*MovData)))</f>
        <v>0</v>
      </c>
      <c r="Q233" s="31">
        <f>IF($A233="","",IF(H233&lt;=0,"RUPTURA",IF(AND(I233&gt;0,H233&lt;=I233),"REPOR",IF(AND(J233&lt;&gt;"",H233&gt;J233),"EXCESSO","OK"))))</f>
        <v>0</v>
      </c>
      <c r="R233" s="25">
        <f>IF($A233="","",IF(AND(H233&gt;0,OR(P233=0,Hoje-P233&gt;DiasParado)),"Parado",""))</f>
        <v>0</v>
      </c>
      <c r="S233" s="26">
        <f>IF($A233="","",IF(OR(Q233="RUPTURA",Q233="REPOR"),IF(J233="",0,MAX(0,J233-H233)),0))</f>
        <v>0</v>
      </c>
      <c r="T233" s="24">
        <f>IF($A233="","",M233*IF(N(Produtos!G233)&gt;0,Produtos!G233,K233))</f>
        <v>0</v>
      </c>
      <c r="U233" s="32">
        <f>IF($A233="","",IF(T233&gt;0,T233+ROW()/1000000000,""))</f>
        <v>0</v>
      </c>
      <c r="V233" s="31">
        <f>IF($A233="","",IF(U233="","C",INDEX('Curva ABC'!$H$5:$H$304,MATCH(U233,'Curva ABC'!$B$5:$B$304,0))))</f>
        <v>0</v>
      </c>
      <c r="W233" s="24">
        <f>IF($A233="","",IF(R233="Parado",L233,0))</f>
        <v>0</v>
      </c>
      <c r="X233" s="33">
        <f>IF($A233="","",IF(OR(Q233="RUPTURA",Q233="REPOR"),COUNTIF($Q$5:Q233,"RUPTURA")+COUNTIF($Q$5:Q233,"REPOR"),""))</f>
        <v>0</v>
      </c>
    </row>
    <row r="234" spans="1:24">
      <c r="A234" s="23">
        <f>IF(Produtos!A234="","",Produtos!A234)</f>
        <v>0</v>
      </c>
      <c r="B234" s="23">
        <f>IF($A234="","",Produtos!B234&amp;"")</f>
        <v>0</v>
      </c>
      <c r="C234" s="23">
        <f>IF($A234="","",Produtos!C234&amp;"")</f>
        <v>0</v>
      </c>
      <c r="D234" s="25">
        <f>IF($A234="","",Produtos!D234&amp;"")</f>
        <v>0</v>
      </c>
      <c r="E234" s="26">
        <f>IF($A234="","",N(Produtos!H234))</f>
        <v>0</v>
      </c>
      <c r="F234" s="26">
        <f>IF($A234="","",SUMIFS(MovQtd,MovCod,$A234,MovTipo,"Entrada"))</f>
        <v>0</v>
      </c>
      <c r="G234" s="26">
        <f>IF($A234="","",SUMIFS(MovQtd,MovCod,$A234,MovTipo,"Saída"))</f>
        <v>0</v>
      </c>
      <c r="H234" s="27">
        <f>IF($A234="","",E234+F234-G234)</f>
        <v>0</v>
      </c>
      <c r="I234" s="26">
        <f>IF($A234="","",N(Produtos!I234))</f>
        <v>0</v>
      </c>
      <c r="J234" s="26">
        <f>IF($A234="","",IF(I234&gt;0,ROUNDUP(I234*FatMax,0),""))</f>
        <v>0</v>
      </c>
      <c r="K234" s="24">
        <f>IF($A234="","",N(Produtos!F234))</f>
        <v>0</v>
      </c>
      <c r="L234" s="24">
        <f>IF($A234="","",H234*K234)</f>
        <v>0</v>
      </c>
      <c r="M234" s="26">
        <f>IF($A234="","",SUMIFS(MovQtd,MovCod,$A234,MovTipo,"Saída",MovData,"&gt;="&amp;(Hoje-DiasAn),MovData,"&lt;="&amp;Hoje))</f>
        <v>0</v>
      </c>
      <c r="N234" s="28">
        <f>IF($A234="","",M234/DiasAn)</f>
        <v>0</v>
      </c>
      <c r="O234" s="29">
        <f>IF($A234="","",IF(N234&gt;0,H234/N234,"sem giro"))</f>
        <v>0</v>
      </c>
      <c r="P234" s="30">
        <f>IF($A234="","",SUMPRODUCT(MAX((MovCod=$A234)*(MovTipo="Saída")*MovData)))</f>
        <v>0</v>
      </c>
      <c r="Q234" s="31">
        <f>IF($A234="","",IF(H234&lt;=0,"RUPTURA",IF(AND(I234&gt;0,H234&lt;=I234),"REPOR",IF(AND(J234&lt;&gt;"",H234&gt;J234),"EXCESSO","OK"))))</f>
        <v>0</v>
      </c>
      <c r="R234" s="25">
        <f>IF($A234="","",IF(AND(H234&gt;0,OR(P234=0,Hoje-P234&gt;DiasParado)),"Parado",""))</f>
        <v>0</v>
      </c>
      <c r="S234" s="26">
        <f>IF($A234="","",IF(OR(Q234="RUPTURA",Q234="REPOR"),IF(J234="",0,MAX(0,J234-H234)),0))</f>
        <v>0</v>
      </c>
      <c r="T234" s="24">
        <f>IF($A234="","",M234*IF(N(Produtos!G234)&gt;0,Produtos!G234,K234))</f>
        <v>0</v>
      </c>
      <c r="U234" s="32">
        <f>IF($A234="","",IF(T234&gt;0,T234+ROW()/1000000000,""))</f>
        <v>0</v>
      </c>
      <c r="V234" s="31">
        <f>IF($A234="","",IF(U234="","C",INDEX('Curva ABC'!$H$5:$H$304,MATCH(U234,'Curva ABC'!$B$5:$B$304,0))))</f>
        <v>0</v>
      </c>
      <c r="W234" s="24">
        <f>IF($A234="","",IF(R234="Parado",L234,0))</f>
        <v>0</v>
      </c>
      <c r="X234" s="33">
        <f>IF($A234="","",IF(OR(Q234="RUPTURA",Q234="REPOR"),COUNTIF($Q$5:Q234,"RUPTURA")+COUNTIF($Q$5:Q234,"REPOR"),""))</f>
        <v>0</v>
      </c>
    </row>
    <row r="235" spans="1:24">
      <c r="A235" s="23">
        <f>IF(Produtos!A235="","",Produtos!A235)</f>
        <v>0</v>
      </c>
      <c r="B235" s="23">
        <f>IF($A235="","",Produtos!B235&amp;"")</f>
        <v>0</v>
      </c>
      <c r="C235" s="23">
        <f>IF($A235="","",Produtos!C235&amp;"")</f>
        <v>0</v>
      </c>
      <c r="D235" s="25">
        <f>IF($A235="","",Produtos!D235&amp;"")</f>
        <v>0</v>
      </c>
      <c r="E235" s="26">
        <f>IF($A235="","",N(Produtos!H235))</f>
        <v>0</v>
      </c>
      <c r="F235" s="26">
        <f>IF($A235="","",SUMIFS(MovQtd,MovCod,$A235,MovTipo,"Entrada"))</f>
        <v>0</v>
      </c>
      <c r="G235" s="26">
        <f>IF($A235="","",SUMIFS(MovQtd,MovCod,$A235,MovTipo,"Saída"))</f>
        <v>0</v>
      </c>
      <c r="H235" s="27">
        <f>IF($A235="","",E235+F235-G235)</f>
        <v>0</v>
      </c>
      <c r="I235" s="26">
        <f>IF($A235="","",N(Produtos!I235))</f>
        <v>0</v>
      </c>
      <c r="J235" s="26">
        <f>IF($A235="","",IF(I235&gt;0,ROUNDUP(I235*FatMax,0),""))</f>
        <v>0</v>
      </c>
      <c r="K235" s="24">
        <f>IF($A235="","",N(Produtos!F235))</f>
        <v>0</v>
      </c>
      <c r="L235" s="24">
        <f>IF($A235="","",H235*K235)</f>
        <v>0</v>
      </c>
      <c r="M235" s="26">
        <f>IF($A235="","",SUMIFS(MovQtd,MovCod,$A235,MovTipo,"Saída",MovData,"&gt;="&amp;(Hoje-DiasAn),MovData,"&lt;="&amp;Hoje))</f>
        <v>0</v>
      </c>
      <c r="N235" s="28">
        <f>IF($A235="","",M235/DiasAn)</f>
        <v>0</v>
      </c>
      <c r="O235" s="29">
        <f>IF($A235="","",IF(N235&gt;0,H235/N235,"sem giro"))</f>
        <v>0</v>
      </c>
      <c r="P235" s="30">
        <f>IF($A235="","",SUMPRODUCT(MAX((MovCod=$A235)*(MovTipo="Saída")*MovData)))</f>
        <v>0</v>
      </c>
      <c r="Q235" s="31">
        <f>IF($A235="","",IF(H235&lt;=0,"RUPTURA",IF(AND(I235&gt;0,H235&lt;=I235),"REPOR",IF(AND(J235&lt;&gt;"",H235&gt;J235),"EXCESSO","OK"))))</f>
        <v>0</v>
      </c>
      <c r="R235" s="25">
        <f>IF($A235="","",IF(AND(H235&gt;0,OR(P235=0,Hoje-P235&gt;DiasParado)),"Parado",""))</f>
        <v>0</v>
      </c>
      <c r="S235" s="26">
        <f>IF($A235="","",IF(OR(Q235="RUPTURA",Q235="REPOR"),IF(J235="",0,MAX(0,J235-H235)),0))</f>
        <v>0</v>
      </c>
      <c r="T235" s="24">
        <f>IF($A235="","",M235*IF(N(Produtos!G235)&gt;0,Produtos!G235,K235))</f>
        <v>0</v>
      </c>
      <c r="U235" s="32">
        <f>IF($A235="","",IF(T235&gt;0,T235+ROW()/1000000000,""))</f>
        <v>0</v>
      </c>
      <c r="V235" s="31">
        <f>IF($A235="","",IF(U235="","C",INDEX('Curva ABC'!$H$5:$H$304,MATCH(U235,'Curva ABC'!$B$5:$B$304,0))))</f>
        <v>0</v>
      </c>
      <c r="W235" s="24">
        <f>IF($A235="","",IF(R235="Parado",L235,0))</f>
        <v>0</v>
      </c>
      <c r="X235" s="33">
        <f>IF($A235="","",IF(OR(Q235="RUPTURA",Q235="REPOR"),COUNTIF($Q$5:Q235,"RUPTURA")+COUNTIF($Q$5:Q235,"REPOR"),""))</f>
        <v>0</v>
      </c>
    </row>
    <row r="236" spans="1:24">
      <c r="A236" s="23">
        <f>IF(Produtos!A236="","",Produtos!A236)</f>
        <v>0</v>
      </c>
      <c r="B236" s="23">
        <f>IF($A236="","",Produtos!B236&amp;"")</f>
        <v>0</v>
      </c>
      <c r="C236" s="23">
        <f>IF($A236="","",Produtos!C236&amp;"")</f>
        <v>0</v>
      </c>
      <c r="D236" s="25">
        <f>IF($A236="","",Produtos!D236&amp;"")</f>
        <v>0</v>
      </c>
      <c r="E236" s="26">
        <f>IF($A236="","",N(Produtos!H236))</f>
        <v>0</v>
      </c>
      <c r="F236" s="26">
        <f>IF($A236="","",SUMIFS(MovQtd,MovCod,$A236,MovTipo,"Entrada"))</f>
        <v>0</v>
      </c>
      <c r="G236" s="26">
        <f>IF($A236="","",SUMIFS(MovQtd,MovCod,$A236,MovTipo,"Saída"))</f>
        <v>0</v>
      </c>
      <c r="H236" s="27">
        <f>IF($A236="","",E236+F236-G236)</f>
        <v>0</v>
      </c>
      <c r="I236" s="26">
        <f>IF($A236="","",N(Produtos!I236))</f>
        <v>0</v>
      </c>
      <c r="J236" s="26">
        <f>IF($A236="","",IF(I236&gt;0,ROUNDUP(I236*FatMax,0),""))</f>
        <v>0</v>
      </c>
      <c r="K236" s="24">
        <f>IF($A236="","",N(Produtos!F236))</f>
        <v>0</v>
      </c>
      <c r="L236" s="24">
        <f>IF($A236="","",H236*K236)</f>
        <v>0</v>
      </c>
      <c r="M236" s="26">
        <f>IF($A236="","",SUMIFS(MovQtd,MovCod,$A236,MovTipo,"Saída",MovData,"&gt;="&amp;(Hoje-DiasAn),MovData,"&lt;="&amp;Hoje))</f>
        <v>0</v>
      </c>
      <c r="N236" s="28">
        <f>IF($A236="","",M236/DiasAn)</f>
        <v>0</v>
      </c>
      <c r="O236" s="29">
        <f>IF($A236="","",IF(N236&gt;0,H236/N236,"sem giro"))</f>
        <v>0</v>
      </c>
      <c r="P236" s="30">
        <f>IF($A236="","",SUMPRODUCT(MAX((MovCod=$A236)*(MovTipo="Saída")*MovData)))</f>
        <v>0</v>
      </c>
      <c r="Q236" s="31">
        <f>IF($A236="","",IF(H236&lt;=0,"RUPTURA",IF(AND(I236&gt;0,H236&lt;=I236),"REPOR",IF(AND(J236&lt;&gt;"",H236&gt;J236),"EXCESSO","OK"))))</f>
        <v>0</v>
      </c>
      <c r="R236" s="25">
        <f>IF($A236="","",IF(AND(H236&gt;0,OR(P236=0,Hoje-P236&gt;DiasParado)),"Parado",""))</f>
        <v>0</v>
      </c>
      <c r="S236" s="26">
        <f>IF($A236="","",IF(OR(Q236="RUPTURA",Q236="REPOR"),IF(J236="",0,MAX(0,J236-H236)),0))</f>
        <v>0</v>
      </c>
      <c r="T236" s="24">
        <f>IF($A236="","",M236*IF(N(Produtos!G236)&gt;0,Produtos!G236,K236))</f>
        <v>0</v>
      </c>
      <c r="U236" s="32">
        <f>IF($A236="","",IF(T236&gt;0,T236+ROW()/1000000000,""))</f>
        <v>0</v>
      </c>
      <c r="V236" s="31">
        <f>IF($A236="","",IF(U236="","C",INDEX('Curva ABC'!$H$5:$H$304,MATCH(U236,'Curva ABC'!$B$5:$B$304,0))))</f>
        <v>0</v>
      </c>
      <c r="W236" s="24">
        <f>IF($A236="","",IF(R236="Parado",L236,0))</f>
        <v>0</v>
      </c>
      <c r="X236" s="33">
        <f>IF($A236="","",IF(OR(Q236="RUPTURA",Q236="REPOR"),COUNTIF($Q$5:Q236,"RUPTURA")+COUNTIF($Q$5:Q236,"REPOR"),""))</f>
        <v>0</v>
      </c>
    </row>
    <row r="237" spans="1:24">
      <c r="A237" s="23">
        <f>IF(Produtos!A237="","",Produtos!A237)</f>
        <v>0</v>
      </c>
      <c r="B237" s="23">
        <f>IF($A237="","",Produtos!B237&amp;"")</f>
        <v>0</v>
      </c>
      <c r="C237" s="23">
        <f>IF($A237="","",Produtos!C237&amp;"")</f>
        <v>0</v>
      </c>
      <c r="D237" s="25">
        <f>IF($A237="","",Produtos!D237&amp;"")</f>
        <v>0</v>
      </c>
      <c r="E237" s="26">
        <f>IF($A237="","",N(Produtos!H237))</f>
        <v>0</v>
      </c>
      <c r="F237" s="26">
        <f>IF($A237="","",SUMIFS(MovQtd,MovCod,$A237,MovTipo,"Entrada"))</f>
        <v>0</v>
      </c>
      <c r="G237" s="26">
        <f>IF($A237="","",SUMIFS(MovQtd,MovCod,$A237,MovTipo,"Saída"))</f>
        <v>0</v>
      </c>
      <c r="H237" s="27">
        <f>IF($A237="","",E237+F237-G237)</f>
        <v>0</v>
      </c>
      <c r="I237" s="26">
        <f>IF($A237="","",N(Produtos!I237))</f>
        <v>0</v>
      </c>
      <c r="J237" s="26">
        <f>IF($A237="","",IF(I237&gt;0,ROUNDUP(I237*FatMax,0),""))</f>
        <v>0</v>
      </c>
      <c r="K237" s="24">
        <f>IF($A237="","",N(Produtos!F237))</f>
        <v>0</v>
      </c>
      <c r="L237" s="24">
        <f>IF($A237="","",H237*K237)</f>
        <v>0</v>
      </c>
      <c r="M237" s="26">
        <f>IF($A237="","",SUMIFS(MovQtd,MovCod,$A237,MovTipo,"Saída",MovData,"&gt;="&amp;(Hoje-DiasAn),MovData,"&lt;="&amp;Hoje))</f>
        <v>0</v>
      </c>
      <c r="N237" s="28">
        <f>IF($A237="","",M237/DiasAn)</f>
        <v>0</v>
      </c>
      <c r="O237" s="29">
        <f>IF($A237="","",IF(N237&gt;0,H237/N237,"sem giro"))</f>
        <v>0</v>
      </c>
      <c r="P237" s="30">
        <f>IF($A237="","",SUMPRODUCT(MAX((MovCod=$A237)*(MovTipo="Saída")*MovData)))</f>
        <v>0</v>
      </c>
      <c r="Q237" s="31">
        <f>IF($A237="","",IF(H237&lt;=0,"RUPTURA",IF(AND(I237&gt;0,H237&lt;=I237),"REPOR",IF(AND(J237&lt;&gt;"",H237&gt;J237),"EXCESSO","OK"))))</f>
        <v>0</v>
      </c>
      <c r="R237" s="25">
        <f>IF($A237="","",IF(AND(H237&gt;0,OR(P237=0,Hoje-P237&gt;DiasParado)),"Parado",""))</f>
        <v>0</v>
      </c>
      <c r="S237" s="26">
        <f>IF($A237="","",IF(OR(Q237="RUPTURA",Q237="REPOR"),IF(J237="",0,MAX(0,J237-H237)),0))</f>
        <v>0</v>
      </c>
      <c r="T237" s="24">
        <f>IF($A237="","",M237*IF(N(Produtos!G237)&gt;0,Produtos!G237,K237))</f>
        <v>0</v>
      </c>
      <c r="U237" s="32">
        <f>IF($A237="","",IF(T237&gt;0,T237+ROW()/1000000000,""))</f>
        <v>0</v>
      </c>
      <c r="V237" s="31">
        <f>IF($A237="","",IF(U237="","C",INDEX('Curva ABC'!$H$5:$H$304,MATCH(U237,'Curva ABC'!$B$5:$B$304,0))))</f>
        <v>0</v>
      </c>
      <c r="W237" s="24">
        <f>IF($A237="","",IF(R237="Parado",L237,0))</f>
        <v>0</v>
      </c>
      <c r="X237" s="33">
        <f>IF($A237="","",IF(OR(Q237="RUPTURA",Q237="REPOR"),COUNTIF($Q$5:Q237,"RUPTURA")+COUNTIF($Q$5:Q237,"REPOR"),""))</f>
        <v>0</v>
      </c>
    </row>
    <row r="238" spans="1:24">
      <c r="A238" s="23">
        <f>IF(Produtos!A238="","",Produtos!A238)</f>
        <v>0</v>
      </c>
      <c r="B238" s="23">
        <f>IF($A238="","",Produtos!B238&amp;"")</f>
        <v>0</v>
      </c>
      <c r="C238" s="23">
        <f>IF($A238="","",Produtos!C238&amp;"")</f>
        <v>0</v>
      </c>
      <c r="D238" s="25">
        <f>IF($A238="","",Produtos!D238&amp;"")</f>
        <v>0</v>
      </c>
      <c r="E238" s="26">
        <f>IF($A238="","",N(Produtos!H238))</f>
        <v>0</v>
      </c>
      <c r="F238" s="26">
        <f>IF($A238="","",SUMIFS(MovQtd,MovCod,$A238,MovTipo,"Entrada"))</f>
        <v>0</v>
      </c>
      <c r="G238" s="26">
        <f>IF($A238="","",SUMIFS(MovQtd,MovCod,$A238,MovTipo,"Saída"))</f>
        <v>0</v>
      </c>
      <c r="H238" s="27">
        <f>IF($A238="","",E238+F238-G238)</f>
        <v>0</v>
      </c>
      <c r="I238" s="26">
        <f>IF($A238="","",N(Produtos!I238))</f>
        <v>0</v>
      </c>
      <c r="J238" s="26">
        <f>IF($A238="","",IF(I238&gt;0,ROUNDUP(I238*FatMax,0),""))</f>
        <v>0</v>
      </c>
      <c r="K238" s="24">
        <f>IF($A238="","",N(Produtos!F238))</f>
        <v>0</v>
      </c>
      <c r="L238" s="24">
        <f>IF($A238="","",H238*K238)</f>
        <v>0</v>
      </c>
      <c r="M238" s="26">
        <f>IF($A238="","",SUMIFS(MovQtd,MovCod,$A238,MovTipo,"Saída",MovData,"&gt;="&amp;(Hoje-DiasAn),MovData,"&lt;="&amp;Hoje))</f>
        <v>0</v>
      </c>
      <c r="N238" s="28">
        <f>IF($A238="","",M238/DiasAn)</f>
        <v>0</v>
      </c>
      <c r="O238" s="29">
        <f>IF($A238="","",IF(N238&gt;0,H238/N238,"sem giro"))</f>
        <v>0</v>
      </c>
      <c r="P238" s="30">
        <f>IF($A238="","",SUMPRODUCT(MAX((MovCod=$A238)*(MovTipo="Saída")*MovData)))</f>
        <v>0</v>
      </c>
      <c r="Q238" s="31">
        <f>IF($A238="","",IF(H238&lt;=0,"RUPTURA",IF(AND(I238&gt;0,H238&lt;=I238),"REPOR",IF(AND(J238&lt;&gt;"",H238&gt;J238),"EXCESSO","OK"))))</f>
        <v>0</v>
      </c>
      <c r="R238" s="25">
        <f>IF($A238="","",IF(AND(H238&gt;0,OR(P238=0,Hoje-P238&gt;DiasParado)),"Parado",""))</f>
        <v>0</v>
      </c>
      <c r="S238" s="26">
        <f>IF($A238="","",IF(OR(Q238="RUPTURA",Q238="REPOR"),IF(J238="",0,MAX(0,J238-H238)),0))</f>
        <v>0</v>
      </c>
      <c r="T238" s="24">
        <f>IF($A238="","",M238*IF(N(Produtos!G238)&gt;0,Produtos!G238,K238))</f>
        <v>0</v>
      </c>
      <c r="U238" s="32">
        <f>IF($A238="","",IF(T238&gt;0,T238+ROW()/1000000000,""))</f>
        <v>0</v>
      </c>
      <c r="V238" s="31">
        <f>IF($A238="","",IF(U238="","C",INDEX('Curva ABC'!$H$5:$H$304,MATCH(U238,'Curva ABC'!$B$5:$B$304,0))))</f>
        <v>0</v>
      </c>
      <c r="W238" s="24">
        <f>IF($A238="","",IF(R238="Parado",L238,0))</f>
        <v>0</v>
      </c>
      <c r="X238" s="33">
        <f>IF($A238="","",IF(OR(Q238="RUPTURA",Q238="REPOR"),COUNTIF($Q$5:Q238,"RUPTURA")+COUNTIF($Q$5:Q238,"REPOR"),""))</f>
        <v>0</v>
      </c>
    </row>
    <row r="239" spans="1:24">
      <c r="A239" s="23">
        <f>IF(Produtos!A239="","",Produtos!A239)</f>
        <v>0</v>
      </c>
      <c r="B239" s="23">
        <f>IF($A239="","",Produtos!B239&amp;"")</f>
        <v>0</v>
      </c>
      <c r="C239" s="23">
        <f>IF($A239="","",Produtos!C239&amp;"")</f>
        <v>0</v>
      </c>
      <c r="D239" s="25">
        <f>IF($A239="","",Produtos!D239&amp;"")</f>
        <v>0</v>
      </c>
      <c r="E239" s="26">
        <f>IF($A239="","",N(Produtos!H239))</f>
        <v>0</v>
      </c>
      <c r="F239" s="26">
        <f>IF($A239="","",SUMIFS(MovQtd,MovCod,$A239,MovTipo,"Entrada"))</f>
        <v>0</v>
      </c>
      <c r="G239" s="26">
        <f>IF($A239="","",SUMIFS(MovQtd,MovCod,$A239,MovTipo,"Saída"))</f>
        <v>0</v>
      </c>
      <c r="H239" s="27">
        <f>IF($A239="","",E239+F239-G239)</f>
        <v>0</v>
      </c>
      <c r="I239" s="26">
        <f>IF($A239="","",N(Produtos!I239))</f>
        <v>0</v>
      </c>
      <c r="J239" s="26">
        <f>IF($A239="","",IF(I239&gt;0,ROUNDUP(I239*FatMax,0),""))</f>
        <v>0</v>
      </c>
      <c r="K239" s="24">
        <f>IF($A239="","",N(Produtos!F239))</f>
        <v>0</v>
      </c>
      <c r="L239" s="24">
        <f>IF($A239="","",H239*K239)</f>
        <v>0</v>
      </c>
      <c r="M239" s="26">
        <f>IF($A239="","",SUMIFS(MovQtd,MovCod,$A239,MovTipo,"Saída",MovData,"&gt;="&amp;(Hoje-DiasAn),MovData,"&lt;="&amp;Hoje))</f>
        <v>0</v>
      </c>
      <c r="N239" s="28">
        <f>IF($A239="","",M239/DiasAn)</f>
        <v>0</v>
      </c>
      <c r="O239" s="29">
        <f>IF($A239="","",IF(N239&gt;0,H239/N239,"sem giro"))</f>
        <v>0</v>
      </c>
      <c r="P239" s="30">
        <f>IF($A239="","",SUMPRODUCT(MAX((MovCod=$A239)*(MovTipo="Saída")*MovData)))</f>
        <v>0</v>
      </c>
      <c r="Q239" s="31">
        <f>IF($A239="","",IF(H239&lt;=0,"RUPTURA",IF(AND(I239&gt;0,H239&lt;=I239),"REPOR",IF(AND(J239&lt;&gt;"",H239&gt;J239),"EXCESSO","OK"))))</f>
        <v>0</v>
      </c>
      <c r="R239" s="25">
        <f>IF($A239="","",IF(AND(H239&gt;0,OR(P239=0,Hoje-P239&gt;DiasParado)),"Parado",""))</f>
        <v>0</v>
      </c>
      <c r="S239" s="26">
        <f>IF($A239="","",IF(OR(Q239="RUPTURA",Q239="REPOR"),IF(J239="",0,MAX(0,J239-H239)),0))</f>
        <v>0</v>
      </c>
      <c r="T239" s="24">
        <f>IF($A239="","",M239*IF(N(Produtos!G239)&gt;0,Produtos!G239,K239))</f>
        <v>0</v>
      </c>
      <c r="U239" s="32">
        <f>IF($A239="","",IF(T239&gt;0,T239+ROW()/1000000000,""))</f>
        <v>0</v>
      </c>
      <c r="V239" s="31">
        <f>IF($A239="","",IF(U239="","C",INDEX('Curva ABC'!$H$5:$H$304,MATCH(U239,'Curva ABC'!$B$5:$B$304,0))))</f>
        <v>0</v>
      </c>
      <c r="W239" s="24">
        <f>IF($A239="","",IF(R239="Parado",L239,0))</f>
        <v>0</v>
      </c>
      <c r="X239" s="33">
        <f>IF($A239="","",IF(OR(Q239="RUPTURA",Q239="REPOR"),COUNTIF($Q$5:Q239,"RUPTURA")+COUNTIF($Q$5:Q239,"REPOR"),""))</f>
        <v>0</v>
      </c>
    </row>
    <row r="240" spans="1:24">
      <c r="A240" s="23">
        <f>IF(Produtos!A240="","",Produtos!A240)</f>
        <v>0</v>
      </c>
      <c r="B240" s="23">
        <f>IF($A240="","",Produtos!B240&amp;"")</f>
        <v>0</v>
      </c>
      <c r="C240" s="23">
        <f>IF($A240="","",Produtos!C240&amp;"")</f>
        <v>0</v>
      </c>
      <c r="D240" s="25">
        <f>IF($A240="","",Produtos!D240&amp;"")</f>
        <v>0</v>
      </c>
      <c r="E240" s="26">
        <f>IF($A240="","",N(Produtos!H240))</f>
        <v>0</v>
      </c>
      <c r="F240" s="26">
        <f>IF($A240="","",SUMIFS(MovQtd,MovCod,$A240,MovTipo,"Entrada"))</f>
        <v>0</v>
      </c>
      <c r="G240" s="26">
        <f>IF($A240="","",SUMIFS(MovQtd,MovCod,$A240,MovTipo,"Saída"))</f>
        <v>0</v>
      </c>
      <c r="H240" s="27">
        <f>IF($A240="","",E240+F240-G240)</f>
        <v>0</v>
      </c>
      <c r="I240" s="26">
        <f>IF($A240="","",N(Produtos!I240))</f>
        <v>0</v>
      </c>
      <c r="J240" s="26">
        <f>IF($A240="","",IF(I240&gt;0,ROUNDUP(I240*FatMax,0),""))</f>
        <v>0</v>
      </c>
      <c r="K240" s="24">
        <f>IF($A240="","",N(Produtos!F240))</f>
        <v>0</v>
      </c>
      <c r="L240" s="24">
        <f>IF($A240="","",H240*K240)</f>
        <v>0</v>
      </c>
      <c r="M240" s="26">
        <f>IF($A240="","",SUMIFS(MovQtd,MovCod,$A240,MovTipo,"Saída",MovData,"&gt;="&amp;(Hoje-DiasAn),MovData,"&lt;="&amp;Hoje))</f>
        <v>0</v>
      </c>
      <c r="N240" s="28">
        <f>IF($A240="","",M240/DiasAn)</f>
        <v>0</v>
      </c>
      <c r="O240" s="29">
        <f>IF($A240="","",IF(N240&gt;0,H240/N240,"sem giro"))</f>
        <v>0</v>
      </c>
      <c r="P240" s="30">
        <f>IF($A240="","",SUMPRODUCT(MAX((MovCod=$A240)*(MovTipo="Saída")*MovData)))</f>
        <v>0</v>
      </c>
      <c r="Q240" s="31">
        <f>IF($A240="","",IF(H240&lt;=0,"RUPTURA",IF(AND(I240&gt;0,H240&lt;=I240),"REPOR",IF(AND(J240&lt;&gt;"",H240&gt;J240),"EXCESSO","OK"))))</f>
        <v>0</v>
      </c>
      <c r="R240" s="25">
        <f>IF($A240="","",IF(AND(H240&gt;0,OR(P240=0,Hoje-P240&gt;DiasParado)),"Parado",""))</f>
        <v>0</v>
      </c>
      <c r="S240" s="26">
        <f>IF($A240="","",IF(OR(Q240="RUPTURA",Q240="REPOR"),IF(J240="",0,MAX(0,J240-H240)),0))</f>
        <v>0</v>
      </c>
      <c r="T240" s="24">
        <f>IF($A240="","",M240*IF(N(Produtos!G240)&gt;0,Produtos!G240,K240))</f>
        <v>0</v>
      </c>
      <c r="U240" s="32">
        <f>IF($A240="","",IF(T240&gt;0,T240+ROW()/1000000000,""))</f>
        <v>0</v>
      </c>
      <c r="V240" s="31">
        <f>IF($A240="","",IF(U240="","C",INDEX('Curva ABC'!$H$5:$H$304,MATCH(U240,'Curva ABC'!$B$5:$B$304,0))))</f>
        <v>0</v>
      </c>
      <c r="W240" s="24">
        <f>IF($A240="","",IF(R240="Parado",L240,0))</f>
        <v>0</v>
      </c>
      <c r="X240" s="33">
        <f>IF($A240="","",IF(OR(Q240="RUPTURA",Q240="REPOR"),COUNTIF($Q$5:Q240,"RUPTURA")+COUNTIF($Q$5:Q240,"REPOR"),""))</f>
        <v>0</v>
      </c>
    </row>
    <row r="241" spans="1:24">
      <c r="A241" s="23">
        <f>IF(Produtos!A241="","",Produtos!A241)</f>
        <v>0</v>
      </c>
      <c r="B241" s="23">
        <f>IF($A241="","",Produtos!B241&amp;"")</f>
        <v>0</v>
      </c>
      <c r="C241" s="23">
        <f>IF($A241="","",Produtos!C241&amp;"")</f>
        <v>0</v>
      </c>
      <c r="D241" s="25">
        <f>IF($A241="","",Produtos!D241&amp;"")</f>
        <v>0</v>
      </c>
      <c r="E241" s="26">
        <f>IF($A241="","",N(Produtos!H241))</f>
        <v>0</v>
      </c>
      <c r="F241" s="26">
        <f>IF($A241="","",SUMIFS(MovQtd,MovCod,$A241,MovTipo,"Entrada"))</f>
        <v>0</v>
      </c>
      <c r="G241" s="26">
        <f>IF($A241="","",SUMIFS(MovQtd,MovCod,$A241,MovTipo,"Saída"))</f>
        <v>0</v>
      </c>
      <c r="H241" s="27">
        <f>IF($A241="","",E241+F241-G241)</f>
        <v>0</v>
      </c>
      <c r="I241" s="26">
        <f>IF($A241="","",N(Produtos!I241))</f>
        <v>0</v>
      </c>
      <c r="J241" s="26">
        <f>IF($A241="","",IF(I241&gt;0,ROUNDUP(I241*FatMax,0),""))</f>
        <v>0</v>
      </c>
      <c r="K241" s="24">
        <f>IF($A241="","",N(Produtos!F241))</f>
        <v>0</v>
      </c>
      <c r="L241" s="24">
        <f>IF($A241="","",H241*K241)</f>
        <v>0</v>
      </c>
      <c r="M241" s="26">
        <f>IF($A241="","",SUMIFS(MovQtd,MovCod,$A241,MovTipo,"Saída",MovData,"&gt;="&amp;(Hoje-DiasAn),MovData,"&lt;="&amp;Hoje))</f>
        <v>0</v>
      </c>
      <c r="N241" s="28">
        <f>IF($A241="","",M241/DiasAn)</f>
        <v>0</v>
      </c>
      <c r="O241" s="29">
        <f>IF($A241="","",IF(N241&gt;0,H241/N241,"sem giro"))</f>
        <v>0</v>
      </c>
      <c r="P241" s="30">
        <f>IF($A241="","",SUMPRODUCT(MAX((MovCod=$A241)*(MovTipo="Saída")*MovData)))</f>
        <v>0</v>
      </c>
      <c r="Q241" s="31">
        <f>IF($A241="","",IF(H241&lt;=0,"RUPTURA",IF(AND(I241&gt;0,H241&lt;=I241),"REPOR",IF(AND(J241&lt;&gt;"",H241&gt;J241),"EXCESSO","OK"))))</f>
        <v>0</v>
      </c>
      <c r="R241" s="25">
        <f>IF($A241="","",IF(AND(H241&gt;0,OR(P241=0,Hoje-P241&gt;DiasParado)),"Parado",""))</f>
        <v>0</v>
      </c>
      <c r="S241" s="26">
        <f>IF($A241="","",IF(OR(Q241="RUPTURA",Q241="REPOR"),IF(J241="",0,MAX(0,J241-H241)),0))</f>
        <v>0</v>
      </c>
      <c r="T241" s="24">
        <f>IF($A241="","",M241*IF(N(Produtos!G241)&gt;0,Produtos!G241,K241))</f>
        <v>0</v>
      </c>
      <c r="U241" s="32">
        <f>IF($A241="","",IF(T241&gt;0,T241+ROW()/1000000000,""))</f>
        <v>0</v>
      </c>
      <c r="V241" s="31">
        <f>IF($A241="","",IF(U241="","C",INDEX('Curva ABC'!$H$5:$H$304,MATCH(U241,'Curva ABC'!$B$5:$B$304,0))))</f>
        <v>0</v>
      </c>
      <c r="W241" s="24">
        <f>IF($A241="","",IF(R241="Parado",L241,0))</f>
        <v>0</v>
      </c>
      <c r="X241" s="33">
        <f>IF($A241="","",IF(OR(Q241="RUPTURA",Q241="REPOR"),COUNTIF($Q$5:Q241,"RUPTURA")+COUNTIF($Q$5:Q241,"REPOR"),""))</f>
        <v>0</v>
      </c>
    </row>
    <row r="242" spans="1:24">
      <c r="A242" s="23">
        <f>IF(Produtos!A242="","",Produtos!A242)</f>
        <v>0</v>
      </c>
      <c r="B242" s="23">
        <f>IF($A242="","",Produtos!B242&amp;"")</f>
        <v>0</v>
      </c>
      <c r="C242" s="23">
        <f>IF($A242="","",Produtos!C242&amp;"")</f>
        <v>0</v>
      </c>
      <c r="D242" s="25">
        <f>IF($A242="","",Produtos!D242&amp;"")</f>
        <v>0</v>
      </c>
      <c r="E242" s="26">
        <f>IF($A242="","",N(Produtos!H242))</f>
        <v>0</v>
      </c>
      <c r="F242" s="26">
        <f>IF($A242="","",SUMIFS(MovQtd,MovCod,$A242,MovTipo,"Entrada"))</f>
        <v>0</v>
      </c>
      <c r="G242" s="26">
        <f>IF($A242="","",SUMIFS(MovQtd,MovCod,$A242,MovTipo,"Saída"))</f>
        <v>0</v>
      </c>
      <c r="H242" s="27">
        <f>IF($A242="","",E242+F242-G242)</f>
        <v>0</v>
      </c>
      <c r="I242" s="26">
        <f>IF($A242="","",N(Produtos!I242))</f>
        <v>0</v>
      </c>
      <c r="J242" s="26">
        <f>IF($A242="","",IF(I242&gt;0,ROUNDUP(I242*FatMax,0),""))</f>
        <v>0</v>
      </c>
      <c r="K242" s="24">
        <f>IF($A242="","",N(Produtos!F242))</f>
        <v>0</v>
      </c>
      <c r="L242" s="24">
        <f>IF($A242="","",H242*K242)</f>
        <v>0</v>
      </c>
      <c r="M242" s="26">
        <f>IF($A242="","",SUMIFS(MovQtd,MovCod,$A242,MovTipo,"Saída",MovData,"&gt;="&amp;(Hoje-DiasAn),MovData,"&lt;="&amp;Hoje))</f>
        <v>0</v>
      </c>
      <c r="N242" s="28">
        <f>IF($A242="","",M242/DiasAn)</f>
        <v>0</v>
      </c>
      <c r="O242" s="29">
        <f>IF($A242="","",IF(N242&gt;0,H242/N242,"sem giro"))</f>
        <v>0</v>
      </c>
      <c r="P242" s="30">
        <f>IF($A242="","",SUMPRODUCT(MAX((MovCod=$A242)*(MovTipo="Saída")*MovData)))</f>
        <v>0</v>
      </c>
      <c r="Q242" s="31">
        <f>IF($A242="","",IF(H242&lt;=0,"RUPTURA",IF(AND(I242&gt;0,H242&lt;=I242),"REPOR",IF(AND(J242&lt;&gt;"",H242&gt;J242),"EXCESSO","OK"))))</f>
        <v>0</v>
      </c>
      <c r="R242" s="25">
        <f>IF($A242="","",IF(AND(H242&gt;0,OR(P242=0,Hoje-P242&gt;DiasParado)),"Parado",""))</f>
        <v>0</v>
      </c>
      <c r="S242" s="26">
        <f>IF($A242="","",IF(OR(Q242="RUPTURA",Q242="REPOR"),IF(J242="",0,MAX(0,J242-H242)),0))</f>
        <v>0</v>
      </c>
      <c r="T242" s="24">
        <f>IF($A242="","",M242*IF(N(Produtos!G242)&gt;0,Produtos!G242,K242))</f>
        <v>0</v>
      </c>
      <c r="U242" s="32">
        <f>IF($A242="","",IF(T242&gt;0,T242+ROW()/1000000000,""))</f>
        <v>0</v>
      </c>
      <c r="V242" s="31">
        <f>IF($A242="","",IF(U242="","C",INDEX('Curva ABC'!$H$5:$H$304,MATCH(U242,'Curva ABC'!$B$5:$B$304,0))))</f>
        <v>0</v>
      </c>
      <c r="W242" s="24">
        <f>IF($A242="","",IF(R242="Parado",L242,0))</f>
        <v>0</v>
      </c>
      <c r="X242" s="33">
        <f>IF($A242="","",IF(OR(Q242="RUPTURA",Q242="REPOR"),COUNTIF($Q$5:Q242,"RUPTURA")+COUNTIF($Q$5:Q242,"REPOR"),""))</f>
        <v>0</v>
      </c>
    </row>
    <row r="243" spans="1:24">
      <c r="A243" s="23">
        <f>IF(Produtos!A243="","",Produtos!A243)</f>
        <v>0</v>
      </c>
      <c r="B243" s="23">
        <f>IF($A243="","",Produtos!B243&amp;"")</f>
        <v>0</v>
      </c>
      <c r="C243" s="23">
        <f>IF($A243="","",Produtos!C243&amp;"")</f>
        <v>0</v>
      </c>
      <c r="D243" s="25">
        <f>IF($A243="","",Produtos!D243&amp;"")</f>
        <v>0</v>
      </c>
      <c r="E243" s="26">
        <f>IF($A243="","",N(Produtos!H243))</f>
        <v>0</v>
      </c>
      <c r="F243" s="26">
        <f>IF($A243="","",SUMIFS(MovQtd,MovCod,$A243,MovTipo,"Entrada"))</f>
        <v>0</v>
      </c>
      <c r="G243" s="26">
        <f>IF($A243="","",SUMIFS(MovQtd,MovCod,$A243,MovTipo,"Saída"))</f>
        <v>0</v>
      </c>
      <c r="H243" s="27">
        <f>IF($A243="","",E243+F243-G243)</f>
        <v>0</v>
      </c>
      <c r="I243" s="26">
        <f>IF($A243="","",N(Produtos!I243))</f>
        <v>0</v>
      </c>
      <c r="J243" s="26">
        <f>IF($A243="","",IF(I243&gt;0,ROUNDUP(I243*FatMax,0),""))</f>
        <v>0</v>
      </c>
      <c r="K243" s="24">
        <f>IF($A243="","",N(Produtos!F243))</f>
        <v>0</v>
      </c>
      <c r="L243" s="24">
        <f>IF($A243="","",H243*K243)</f>
        <v>0</v>
      </c>
      <c r="M243" s="26">
        <f>IF($A243="","",SUMIFS(MovQtd,MovCod,$A243,MovTipo,"Saída",MovData,"&gt;="&amp;(Hoje-DiasAn),MovData,"&lt;="&amp;Hoje))</f>
        <v>0</v>
      </c>
      <c r="N243" s="28">
        <f>IF($A243="","",M243/DiasAn)</f>
        <v>0</v>
      </c>
      <c r="O243" s="29">
        <f>IF($A243="","",IF(N243&gt;0,H243/N243,"sem giro"))</f>
        <v>0</v>
      </c>
      <c r="P243" s="30">
        <f>IF($A243="","",SUMPRODUCT(MAX((MovCod=$A243)*(MovTipo="Saída")*MovData)))</f>
        <v>0</v>
      </c>
      <c r="Q243" s="31">
        <f>IF($A243="","",IF(H243&lt;=0,"RUPTURA",IF(AND(I243&gt;0,H243&lt;=I243),"REPOR",IF(AND(J243&lt;&gt;"",H243&gt;J243),"EXCESSO","OK"))))</f>
        <v>0</v>
      </c>
      <c r="R243" s="25">
        <f>IF($A243="","",IF(AND(H243&gt;0,OR(P243=0,Hoje-P243&gt;DiasParado)),"Parado",""))</f>
        <v>0</v>
      </c>
      <c r="S243" s="26">
        <f>IF($A243="","",IF(OR(Q243="RUPTURA",Q243="REPOR"),IF(J243="",0,MAX(0,J243-H243)),0))</f>
        <v>0</v>
      </c>
      <c r="T243" s="24">
        <f>IF($A243="","",M243*IF(N(Produtos!G243)&gt;0,Produtos!G243,K243))</f>
        <v>0</v>
      </c>
      <c r="U243" s="32">
        <f>IF($A243="","",IF(T243&gt;0,T243+ROW()/1000000000,""))</f>
        <v>0</v>
      </c>
      <c r="V243" s="31">
        <f>IF($A243="","",IF(U243="","C",INDEX('Curva ABC'!$H$5:$H$304,MATCH(U243,'Curva ABC'!$B$5:$B$304,0))))</f>
        <v>0</v>
      </c>
      <c r="W243" s="24">
        <f>IF($A243="","",IF(R243="Parado",L243,0))</f>
        <v>0</v>
      </c>
      <c r="X243" s="33">
        <f>IF($A243="","",IF(OR(Q243="RUPTURA",Q243="REPOR"),COUNTIF($Q$5:Q243,"RUPTURA")+COUNTIF($Q$5:Q243,"REPOR"),""))</f>
        <v>0</v>
      </c>
    </row>
    <row r="244" spans="1:24">
      <c r="A244" s="23">
        <f>IF(Produtos!A244="","",Produtos!A244)</f>
        <v>0</v>
      </c>
      <c r="B244" s="23">
        <f>IF($A244="","",Produtos!B244&amp;"")</f>
        <v>0</v>
      </c>
      <c r="C244" s="23">
        <f>IF($A244="","",Produtos!C244&amp;"")</f>
        <v>0</v>
      </c>
      <c r="D244" s="25">
        <f>IF($A244="","",Produtos!D244&amp;"")</f>
        <v>0</v>
      </c>
      <c r="E244" s="26">
        <f>IF($A244="","",N(Produtos!H244))</f>
        <v>0</v>
      </c>
      <c r="F244" s="26">
        <f>IF($A244="","",SUMIFS(MovQtd,MovCod,$A244,MovTipo,"Entrada"))</f>
        <v>0</v>
      </c>
      <c r="G244" s="26">
        <f>IF($A244="","",SUMIFS(MovQtd,MovCod,$A244,MovTipo,"Saída"))</f>
        <v>0</v>
      </c>
      <c r="H244" s="27">
        <f>IF($A244="","",E244+F244-G244)</f>
        <v>0</v>
      </c>
      <c r="I244" s="26">
        <f>IF($A244="","",N(Produtos!I244))</f>
        <v>0</v>
      </c>
      <c r="J244" s="26">
        <f>IF($A244="","",IF(I244&gt;0,ROUNDUP(I244*FatMax,0),""))</f>
        <v>0</v>
      </c>
      <c r="K244" s="24">
        <f>IF($A244="","",N(Produtos!F244))</f>
        <v>0</v>
      </c>
      <c r="L244" s="24">
        <f>IF($A244="","",H244*K244)</f>
        <v>0</v>
      </c>
      <c r="M244" s="26">
        <f>IF($A244="","",SUMIFS(MovQtd,MovCod,$A244,MovTipo,"Saída",MovData,"&gt;="&amp;(Hoje-DiasAn),MovData,"&lt;="&amp;Hoje))</f>
        <v>0</v>
      </c>
      <c r="N244" s="28">
        <f>IF($A244="","",M244/DiasAn)</f>
        <v>0</v>
      </c>
      <c r="O244" s="29">
        <f>IF($A244="","",IF(N244&gt;0,H244/N244,"sem giro"))</f>
        <v>0</v>
      </c>
      <c r="P244" s="30">
        <f>IF($A244="","",SUMPRODUCT(MAX((MovCod=$A244)*(MovTipo="Saída")*MovData)))</f>
        <v>0</v>
      </c>
      <c r="Q244" s="31">
        <f>IF($A244="","",IF(H244&lt;=0,"RUPTURA",IF(AND(I244&gt;0,H244&lt;=I244),"REPOR",IF(AND(J244&lt;&gt;"",H244&gt;J244),"EXCESSO","OK"))))</f>
        <v>0</v>
      </c>
      <c r="R244" s="25">
        <f>IF($A244="","",IF(AND(H244&gt;0,OR(P244=0,Hoje-P244&gt;DiasParado)),"Parado",""))</f>
        <v>0</v>
      </c>
      <c r="S244" s="26">
        <f>IF($A244="","",IF(OR(Q244="RUPTURA",Q244="REPOR"),IF(J244="",0,MAX(0,J244-H244)),0))</f>
        <v>0</v>
      </c>
      <c r="T244" s="24">
        <f>IF($A244="","",M244*IF(N(Produtos!G244)&gt;0,Produtos!G244,K244))</f>
        <v>0</v>
      </c>
      <c r="U244" s="32">
        <f>IF($A244="","",IF(T244&gt;0,T244+ROW()/1000000000,""))</f>
        <v>0</v>
      </c>
      <c r="V244" s="31">
        <f>IF($A244="","",IF(U244="","C",INDEX('Curva ABC'!$H$5:$H$304,MATCH(U244,'Curva ABC'!$B$5:$B$304,0))))</f>
        <v>0</v>
      </c>
      <c r="W244" s="24">
        <f>IF($A244="","",IF(R244="Parado",L244,0))</f>
        <v>0</v>
      </c>
      <c r="X244" s="33">
        <f>IF($A244="","",IF(OR(Q244="RUPTURA",Q244="REPOR"),COUNTIF($Q$5:Q244,"RUPTURA")+COUNTIF($Q$5:Q244,"REPOR"),""))</f>
        <v>0</v>
      </c>
    </row>
    <row r="245" spans="1:24">
      <c r="A245" s="23">
        <f>IF(Produtos!A245="","",Produtos!A245)</f>
        <v>0</v>
      </c>
      <c r="B245" s="23">
        <f>IF($A245="","",Produtos!B245&amp;"")</f>
        <v>0</v>
      </c>
      <c r="C245" s="23">
        <f>IF($A245="","",Produtos!C245&amp;"")</f>
        <v>0</v>
      </c>
      <c r="D245" s="25">
        <f>IF($A245="","",Produtos!D245&amp;"")</f>
        <v>0</v>
      </c>
      <c r="E245" s="26">
        <f>IF($A245="","",N(Produtos!H245))</f>
        <v>0</v>
      </c>
      <c r="F245" s="26">
        <f>IF($A245="","",SUMIFS(MovQtd,MovCod,$A245,MovTipo,"Entrada"))</f>
        <v>0</v>
      </c>
      <c r="G245" s="26">
        <f>IF($A245="","",SUMIFS(MovQtd,MovCod,$A245,MovTipo,"Saída"))</f>
        <v>0</v>
      </c>
      <c r="H245" s="27">
        <f>IF($A245="","",E245+F245-G245)</f>
        <v>0</v>
      </c>
      <c r="I245" s="26">
        <f>IF($A245="","",N(Produtos!I245))</f>
        <v>0</v>
      </c>
      <c r="J245" s="26">
        <f>IF($A245="","",IF(I245&gt;0,ROUNDUP(I245*FatMax,0),""))</f>
        <v>0</v>
      </c>
      <c r="K245" s="24">
        <f>IF($A245="","",N(Produtos!F245))</f>
        <v>0</v>
      </c>
      <c r="L245" s="24">
        <f>IF($A245="","",H245*K245)</f>
        <v>0</v>
      </c>
      <c r="M245" s="26">
        <f>IF($A245="","",SUMIFS(MovQtd,MovCod,$A245,MovTipo,"Saída",MovData,"&gt;="&amp;(Hoje-DiasAn),MovData,"&lt;="&amp;Hoje))</f>
        <v>0</v>
      </c>
      <c r="N245" s="28">
        <f>IF($A245="","",M245/DiasAn)</f>
        <v>0</v>
      </c>
      <c r="O245" s="29">
        <f>IF($A245="","",IF(N245&gt;0,H245/N245,"sem giro"))</f>
        <v>0</v>
      </c>
      <c r="P245" s="30">
        <f>IF($A245="","",SUMPRODUCT(MAX((MovCod=$A245)*(MovTipo="Saída")*MovData)))</f>
        <v>0</v>
      </c>
      <c r="Q245" s="31">
        <f>IF($A245="","",IF(H245&lt;=0,"RUPTURA",IF(AND(I245&gt;0,H245&lt;=I245),"REPOR",IF(AND(J245&lt;&gt;"",H245&gt;J245),"EXCESSO","OK"))))</f>
        <v>0</v>
      </c>
      <c r="R245" s="25">
        <f>IF($A245="","",IF(AND(H245&gt;0,OR(P245=0,Hoje-P245&gt;DiasParado)),"Parado",""))</f>
        <v>0</v>
      </c>
      <c r="S245" s="26">
        <f>IF($A245="","",IF(OR(Q245="RUPTURA",Q245="REPOR"),IF(J245="",0,MAX(0,J245-H245)),0))</f>
        <v>0</v>
      </c>
      <c r="T245" s="24">
        <f>IF($A245="","",M245*IF(N(Produtos!G245)&gt;0,Produtos!G245,K245))</f>
        <v>0</v>
      </c>
      <c r="U245" s="32">
        <f>IF($A245="","",IF(T245&gt;0,T245+ROW()/1000000000,""))</f>
        <v>0</v>
      </c>
      <c r="V245" s="31">
        <f>IF($A245="","",IF(U245="","C",INDEX('Curva ABC'!$H$5:$H$304,MATCH(U245,'Curva ABC'!$B$5:$B$304,0))))</f>
        <v>0</v>
      </c>
      <c r="W245" s="24">
        <f>IF($A245="","",IF(R245="Parado",L245,0))</f>
        <v>0</v>
      </c>
      <c r="X245" s="33">
        <f>IF($A245="","",IF(OR(Q245="RUPTURA",Q245="REPOR"),COUNTIF($Q$5:Q245,"RUPTURA")+COUNTIF($Q$5:Q245,"REPOR"),""))</f>
        <v>0</v>
      </c>
    </row>
    <row r="246" spans="1:24">
      <c r="A246" s="23">
        <f>IF(Produtos!A246="","",Produtos!A246)</f>
        <v>0</v>
      </c>
      <c r="B246" s="23">
        <f>IF($A246="","",Produtos!B246&amp;"")</f>
        <v>0</v>
      </c>
      <c r="C246" s="23">
        <f>IF($A246="","",Produtos!C246&amp;"")</f>
        <v>0</v>
      </c>
      <c r="D246" s="25">
        <f>IF($A246="","",Produtos!D246&amp;"")</f>
        <v>0</v>
      </c>
      <c r="E246" s="26">
        <f>IF($A246="","",N(Produtos!H246))</f>
        <v>0</v>
      </c>
      <c r="F246" s="26">
        <f>IF($A246="","",SUMIFS(MovQtd,MovCod,$A246,MovTipo,"Entrada"))</f>
        <v>0</v>
      </c>
      <c r="G246" s="26">
        <f>IF($A246="","",SUMIFS(MovQtd,MovCod,$A246,MovTipo,"Saída"))</f>
        <v>0</v>
      </c>
      <c r="H246" s="27">
        <f>IF($A246="","",E246+F246-G246)</f>
        <v>0</v>
      </c>
      <c r="I246" s="26">
        <f>IF($A246="","",N(Produtos!I246))</f>
        <v>0</v>
      </c>
      <c r="J246" s="26">
        <f>IF($A246="","",IF(I246&gt;0,ROUNDUP(I246*FatMax,0),""))</f>
        <v>0</v>
      </c>
      <c r="K246" s="24">
        <f>IF($A246="","",N(Produtos!F246))</f>
        <v>0</v>
      </c>
      <c r="L246" s="24">
        <f>IF($A246="","",H246*K246)</f>
        <v>0</v>
      </c>
      <c r="M246" s="26">
        <f>IF($A246="","",SUMIFS(MovQtd,MovCod,$A246,MovTipo,"Saída",MovData,"&gt;="&amp;(Hoje-DiasAn),MovData,"&lt;="&amp;Hoje))</f>
        <v>0</v>
      </c>
      <c r="N246" s="28">
        <f>IF($A246="","",M246/DiasAn)</f>
        <v>0</v>
      </c>
      <c r="O246" s="29">
        <f>IF($A246="","",IF(N246&gt;0,H246/N246,"sem giro"))</f>
        <v>0</v>
      </c>
      <c r="P246" s="30">
        <f>IF($A246="","",SUMPRODUCT(MAX((MovCod=$A246)*(MovTipo="Saída")*MovData)))</f>
        <v>0</v>
      </c>
      <c r="Q246" s="31">
        <f>IF($A246="","",IF(H246&lt;=0,"RUPTURA",IF(AND(I246&gt;0,H246&lt;=I246),"REPOR",IF(AND(J246&lt;&gt;"",H246&gt;J246),"EXCESSO","OK"))))</f>
        <v>0</v>
      </c>
      <c r="R246" s="25">
        <f>IF($A246="","",IF(AND(H246&gt;0,OR(P246=0,Hoje-P246&gt;DiasParado)),"Parado",""))</f>
        <v>0</v>
      </c>
      <c r="S246" s="26">
        <f>IF($A246="","",IF(OR(Q246="RUPTURA",Q246="REPOR"),IF(J246="",0,MAX(0,J246-H246)),0))</f>
        <v>0</v>
      </c>
      <c r="T246" s="24">
        <f>IF($A246="","",M246*IF(N(Produtos!G246)&gt;0,Produtos!G246,K246))</f>
        <v>0</v>
      </c>
      <c r="U246" s="32">
        <f>IF($A246="","",IF(T246&gt;0,T246+ROW()/1000000000,""))</f>
        <v>0</v>
      </c>
      <c r="V246" s="31">
        <f>IF($A246="","",IF(U246="","C",INDEX('Curva ABC'!$H$5:$H$304,MATCH(U246,'Curva ABC'!$B$5:$B$304,0))))</f>
        <v>0</v>
      </c>
      <c r="W246" s="24">
        <f>IF($A246="","",IF(R246="Parado",L246,0))</f>
        <v>0</v>
      </c>
      <c r="X246" s="33">
        <f>IF($A246="","",IF(OR(Q246="RUPTURA",Q246="REPOR"),COUNTIF($Q$5:Q246,"RUPTURA")+COUNTIF($Q$5:Q246,"REPOR"),""))</f>
        <v>0</v>
      </c>
    </row>
    <row r="247" spans="1:24">
      <c r="A247" s="23">
        <f>IF(Produtos!A247="","",Produtos!A247)</f>
        <v>0</v>
      </c>
      <c r="B247" s="23">
        <f>IF($A247="","",Produtos!B247&amp;"")</f>
        <v>0</v>
      </c>
      <c r="C247" s="23">
        <f>IF($A247="","",Produtos!C247&amp;"")</f>
        <v>0</v>
      </c>
      <c r="D247" s="25">
        <f>IF($A247="","",Produtos!D247&amp;"")</f>
        <v>0</v>
      </c>
      <c r="E247" s="26">
        <f>IF($A247="","",N(Produtos!H247))</f>
        <v>0</v>
      </c>
      <c r="F247" s="26">
        <f>IF($A247="","",SUMIFS(MovQtd,MovCod,$A247,MovTipo,"Entrada"))</f>
        <v>0</v>
      </c>
      <c r="G247" s="26">
        <f>IF($A247="","",SUMIFS(MovQtd,MovCod,$A247,MovTipo,"Saída"))</f>
        <v>0</v>
      </c>
      <c r="H247" s="27">
        <f>IF($A247="","",E247+F247-G247)</f>
        <v>0</v>
      </c>
      <c r="I247" s="26">
        <f>IF($A247="","",N(Produtos!I247))</f>
        <v>0</v>
      </c>
      <c r="J247" s="26">
        <f>IF($A247="","",IF(I247&gt;0,ROUNDUP(I247*FatMax,0),""))</f>
        <v>0</v>
      </c>
      <c r="K247" s="24">
        <f>IF($A247="","",N(Produtos!F247))</f>
        <v>0</v>
      </c>
      <c r="L247" s="24">
        <f>IF($A247="","",H247*K247)</f>
        <v>0</v>
      </c>
      <c r="M247" s="26">
        <f>IF($A247="","",SUMIFS(MovQtd,MovCod,$A247,MovTipo,"Saída",MovData,"&gt;="&amp;(Hoje-DiasAn),MovData,"&lt;="&amp;Hoje))</f>
        <v>0</v>
      </c>
      <c r="N247" s="28">
        <f>IF($A247="","",M247/DiasAn)</f>
        <v>0</v>
      </c>
      <c r="O247" s="29">
        <f>IF($A247="","",IF(N247&gt;0,H247/N247,"sem giro"))</f>
        <v>0</v>
      </c>
      <c r="P247" s="30">
        <f>IF($A247="","",SUMPRODUCT(MAX((MovCod=$A247)*(MovTipo="Saída")*MovData)))</f>
        <v>0</v>
      </c>
      <c r="Q247" s="31">
        <f>IF($A247="","",IF(H247&lt;=0,"RUPTURA",IF(AND(I247&gt;0,H247&lt;=I247),"REPOR",IF(AND(J247&lt;&gt;"",H247&gt;J247),"EXCESSO","OK"))))</f>
        <v>0</v>
      </c>
      <c r="R247" s="25">
        <f>IF($A247="","",IF(AND(H247&gt;0,OR(P247=0,Hoje-P247&gt;DiasParado)),"Parado",""))</f>
        <v>0</v>
      </c>
      <c r="S247" s="26">
        <f>IF($A247="","",IF(OR(Q247="RUPTURA",Q247="REPOR"),IF(J247="",0,MAX(0,J247-H247)),0))</f>
        <v>0</v>
      </c>
      <c r="T247" s="24">
        <f>IF($A247="","",M247*IF(N(Produtos!G247)&gt;0,Produtos!G247,K247))</f>
        <v>0</v>
      </c>
      <c r="U247" s="32">
        <f>IF($A247="","",IF(T247&gt;0,T247+ROW()/1000000000,""))</f>
        <v>0</v>
      </c>
      <c r="V247" s="31">
        <f>IF($A247="","",IF(U247="","C",INDEX('Curva ABC'!$H$5:$H$304,MATCH(U247,'Curva ABC'!$B$5:$B$304,0))))</f>
        <v>0</v>
      </c>
      <c r="W247" s="24">
        <f>IF($A247="","",IF(R247="Parado",L247,0))</f>
        <v>0</v>
      </c>
      <c r="X247" s="33">
        <f>IF($A247="","",IF(OR(Q247="RUPTURA",Q247="REPOR"),COUNTIF($Q$5:Q247,"RUPTURA")+COUNTIF($Q$5:Q247,"REPOR"),""))</f>
        <v>0</v>
      </c>
    </row>
    <row r="248" spans="1:24">
      <c r="A248" s="23">
        <f>IF(Produtos!A248="","",Produtos!A248)</f>
        <v>0</v>
      </c>
      <c r="B248" s="23">
        <f>IF($A248="","",Produtos!B248&amp;"")</f>
        <v>0</v>
      </c>
      <c r="C248" s="23">
        <f>IF($A248="","",Produtos!C248&amp;"")</f>
        <v>0</v>
      </c>
      <c r="D248" s="25">
        <f>IF($A248="","",Produtos!D248&amp;"")</f>
        <v>0</v>
      </c>
      <c r="E248" s="26">
        <f>IF($A248="","",N(Produtos!H248))</f>
        <v>0</v>
      </c>
      <c r="F248" s="26">
        <f>IF($A248="","",SUMIFS(MovQtd,MovCod,$A248,MovTipo,"Entrada"))</f>
        <v>0</v>
      </c>
      <c r="G248" s="26">
        <f>IF($A248="","",SUMIFS(MovQtd,MovCod,$A248,MovTipo,"Saída"))</f>
        <v>0</v>
      </c>
      <c r="H248" s="27">
        <f>IF($A248="","",E248+F248-G248)</f>
        <v>0</v>
      </c>
      <c r="I248" s="26">
        <f>IF($A248="","",N(Produtos!I248))</f>
        <v>0</v>
      </c>
      <c r="J248" s="26">
        <f>IF($A248="","",IF(I248&gt;0,ROUNDUP(I248*FatMax,0),""))</f>
        <v>0</v>
      </c>
      <c r="K248" s="24">
        <f>IF($A248="","",N(Produtos!F248))</f>
        <v>0</v>
      </c>
      <c r="L248" s="24">
        <f>IF($A248="","",H248*K248)</f>
        <v>0</v>
      </c>
      <c r="M248" s="26">
        <f>IF($A248="","",SUMIFS(MovQtd,MovCod,$A248,MovTipo,"Saída",MovData,"&gt;="&amp;(Hoje-DiasAn),MovData,"&lt;="&amp;Hoje))</f>
        <v>0</v>
      </c>
      <c r="N248" s="28">
        <f>IF($A248="","",M248/DiasAn)</f>
        <v>0</v>
      </c>
      <c r="O248" s="29">
        <f>IF($A248="","",IF(N248&gt;0,H248/N248,"sem giro"))</f>
        <v>0</v>
      </c>
      <c r="P248" s="30">
        <f>IF($A248="","",SUMPRODUCT(MAX((MovCod=$A248)*(MovTipo="Saída")*MovData)))</f>
        <v>0</v>
      </c>
      <c r="Q248" s="31">
        <f>IF($A248="","",IF(H248&lt;=0,"RUPTURA",IF(AND(I248&gt;0,H248&lt;=I248),"REPOR",IF(AND(J248&lt;&gt;"",H248&gt;J248),"EXCESSO","OK"))))</f>
        <v>0</v>
      </c>
      <c r="R248" s="25">
        <f>IF($A248="","",IF(AND(H248&gt;0,OR(P248=0,Hoje-P248&gt;DiasParado)),"Parado",""))</f>
        <v>0</v>
      </c>
      <c r="S248" s="26">
        <f>IF($A248="","",IF(OR(Q248="RUPTURA",Q248="REPOR"),IF(J248="",0,MAX(0,J248-H248)),0))</f>
        <v>0</v>
      </c>
      <c r="T248" s="24">
        <f>IF($A248="","",M248*IF(N(Produtos!G248)&gt;0,Produtos!G248,K248))</f>
        <v>0</v>
      </c>
      <c r="U248" s="32">
        <f>IF($A248="","",IF(T248&gt;0,T248+ROW()/1000000000,""))</f>
        <v>0</v>
      </c>
      <c r="V248" s="31">
        <f>IF($A248="","",IF(U248="","C",INDEX('Curva ABC'!$H$5:$H$304,MATCH(U248,'Curva ABC'!$B$5:$B$304,0))))</f>
        <v>0</v>
      </c>
      <c r="W248" s="24">
        <f>IF($A248="","",IF(R248="Parado",L248,0))</f>
        <v>0</v>
      </c>
      <c r="X248" s="33">
        <f>IF($A248="","",IF(OR(Q248="RUPTURA",Q248="REPOR"),COUNTIF($Q$5:Q248,"RUPTURA")+COUNTIF($Q$5:Q248,"REPOR"),""))</f>
        <v>0</v>
      </c>
    </row>
    <row r="249" spans="1:24">
      <c r="A249" s="23">
        <f>IF(Produtos!A249="","",Produtos!A249)</f>
        <v>0</v>
      </c>
      <c r="B249" s="23">
        <f>IF($A249="","",Produtos!B249&amp;"")</f>
        <v>0</v>
      </c>
      <c r="C249" s="23">
        <f>IF($A249="","",Produtos!C249&amp;"")</f>
        <v>0</v>
      </c>
      <c r="D249" s="25">
        <f>IF($A249="","",Produtos!D249&amp;"")</f>
        <v>0</v>
      </c>
      <c r="E249" s="26">
        <f>IF($A249="","",N(Produtos!H249))</f>
        <v>0</v>
      </c>
      <c r="F249" s="26">
        <f>IF($A249="","",SUMIFS(MovQtd,MovCod,$A249,MovTipo,"Entrada"))</f>
        <v>0</v>
      </c>
      <c r="G249" s="26">
        <f>IF($A249="","",SUMIFS(MovQtd,MovCod,$A249,MovTipo,"Saída"))</f>
        <v>0</v>
      </c>
      <c r="H249" s="27">
        <f>IF($A249="","",E249+F249-G249)</f>
        <v>0</v>
      </c>
      <c r="I249" s="26">
        <f>IF($A249="","",N(Produtos!I249))</f>
        <v>0</v>
      </c>
      <c r="J249" s="26">
        <f>IF($A249="","",IF(I249&gt;0,ROUNDUP(I249*FatMax,0),""))</f>
        <v>0</v>
      </c>
      <c r="K249" s="24">
        <f>IF($A249="","",N(Produtos!F249))</f>
        <v>0</v>
      </c>
      <c r="L249" s="24">
        <f>IF($A249="","",H249*K249)</f>
        <v>0</v>
      </c>
      <c r="M249" s="26">
        <f>IF($A249="","",SUMIFS(MovQtd,MovCod,$A249,MovTipo,"Saída",MovData,"&gt;="&amp;(Hoje-DiasAn),MovData,"&lt;="&amp;Hoje))</f>
        <v>0</v>
      </c>
      <c r="N249" s="28">
        <f>IF($A249="","",M249/DiasAn)</f>
        <v>0</v>
      </c>
      <c r="O249" s="29">
        <f>IF($A249="","",IF(N249&gt;0,H249/N249,"sem giro"))</f>
        <v>0</v>
      </c>
      <c r="P249" s="30">
        <f>IF($A249="","",SUMPRODUCT(MAX((MovCod=$A249)*(MovTipo="Saída")*MovData)))</f>
        <v>0</v>
      </c>
      <c r="Q249" s="31">
        <f>IF($A249="","",IF(H249&lt;=0,"RUPTURA",IF(AND(I249&gt;0,H249&lt;=I249),"REPOR",IF(AND(J249&lt;&gt;"",H249&gt;J249),"EXCESSO","OK"))))</f>
        <v>0</v>
      </c>
      <c r="R249" s="25">
        <f>IF($A249="","",IF(AND(H249&gt;0,OR(P249=0,Hoje-P249&gt;DiasParado)),"Parado",""))</f>
        <v>0</v>
      </c>
      <c r="S249" s="26">
        <f>IF($A249="","",IF(OR(Q249="RUPTURA",Q249="REPOR"),IF(J249="",0,MAX(0,J249-H249)),0))</f>
        <v>0</v>
      </c>
      <c r="T249" s="24">
        <f>IF($A249="","",M249*IF(N(Produtos!G249)&gt;0,Produtos!G249,K249))</f>
        <v>0</v>
      </c>
      <c r="U249" s="32">
        <f>IF($A249="","",IF(T249&gt;0,T249+ROW()/1000000000,""))</f>
        <v>0</v>
      </c>
      <c r="V249" s="31">
        <f>IF($A249="","",IF(U249="","C",INDEX('Curva ABC'!$H$5:$H$304,MATCH(U249,'Curva ABC'!$B$5:$B$304,0))))</f>
        <v>0</v>
      </c>
      <c r="W249" s="24">
        <f>IF($A249="","",IF(R249="Parado",L249,0))</f>
        <v>0</v>
      </c>
      <c r="X249" s="33">
        <f>IF($A249="","",IF(OR(Q249="RUPTURA",Q249="REPOR"),COUNTIF($Q$5:Q249,"RUPTURA")+COUNTIF($Q$5:Q249,"REPOR"),""))</f>
        <v>0</v>
      </c>
    </row>
    <row r="250" spans="1:24">
      <c r="A250" s="23">
        <f>IF(Produtos!A250="","",Produtos!A250)</f>
        <v>0</v>
      </c>
      <c r="B250" s="23">
        <f>IF($A250="","",Produtos!B250&amp;"")</f>
        <v>0</v>
      </c>
      <c r="C250" s="23">
        <f>IF($A250="","",Produtos!C250&amp;"")</f>
        <v>0</v>
      </c>
      <c r="D250" s="25">
        <f>IF($A250="","",Produtos!D250&amp;"")</f>
        <v>0</v>
      </c>
      <c r="E250" s="26">
        <f>IF($A250="","",N(Produtos!H250))</f>
        <v>0</v>
      </c>
      <c r="F250" s="26">
        <f>IF($A250="","",SUMIFS(MovQtd,MovCod,$A250,MovTipo,"Entrada"))</f>
        <v>0</v>
      </c>
      <c r="G250" s="26">
        <f>IF($A250="","",SUMIFS(MovQtd,MovCod,$A250,MovTipo,"Saída"))</f>
        <v>0</v>
      </c>
      <c r="H250" s="27">
        <f>IF($A250="","",E250+F250-G250)</f>
        <v>0</v>
      </c>
      <c r="I250" s="26">
        <f>IF($A250="","",N(Produtos!I250))</f>
        <v>0</v>
      </c>
      <c r="J250" s="26">
        <f>IF($A250="","",IF(I250&gt;0,ROUNDUP(I250*FatMax,0),""))</f>
        <v>0</v>
      </c>
      <c r="K250" s="24">
        <f>IF($A250="","",N(Produtos!F250))</f>
        <v>0</v>
      </c>
      <c r="L250" s="24">
        <f>IF($A250="","",H250*K250)</f>
        <v>0</v>
      </c>
      <c r="M250" s="26">
        <f>IF($A250="","",SUMIFS(MovQtd,MovCod,$A250,MovTipo,"Saída",MovData,"&gt;="&amp;(Hoje-DiasAn),MovData,"&lt;="&amp;Hoje))</f>
        <v>0</v>
      </c>
      <c r="N250" s="28">
        <f>IF($A250="","",M250/DiasAn)</f>
        <v>0</v>
      </c>
      <c r="O250" s="29">
        <f>IF($A250="","",IF(N250&gt;0,H250/N250,"sem giro"))</f>
        <v>0</v>
      </c>
      <c r="P250" s="30">
        <f>IF($A250="","",SUMPRODUCT(MAX((MovCod=$A250)*(MovTipo="Saída")*MovData)))</f>
        <v>0</v>
      </c>
      <c r="Q250" s="31">
        <f>IF($A250="","",IF(H250&lt;=0,"RUPTURA",IF(AND(I250&gt;0,H250&lt;=I250),"REPOR",IF(AND(J250&lt;&gt;"",H250&gt;J250),"EXCESSO","OK"))))</f>
        <v>0</v>
      </c>
      <c r="R250" s="25">
        <f>IF($A250="","",IF(AND(H250&gt;0,OR(P250=0,Hoje-P250&gt;DiasParado)),"Parado",""))</f>
        <v>0</v>
      </c>
      <c r="S250" s="26">
        <f>IF($A250="","",IF(OR(Q250="RUPTURA",Q250="REPOR"),IF(J250="",0,MAX(0,J250-H250)),0))</f>
        <v>0</v>
      </c>
      <c r="T250" s="24">
        <f>IF($A250="","",M250*IF(N(Produtos!G250)&gt;0,Produtos!G250,K250))</f>
        <v>0</v>
      </c>
      <c r="U250" s="32">
        <f>IF($A250="","",IF(T250&gt;0,T250+ROW()/1000000000,""))</f>
        <v>0</v>
      </c>
      <c r="V250" s="31">
        <f>IF($A250="","",IF(U250="","C",INDEX('Curva ABC'!$H$5:$H$304,MATCH(U250,'Curva ABC'!$B$5:$B$304,0))))</f>
        <v>0</v>
      </c>
      <c r="W250" s="24">
        <f>IF($A250="","",IF(R250="Parado",L250,0))</f>
        <v>0</v>
      </c>
      <c r="X250" s="33">
        <f>IF($A250="","",IF(OR(Q250="RUPTURA",Q250="REPOR"),COUNTIF($Q$5:Q250,"RUPTURA")+COUNTIF($Q$5:Q250,"REPOR"),""))</f>
        <v>0</v>
      </c>
    </row>
    <row r="251" spans="1:24">
      <c r="A251" s="23">
        <f>IF(Produtos!A251="","",Produtos!A251)</f>
        <v>0</v>
      </c>
      <c r="B251" s="23">
        <f>IF($A251="","",Produtos!B251&amp;"")</f>
        <v>0</v>
      </c>
      <c r="C251" s="23">
        <f>IF($A251="","",Produtos!C251&amp;"")</f>
        <v>0</v>
      </c>
      <c r="D251" s="25">
        <f>IF($A251="","",Produtos!D251&amp;"")</f>
        <v>0</v>
      </c>
      <c r="E251" s="26">
        <f>IF($A251="","",N(Produtos!H251))</f>
        <v>0</v>
      </c>
      <c r="F251" s="26">
        <f>IF($A251="","",SUMIFS(MovQtd,MovCod,$A251,MovTipo,"Entrada"))</f>
        <v>0</v>
      </c>
      <c r="G251" s="26">
        <f>IF($A251="","",SUMIFS(MovQtd,MovCod,$A251,MovTipo,"Saída"))</f>
        <v>0</v>
      </c>
      <c r="H251" s="27">
        <f>IF($A251="","",E251+F251-G251)</f>
        <v>0</v>
      </c>
      <c r="I251" s="26">
        <f>IF($A251="","",N(Produtos!I251))</f>
        <v>0</v>
      </c>
      <c r="J251" s="26">
        <f>IF($A251="","",IF(I251&gt;0,ROUNDUP(I251*FatMax,0),""))</f>
        <v>0</v>
      </c>
      <c r="K251" s="24">
        <f>IF($A251="","",N(Produtos!F251))</f>
        <v>0</v>
      </c>
      <c r="L251" s="24">
        <f>IF($A251="","",H251*K251)</f>
        <v>0</v>
      </c>
      <c r="M251" s="26">
        <f>IF($A251="","",SUMIFS(MovQtd,MovCod,$A251,MovTipo,"Saída",MovData,"&gt;="&amp;(Hoje-DiasAn),MovData,"&lt;="&amp;Hoje))</f>
        <v>0</v>
      </c>
      <c r="N251" s="28">
        <f>IF($A251="","",M251/DiasAn)</f>
        <v>0</v>
      </c>
      <c r="O251" s="29">
        <f>IF($A251="","",IF(N251&gt;0,H251/N251,"sem giro"))</f>
        <v>0</v>
      </c>
      <c r="P251" s="30">
        <f>IF($A251="","",SUMPRODUCT(MAX((MovCod=$A251)*(MovTipo="Saída")*MovData)))</f>
        <v>0</v>
      </c>
      <c r="Q251" s="31">
        <f>IF($A251="","",IF(H251&lt;=0,"RUPTURA",IF(AND(I251&gt;0,H251&lt;=I251),"REPOR",IF(AND(J251&lt;&gt;"",H251&gt;J251),"EXCESSO","OK"))))</f>
        <v>0</v>
      </c>
      <c r="R251" s="25">
        <f>IF($A251="","",IF(AND(H251&gt;0,OR(P251=0,Hoje-P251&gt;DiasParado)),"Parado",""))</f>
        <v>0</v>
      </c>
      <c r="S251" s="26">
        <f>IF($A251="","",IF(OR(Q251="RUPTURA",Q251="REPOR"),IF(J251="",0,MAX(0,J251-H251)),0))</f>
        <v>0</v>
      </c>
      <c r="T251" s="24">
        <f>IF($A251="","",M251*IF(N(Produtos!G251)&gt;0,Produtos!G251,K251))</f>
        <v>0</v>
      </c>
      <c r="U251" s="32">
        <f>IF($A251="","",IF(T251&gt;0,T251+ROW()/1000000000,""))</f>
        <v>0</v>
      </c>
      <c r="V251" s="31">
        <f>IF($A251="","",IF(U251="","C",INDEX('Curva ABC'!$H$5:$H$304,MATCH(U251,'Curva ABC'!$B$5:$B$304,0))))</f>
        <v>0</v>
      </c>
      <c r="W251" s="24">
        <f>IF($A251="","",IF(R251="Parado",L251,0))</f>
        <v>0</v>
      </c>
      <c r="X251" s="33">
        <f>IF($A251="","",IF(OR(Q251="RUPTURA",Q251="REPOR"),COUNTIF($Q$5:Q251,"RUPTURA")+COUNTIF($Q$5:Q251,"REPOR"),""))</f>
        <v>0</v>
      </c>
    </row>
    <row r="252" spans="1:24">
      <c r="A252" s="23">
        <f>IF(Produtos!A252="","",Produtos!A252)</f>
        <v>0</v>
      </c>
      <c r="B252" s="23">
        <f>IF($A252="","",Produtos!B252&amp;"")</f>
        <v>0</v>
      </c>
      <c r="C252" s="23">
        <f>IF($A252="","",Produtos!C252&amp;"")</f>
        <v>0</v>
      </c>
      <c r="D252" s="25">
        <f>IF($A252="","",Produtos!D252&amp;"")</f>
        <v>0</v>
      </c>
      <c r="E252" s="26">
        <f>IF($A252="","",N(Produtos!H252))</f>
        <v>0</v>
      </c>
      <c r="F252" s="26">
        <f>IF($A252="","",SUMIFS(MovQtd,MovCod,$A252,MovTipo,"Entrada"))</f>
        <v>0</v>
      </c>
      <c r="G252" s="26">
        <f>IF($A252="","",SUMIFS(MovQtd,MovCod,$A252,MovTipo,"Saída"))</f>
        <v>0</v>
      </c>
      <c r="H252" s="27">
        <f>IF($A252="","",E252+F252-G252)</f>
        <v>0</v>
      </c>
      <c r="I252" s="26">
        <f>IF($A252="","",N(Produtos!I252))</f>
        <v>0</v>
      </c>
      <c r="J252" s="26">
        <f>IF($A252="","",IF(I252&gt;0,ROUNDUP(I252*FatMax,0),""))</f>
        <v>0</v>
      </c>
      <c r="K252" s="24">
        <f>IF($A252="","",N(Produtos!F252))</f>
        <v>0</v>
      </c>
      <c r="L252" s="24">
        <f>IF($A252="","",H252*K252)</f>
        <v>0</v>
      </c>
      <c r="M252" s="26">
        <f>IF($A252="","",SUMIFS(MovQtd,MovCod,$A252,MovTipo,"Saída",MovData,"&gt;="&amp;(Hoje-DiasAn),MovData,"&lt;="&amp;Hoje))</f>
        <v>0</v>
      </c>
      <c r="N252" s="28">
        <f>IF($A252="","",M252/DiasAn)</f>
        <v>0</v>
      </c>
      <c r="O252" s="29">
        <f>IF($A252="","",IF(N252&gt;0,H252/N252,"sem giro"))</f>
        <v>0</v>
      </c>
      <c r="P252" s="30">
        <f>IF($A252="","",SUMPRODUCT(MAX((MovCod=$A252)*(MovTipo="Saída")*MovData)))</f>
        <v>0</v>
      </c>
      <c r="Q252" s="31">
        <f>IF($A252="","",IF(H252&lt;=0,"RUPTURA",IF(AND(I252&gt;0,H252&lt;=I252),"REPOR",IF(AND(J252&lt;&gt;"",H252&gt;J252),"EXCESSO","OK"))))</f>
        <v>0</v>
      </c>
      <c r="R252" s="25">
        <f>IF($A252="","",IF(AND(H252&gt;0,OR(P252=0,Hoje-P252&gt;DiasParado)),"Parado",""))</f>
        <v>0</v>
      </c>
      <c r="S252" s="26">
        <f>IF($A252="","",IF(OR(Q252="RUPTURA",Q252="REPOR"),IF(J252="",0,MAX(0,J252-H252)),0))</f>
        <v>0</v>
      </c>
      <c r="T252" s="24">
        <f>IF($A252="","",M252*IF(N(Produtos!G252)&gt;0,Produtos!G252,K252))</f>
        <v>0</v>
      </c>
      <c r="U252" s="32">
        <f>IF($A252="","",IF(T252&gt;0,T252+ROW()/1000000000,""))</f>
        <v>0</v>
      </c>
      <c r="V252" s="31">
        <f>IF($A252="","",IF(U252="","C",INDEX('Curva ABC'!$H$5:$H$304,MATCH(U252,'Curva ABC'!$B$5:$B$304,0))))</f>
        <v>0</v>
      </c>
      <c r="W252" s="24">
        <f>IF($A252="","",IF(R252="Parado",L252,0))</f>
        <v>0</v>
      </c>
      <c r="X252" s="33">
        <f>IF($A252="","",IF(OR(Q252="RUPTURA",Q252="REPOR"),COUNTIF($Q$5:Q252,"RUPTURA")+COUNTIF($Q$5:Q252,"REPOR"),""))</f>
        <v>0</v>
      </c>
    </row>
    <row r="253" spans="1:24">
      <c r="A253" s="23">
        <f>IF(Produtos!A253="","",Produtos!A253)</f>
        <v>0</v>
      </c>
      <c r="B253" s="23">
        <f>IF($A253="","",Produtos!B253&amp;"")</f>
        <v>0</v>
      </c>
      <c r="C253" s="23">
        <f>IF($A253="","",Produtos!C253&amp;"")</f>
        <v>0</v>
      </c>
      <c r="D253" s="25">
        <f>IF($A253="","",Produtos!D253&amp;"")</f>
        <v>0</v>
      </c>
      <c r="E253" s="26">
        <f>IF($A253="","",N(Produtos!H253))</f>
        <v>0</v>
      </c>
      <c r="F253" s="26">
        <f>IF($A253="","",SUMIFS(MovQtd,MovCod,$A253,MovTipo,"Entrada"))</f>
        <v>0</v>
      </c>
      <c r="G253" s="26">
        <f>IF($A253="","",SUMIFS(MovQtd,MovCod,$A253,MovTipo,"Saída"))</f>
        <v>0</v>
      </c>
      <c r="H253" s="27">
        <f>IF($A253="","",E253+F253-G253)</f>
        <v>0</v>
      </c>
      <c r="I253" s="26">
        <f>IF($A253="","",N(Produtos!I253))</f>
        <v>0</v>
      </c>
      <c r="J253" s="26">
        <f>IF($A253="","",IF(I253&gt;0,ROUNDUP(I253*FatMax,0),""))</f>
        <v>0</v>
      </c>
      <c r="K253" s="24">
        <f>IF($A253="","",N(Produtos!F253))</f>
        <v>0</v>
      </c>
      <c r="L253" s="24">
        <f>IF($A253="","",H253*K253)</f>
        <v>0</v>
      </c>
      <c r="M253" s="26">
        <f>IF($A253="","",SUMIFS(MovQtd,MovCod,$A253,MovTipo,"Saída",MovData,"&gt;="&amp;(Hoje-DiasAn),MovData,"&lt;="&amp;Hoje))</f>
        <v>0</v>
      </c>
      <c r="N253" s="28">
        <f>IF($A253="","",M253/DiasAn)</f>
        <v>0</v>
      </c>
      <c r="O253" s="29">
        <f>IF($A253="","",IF(N253&gt;0,H253/N253,"sem giro"))</f>
        <v>0</v>
      </c>
      <c r="P253" s="30">
        <f>IF($A253="","",SUMPRODUCT(MAX((MovCod=$A253)*(MovTipo="Saída")*MovData)))</f>
        <v>0</v>
      </c>
      <c r="Q253" s="31">
        <f>IF($A253="","",IF(H253&lt;=0,"RUPTURA",IF(AND(I253&gt;0,H253&lt;=I253),"REPOR",IF(AND(J253&lt;&gt;"",H253&gt;J253),"EXCESSO","OK"))))</f>
        <v>0</v>
      </c>
      <c r="R253" s="25">
        <f>IF($A253="","",IF(AND(H253&gt;0,OR(P253=0,Hoje-P253&gt;DiasParado)),"Parado",""))</f>
        <v>0</v>
      </c>
      <c r="S253" s="26">
        <f>IF($A253="","",IF(OR(Q253="RUPTURA",Q253="REPOR"),IF(J253="",0,MAX(0,J253-H253)),0))</f>
        <v>0</v>
      </c>
      <c r="T253" s="24">
        <f>IF($A253="","",M253*IF(N(Produtos!G253)&gt;0,Produtos!G253,K253))</f>
        <v>0</v>
      </c>
      <c r="U253" s="32">
        <f>IF($A253="","",IF(T253&gt;0,T253+ROW()/1000000000,""))</f>
        <v>0</v>
      </c>
      <c r="V253" s="31">
        <f>IF($A253="","",IF(U253="","C",INDEX('Curva ABC'!$H$5:$H$304,MATCH(U253,'Curva ABC'!$B$5:$B$304,0))))</f>
        <v>0</v>
      </c>
      <c r="W253" s="24">
        <f>IF($A253="","",IF(R253="Parado",L253,0))</f>
        <v>0</v>
      </c>
      <c r="X253" s="33">
        <f>IF($A253="","",IF(OR(Q253="RUPTURA",Q253="REPOR"),COUNTIF($Q$5:Q253,"RUPTURA")+COUNTIF($Q$5:Q253,"REPOR"),""))</f>
        <v>0</v>
      </c>
    </row>
    <row r="254" spans="1:24">
      <c r="A254" s="23">
        <f>IF(Produtos!A254="","",Produtos!A254)</f>
        <v>0</v>
      </c>
      <c r="B254" s="23">
        <f>IF($A254="","",Produtos!B254&amp;"")</f>
        <v>0</v>
      </c>
      <c r="C254" s="23">
        <f>IF($A254="","",Produtos!C254&amp;"")</f>
        <v>0</v>
      </c>
      <c r="D254" s="25">
        <f>IF($A254="","",Produtos!D254&amp;"")</f>
        <v>0</v>
      </c>
      <c r="E254" s="26">
        <f>IF($A254="","",N(Produtos!H254))</f>
        <v>0</v>
      </c>
      <c r="F254" s="26">
        <f>IF($A254="","",SUMIFS(MovQtd,MovCod,$A254,MovTipo,"Entrada"))</f>
        <v>0</v>
      </c>
      <c r="G254" s="26">
        <f>IF($A254="","",SUMIFS(MovQtd,MovCod,$A254,MovTipo,"Saída"))</f>
        <v>0</v>
      </c>
      <c r="H254" s="27">
        <f>IF($A254="","",E254+F254-G254)</f>
        <v>0</v>
      </c>
      <c r="I254" s="26">
        <f>IF($A254="","",N(Produtos!I254))</f>
        <v>0</v>
      </c>
      <c r="J254" s="26">
        <f>IF($A254="","",IF(I254&gt;0,ROUNDUP(I254*FatMax,0),""))</f>
        <v>0</v>
      </c>
      <c r="K254" s="24">
        <f>IF($A254="","",N(Produtos!F254))</f>
        <v>0</v>
      </c>
      <c r="L254" s="24">
        <f>IF($A254="","",H254*K254)</f>
        <v>0</v>
      </c>
      <c r="M254" s="26">
        <f>IF($A254="","",SUMIFS(MovQtd,MovCod,$A254,MovTipo,"Saída",MovData,"&gt;="&amp;(Hoje-DiasAn),MovData,"&lt;="&amp;Hoje))</f>
        <v>0</v>
      </c>
      <c r="N254" s="28">
        <f>IF($A254="","",M254/DiasAn)</f>
        <v>0</v>
      </c>
      <c r="O254" s="29">
        <f>IF($A254="","",IF(N254&gt;0,H254/N254,"sem giro"))</f>
        <v>0</v>
      </c>
      <c r="P254" s="30">
        <f>IF($A254="","",SUMPRODUCT(MAX((MovCod=$A254)*(MovTipo="Saída")*MovData)))</f>
        <v>0</v>
      </c>
      <c r="Q254" s="31">
        <f>IF($A254="","",IF(H254&lt;=0,"RUPTURA",IF(AND(I254&gt;0,H254&lt;=I254),"REPOR",IF(AND(J254&lt;&gt;"",H254&gt;J254),"EXCESSO","OK"))))</f>
        <v>0</v>
      </c>
      <c r="R254" s="25">
        <f>IF($A254="","",IF(AND(H254&gt;0,OR(P254=0,Hoje-P254&gt;DiasParado)),"Parado",""))</f>
        <v>0</v>
      </c>
      <c r="S254" s="26">
        <f>IF($A254="","",IF(OR(Q254="RUPTURA",Q254="REPOR"),IF(J254="",0,MAX(0,J254-H254)),0))</f>
        <v>0</v>
      </c>
      <c r="T254" s="24">
        <f>IF($A254="","",M254*IF(N(Produtos!G254)&gt;0,Produtos!G254,K254))</f>
        <v>0</v>
      </c>
      <c r="U254" s="32">
        <f>IF($A254="","",IF(T254&gt;0,T254+ROW()/1000000000,""))</f>
        <v>0</v>
      </c>
      <c r="V254" s="31">
        <f>IF($A254="","",IF(U254="","C",INDEX('Curva ABC'!$H$5:$H$304,MATCH(U254,'Curva ABC'!$B$5:$B$304,0))))</f>
        <v>0</v>
      </c>
      <c r="W254" s="24">
        <f>IF($A254="","",IF(R254="Parado",L254,0))</f>
        <v>0</v>
      </c>
      <c r="X254" s="33">
        <f>IF($A254="","",IF(OR(Q254="RUPTURA",Q254="REPOR"),COUNTIF($Q$5:Q254,"RUPTURA")+COUNTIF($Q$5:Q254,"REPOR"),""))</f>
        <v>0</v>
      </c>
    </row>
    <row r="255" spans="1:24">
      <c r="A255" s="23">
        <f>IF(Produtos!A255="","",Produtos!A255)</f>
        <v>0</v>
      </c>
      <c r="B255" s="23">
        <f>IF($A255="","",Produtos!B255&amp;"")</f>
        <v>0</v>
      </c>
      <c r="C255" s="23">
        <f>IF($A255="","",Produtos!C255&amp;"")</f>
        <v>0</v>
      </c>
      <c r="D255" s="25">
        <f>IF($A255="","",Produtos!D255&amp;"")</f>
        <v>0</v>
      </c>
      <c r="E255" s="26">
        <f>IF($A255="","",N(Produtos!H255))</f>
        <v>0</v>
      </c>
      <c r="F255" s="26">
        <f>IF($A255="","",SUMIFS(MovQtd,MovCod,$A255,MovTipo,"Entrada"))</f>
        <v>0</v>
      </c>
      <c r="G255" s="26">
        <f>IF($A255="","",SUMIFS(MovQtd,MovCod,$A255,MovTipo,"Saída"))</f>
        <v>0</v>
      </c>
      <c r="H255" s="27">
        <f>IF($A255="","",E255+F255-G255)</f>
        <v>0</v>
      </c>
      <c r="I255" s="26">
        <f>IF($A255="","",N(Produtos!I255))</f>
        <v>0</v>
      </c>
      <c r="J255" s="26">
        <f>IF($A255="","",IF(I255&gt;0,ROUNDUP(I255*FatMax,0),""))</f>
        <v>0</v>
      </c>
      <c r="K255" s="24">
        <f>IF($A255="","",N(Produtos!F255))</f>
        <v>0</v>
      </c>
      <c r="L255" s="24">
        <f>IF($A255="","",H255*K255)</f>
        <v>0</v>
      </c>
      <c r="M255" s="26">
        <f>IF($A255="","",SUMIFS(MovQtd,MovCod,$A255,MovTipo,"Saída",MovData,"&gt;="&amp;(Hoje-DiasAn),MovData,"&lt;="&amp;Hoje))</f>
        <v>0</v>
      </c>
      <c r="N255" s="28">
        <f>IF($A255="","",M255/DiasAn)</f>
        <v>0</v>
      </c>
      <c r="O255" s="29">
        <f>IF($A255="","",IF(N255&gt;0,H255/N255,"sem giro"))</f>
        <v>0</v>
      </c>
      <c r="P255" s="30">
        <f>IF($A255="","",SUMPRODUCT(MAX((MovCod=$A255)*(MovTipo="Saída")*MovData)))</f>
        <v>0</v>
      </c>
      <c r="Q255" s="31">
        <f>IF($A255="","",IF(H255&lt;=0,"RUPTURA",IF(AND(I255&gt;0,H255&lt;=I255),"REPOR",IF(AND(J255&lt;&gt;"",H255&gt;J255),"EXCESSO","OK"))))</f>
        <v>0</v>
      </c>
      <c r="R255" s="25">
        <f>IF($A255="","",IF(AND(H255&gt;0,OR(P255=0,Hoje-P255&gt;DiasParado)),"Parado",""))</f>
        <v>0</v>
      </c>
      <c r="S255" s="26">
        <f>IF($A255="","",IF(OR(Q255="RUPTURA",Q255="REPOR"),IF(J255="",0,MAX(0,J255-H255)),0))</f>
        <v>0</v>
      </c>
      <c r="T255" s="24">
        <f>IF($A255="","",M255*IF(N(Produtos!G255)&gt;0,Produtos!G255,K255))</f>
        <v>0</v>
      </c>
      <c r="U255" s="32">
        <f>IF($A255="","",IF(T255&gt;0,T255+ROW()/1000000000,""))</f>
        <v>0</v>
      </c>
      <c r="V255" s="31">
        <f>IF($A255="","",IF(U255="","C",INDEX('Curva ABC'!$H$5:$H$304,MATCH(U255,'Curva ABC'!$B$5:$B$304,0))))</f>
        <v>0</v>
      </c>
      <c r="W255" s="24">
        <f>IF($A255="","",IF(R255="Parado",L255,0))</f>
        <v>0</v>
      </c>
      <c r="X255" s="33">
        <f>IF($A255="","",IF(OR(Q255="RUPTURA",Q255="REPOR"),COUNTIF($Q$5:Q255,"RUPTURA")+COUNTIF($Q$5:Q255,"REPOR"),""))</f>
        <v>0</v>
      </c>
    </row>
    <row r="256" spans="1:24">
      <c r="A256" s="23">
        <f>IF(Produtos!A256="","",Produtos!A256)</f>
        <v>0</v>
      </c>
      <c r="B256" s="23">
        <f>IF($A256="","",Produtos!B256&amp;"")</f>
        <v>0</v>
      </c>
      <c r="C256" s="23">
        <f>IF($A256="","",Produtos!C256&amp;"")</f>
        <v>0</v>
      </c>
      <c r="D256" s="25">
        <f>IF($A256="","",Produtos!D256&amp;"")</f>
        <v>0</v>
      </c>
      <c r="E256" s="26">
        <f>IF($A256="","",N(Produtos!H256))</f>
        <v>0</v>
      </c>
      <c r="F256" s="26">
        <f>IF($A256="","",SUMIFS(MovQtd,MovCod,$A256,MovTipo,"Entrada"))</f>
        <v>0</v>
      </c>
      <c r="G256" s="26">
        <f>IF($A256="","",SUMIFS(MovQtd,MovCod,$A256,MovTipo,"Saída"))</f>
        <v>0</v>
      </c>
      <c r="H256" s="27">
        <f>IF($A256="","",E256+F256-G256)</f>
        <v>0</v>
      </c>
      <c r="I256" s="26">
        <f>IF($A256="","",N(Produtos!I256))</f>
        <v>0</v>
      </c>
      <c r="J256" s="26">
        <f>IF($A256="","",IF(I256&gt;0,ROUNDUP(I256*FatMax,0),""))</f>
        <v>0</v>
      </c>
      <c r="K256" s="24">
        <f>IF($A256="","",N(Produtos!F256))</f>
        <v>0</v>
      </c>
      <c r="L256" s="24">
        <f>IF($A256="","",H256*K256)</f>
        <v>0</v>
      </c>
      <c r="M256" s="26">
        <f>IF($A256="","",SUMIFS(MovQtd,MovCod,$A256,MovTipo,"Saída",MovData,"&gt;="&amp;(Hoje-DiasAn),MovData,"&lt;="&amp;Hoje))</f>
        <v>0</v>
      </c>
      <c r="N256" s="28">
        <f>IF($A256="","",M256/DiasAn)</f>
        <v>0</v>
      </c>
      <c r="O256" s="29">
        <f>IF($A256="","",IF(N256&gt;0,H256/N256,"sem giro"))</f>
        <v>0</v>
      </c>
      <c r="P256" s="30">
        <f>IF($A256="","",SUMPRODUCT(MAX((MovCod=$A256)*(MovTipo="Saída")*MovData)))</f>
        <v>0</v>
      </c>
      <c r="Q256" s="31">
        <f>IF($A256="","",IF(H256&lt;=0,"RUPTURA",IF(AND(I256&gt;0,H256&lt;=I256),"REPOR",IF(AND(J256&lt;&gt;"",H256&gt;J256),"EXCESSO","OK"))))</f>
        <v>0</v>
      </c>
      <c r="R256" s="25">
        <f>IF($A256="","",IF(AND(H256&gt;0,OR(P256=0,Hoje-P256&gt;DiasParado)),"Parado",""))</f>
        <v>0</v>
      </c>
      <c r="S256" s="26">
        <f>IF($A256="","",IF(OR(Q256="RUPTURA",Q256="REPOR"),IF(J256="",0,MAX(0,J256-H256)),0))</f>
        <v>0</v>
      </c>
      <c r="T256" s="24">
        <f>IF($A256="","",M256*IF(N(Produtos!G256)&gt;0,Produtos!G256,K256))</f>
        <v>0</v>
      </c>
      <c r="U256" s="32">
        <f>IF($A256="","",IF(T256&gt;0,T256+ROW()/1000000000,""))</f>
        <v>0</v>
      </c>
      <c r="V256" s="31">
        <f>IF($A256="","",IF(U256="","C",INDEX('Curva ABC'!$H$5:$H$304,MATCH(U256,'Curva ABC'!$B$5:$B$304,0))))</f>
        <v>0</v>
      </c>
      <c r="W256" s="24">
        <f>IF($A256="","",IF(R256="Parado",L256,0))</f>
        <v>0</v>
      </c>
      <c r="X256" s="33">
        <f>IF($A256="","",IF(OR(Q256="RUPTURA",Q256="REPOR"),COUNTIF($Q$5:Q256,"RUPTURA")+COUNTIF($Q$5:Q256,"REPOR"),""))</f>
        <v>0</v>
      </c>
    </row>
    <row r="257" spans="1:24">
      <c r="A257" s="23">
        <f>IF(Produtos!A257="","",Produtos!A257)</f>
        <v>0</v>
      </c>
      <c r="B257" s="23">
        <f>IF($A257="","",Produtos!B257&amp;"")</f>
        <v>0</v>
      </c>
      <c r="C257" s="23">
        <f>IF($A257="","",Produtos!C257&amp;"")</f>
        <v>0</v>
      </c>
      <c r="D257" s="25">
        <f>IF($A257="","",Produtos!D257&amp;"")</f>
        <v>0</v>
      </c>
      <c r="E257" s="26">
        <f>IF($A257="","",N(Produtos!H257))</f>
        <v>0</v>
      </c>
      <c r="F257" s="26">
        <f>IF($A257="","",SUMIFS(MovQtd,MovCod,$A257,MovTipo,"Entrada"))</f>
        <v>0</v>
      </c>
      <c r="G257" s="26">
        <f>IF($A257="","",SUMIFS(MovQtd,MovCod,$A257,MovTipo,"Saída"))</f>
        <v>0</v>
      </c>
      <c r="H257" s="27">
        <f>IF($A257="","",E257+F257-G257)</f>
        <v>0</v>
      </c>
      <c r="I257" s="26">
        <f>IF($A257="","",N(Produtos!I257))</f>
        <v>0</v>
      </c>
      <c r="J257" s="26">
        <f>IF($A257="","",IF(I257&gt;0,ROUNDUP(I257*FatMax,0),""))</f>
        <v>0</v>
      </c>
      <c r="K257" s="24">
        <f>IF($A257="","",N(Produtos!F257))</f>
        <v>0</v>
      </c>
      <c r="L257" s="24">
        <f>IF($A257="","",H257*K257)</f>
        <v>0</v>
      </c>
      <c r="M257" s="26">
        <f>IF($A257="","",SUMIFS(MovQtd,MovCod,$A257,MovTipo,"Saída",MovData,"&gt;="&amp;(Hoje-DiasAn),MovData,"&lt;="&amp;Hoje))</f>
        <v>0</v>
      </c>
      <c r="N257" s="28">
        <f>IF($A257="","",M257/DiasAn)</f>
        <v>0</v>
      </c>
      <c r="O257" s="29">
        <f>IF($A257="","",IF(N257&gt;0,H257/N257,"sem giro"))</f>
        <v>0</v>
      </c>
      <c r="P257" s="30">
        <f>IF($A257="","",SUMPRODUCT(MAX((MovCod=$A257)*(MovTipo="Saída")*MovData)))</f>
        <v>0</v>
      </c>
      <c r="Q257" s="31">
        <f>IF($A257="","",IF(H257&lt;=0,"RUPTURA",IF(AND(I257&gt;0,H257&lt;=I257),"REPOR",IF(AND(J257&lt;&gt;"",H257&gt;J257),"EXCESSO","OK"))))</f>
        <v>0</v>
      </c>
      <c r="R257" s="25">
        <f>IF($A257="","",IF(AND(H257&gt;0,OR(P257=0,Hoje-P257&gt;DiasParado)),"Parado",""))</f>
        <v>0</v>
      </c>
      <c r="S257" s="26">
        <f>IF($A257="","",IF(OR(Q257="RUPTURA",Q257="REPOR"),IF(J257="",0,MAX(0,J257-H257)),0))</f>
        <v>0</v>
      </c>
      <c r="T257" s="24">
        <f>IF($A257="","",M257*IF(N(Produtos!G257)&gt;0,Produtos!G257,K257))</f>
        <v>0</v>
      </c>
      <c r="U257" s="32">
        <f>IF($A257="","",IF(T257&gt;0,T257+ROW()/1000000000,""))</f>
        <v>0</v>
      </c>
      <c r="V257" s="31">
        <f>IF($A257="","",IF(U257="","C",INDEX('Curva ABC'!$H$5:$H$304,MATCH(U257,'Curva ABC'!$B$5:$B$304,0))))</f>
        <v>0</v>
      </c>
      <c r="W257" s="24">
        <f>IF($A257="","",IF(R257="Parado",L257,0))</f>
        <v>0</v>
      </c>
      <c r="X257" s="33">
        <f>IF($A257="","",IF(OR(Q257="RUPTURA",Q257="REPOR"),COUNTIF($Q$5:Q257,"RUPTURA")+COUNTIF($Q$5:Q257,"REPOR"),""))</f>
        <v>0</v>
      </c>
    </row>
    <row r="258" spans="1:24">
      <c r="A258" s="23">
        <f>IF(Produtos!A258="","",Produtos!A258)</f>
        <v>0</v>
      </c>
      <c r="B258" s="23">
        <f>IF($A258="","",Produtos!B258&amp;"")</f>
        <v>0</v>
      </c>
      <c r="C258" s="23">
        <f>IF($A258="","",Produtos!C258&amp;"")</f>
        <v>0</v>
      </c>
      <c r="D258" s="25">
        <f>IF($A258="","",Produtos!D258&amp;"")</f>
        <v>0</v>
      </c>
      <c r="E258" s="26">
        <f>IF($A258="","",N(Produtos!H258))</f>
        <v>0</v>
      </c>
      <c r="F258" s="26">
        <f>IF($A258="","",SUMIFS(MovQtd,MovCod,$A258,MovTipo,"Entrada"))</f>
        <v>0</v>
      </c>
      <c r="G258" s="26">
        <f>IF($A258="","",SUMIFS(MovQtd,MovCod,$A258,MovTipo,"Saída"))</f>
        <v>0</v>
      </c>
      <c r="H258" s="27">
        <f>IF($A258="","",E258+F258-G258)</f>
        <v>0</v>
      </c>
      <c r="I258" s="26">
        <f>IF($A258="","",N(Produtos!I258))</f>
        <v>0</v>
      </c>
      <c r="J258" s="26">
        <f>IF($A258="","",IF(I258&gt;0,ROUNDUP(I258*FatMax,0),""))</f>
        <v>0</v>
      </c>
      <c r="K258" s="24">
        <f>IF($A258="","",N(Produtos!F258))</f>
        <v>0</v>
      </c>
      <c r="L258" s="24">
        <f>IF($A258="","",H258*K258)</f>
        <v>0</v>
      </c>
      <c r="M258" s="26">
        <f>IF($A258="","",SUMIFS(MovQtd,MovCod,$A258,MovTipo,"Saída",MovData,"&gt;="&amp;(Hoje-DiasAn),MovData,"&lt;="&amp;Hoje))</f>
        <v>0</v>
      </c>
      <c r="N258" s="28">
        <f>IF($A258="","",M258/DiasAn)</f>
        <v>0</v>
      </c>
      <c r="O258" s="29">
        <f>IF($A258="","",IF(N258&gt;0,H258/N258,"sem giro"))</f>
        <v>0</v>
      </c>
      <c r="P258" s="30">
        <f>IF($A258="","",SUMPRODUCT(MAX((MovCod=$A258)*(MovTipo="Saída")*MovData)))</f>
        <v>0</v>
      </c>
      <c r="Q258" s="31">
        <f>IF($A258="","",IF(H258&lt;=0,"RUPTURA",IF(AND(I258&gt;0,H258&lt;=I258),"REPOR",IF(AND(J258&lt;&gt;"",H258&gt;J258),"EXCESSO","OK"))))</f>
        <v>0</v>
      </c>
      <c r="R258" s="25">
        <f>IF($A258="","",IF(AND(H258&gt;0,OR(P258=0,Hoje-P258&gt;DiasParado)),"Parado",""))</f>
        <v>0</v>
      </c>
      <c r="S258" s="26">
        <f>IF($A258="","",IF(OR(Q258="RUPTURA",Q258="REPOR"),IF(J258="",0,MAX(0,J258-H258)),0))</f>
        <v>0</v>
      </c>
      <c r="T258" s="24">
        <f>IF($A258="","",M258*IF(N(Produtos!G258)&gt;0,Produtos!G258,K258))</f>
        <v>0</v>
      </c>
      <c r="U258" s="32">
        <f>IF($A258="","",IF(T258&gt;0,T258+ROW()/1000000000,""))</f>
        <v>0</v>
      </c>
      <c r="V258" s="31">
        <f>IF($A258="","",IF(U258="","C",INDEX('Curva ABC'!$H$5:$H$304,MATCH(U258,'Curva ABC'!$B$5:$B$304,0))))</f>
        <v>0</v>
      </c>
      <c r="W258" s="24">
        <f>IF($A258="","",IF(R258="Parado",L258,0))</f>
        <v>0</v>
      </c>
      <c r="X258" s="33">
        <f>IF($A258="","",IF(OR(Q258="RUPTURA",Q258="REPOR"),COUNTIF($Q$5:Q258,"RUPTURA")+COUNTIF($Q$5:Q258,"REPOR"),""))</f>
        <v>0</v>
      </c>
    </row>
    <row r="259" spans="1:24">
      <c r="A259" s="23">
        <f>IF(Produtos!A259="","",Produtos!A259)</f>
        <v>0</v>
      </c>
      <c r="B259" s="23">
        <f>IF($A259="","",Produtos!B259&amp;"")</f>
        <v>0</v>
      </c>
      <c r="C259" s="23">
        <f>IF($A259="","",Produtos!C259&amp;"")</f>
        <v>0</v>
      </c>
      <c r="D259" s="25">
        <f>IF($A259="","",Produtos!D259&amp;"")</f>
        <v>0</v>
      </c>
      <c r="E259" s="26">
        <f>IF($A259="","",N(Produtos!H259))</f>
        <v>0</v>
      </c>
      <c r="F259" s="26">
        <f>IF($A259="","",SUMIFS(MovQtd,MovCod,$A259,MovTipo,"Entrada"))</f>
        <v>0</v>
      </c>
      <c r="G259" s="26">
        <f>IF($A259="","",SUMIFS(MovQtd,MovCod,$A259,MovTipo,"Saída"))</f>
        <v>0</v>
      </c>
      <c r="H259" s="27">
        <f>IF($A259="","",E259+F259-G259)</f>
        <v>0</v>
      </c>
      <c r="I259" s="26">
        <f>IF($A259="","",N(Produtos!I259))</f>
        <v>0</v>
      </c>
      <c r="J259" s="26">
        <f>IF($A259="","",IF(I259&gt;0,ROUNDUP(I259*FatMax,0),""))</f>
        <v>0</v>
      </c>
      <c r="K259" s="24">
        <f>IF($A259="","",N(Produtos!F259))</f>
        <v>0</v>
      </c>
      <c r="L259" s="24">
        <f>IF($A259="","",H259*K259)</f>
        <v>0</v>
      </c>
      <c r="M259" s="26">
        <f>IF($A259="","",SUMIFS(MovQtd,MovCod,$A259,MovTipo,"Saída",MovData,"&gt;="&amp;(Hoje-DiasAn),MovData,"&lt;="&amp;Hoje))</f>
        <v>0</v>
      </c>
      <c r="N259" s="28">
        <f>IF($A259="","",M259/DiasAn)</f>
        <v>0</v>
      </c>
      <c r="O259" s="29">
        <f>IF($A259="","",IF(N259&gt;0,H259/N259,"sem giro"))</f>
        <v>0</v>
      </c>
      <c r="P259" s="30">
        <f>IF($A259="","",SUMPRODUCT(MAX((MovCod=$A259)*(MovTipo="Saída")*MovData)))</f>
        <v>0</v>
      </c>
      <c r="Q259" s="31">
        <f>IF($A259="","",IF(H259&lt;=0,"RUPTURA",IF(AND(I259&gt;0,H259&lt;=I259),"REPOR",IF(AND(J259&lt;&gt;"",H259&gt;J259),"EXCESSO","OK"))))</f>
        <v>0</v>
      </c>
      <c r="R259" s="25">
        <f>IF($A259="","",IF(AND(H259&gt;0,OR(P259=0,Hoje-P259&gt;DiasParado)),"Parado",""))</f>
        <v>0</v>
      </c>
      <c r="S259" s="26">
        <f>IF($A259="","",IF(OR(Q259="RUPTURA",Q259="REPOR"),IF(J259="",0,MAX(0,J259-H259)),0))</f>
        <v>0</v>
      </c>
      <c r="T259" s="24">
        <f>IF($A259="","",M259*IF(N(Produtos!G259)&gt;0,Produtos!G259,K259))</f>
        <v>0</v>
      </c>
      <c r="U259" s="32">
        <f>IF($A259="","",IF(T259&gt;0,T259+ROW()/1000000000,""))</f>
        <v>0</v>
      </c>
      <c r="V259" s="31">
        <f>IF($A259="","",IF(U259="","C",INDEX('Curva ABC'!$H$5:$H$304,MATCH(U259,'Curva ABC'!$B$5:$B$304,0))))</f>
        <v>0</v>
      </c>
      <c r="W259" s="24">
        <f>IF($A259="","",IF(R259="Parado",L259,0))</f>
        <v>0</v>
      </c>
      <c r="X259" s="33">
        <f>IF($A259="","",IF(OR(Q259="RUPTURA",Q259="REPOR"),COUNTIF($Q$5:Q259,"RUPTURA")+COUNTIF($Q$5:Q259,"REPOR"),""))</f>
        <v>0</v>
      </c>
    </row>
    <row r="260" spans="1:24">
      <c r="A260" s="23">
        <f>IF(Produtos!A260="","",Produtos!A260)</f>
        <v>0</v>
      </c>
      <c r="B260" s="23">
        <f>IF($A260="","",Produtos!B260&amp;"")</f>
        <v>0</v>
      </c>
      <c r="C260" s="23">
        <f>IF($A260="","",Produtos!C260&amp;"")</f>
        <v>0</v>
      </c>
      <c r="D260" s="25">
        <f>IF($A260="","",Produtos!D260&amp;"")</f>
        <v>0</v>
      </c>
      <c r="E260" s="26">
        <f>IF($A260="","",N(Produtos!H260))</f>
        <v>0</v>
      </c>
      <c r="F260" s="26">
        <f>IF($A260="","",SUMIFS(MovQtd,MovCod,$A260,MovTipo,"Entrada"))</f>
        <v>0</v>
      </c>
      <c r="G260" s="26">
        <f>IF($A260="","",SUMIFS(MovQtd,MovCod,$A260,MovTipo,"Saída"))</f>
        <v>0</v>
      </c>
      <c r="H260" s="27">
        <f>IF($A260="","",E260+F260-G260)</f>
        <v>0</v>
      </c>
      <c r="I260" s="26">
        <f>IF($A260="","",N(Produtos!I260))</f>
        <v>0</v>
      </c>
      <c r="J260" s="26">
        <f>IF($A260="","",IF(I260&gt;0,ROUNDUP(I260*FatMax,0),""))</f>
        <v>0</v>
      </c>
      <c r="K260" s="24">
        <f>IF($A260="","",N(Produtos!F260))</f>
        <v>0</v>
      </c>
      <c r="L260" s="24">
        <f>IF($A260="","",H260*K260)</f>
        <v>0</v>
      </c>
      <c r="M260" s="26">
        <f>IF($A260="","",SUMIFS(MovQtd,MovCod,$A260,MovTipo,"Saída",MovData,"&gt;="&amp;(Hoje-DiasAn),MovData,"&lt;="&amp;Hoje))</f>
        <v>0</v>
      </c>
      <c r="N260" s="28">
        <f>IF($A260="","",M260/DiasAn)</f>
        <v>0</v>
      </c>
      <c r="O260" s="29">
        <f>IF($A260="","",IF(N260&gt;0,H260/N260,"sem giro"))</f>
        <v>0</v>
      </c>
      <c r="P260" s="30">
        <f>IF($A260="","",SUMPRODUCT(MAX((MovCod=$A260)*(MovTipo="Saída")*MovData)))</f>
        <v>0</v>
      </c>
      <c r="Q260" s="31">
        <f>IF($A260="","",IF(H260&lt;=0,"RUPTURA",IF(AND(I260&gt;0,H260&lt;=I260),"REPOR",IF(AND(J260&lt;&gt;"",H260&gt;J260),"EXCESSO","OK"))))</f>
        <v>0</v>
      </c>
      <c r="R260" s="25">
        <f>IF($A260="","",IF(AND(H260&gt;0,OR(P260=0,Hoje-P260&gt;DiasParado)),"Parado",""))</f>
        <v>0</v>
      </c>
      <c r="S260" s="26">
        <f>IF($A260="","",IF(OR(Q260="RUPTURA",Q260="REPOR"),IF(J260="",0,MAX(0,J260-H260)),0))</f>
        <v>0</v>
      </c>
      <c r="T260" s="24">
        <f>IF($A260="","",M260*IF(N(Produtos!G260)&gt;0,Produtos!G260,K260))</f>
        <v>0</v>
      </c>
      <c r="U260" s="32">
        <f>IF($A260="","",IF(T260&gt;0,T260+ROW()/1000000000,""))</f>
        <v>0</v>
      </c>
      <c r="V260" s="31">
        <f>IF($A260="","",IF(U260="","C",INDEX('Curva ABC'!$H$5:$H$304,MATCH(U260,'Curva ABC'!$B$5:$B$304,0))))</f>
        <v>0</v>
      </c>
      <c r="W260" s="24">
        <f>IF($A260="","",IF(R260="Parado",L260,0))</f>
        <v>0</v>
      </c>
      <c r="X260" s="33">
        <f>IF($A260="","",IF(OR(Q260="RUPTURA",Q260="REPOR"),COUNTIF($Q$5:Q260,"RUPTURA")+COUNTIF($Q$5:Q260,"REPOR"),""))</f>
        <v>0</v>
      </c>
    </row>
    <row r="261" spans="1:24">
      <c r="A261" s="23">
        <f>IF(Produtos!A261="","",Produtos!A261)</f>
        <v>0</v>
      </c>
      <c r="B261" s="23">
        <f>IF($A261="","",Produtos!B261&amp;"")</f>
        <v>0</v>
      </c>
      <c r="C261" s="23">
        <f>IF($A261="","",Produtos!C261&amp;"")</f>
        <v>0</v>
      </c>
      <c r="D261" s="25">
        <f>IF($A261="","",Produtos!D261&amp;"")</f>
        <v>0</v>
      </c>
      <c r="E261" s="26">
        <f>IF($A261="","",N(Produtos!H261))</f>
        <v>0</v>
      </c>
      <c r="F261" s="26">
        <f>IF($A261="","",SUMIFS(MovQtd,MovCod,$A261,MovTipo,"Entrada"))</f>
        <v>0</v>
      </c>
      <c r="G261" s="26">
        <f>IF($A261="","",SUMIFS(MovQtd,MovCod,$A261,MovTipo,"Saída"))</f>
        <v>0</v>
      </c>
      <c r="H261" s="27">
        <f>IF($A261="","",E261+F261-G261)</f>
        <v>0</v>
      </c>
      <c r="I261" s="26">
        <f>IF($A261="","",N(Produtos!I261))</f>
        <v>0</v>
      </c>
      <c r="J261" s="26">
        <f>IF($A261="","",IF(I261&gt;0,ROUNDUP(I261*FatMax,0),""))</f>
        <v>0</v>
      </c>
      <c r="K261" s="24">
        <f>IF($A261="","",N(Produtos!F261))</f>
        <v>0</v>
      </c>
      <c r="L261" s="24">
        <f>IF($A261="","",H261*K261)</f>
        <v>0</v>
      </c>
      <c r="M261" s="26">
        <f>IF($A261="","",SUMIFS(MovQtd,MovCod,$A261,MovTipo,"Saída",MovData,"&gt;="&amp;(Hoje-DiasAn),MovData,"&lt;="&amp;Hoje))</f>
        <v>0</v>
      </c>
      <c r="N261" s="28">
        <f>IF($A261="","",M261/DiasAn)</f>
        <v>0</v>
      </c>
      <c r="O261" s="29">
        <f>IF($A261="","",IF(N261&gt;0,H261/N261,"sem giro"))</f>
        <v>0</v>
      </c>
      <c r="P261" s="30">
        <f>IF($A261="","",SUMPRODUCT(MAX((MovCod=$A261)*(MovTipo="Saída")*MovData)))</f>
        <v>0</v>
      </c>
      <c r="Q261" s="31">
        <f>IF($A261="","",IF(H261&lt;=0,"RUPTURA",IF(AND(I261&gt;0,H261&lt;=I261),"REPOR",IF(AND(J261&lt;&gt;"",H261&gt;J261),"EXCESSO","OK"))))</f>
        <v>0</v>
      </c>
      <c r="R261" s="25">
        <f>IF($A261="","",IF(AND(H261&gt;0,OR(P261=0,Hoje-P261&gt;DiasParado)),"Parado",""))</f>
        <v>0</v>
      </c>
      <c r="S261" s="26">
        <f>IF($A261="","",IF(OR(Q261="RUPTURA",Q261="REPOR"),IF(J261="",0,MAX(0,J261-H261)),0))</f>
        <v>0</v>
      </c>
      <c r="T261" s="24">
        <f>IF($A261="","",M261*IF(N(Produtos!G261)&gt;0,Produtos!G261,K261))</f>
        <v>0</v>
      </c>
      <c r="U261" s="32">
        <f>IF($A261="","",IF(T261&gt;0,T261+ROW()/1000000000,""))</f>
        <v>0</v>
      </c>
      <c r="V261" s="31">
        <f>IF($A261="","",IF(U261="","C",INDEX('Curva ABC'!$H$5:$H$304,MATCH(U261,'Curva ABC'!$B$5:$B$304,0))))</f>
        <v>0</v>
      </c>
      <c r="W261" s="24">
        <f>IF($A261="","",IF(R261="Parado",L261,0))</f>
        <v>0</v>
      </c>
      <c r="X261" s="33">
        <f>IF($A261="","",IF(OR(Q261="RUPTURA",Q261="REPOR"),COUNTIF($Q$5:Q261,"RUPTURA")+COUNTIF($Q$5:Q261,"REPOR"),""))</f>
        <v>0</v>
      </c>
    </row>
    <row r="262" spans="1:24">
      <c r="A262" s="23">
        <f>IF(Produtos!A262="","",Produtos!A262)</f>
        <v>0</v>
      </c>
      <c r="B262" s="23">
        <f>IF($A262="","",Produtos!B262&amp;"")</f>
        <v>0</v>
      </c>
      <c r="C262" s="23">
        <f>IF($A262="","",Produtos!C262&amp;"")</f>
        <v>0</v>
      </c>
      <c r="D262" s="25">
        <f>IF($A262="","",Produtos!D262&amp;"")</f>
        <v>0</v>
      </c>
      <c r="E262" s="26">
        <f>IF($A262="","",N(Produtos!H262))</f>
        <v>0</v>
      </c>
      <c r="F262" s="26">
        <f>IF($A262="","",SUMIFS(MovQtd,MovCod,$A262,MovTipo,"Entrada"))</f>
        <v>0</v>
      </c>
      <c r="G262" s="26">
        <f>IF($A262="","",SUMIFS(MovQtd,MovCod,$A262,MovTipo,"Saída"))</f>
        <v>0</v>
      </c>
      <c r="H262" s="27">
        <f>IF($A262="","",E262+F262-G262)</f>
        <v>0</v>
      </c>
      <c r="I262" s="26">
        <f>IF($A262="","",N(Produtos!I262))</f>
        <v>0</v>
      </c>
      <c r="J262" s="26">
        <f>IF($A262="","",IF(I262&gt;0,ROUNDUP(I262*FatMax,0),""))</f>
        <v>0</v>
      </c>
      <c r="K262" s="24">
        <f>IF($A262="","",N(Produtos!F262))</f>
        <v>0</v>
      </c>
      <c r="L262" s="24">
        <f>IF($A262="","",H262*K262)</f>
        <v>0</v>
      </c>
      <c r="M262" s="26">
        <f>IF($A262="","",SUMIFS(MovQtd,MovCod,$A262,MovTipo,"Saída",MovData,"&gt;="&amp;(Hoje-DiasAn),MovData,"&lt;="&amp;Hoje))</f>
        <v>0</v>
      </c>
      <c r="N262" s="28">
        <f>IF($A262="","",M262/DiasAn)</f>
        <v>0</v>
      </c>
      <c r="O262" s="29">
        <f>IF($A262="","",IF(N262&gt;0,H262/N262,"sem giro"))</f>
        <v>0</v>
      </c>
      <c r="P262" s="30">
        <f>IF($A262="","",SUMPRODUCT(MAX((MovCod=$A262)*(MovTipo="Saída")*MovData)))</f>
        <v>0</v>
      </c>
      <c r="Q262" s="31">
        <f>IF($A262="","",IF(H262&lt;=0,"RUPTURA",IF(AND(I262&gt;0,H262&lt;=I262),"REPOR",IF(AND(J262&lt;&gt;"",H262&gt;J262),"EXCESSO","OK"))))</f>
        <v>0</v>
      </c>
      <c r="R262" s="25">
        <f>IF($A262="","",IF(AND(H262&gt;0,OR(P262=0,Hoje-P262&gt;DiasParado)),"Parado",""))</f>
        <v>0</v>
      </c>
      <c r="S262" s="26">
        <f>IF($A262="","",IF(OR(Q262="RUPTURA",Q262="REPOR"),IF(J262="",0,MAX(0,J262-H262)),0))</f>
        <v>0</v>
      </c>
      <c r="T262" s="24">
        <f>IF($A262="","",M262*IF(N(Produtos!G262)&gt;0,Produtos!G262,K262))</f>
        <v>0</v>
      </c>
      <c r="U262" s="32">
        <f>IF($A262="","",IF(T262&gt;0,T262+ROW()/1000000000,""))</f>
        <v>0</v>
      </c>
      <c r="V262" s="31">
        <f>IF($A262="","",IF(U262="","C",INDEX('Curva ABC'!$H$5:$H$304,MATCH(U262,'Curva ABC'!$B$5:$B$304,0))))</f>
        <v>0</v>
      </c>
      <c r="W262" s="24">
        <f>IF($A262="","",IF(R262="Parado",L262,0))</f>
        <v>0</v>
      </c>
      <c r="X262" s="33">
        <f>IF($A262="","",IF(OR(Q262="RUPTURA",Q262="REPOR"),COUNTIF($Q$5:Q262,"RUPTURA")+COUNTIF($Q$5:Q262,"REPOR"),""))</f>
        <v>0</v>
      </c>
    </row>
    <row r="263" spans="1:24">
      <c r="A263" s="23">
        <f>IF(Produtos!A263="","",Produtos!A263)</f>
        <v>0</v>
      </c>
      <c r="B263" s="23">
        <f>IF($A263="","",Produtos!B263&amp;"")</f>
        <v>0</v>
      </c>
      <c r="C263" s="23">
        <f>IF($A263="","",Produtos!C263&amp;"")</f>
        <v>0</v>
      </c>
      <c r="D263" s="25">
        <f>IF($A263="","",Produtos!D263&amp;"")</f>
        <v>0</v>
      </c>
      <c r="E263" s="26">
        <f>IF($A263="","",N(Produtos!H263))</f>
        <v>0</v>
      </c>
      <c r="F263" s="26">
        <f>IF($A263="","",SUMIFS(MovQtd,MovCod,$A263,MovTipo,"Entrada"))</f>
        <v>0</v>
      </c>
      <c r="G263" s="26">
        <f>IF($A263="","",SUMIFS(MovQtd,MovCod,$A263,MovTipo,"Saída"))</f>
        <v>0</v>
      </c>
      <c r="H263" s="27">
        <f>IF($A263="","",E263+F263-G263)</f>
        <v>0</v>
      </c>
      <c r="I263" s="26">
        <f>IF($A263="","",N(Produtos!I263))</f>
        <v>0</v>
      </c>
      <c r="J263" s="26">
        <f>IF($A263="","",IF(I263&gt;0,ROUNDUP(I263*FatMax,0),""))</f>
        <v>0</v>
      </c>
      <c r="K263" s="24">
        <f>IF($A263="","",N(Produtos!F263))</f>
        <v>0</v>
      </c>
      <c r="L263" s="24">
        <f>IF($A263="","",H263*K263)</f>
        <v>0</v>
      </c>
      <c r="M263" s="26">
        <f>IF($A263="","",SUMIFS(MovQtd,MovCod,$A263,MovTipo,"Saída",MovData,"&gt;="&amp;(Hoje-DiasAn),MovData,"&lt;="&amp;Hoje))</f>
        <v>0</v>
      </c>
      <c r="N263" s="28">
        <f>IF($A263="","",M263/DiasAn)</f>
        <v>0</v>
      </c>
      <c r="O263" s="29">
        <f>IF($A263="","",IF(N263&gt;0,H263/N263,"sem giro"))</f>
        <v>0</v>
      </c>
      <c r="P263" s="30">
        <f>IF($A263="","",SUMPRODUCT(MAX((MovCod=$A263)*(MovTipo="Saída")*MovData)))</f>
        <v>0</v>
      </c>
      <c r="Q263" s="31">
        <f>IF($A263="","",IF(H263&lt;=0,"RUPTURA",IF(AND(I263&gt;0,H263&lt;=I263),"REPOR",IF(AND(J263&lt;&gt;"",H263&gt;J263),"EXCESSO","OK"))))</f>
        <v>0</v>
      </c>
      <c r="R263" s="25">
        <f>IF($A263="","",IF(AND(H263&gt;0,OR(P263=0,Hoje-P263&gt;DiasParado)),"Parado",""))</f>
        <v>0</v>
      </c>
      <c r="S263" s="26">
        <f>IF($A263="","",IF(OR(Q263="RUPTURA",Q263="REPOR"),IF(J263="",0,MAX(0,J263-H263)),0))</f>
        <v>0</v>
      </c>
      <c r="T263" s="24">
        <f>IF($A263="","",M263*IF(N(Produtos!G263)&gt;0,Produtos!G263,K263))</f>
        <v>0</v>
      </c>
      <c r="U263" s="32">
        <f>IF($A263="","",IF(T263&gt;0,T263+ROW()/1000000000,""))</f>
        <v>0</v>
      </c>
      <c r="V263" s="31">
        <f>IF($A263="","",IF(U263="","C",INDEX('Curva ABC'!$H$5:$H$304,MATCH(U263,'Curva ABC'!$B$5:$B$304,0))))</f>
        <v>0</v>
      </c>
      <c r="W263" s="24">
        <f>IF($A263="","",IF(R263="Parado",L263,0))</f>
        <v>0</v>
      </c>
      <c r="X263" s="33">
        <f>IF($A263="","",IF(OR(Q263="RUPTURA",Q263="REPOR"),COUNTIF($Q$5:Q263,"RUPTURA")+COUNTIF($Q$5:Q263,"REPOR"),""))</f>
        <v>0</v>
      </c>
    </row>
    <row r="264" spans="1:24">
      <c r="A264" s="23">
        <f>IF(Produtos!A264="","",Produtos!A264)</f>
        <v>0</v>
      </c>
      <c r="B264" s="23">
        <f>IF($A264="","",Produtos!B264&amp;"")</f>
        <v>0</v>
      </c>
      <c r="C264" s="23">
        <f>IF($A264="","",Produtos!C264&amp;"")</f>
        <v>0</v>
      </c>
      <c r="D264" s="25">
        <f>IF($A264="","",Produtos!D264&amp;"")</f>
        <v>0</v>
      </c>
      <c r="E264" s="26">
        <f>IF($A264="","",N(Produtos!H264))</f>
        <v>0</v>
      </c>
      <c r="F264" s="26">
        <f>IF($A264="","",SUMIFS(MovQtd,MovCod,$A264,MovTipo,"Entrada"))</f>
        <v>0</v>
      </c>
      <c r="G264" s="26">
        <f>IF($A264="","",SUMIFS(MovQtd,MovCod,$A264,MovTipo,"Saída"))</f>
        <v>0</v>
      </c>
      <c r="H264" s="27">
        <f>IF($A264="","",E264+F264-G264)</f>
        <v>0</v>
      </c>
      <c r="I264" s="26">
        <f>IF($A264="","",N(Produtos!I264))</f>
        <v>0</v>
      </c>
      <c r="J264" s="26">
        <f>IF($A264="","",IF(I264&gt;0,ROUNDUP(I264*FatMax,0),""))</f>
        <v>0</v>
      </c>
      <c r="K264" s="24">
        <f>IF($A264="","",N(Produtos!F264))</f>
        <v>0</v>
      </c>
      <c r="L264" s="24">
        <f>IF($A264="","",H264*K264)</f>
        <v>0</v>
      </c>
      <c r="M264" s="26">
        <f>IF($A264="","",SUMIFS(MovQtd,MovCod,$A264,MovTipo,"Saída",MovData,"&gt;="&amp;(Hoje-DiasAn),MovData,"&lt;="&amp;Hoje))</f>
        <v>0</v>
      </c>
      <c r="N264" s="28">
        <f>IF($A264="","",M264/DiasAn)</f>
        <v>0</v>
      </c>
      <c r="O264" s="29">
        <f>IF($A264="","",IF(N264&gt;0,H264/N264,"sem giro"))</f>
        <v>0</v>
      </c>
      <c r="P264" s="30">
        <f>IF($A264="","",SUMPRODUCT(MAX((MovCod=$A264)*(MovTipo="Saída")*MovData)))</f>
        <v>0</v>
      </c>
      <c r="Q264" s="31">
        <f>IF($A264="","",IF(H264&lt;=0,"RUPTURA",IF(AND(I264&gt;0,H264&lt;=I264),"REPOR",IF(AND(J264&lt;&gt;"",H264&gt;J264),"EXCESSO","OK"))))</f>
        <v>0</v>
      </c>
      <c r="R264" s="25">
        <f>IF($A264="","",IF(AND(H264&gt;0,OR(P264=0,Hoje-P264&gt;DiasParado)),"Parado",""))</f>
        <v>0</v>
      </c>
      <c r="S264" s="26">
        <f>IF($A264="","",IF(OR(Q264="RUPTURA",Q264="REPOR"),IF(J264="",0,MAX(0,J264-H264)),0))</f>
        <v>0</v>
      </c>
      <c r="T264" s="24">
        <f>IF($A264="","",M264*IF(N(Produtos!G264)&gt;0,Produtos!G264,K264))</f>
        <v>0</v>
      </c>
      <c r="U264" s="32">
        <f>IF($A264="","",IF(T264&gt;0,T264+ROW()/1000000000,""))</f>
        <v>0</v>
      </c>
      <c r="V264" s="31">
        <f>IF($A264="","",IF(U264="","C",INDEX('Curva ABC'!$H$5:$H$304,MATCH(U264,'Curva ABC'!$B$5:$B$304,0))))</f>
        <v>0</v>
      </c>
      <c r="W264" s="24">
        <f>IF($A264="","",IF(R264="Parado",L264,0))</f>
        <v>0</v>
      </c>
      <c r="X264" s="33">
        <f>IF($A264="","",IF(OR(Q264="RUPTURA",Q264="REPOR"),COUNTIF($Q$5:Q264,"RUPTURA")+COUNTIF($Q$5:Q264,"REPOR"),""))</f>
        <v>0</v>
      </c>
    </row>
    <row r="265" spans="1:24">
      <c r="A265" s="23">
        <f>IF(Produtos!A265="","",Produtos!A265)</f>
        <v>0</v>
      </c>
      <c r="B265" s="23">
        <f>IF($A265="","",Produtos!B265&amp;"")</f>
        <v>0</v>
      </c>
      <c r="C265" s="23">
        <f>IF($A265="","",Produtos!C265&amp;"")</f>
        <v>0</v>
      </c>
      <c r="D265" s="25">
        <f>IF($A265="","",Produtos!D265&amp;"")</f>
        <v>0</v>
      </c>
      <c r="E265" s="26">
        <f>IF($A265="","",N(Produtos!H265))</f>
        <v>0</v>
      </c>
      <c r="F265" s="26">
        <f>IF($A265="","",SUMIFS(MovQtd,MovCod,$A265,MovTipo,"Entrada"))</f>
        <v>0</v>
      </c>
      <c r="G265" s="26">
        <f>IF($A265="","",SUMIFS(MovQtd,MovCod,$A265,MovTipo,"Saída"))</f>
        <v>0</v>
      </c>
      <c r="H265" s="27">
        <f>IF($A265="","",E265+F265-G265)</f>
        <v>0</v>
      </c>
      <c r="I265" s="26">
        <f>IF($A265="","",N(Produtos!I265))</f>
        <v>0</v>
      </c>
      <c r="J265" s="26">
        <f>IF($A265="","",IF(I265&gt;0,ROUNDUP(I265*FatMax,0),""))</f>
        <v>0</v>
      </c>
      <c r="K265" s="24">
        <f>IF($A265="","",N(Produtos!F265))</f>
        <v>0</v>
      </c>
      <c r="L265" s="24">
        <f>IF($A265="","",H265*K265)</f>
        <v>0</v>
      </c>
      <c r="M265" s="26">
        <f>IF($A265="","",SUMIFS(MovQtd,MovCod,$A265,MovTipo,"Saída",MovData,"&gt;="&amp;(Hoje-DiasAn),MovData,"&lt;="&amp;Hoje))</f>
        <v>0</v>
      </c>
      <c r="N265" s="28">
        <f>IF($A265="","",M265/DiasAn)</f>
        <v>0</v>
      </c>
      <c r="O265" s="29">
        <f>IF($A265="","",IF(N265&gt;0,H265/N265,"sem giro"))</f>
        <v>0</v>
      </c>
      <c r="P265" s="30">
        <f>IF($A265="","",SUMPRODUCT(MAX((MovCod=$A265)*(MovTipo="Saída")*MovData)))</f>
        <v>0</v>
      </c>
      <c r="Q265" s="31">
        <f>IF($A265="","",IF(H265&lt;=0,"RUPTURA",IF(AND(I265&gt;0,H265&lt;=I265),"REPOR",IF(AND(J265&lt;&gt;"",H265&gt;J265),"EXCESSO","OK"))))</f>
        <v>0</v>
      </c>
      <c r="R265" s="25">
        <f>IF($A265="","",IF(AND(H265&gt;0,OR(P265=0,Hoje-P265&gt;DiasParado)),"Parado",""))</f>
        <v>0</v>
      </c>
      <c r="S265" s="26">
        <f>IF($A265="","",IF(OR(Q265="RUPTURA",Q265="REPOR"),IF(J265="",0,MAX(0,J265-H265)),0))</f>
        <v>0</v>
      </c>
      <c r="T265" s="24">
        <f>IF($A265="","",M265*IF(N(Produtos!G265)&gt;0,Produtos!G265,K265))</f>
        <v>0</v>
      </c>
      <c r="U265" s="32">
        <f>IF($A265="","",IF(T265&gt;0,T265+ROW()/1000000000,""))</f>
        <v>0</v>
      </c>
      <c r="V265" s="31">
        <f>IF($A265="","",IF(U265="","C",INDEX('Curva ABC'!$H$5:$H$304,MATCH(U265,'Curva ABC'!$B$5:$B$304,0))))</f>
        <v>0</v>
      </c>
      <c r="W265" s="24">
        <f>IF($A265="","",IF(R265="Parado",L265,0))</f>
        <v>0</v>
      </c>
      <c r="X265" s="33">
        <f>IF($A265="","",IF(OR(Q265="RUPTURA",Q265="REPOR"),COUNTIF($Q$5:Q265,"RUPTURA")+COUNTIF($Q$5:Q265,"REPOR"),""))</f>
        <v>0</v>
      </c>
    </row>
    <row r="266" spans="1:24">
      <c r="A266" s="23">
        <f>IF(Produtos!A266="","",Produtos!A266)</f>
        <v>0</v>
      </c>
      <c r="B266" s="23">
        <f>IF($A266="","",Produtos!B266&amp;"")</f>
        <v>0</v>
      </c>
      <c r="C266" s="23">
        <f>IF($A266="","",Produtos!C266&amp;"")</f>
        <v>0</v>
      </c>
      <c r="D266" s="25">
        <f>IF($A266="","",Produtos!D266&amp;"")</f>
        <v>0</v>
      </c>
      <c r="E266" s="26">
        <f>IF($A266="","",N(Produtos!H266))</f>
        <v>0</v>
      </c>
      <c r="F266" s="26">
        <f>IF($A266="","",SUMIFS(MovQtd,MovCod,$A266,MovTipo,"Entrada"))</f>
        <v>0</v>
      </c>
      <c r="G266" s="26">
        <f>IF($A266="","",SUMIFS(MovQtd,MovCod,$A266,MovTipo,"Saída"))</f>
        <v>0</v>
      </c>
      <c r="H266" s="27">
        <f>IF($A266="","",E266+F266-G266)</f>
        <v>0</v>
      </c>
      <c r="I266" s="26">
        <f>IF($A266="","",N(Produtos!I266))</f>
        <v>0</v>
      </c>
      <c r="J266" s="26">
        <f>IF($A266="","",IF(I266&gt;0,ROUNDUP(I266*FatMax,0),""))</f>
        <v>0</v>
      </c>
      <c r="K266" s="24">
        <f>IF($A266="","",N(Produtos!F266))</f>
        <v>0</v>
      </c>
      <c r="L266" s="24">
        <f>IF($A266="","",H266*K266)</f>
        <v>0</v>
      </c>
      <c r="M266" s="26">
        <f>IF($A266="","",SUMIFS(MovQtd,MovCod,$A266,MovTipo,"Saída",MovData,"&gt;="&amp;(Hoje-DiasAn),MovData,"&lt;="&amp;Hoje))</f>
        <v>0</v>
      </c>
      <c r="N266" s="28">
        <f>IF($A266="","",M266/DiasAn)</f>
        <v>0</v>
      </c>
      <c r="O266" s="29">
        <f>IF($A266="","",IF(N266&gt;0,H266/N266,"sem giro"))</f>
        <v>0</v>
      </c>
      <c r="P266" s="30">
        <f>IF($A266="","",SUMPRODUCT(MAX((MovCod=$A266)*(MovTipo="Saída")*MovData)))</f>
        <v>0</v>
      </c>
      <c r="Q266" s="31">
        <f>IF($A266="","",IF(H266&lt;=0,"RUPTURA",IF(AND(I266&gt;0,H266&lt;=I266),"REPOR",IF(AND(J266&lt;&gt;"",H266&gt;J266),"EXCESSO","OK"))))</f>
        <v>0</v>
      </c>
      <c r="R266" s="25">
        <f>IF($A266="","",IF(AND(H266&gt;0,OR(P266=0,Hoje-P266&gt;DiasParado)),"Parado",""))</f>
        <v>0</v>
      </c>
      <c r="S266" s="26">
        <f>IF($A266="","",IF(OR(Q266="RUPTURA",Q266="REPOR"),IF(J266="",0,MAX(0,J266-H266)),0))</f>
        <v>0</v>
      </c>
      <c r="T266" s="24">
        <f>IF($A266="","",M266*IF(N(Produtos!G266)&gt;0,Produtos!G266,K266))</f>
        <v>0</v>
      </c>
      <c r="U266" s="32">
        <f>IF($A266="","",IF(T266&gt;0,T266+ROW()/1000000000,""))</f>
        <v>0</v>
      </c>
      <c r="V266" s="31">
        <f>IF($A266="","",IF(U266="","C",INDEX('Curva ABC'!$H$5:$H$304,MATCH(U266,'Curva ABC'!$B$5:$B$304,0))))</f>
        <v>0</v>
      </c>
      <c r="W266" s="24">
        <f>IF($A266="","",IF(R266="Parado",L266,0))</f>
        <v>0</v>
      </c>
      <c r="X266" s="33">
        <f>IF($A266="","",IF(OR(Q266="RUPTURA",Q266="REPOR"),COUNTIF($Q$5:Q266,"RUPTURA")+COUNTIF($Q$5:Q266,"REPOR"),""))</f>
        <v>0</v>
      </c>
    </row>
    <row r="267" spans="1:24">
      <c r="A267" s="23">
        <f>IF(Produtos!A267="","",Produtos!A267)</f>
        <v>0</v>
      </c>
      <c r="B267" s="23">
        <f>IF($A267="","",Produtos!B267&amp;"")</f>
        <v>0</v>
      </c>
      <c r="C267" s="23">
        <f>IF($A267="","",Produtos!C267&amp;"")</f>
        <v>0</v>
      </c>
      <c r="D267" s="25">
        <f>IF($A267="","",Produtos!D267&amp;"")</f>
        <v>0</v>
      </c>
      <c r="E267" s="26">
        <f>IF($A267="","",N(Produtos!H267))</f>
        <v>0</v>
      </c>
      <c r="F267" s="26">
        <f>IF($A267="","",SUMIFS(MovQtd,MovCod,$A267,MovTipo,"Entrada"))</f>
        <v>0</v>
      </c>
      <c r="G267" s="26">
        <f>IF($A267="","",SUMIFS(MovQtd,MovCod,$A267,MovTipo,"Saída"))</f>
        <v>0</v>
      </c>
      <c r="H267" s="27">
        <f>IF($A267="","",E267+F267-G267)</f>
        <v>0</v>
      </c>
      <c r="I267" s="26">
        <f>IF($A267="","",N(Produtos!I267))</f>
        <v>0</v>
      </c>
      <c r="J267" s="26">
        <f>IF($A267="","",IF(I267&gt;0,ROUNDUP(I267*FatMax,0),""))</f>
        <v>0</v>
      </c>
      <c r="K267" s="24">
        <f>IF($A267="","",N(Produtos!F267))</f>
        <v>0</v>
      </c>
      <c r="L267" s="24">
        <f>IF($A267="","",H267*K267)</f>
        <v>0</v>
      </c>
      <c r="M267" s="26">
        <f>IF($A267="","",SUMIFS(MovQtd,MovCod,$A267,MovTipo,"Saída",MovData,"&gt;="&amp;(Hoje-DiasAn),MovData,"&lt;="&amp;Hoje))</f>
        <v>0</v>
      </c>
      <c r="N267" s="28">
        <f>IF($A267="","",M267/DiasAn)</f>
        <v>0</v>
      </c>
      <c r="O267" s="29">
        <f>IF($A267="","",IF(N267&gt;0,H267/N267,"sem giro"))</f>
        <v>0</v>
      </c>
      <c r="P267" s="30">
        <f>IF($A267="","",SUMPRODUCT(MAX((MovCod=$A267)*(MovTipo="Saída")*MovData)))</f>
        <v>0</v>
      </c>
      <c r="Q267" s="31">
        <f>IF($A267="","",IF(H267&lt;=0,"RUPTURA",IF(AND(I267&gt;0,H267&lt;=I267),"REPOR",IF(AND(J267&lt;&gt;"",H267&gt;J267),"EXCESSO","OK"))))</f>
        <v>0</v>
      </c>
      <c r="R267" s="25">
        <f>IF($A267="","",IF(AND(H267&gt;0,OR(P267=0,Hoje-P267&gt;DiasParado)),"Parado",""))</f>
        <v>0</v>
      </c>
      <c r="S267" s="26">
        <f>IF($A267="","",IF(OR(Q267="RUPTURA",Q267="REPOR"),IF(J267="",0,MAX(0,J267-H267)),0))</f>
        <v>0</v>
      </c>
      <c r="T267" s="24">
        <f>IF($A267="","",M267*IF(N(Produtos!G267)&gt;0,Produtos!G267,K267))</f>
        <v>0</v>
      </c>
      <c r="U267" s="32">
        <f>IF($A267="","",IF(T267&gt;0,T267+ROW()/1000000000,""))</f>
        <v>0</v>
      </c>
      <c r="V267" s="31">
        <f>IF($A267="","",IF(U267="","C",INDEX('Curva ABC'!$H$5:$H$304,MATCH(U267,'Curva ABC'!$B$5:$B$304,0))))</f>
        <v>0</v>
      </c>
      <c r="W267" s="24">
        <f>IF($A267="","",IF(R267="Parado",L267,0))</f>
        <v>0</v>
      </c>
      <c r="X267" s="33">
        <f>IF($A267="","",IF(OR(Q267="RUPTURA",Q267="REPOR"),COUNTIF($Q$5:Q267,"RUPTURA")+COUNTIF($Q$5:Q267,"REPOR"),""))</f>
        <v>0</v>
      </c>
    </row>
    <row r="268" spans="1:24">
      <c r="A268" s="23">
        <f>IF(Produtos!A268="","",Produtos!A268)</f>
        <v>0</v>
      </c>
      <c r="B268" s="23">
        <f>IF($A268="","",Produtos!B268&amp;"")</f>
        <v>0</v>
      </c>
      <c r="C268" s="23">
        <f>IF($A268="","",Produtos!C268&amp;"")</f>
        <v>0</v>
      </c>
      <c r="D268" s="25">
        <f>IF($A268="","",Produtos!D268&amp;"")</f>
        <v>0</v>
      </c>
      <c r="E268" s="26">
        <f>IF($A268="","",N(Produtos!H268))</f>
        <v>0</v>
      </c>
      <c r="F268" s="26">
        <f>IF($A268="","",SUMIFS(MovQtd,MovCod,$A268,MovTipo,"Entrada"))</f>
        <v>0</v>
      </c>
      <c r="G268" s="26">
        <f>IF($A268="","",SUMIFS(MovQtd,MovCod,$A268,MovTipo,"Saída"))</f>
        <v>0</v>
      </c>
      <c r="H268" s="27">
        <f>IF($A268="","",E268+F268-G268)</f>
        <v>0</v>
      </c>
      <c r="I268" s="26">
        <f>IF($A268="","",N(Produtos!I268))</f>
        <v>0</v>
      </c>
      <c r="J268" s="26">
        <f>IF($A268="","",IF(I268&gt;0,ROUNDUP(I268*FatMax,0),""))</f>
        <v>0</v>
      </c>
      <c r="K268" s="24">
        <f>IF($A268="","",N(Produtos!F268))</f>
        <v>0</v>
      </c>
      <c r="L268" s="24">
        <f>IF($A268="","",H268*K268)</f>
        <v>0</v>
      </c>
      <c r="M268" s="26">
        <f>IF($A268="","",SUMIFS(MovQtd,MovCod,$A268,MovTipo,"Saída",MovData,"&gt;="&amp;(Hoje-DiasAn),MovData,"&lt;="&amp;Hoje))</f>
        <v>0</v>
      </c>
      <c r="N268" s="28">
        <f>IF($A268="","",M268/DiasAn)</f>
        <v>0</v>
      </c>
      <c r="O268" s="29">
        <f>IF($A268="","",IF(N268&gt;0,H268/N268,"sem giro"))</f>
        <v>0</v>
      </c>
      <c r="P268" s="30">
        <f>IF($A268="","",SUMPRODUCT(MAX((MovCod=$A268)*(MovTipo="Saída")*MovData)))</f>
        <v>0</v>
      </c>
      <c r="Q268" s="31">
        <f>IF($A268="","",IF(H268&lt;=0,"RUPTURA",IF(AND(I268&gt;0,H268&lt;=I268),"REPOR",IF(AND(J268&lt;&gt;"",H268&gt;J268),"EXCESSO","OK"))))</f>
        <v>0</v>
      </c>
      <c r="R268" s="25">
        <f>IF($A268="","",IF(AND(H268&gt;0,OR(P268=0,Hoje-P268&gt;DiasParado)),"Parado",""))</f>
        <v>0</v>
      </c>
      <c r="S268" s="26">
        <f>IF($A268="","",IF(OR(Q268="RUPTURA",Q268="REPOR"),IF(J268="",0,MAX(0,J268-H268)),0))</f>
        <v>0</v>
      </c>
      <c r="T268" s="24">
        <f>IF($A268="","",M268*IF(N(Produtos!G268)&gt;0,Produtos!G268,K268))</f>
        <v>0</v>
      </c>
      <c r="U268" s="32">
        <f>IF($A268="","",IF(T268&gt;0,T268+ROW()/1000000000,""))</f>
        <v>0</v>
      </c>
      <c r="V268" s="31">
        <f>IF($A268="","",IF(U268="","C",INDEX('Curva ABC'!$H$5:$H$304,MATCH(U268,'Curva ABC'!$B$5:$B$304,0))))</f>
        <v>0</v>
      </c>
      <c r="W268" s="24">
        <f>IF($A268="","",IF(R268="Parado",L268,0))</f>
        <v>0</v>
      </c>
      <c r="X268" s="33">
        <f>IF($A268="","",IF(OR(Q268="RUPTURA",Q268="REPOR"),COUNTIF($Q$5:Q268,"RUPTURA")+COUNTIF($Q$5:Q268,"REPOR"),""))</f>
        <v>0</v>
      </c>
    </row>
    <row r="269" spans="1:24">
      <c r="A269" s="23">
        <f>IF(Produtos!A269="","",Produtos!A269)</f>
        <v>0</v>
      </c>
      <c r="B269" s="23">
        <f>IF($A269="","",Produtos!B269&amp;"")</f>
        <v>0</v>
      </c>
      <c r="C269" s="23">
        <f>IF($A269="","",Produtos!C269&amp;"")</f>
        <v>0</v>
      </c>
      <c r="D269" s="25">
        <f>IF($A269="","",Produtos!D269&amp;"")</f>
        <v>0</v>
      </c>
      <c r="E269" s="26">
        <f>IF($A269="","",N(Produtos!H269))</f>
        <v>0</v>
      </c>
      <c r="F269" s="26">
        <f>IF($A269="","",SUMIFS(MovQtd,MovCod,$A269,MovTipo,"Entrada"))</f>
        <v>0</v>
      </c>
      <c r="G269" s="26">
        <f>IF($A269="","",SUMIFS(MovQtd,MovCod,$A269,MovTipo,"Saída"))</f>
        <v>0</v>
      </c>
      <c r="H269" s="27">
        <f>IF($A269="","",E269+F269-G269)</f>
        <v>0</v>
      </c>
      <c r="I269" s="26">
        <f>IF($A269="","",N(Produtos!I269))</f>
        <v>0</v>
      </c>
      <c r="J269" s="26">
        <f>IF($A269="","",IF(I269&gt;0,ROUNDUP(I269*FatMax,0),""))</f>
        <v>0</v>
      </c>
      <c r="K269" s="24">
        <f>IF($A269="","",N(Produtos!F269))</f>
        <v>0</v>
      </c>
      <c r="L269" s="24">
        <f>IF($A269="","",H269*K269)</f>
        <v>0</v>
      </c>
      <c r="M269" s="26">
        <f>IF($A269="","",SUMIFS(MovQtd,MovCod,$A269,MovTipo,"Saída",MovData,"&gt;="&amp;(Hoje-DiasAn),MovData,"&lt;="&amp;Hoje))</f>
        <v>0</v>
      </c>
      <c r="N269" s="28">
        <f>IF($A269="","",M269/DiasAn)</f>
        <v>0</v>
      </c>
      <c r="O269" s="29">
        <f>IF($A269="","",IF(N269&gt;0,H269/N269,"sem giro"))</f>
        <v>0</v>
      </c>
      <c r="P269" s="30">
        <f>IF($A269="","",SUMPRODUCT(MAX((MovCod=$A269)*(MovTipo="Saída")*MovData)))</f>
        <v>0</v>
      </c>
      <c r="Q269" s="31">
        <f>IF($A269="","",IF(H269&lt;=0,"RUPTURA",IF(AND(I269&gt;0,H269&lt;=I269),"REPOR",IF(AND(J269&lt;&gt;"",H269&gt;J269),"EXCESSO","OK"))))</f>
        <v>0</v>
      </c>
      <c r="R269" s="25">
        <f>IF($A269="","",IF(AND(H269&gt;0,OR(P269=0,Hoje-P269&gt;DiasParado)),"Parado",""))</f>
        <v>0</v>
      </c>
      <c r="S269" s="26">
        <f>IF($A269="","",IF(OR(Q269="RUPTURA",Q269="REPOR"),IF(J269="",0,MAX(0,J269-H269)),0))</f>
        <v>0</v>
      </c>
      <c r="T269" s="24">
        <f>IF($A269="","",M269*IF(N(Produtos!G269)&gt;0,Produtos!G269,K269))</f>
        <v>0</v>
      </c>
      <c r="U269" s="32">
        <f>IF($A269="","",IF(T269&gt;0,T269+ROW()/1000000000,""))</f>
        <v>0</v>
      </c>
      <c r="V269" s="31">
        <f>IF($A269="","",IF(U269="","C",INDEX('Curva ABC'!$H$5:$H$304,MATCH(U269,'Curva ABC'!$B$5:$B$304,0))))</f>
        <v>0</v>
      </c>
      <c r="W269" s="24">
        <f>IF($A269="","",IF(R269="Parado",L269,0))</f>
        <v>0</v>
      </c>
      <c r="X269" s="33">
        <f>IF($A269="","",IF(OR(Q269="RUPTURA",Q269="REPOR"),COUNTIF($Q$5:Q269,"RUPTURA")+COUNTIF($Q$5:Q269,"REPOR"),""))</f>
        <v>0</v>
      </c>
    </row>
    <row r="270" spans="1:24">
      <c r="A270" s="23">
        <f>IF(Produtos!A270="","",Produtos!A270)</f>
        <v>0</v>
      </c>
      <c r="B270" s="23">
        <f>IF($A270="","",Produtos!B270&amp;"")</f>
        <v>0</v>
      </c>
      <c r="C270" s="23">
        <f>IF($A270="","",Produtos!C270&amp;"")</f>
        <v>0</v>
      </c>
      <c r="D270" s="25">
        <f>IF($A270="","",Produtos!D270&amp;"")</f>
        <v>0</v>
      </c>
      <c r="E270" s="26">
        <f>IF($A270="","",N(Produtos!H270))</f>
        <v>0</v>
      </c>
      <c r="F270" s="26">
        <f>IF($A270="","",SUMIFS(MovQtd,MovCod,$A270,MovTipo,"Entrada"))</f>
        <v>0</v>
      </c>
      <c r="G270" s="26">
        <f>IF($A270="","",SUMIFS(MovQtd,MovCod,$A270,MovTipo,"Saída"))</f>
        <v>0</v>
      </c>
      <c r="H270" s="27">
        <f>IF($A270="","",E270+F270-G270)</f>
        <v>0</v>
      </c>
      <c r="I270" s="26">
        <f>IF($A270="","",N(Produtos!I270))</f>
        <v>0</v>
      </c>
      <c r="J270" s="26">
        <f>IF($A270="","",IF(I270&gt;0,ROUNDUP(I270*FatMax,0),""))</f>
        <v>0</v>
      </c>
      <c r="K270" s="24">
        <f>IF($A270="","",N(Produtos!F270))</f>
        <v>0</v>
      </c>
      <c r="L270" s="24">
        <f>IF($A270="","",H270*K270)</f>
        <v>0</v>
      </c>
      <c r="M270" s="26">
        <f>IF($A270="","",SUMIFS(MovQtd,MovCod,$A270,MovTipo,"Saída",MovData,"&gt;="&amp;(Hoje-DiasAn),MovData,"&lt;="&amp;Hoje))</f>
        <v>0</v>
      </c>
      <c r="N270" s="28">
        <f>IF($A270="","",M270/DiasAn)</f>
        <v>0</v>
      </c>
      <c r="O270" s="29">
        <f>IF($A270="","",IF(N270&gt;0,H270/N270,"sem giro"))</f>
        <v>0</v>
      </c>
      <c r="P270" s="30">
        <f>IF($A270="","",SUMPRODUCT(MAX((MovCod=$A270)*(MovTipo="Saída")*MovData)))</f>
        <v>0</v>
      </c>
      <c r="Q270" s="31">
        <f>IF($A270="","",IF(H270&lt;=0,"RUPTURA",IF(AND(I270&gt;0,H270&lt;=I270),"REPOR",IF(AND(J270&lt;&gt;"",H270&gt;J270),"EXCESSO","OK"))))</f>
        <v>0</v>
      </c>
      <c r="R270" s="25">
        <f>IF($A270="","",IF(AND(H270&gt;0,OR(P270=0,Hoje-P270&gt;DiasParado)),"Parado",""))</f>
        <v>0</v>
      </c>
      <c r="S270" s="26">
        <f>IF($A270="","",IF(OR(Q270="RUPTURA",Q270="REPOR"),IF(J270="",0,MAX(0,J270-H270)),0))</f>
        <v>0</v>
      </c>
      <c r="T270" s="24">
        <f>IF($A270="","",M270*IF(N(Produtos!G270)&gt;0,Produtos!G270,K270))</f>
        <v>0</v>
      </c>
      <c r="U270" s="32">
        <f>IF($A270="","",IF(T270&gt;0,T270+ROW()/1000000000,""))</f>
        <v>0</v>
      </c>
      <c r="V270" s="31">
        <f>IF($A270="","",IF(U270="","C",INDEX('Curva ABC'!$H$5:$H$304,MATCH(U270,'Curva ABC'!$B$5:$B$304,0))))</f>
        <v>0</v>
      </c>
      <c r="W270" s="24">
        <f>IF($A270="","",IF(R270="Parado",L270,0))</f>
        <v>0</v>
      </c>
      <c r="X270" s="33">
        <f>IF($A270="","",IF(OR(Q270="RUPTURA",Q270="REPOR"),COUNTIF($Q$5:Q270,"RUPTURA")+COUNTIF($Q$5:Q270,"REPOR"),""))</f>
        <v>0</v>
      </c>
    </row>
    <row r="271" spans="1:24">
      <c r="A271" s="23">
        <f>IF(Produtos!A271="","",Produtos!A271)</f>
        <v>0</v>
      </c>
      <c r="B271" s="23">
        <f>IF($A271="","",Produtos!B271&amp;"")</f>
        <v>0</v>
      </c>
      <c r="C271" s="23">
        <f>IF($A271="","",Produtos!C271&amp;"")</f>
        <v>0</v>
      </c>
      <c r="D271" s="25">
        <f>IF($A271="","",Produtos!D271&amp;"")</f>
        <v>0</v>
      </c>
      <c r="E271" s="26">
        <f>IF($A271="","",N(Produtos!H271))</f>
        <v>0</v>
      </c>
      <c r="F271" s="26">
        <f>IF($A271="","",SUMIFS(MovQtd,MovCod,$A271,MovTipo,"Entrada"))</f>
        <v>0</v>
      </c>
      <c r="G271" s="26">
        <f>IF($A271="","",SUMIFS(MovQtd,MovCod,$A271,MovTipo,"Saída"))</f>
        <v>0</v>
      </c>
      <c r="H271" s="27">
        <f>IF($A271="","",E271+F271-G271)</f>
        <v>0</v>
      </c>
      <c r="I271" s="26">
        <f>IF($A271="","",N(Produtos!I271))</f>
        <v>0</v>
      </c>
      <c r="J271" s="26">
        <f>IF($A271="","",IF(I271&gt;0,ROUNDUP(I271*FatMax,0),""))</f>
        <v>0</v>
      </c>
      <c r="K271" s="24">
        <f>IF($A271="","",N(Produtos!F271))</f>
        <v>0</v>
      </c>
      <c r="L271" s="24">
        <f>IF($A271="","",H271*K271)</f>
        <v>0</v>
      </c>
      <c r="M271" s="26">
        <f>IF($A271="","",SUMIFS(MovQtd,MovCod,$A271,MovTipo,"Saída",MovData,"&gt;="&amp;(Hoje-DiasAn),MovData,"&lt;="&amp;Hoje))</f>
        <v>0</v>
      </c>
      <c r="N271" s="28">
        <f>IF($A271="","",M271/DiasAn)</f>
        <v>0</v>
      </c>
      <c r="O271" s="29">
        <f>IF($A271="","",IF(N271&gt;0,H271/N271,"sem giro"))</f>
        <v>0</v>
      </c>
      <c r="P271" s="30">
        <f>IF($A271="","",SUMPRODUCT(MAX((MovCod=$A271)*(MovTipo="Saída")*MovData)))</f>
        <v>0</v>
      </c>
      <c r="Q271" s="31">
        <f>IF($A271="","",IF(H271&lt;=0,"RUPTURA",IF(AND(I271&gt;0,H271&lt;=I271),"REPOR",IF(AND(J271&lt;&gt;"",H271&gt;J271),"EXCESSO","OK"))))</f>
        <v>0</v>
      </c>
      <c r="R271" s="25">
        <f>IF($A271="","",IF(AND(H271&gt;0,OR(P271=0,Hoje-P271&gt;DiasParado)),"Parado",""))</f>
        <v>0</v>
      </c>
      <c r="S271" s="26">
        <f>IF($A271="","",IF(OR(Q271="RUPTURA",Q271="REPOR"),IF(J271="",0,MAX(0,J271-H271)),0))</f>
        <v>0</v>
      </c>
      <c r="T271" s="24">
        <f>IF($A271="","",M271*IF(N(Produtos!G271)&gt;0,Produtos!G271,K271))</f>
        <v>0</v>
      </c>
      <c r="U271" s="32">
        <f>IF($A271="","",IF(T271&gt;0,T271+ROW()/1000000000,""))</f>
        <v>0</v>
      </c>
      <c r="V271" s="31">
        <f>IF($A271="","",IF(U271="","C",INDEX('Curva ABC'!$H$5:$H$304,MATCH(U271,'Curva ABC'!$B$5:$B$304,0))))</f>
        <v>0</v>
      </c>
      <c r="W271" s="24">
        <f>IF($A271="","",IF(R271="Parado",L271,0))</f>
        <v>0</v>
      </c>
      <c r="X271" s="33">
        <f>IF($A271="","",IF(OR(Q271="RUPTURA",Q271="REPOR"),COUNTIF($Q$5:Q271,"RUPTURA")+COUNTIF($Q$5:Q271,"REPOR"),""))</f>
        <v>0</v>
      </c>
    </row>
    <row r="272" spans="1:24">
      <c r="A272" s="23">
        <f>IF(Produtos!A272="","",Produtos!A272)</f>
        <v>0</v>
      </c>
      <c r="B272" s="23">
        <f>IF($A272="","",Produtos!B272&amp;"")</f>
        <v>0</v>
      </c>
      <c r="C272" s="23">
        <f>IF($A272="","",Produtos!C272&amp;"")</f>
        <v>0</v>
      </c>
      <c r="D272" s="25">
        <f>IF($A272="","",Produtos!D272&amp;"")</f>
        <v>0</v>
      </c>
      <c r="E272" s="26">
        <f>IF($A272="","",N(Produtos!H272))</f>
        <v>0</v>
      </c>
      <c r="F272" s="26">
        <f>IF($A272="","",SUMIFS(MovQtd,MovCod,$A272,MovTipo,"Entrada"))</f>
        <v>0</v>
      </c>
      <c r="G272" s="26">
        <f>IF($A272="","",SUMIFS(MovQtd,MovCod,$A272,MovTipo,"Saída"))</f>
        <v>0</v>
      </c>
      <c r="H272" s="27">
        <f>IF($A272="","",E272+F272-G272)</f>
        <v>0</v>
      </c>
      <c r="I272" s="26">
        <f>IF($A272="","",N(Produtos!I272))</f>
        <v>0</v>
      </c>
      <c r="J272" s="26">
        <f>IF($A272="","",IF(I272&gt;0,ROUNDUP(I272*FatMax,0),""))</f>
        <v>0</v>
      </c>
      <c r="K272" s="24">
        <f>IF($A272="","",N(Produtos!F272))</f>
        <v>0</v>
      </c>
      <c r="L272" s="24">
        <f>IF($A272="","",H272*K272)</f>
        <v>0</v>
      </c>
      <c r="M272" s="26">
        <f>IF($A272="","",SUMIFS(MovQtd,MovCod,$A272,MovTipo,"Saída",MovData,"&gt;="&amp;(Hoje-DiasAn),MovData,"&lt;="&amp;Hoje))</f>
        <v>0</v>
      </c>
      <c r="N272" s="28">
        <f>IF($A272="","",M272/DiasAn)</f>
        <v>0</v>
      </c>
      <c r="O272" s="29">
        <f>IF($A272="","",IF(N272&gt;0,H272/N272,"sem giro"))</f>
        <v>0</v>
      </c>
      <c r="P272" s="30">
        <f>IF($A272="","",SUMPRODUCT(MAX((MovCod=$A272)*(MovTipo="Saída")*MovData)))</f>
        <v>0</v>
      </c>
      <c r="Q272" s="31">
        <f>IF($A272="","",IF(H272&lt;=0,"RUPTURA",IF(AND(I272&gt;0,H272&lt;=I272),"REPOR",IF(AND(J272&lt;&gt;"",H272&gt;J272),"EXCESSO","OK"))))</f>
        <v>0</v>
      </c>
      <c r="R272" s="25">
        <f>IF($A272="","",IF(AND(H272&gt;0,OR(P272=0,Hoje-P272&gt;DiasParado)),"Parado",""))</f>
        <v>0</v>
      </c>
      <c r="S272" s="26">
        <f>IF($A272="","",IF(OR(Q272="RUPTURA",Q272="REPOR"),IF(J272="",0,MAX(0,J272-H272)),0))</f>
        <v>0</v>
      </c>
      <c r="T272" s="24">
        <f>IF($A272="","",M272*IF(N(Produtos!G272)&gt;0,Produtos!G272,K272))</f>
        <v>0</v>
      </c>
      <c r="U272" s="32">
        <f>IF($A272="","",IF(T272&gt;0,T272+ROW()/1000000000,""))</f>
        <v>0</v>
      </c>
      <c r="V272" s="31">
        <f>IF($A272="","",IF(U272="","C",INDEX('Curva ABC'!$H$5:$H$304,MATCH(U272,'Curva ABC'!$B$5:$B$304,0))))</f>
        <v>0</v>
      </c>
      <c r="W272" s="24">
        <f>IF($A272="","",IF(R272="Parado",L272,0))</f>
        <v>0</v>
      </c>
      <c r="X272" s="33">
        <f>IF($A272="","",IF(OR(Q272="RUPTURA",Q272="REPOR"),COUNTIF($Q$5:Q272,"RUPTURA")+COUNTIF($Q$5:Q272,"REPOR"),""))</f>
        <v>0</v>
      </c>
    </row>
    <row r="273" spans="1:24">
      <c r="A273" s="23">
        <f>IF(Produtos!A273="","",Produtos!A273)</f>
        <v>0</v>
      </c>
      <c r="B273" s="23">
        <f>IF($A273="","",Produtos!B273&amp;"")</f>
        <v>0</v>
      </c>
      <c r="C273" s="23">
        <f>IF($A273="","",Produtos!C273&amp;"")</f>
        <v>0</v>
      </c>
      <c r="D273" s="25">
        <f>IF($A273="","",Produtos!D273&amp;"")</f>
        <v>0</v>
      </c>
      <c r="E273" s="26">
        <f>IF($A273="","",N(Produtos!H273))</f>
        <v>0</v>
      </c>
      <c r="F273" s="26">
        <f>IF($A273="","",SUMIFS(MovQtd,MovCod,$A273,MovTipo,"Entrada"))</f>
        <v>0</v>
      </c>
      <c r="G273" s="26">
        <f>IF($A273="","",SUMIFS(MovQtd,MovCod,$A273,MovTipo,"Saída"))</f>
        <v>0</v>
      </c>
      <c r="H273" s="27">
        <f>IF($A273="","",E273+F273-G273)</f>
        <v>0</v>
      </c>
      <c r="I273" s="26">
        <f>IF($A273="","",N(Produtos!I273))</f>
        <v>0</v>
      </c>
      <c r="J273" s="26">
        <f>IF($A273="","",IF(I273&gt;0,ROUNDUP(I273*FatMax,0),""))</f>
        <v>0</v>
      </c>
      <c r="K273" s="24">
        <f>IF($A273="","",N(Produtos!F273))</f>
        <v>0</v>
      </c>
      <c r="L273" s="24">
        <f>IF($A273="","",H273*K273)</f>
        <v>0</v>
      </c>
      <c r="M273" s="26">
        <f>IF($A273="","",SUMIFS(MovQtd,MovCod,$A273,MovTipo,"Saída",MovData,"&gt;="&amp;(Hoje-DiasAn),MovData,"&lt;="&amp;Hoje))</f>
        <v>0</v>
      </c>
      <c r="N273" s="28">
        <f>IF($A273="","",M273/DiasAn)</f>
        <v>0</v>
      </c>
      <c r="O273" s="29">
        <f>IF($A273="","",IF(N273&gt;0,H273/N273,"sem giro"))</f>
        <v>0</v>
      </c>
      <c r="P273" s="30">
        <f>IF($A273="","",SUMPRODUCT(MAX((MovCod=$A273)*(MovTipo="Saída")*MovData)))</f>
        <v>0</v>
      </c>
      <c r="Q273" s="31">
        <f>IF($A273="","",IF(H273&lt;=0,"RUPTURA",IF(AND(I273&gt;0,H273&lt;=I273),"REPOR",IF(AND(J273&lt;&gt;"",H273&gt;J273),"EXCESSO","OK"))))</f>
        <v>0</v>
      </c>
      <c r="R273" s="25">
        <f>IF($A273="","",IF(AND(H273&gt;0,OR(P273=0,Hoje-P273&gt;DiasParado)),"Parado",""))</f>
        <v>0</v>
      </c>
      <c r="S273" s="26">
        <f>IF($A273="","",IF(OR(Q273="RUPTURA",Q273="REPOR"),IF(J273="",0,MAX(0,J273-H273)),0))</f>
        <v>0</v>
      </c>
      <c r="T273" s="24">
        <f>IF($A273="","",M273*IF(N(Produtos!G273)&gt;0,Produtos!G273,K273))</f>
        <v>0</v>
      </c>
      <c r="U273" s="32">
        <f>IF($A273="","",IF(T273&gt;0,T273+ROW()/1000000000,""))</f>
        <v>0</v>
      </c>
      <c r="V273" s="31">
        <f>IF($A273="","",IF(U273="","C",INDEX('Curva ABC'!$H$5:$H$304,MATCH(U273,'Curva ABC'!$B$5:$B$304,0))))</f>
        <v>0</v>
      </c>
      <c r="W273" s="24">
        <f>IF($A273="","",IF(R273="Parado",L273,0))</f>
        <v>0</v>
      </c>
      <c r="X273" s="33">
        <f>IF($A273="","",IF(OR(Q273="RUPTURA",Q273="REPOR"),COUNTIF($Q$5:Q273,"RUPTURA")+COUNTIF($Q$5:Q273,"REPOR"),""))</f>
        <v>0</v>
      </c>
    </row>
    <row r="274" spans="1:24">
      <c r="A274" s="23">
        <f>IF(Produtos!A274="","",Produtos!A274)</f>
        <v>0</v>
      </c>
      <c r="B274" s="23">
        <f>IF($A274="","",Produtos!B274&amp;"")</f>
        <v>0</v>
      </c>
      <c r="C274" s="23">
        <f>IF($A274="","",Produtos!C274&amp;"")</f>
        <v>0</v>
      </c>
      <c r="D274" s="25">
        <f>IF($A274="","",Produtos!D274&amp;"")</f>
        <v>0</v>
      </c>
      <c r="E274" s="26">
        <f>IF($A274="","",N(Produtos!H274))</f>
        <v>0</v>
      </c>
      <c r="F274" s="26">
        <f>IF($A274="","",SUMIFS(MovQtd,MovCod,$A274,MovTipo,"Entrada"))</f>
        <v>0</v>
      </c>
      <c r="G274" s="26">
        <f>IF($A274="","",SUMIFS(MovQtd,MovCod,$A274,MovTipo,"Saída"))</f>
        <v>0</v>
      </c>
      <c r="H274" s="27">
        <f>IF($A274="","",E274+F274-G274)</f>
        <v>0</v>
      </c>
      <c r="I274" s="26">
        <f>IF($A274="","",N(Produtos!I274))</f>
        <v>0</v>
      </c>
      <c r="J274" s="26">
        <f>IF($A274="","",IF(I274&gt;0,ROUNDUP(I274*FatMax,0),""))</f>
        <v>0</v>
      </c>
      <c r="K274" s="24">
        <f>IF($A274="","",N(Produtos!F274))</f>
        <v>0</v>
      </c>
      <c r="L274" s="24">
        <f>IF($A274="","",H274*K274)</f>
        <v>0</v>
      </c>
      <c r="M274" s="26">
        <f>IF($A274="","",SUMIFS(MovQtd,MovCod,$A274,MovTipo,"Saída",MovData,"&gt;="&amp;(Hoje-DiasAn),MovData,"&lt;="&amp;Hoje))</f>
        <v>0</v>
      </c>
      <c r="N274" s="28">
        <f>IF($A274="","",M274/DiasAn)</f>
        <v>0</v>
      </c>
      <c r="O274" s="29">
        <f>IF($A274="","",IF(N274&gt;0,H274/N274,"sem giro"))</f>
        <v>0</v>
      </c>
      <c r="P274" s="30">
        <f>IF($A274="","",SUMPRODUCT(MAX((MovCod=$A274)*(MovTipo="Saída")*MovData)))</f>
        <v>0</v>
      </c>
      <c r="Q274" s="31">
        <f>IF($A274="","",IF(H274&lt;=0,"RUPTURA",IF(AND(I274&gt;0,H274&lt;=I274),"REPOR",IF(AND(J274&lt;&gt;"",H274&gt;J274),"EXCESSO","OK"))))</f>
        <v>0</v>
      </c>
      <c r="R274" s="25">
        <f>IF($A274="","",IF(AND(H274&gt;0,OR(P274=0,Hoje-P274&gt;DiasParado)),"Parado",""))</f>
        <v>0</v>
      </c>
      <c r="S274" s="26">
        <f>IF($A274="","",IF(OR(Q274="RUPTURA",Q274="REPOR"),IF(J274="",0,MAX(0,J274-H274)),0))</f>
        <v>0</v>
      </c>
      <c r="T274" s="24">
        <f>IF($A274="","",M274*IF(N(Produtos!G274)&gt;0,Produtos!G274,K274))</f>
        <v>0</v>
      </c>
      <c r="U274" s="32">
        <f>IF($A274="","",IF(T274&gt;0,T274+ROW()/1000000000,""))</f>
        <v>0</v>
      </c>
      <c r="V274" s="31">
        <f>IF($A274="","",IF(U274="","C",INDEX('Curva ABC'!$H$5:$H$304,MATCH(U274,'Curva ABC'!$B$5:$B$304,0))))</f>
        <v>0</v>
      </c>
      <c r="W274" s="24">
        <f>IF($A274="","",IF(R274="Parado",L274,0))</f>
        <v>0</v>
      </c>
      <c r="X274" s="33">
        <f>IF($A274="","",IF(OR(Q274="RUPTURA",Q274="REPOR"),COUNTIF($Q$5:Q274,"RUPTURA")+COUNTIF($Q$5:Q274,"REPOR"),""))</f>
        <v>0</v>
      </c>
    </row>
    <row r="275" spans="1:24">
      <c r="A275" s="23">
        <f>IF(Produtos!A275="","",Produtos!A275)</f>
        <v>0</v>
      </c>
      <c r="B275" s="23">
        <f>IF($A275="","",Produtos!B275&amp;"")</f>
        <v>0</v>
      </c>
      <c r="C275" s="23">
        <f>IF($A275="","",Produtos!C275&amp;"")</f>
        <v>0</v>
      </c>
      <c r="D275" s="25">
        <f>IF($A275="","",Produtos!D275&amp;"")</f>
        <v>0</v>
      </c>
      <c r="E275" s="26">
        <f>IF($A275="","",N(Produtos!H275))</f>
        <v>0</v>
      </c>
      <c r="F275" s="26">
        <f>IF($A275="","",SUMIFS(MovQtd,MovCod,$A275,MovTipo,"Entrada"))</f>
        <v>0</v>
      </c>
      <c r="G275" s="26">
        <f>IF($A275="","",SUMIFS(MovQtd,MovCod,$A275,MovTipo,"Saída"))</f>
        <v>0</v>
      </c>
      <c r="H275" s="27">
        <f>IF($A275="","",E275+F275-G275)</f>
        <v>0</v>
      </c>
      <c r="I275" s="26">
        <f>IF($A275="","",N(Produtos!I275))</f>
        <v>0</v>
      </c>
      <c r="J275" s="26">
        <f>IF($A275="","",IF(I275&gt;0,ROUNDUP(I275*FatMax,0),""))</f>
        <v>0</v>
      </c>
      <c r="K275" s="24">
        <f>IF($A275="","",N(Produtos!F275))</f>
        <v>0</v>
      </c>
      <c r="L275" s="24">
        <f>IF($A275="","",H275*K275)</f>
        <v>0</v>
      </c>
      <c r="M275" s="26">
        <f>IF($A275="","",SUMIFS(MovQtd,MovCod,$A275,MovTipo,"Saída",MovData,"&gt;="&amp;(Hoje-DiasAn),MovData,"&lt;="&amp;Hoje))</f>
        <v>0</v>
      </c>
      <c r="N275" s="28">
        <f>IF($A275="","",M275/DiasAn)</f>
        <v>0</v>
      </c>
      <c r="O275" s="29">
        <f>IF($A275="","",IF(N275&gt;0,H275/N275,"sem giro"))</f>
        <v>0</v>
      </c>
      <c r="P275" s="30">
        <f>IF($A275="","",SUMPRODUCT(MAX((MovCod=$A275)*(MovTipo="Saída")*MovData)))</f>
        <v>0</v>
      </c>
      <c r="Q275" s="31">
        <f>IF($A275="","",IF(H275&lt;=0,"RUPTURA",IF(AND(I275&gt;0,H275&lt;=I275),"REPOR",IF(AND(J275&lt;&gt;"",H275&gt;J275),"EXCESSO","OK"))))</f>
        <v>0</v>
      </c>
      <c r="R275" s="25">
        <f>IF($A275="","",IF(AND(H275&gt;0,OR(P275=0,Hoje-P275&gt;DiasParado)),"Parado",""))</f>
        <v>0</v>
      </c>
      <c r="S275" s="26">
        <f>IF($A275="","",IF(OR(Q275="RUPTURA",Q275="REPOR"),IF(J275="",0,MAX(0,J275-H275)),0))</f>
        <v>0</v>
      </c>
      <c r="T275" s="24">
        <f>IF($A275="","",M275*IF(N(Produtos!G275)&gt;0,Produtos!G275,K275))</f>
        <v>0</v>
      </c>
      <c r="U275" s="32">
        <f>IF($A275="","",IF(T275&gt;0,T275+ROW()/1000000000,""))</f>
        <v>0</v>
      </c>
      <c r="V275" s="31">
        <f>IF($A275="","",IF(U275="","C",INDEX('Curva ABC'!$H$5:$H$304,MATCH(U275,'Curva ABC'!$B$5:$B$304,0))))</f>
        <v>0</v>
      </c>
      <c r="W275" s="24">
        <f>IF($A275="","",IF(R275="Parado",L275,0))</f>
        <v>0</v>
      </c>
      <c r="X275" s="33">
        <f>IF($A275="","",IF(OR(Q275="RUPTURA",Q275="REPOR"),COUNTIF($Q$5:Q275,"RUPTURA")+COUNTIF($Q$5:Q275,"REPOR"),""))</f>
        <v>0</v>
      </c>
    </row>
    <row r="276" spans="1:24">
      <c r="A276" s="23">
        <f>IF(Produtos!A276="","",Produtos!A276)</f>
        <v>0</v>
      </c>
      <c r="B276" s="23">
        <f>IF($A276="","",Produtos!B276&amp;"")</f>
        <v>0</v>
      </c>
      <c r="C276" s="23">
        <f>IF($A276="","",Produtos!C276&amp;"")</f>
        <v>0</v>
      </c>
      <c r="D276" s="25">
        <f>IF($A276="","",Produtos!D276&amp;"")</f>
        <v>0</v>
      </c>
      <c r="E276" s="26">
        <f>IF($A276="","",N(Produtos!H276))</f>
        <v>0</v>
      </c>
      <c r="F276" s="26">
        <f>IF($A276="","",SUMIFS(MovQtd,MovCod,$A276,MovTipo,"Entrada"))</f>
        <v>0</v>
      </c>
      <c r="G276" s="26">
        <f>IF($A276="","",SUMIFS(MovQtd,MovCod,$A276,MovTipo,"Saída"))</f>
        <v>0</v>
      </c>
      <c r="H276" s="27">
        <f>IF($A276="","",E276+F276-G276)</f>
        <v>0</v>
      </c>
      <c r="I276" s="26">
        <f>IF($A276="","",N(Produtos!I276))</f>
        <v>0</v>
      </c>
      <c r="J276" s="26">
        <f>IF($A276="","",IF(I276&gt;0,ROUNDUP(I276*FatMax,0),""))</f>
        <v>0</v>
      </c>
      <c r="K276" s="24">
        <f>IF($A276="","",N(Produtos!F276))</f>
        <v>0</v>
      </c>
      <c r="L276" s="24">
        <f>IF($A276="","",H276*K276)</f>
        <v>0</v>
      </c>
      <c r="M276" s="26">
        <f>IF($A276="","",SUMIFS(MovQtd,MovCod,$A276,MovTipo,"Saída",MovData,"&gt;="&amp;(Hoje-DiasAn),MovData,"&lt;="&amp;Hoje))</f>
        <v>0</v>
      </c>
      <c r="N276" s="28">
        <f>IF($A276="","",M276/DiasAn)</f>
        <v>0</v>
      </c>
      <c r="O276" s="29">
        <f>IF($A276="","",IF(N276&gt;0,H276/N276,"sem giro"))</f>
        <v>0</v>
      </c>
      <c r="P276" s="30">
        <f>IF($A276="","",SUMPRODUCT(MAX((MovCod=$A276)*(MovTipo="Saída")*MovData)))</f>
        <v>0</v>
      </c>
      <c r="Q276" s="31">
        <f>IF($A276="","",IF(H276&lt;=0,"RUPTURA",IF(AND(I276&gt;0,H276&lt;=I276),"REPOR",IF(AND(J276&lt;&gt;"",H276&gt;J276),"EXCESSO","OK"))))</f>
        <v>0</v>
      </c>
      <c r="R276" s="25">
        <f>IF($A276="","",IF(AND(H276&gt;0,OR(P276=0,Hoje-P276&gt;DiasParado)),"Parado",""))</f>
        <v>0</v>
      </c>
      <c r="S276" s="26">
        <f>IF($A276="","",IF(OR(Q276="RUPTURA",Q276="REPOR"),IF(J276="",0,MAX(0,J276-H276)),0))</f>
        <v>0</v>
      </c>
      <c r="T276" s="24">
        <f>IF($A276="","",M276*IF(N(Produtos!G276)&gt;0,Produtos!G276,K276))</f>
        <v>0</v>
      </c>
      <c r="U276" s="32">
        <f>IF($A276="","",IF(T276&gt;0,T276+ROW()/1000000000,""))</f>
        <v>0</v>
      </c>
      <c r="V276" s="31">
        <f>IF($A276="","",IF(U276="","C",INDEX('Curva ABC'!$H$5:$H$304,MATCH(U276,'Curva ABC'!$B$5:$B$304,0))))</f>
        <v>0</v>
      </c>
      <c r="W276" s="24">
        <f>IF($A276="","",IF(R276="Parado",L276,0))</f>
        <v>0</v>
      </c>
      <c r="X276" s="33">
        <f>IF($A276="","",IF(OR(Q276="RUPTURA",Q276="REPOR"),COUNTIF($Q$5:Q276,"RUPTURA")+COUNTIF($Q$5:Q276,"REPOR"),""))</f>
        <v>0</v>
      </c>
    </row>
    <row r="277" spans="1:24">
      <c r="A277" s="23">
        <f>IF(Produtos!A277="","",Produtos!A277)</f>
        <v>0</v>
      </c>
      <c r="B277" s="23">
        <f>IF($A277="","",Produtos!B277&amp;"")</f>
        <v>0</v>
      </c>
      <c r="C277" s="23">
        <f>IF($A277="","",Produtos!C277&amp;"")</f>
        <v>0</v>
      </c>
      <c r="D277" s="25">
        <f>IF($A277="","",Produtos!D277&amp;"")</f>
        <v>0</v>
      </c>
      <c r="E277" s="26">
        <f>IF($A277="","",N(Produtos!H277))</f>
        <v>0</v>
      </c>
      <c r="F277" s="26">
        <f>IF($A277="","",SUMIFS(MovQtd,MovCod,$A277,MovTipo,"Entrada"))</f>
        <v>0</v>
      </c>
      <c r="G277" s="26">
        <f>IF($A277="","",SUMIFS(MovQtd,MovCod,$A277,MovTipo,"Saída"))</f>
        <v>0</v>
      </c>
      <c r="H277" s="27">
        <f>IF($A277="","",E277+F277-G277)</f>
        <v>0</v>
      </c>
      <c r="I277" s="26">
        <f>IF($A277="","",N(Produtos!I277))</f>
        <v>0</v>
      </c>
      <c r="J277" s="26">
        <f>IF($A277="","",IF(I277&gt;0,ROUNDUP(I277*FatMax,0),""))</f>
        <v>0</v>
      </c>
      <c r="K277" s="24">
        <f>IF($A277="","",N(Produtos!F277))</f>
        <v>0</v>
      </c>
      <c r="L277" s="24">
        <f>IF($A277="","",H277*K277)</f>
        <v>0</v>
      </c>
      <c r="M277" s="26">
        <f>IF($A277="","",SUMIFS(MovQtd,MovCod,$A277,MovTipo,"Saída",MovData,"&gt;="&amp;(Hoje-DiasAn),MovData,"&lt;="&amp;Hoje))</f>
        <v>0</v>
      </c>
      <c r="N277" s="28">
        <f>IF($A277="","",M277/DiasAn)</f>
        <v>0</v>
      </c>
      <c r="O277" s="29">
        <f>IF($A277="","",IF(N277&gt;0,H277/N277,"sem giro"))</f>
        <v>0</v>
      </c>
      <c r="P277" s="30">
        <f>IF($A277="","",SUMPRODUCT(MAX((MovCod=$A277)*(MovTipo="Saída")*MovData)))</f>
        <v>0</v>
      </c>
      <c r="Q277" s="31">
        <f>IF($A277="","",IF(H277&lt;=0,"RUPTURA",IF(AND(I277&gt;0,H277&lt;=I277),"REPOR",IF(AND(J277&lt;&gt;"",H277&gt;J277),"EXCESSO","OK"))))</f>
        <v>0</v>
      </c>
      <c r="R277" s="25">
        <f>IF($A277="","",IF(AND(H277&gt;0,OR(P277=0,Hoje-P277&gt;DiasParado)),"Parado",""))</f>
        <v>0</v>
      </c>
      <c r="S277" s="26">
        <f>IF($A277="","",IF(OR(Q277="RUPTURA",Q277="REPOR"),IF(J277="",0,MAX(0,J277-H277)),0))</f>
        <v>0</v>
      </c>
      <c r="T277" s="24">
        <f>IF($A277="","",M277*IF(N(Produtos!G277)&gt;0,Produtos!G277,K277))</f>
        <v>0</v>
      </c>
      <c r="U277" s="32">
        <f>IF($A277="","",IF(T277&gt;0,T277+ROW()/1000000000,""))</f>
        <v>0</v>
      </c>
      <c r="V277" s="31">
        <f>IF($A277="","",IF(U277="","C",INDEX('Curva ABC'!$H$5:$H$304,MATCH(U277,'Curva ABC'!$B$5:$B$304,0))))</f>
        <v>0</v>
      </c>
      <c r="W277" s="24">
        <f>IF($A277="","",IF(R277="Parado",L277,0))</f>
        <v>0</v>
      </c>
      <c r="X277" s="33">
        <f>IF($A277="","",IF(OR(Q277="RUPTURA",Q277="REPOR"),COUNTIF($Q$5:Q277,"RUPTURA")+COUNTIF($Q$5:Q277,"REPOR"),""))</f>
        <v>0</v>
      </c>
    </row>
    <row r="278" spans="1:24">
      <c r="A278" s="23">
        <f>IF(Produtos!A278="","",Produtos!A278)</f>
        <v>0</v>
      </c>
      <c r="B278" s="23">
        <f>IF($A278="","",Produtos!B278&amp;"")</f>
        <v>0</v>
      </c>
      <c r="C278" s="23">
        <f>IF($A278="","",Produtos!C278&amp;"")</f>
        <v>0</v>
      </c>
      <c r="D278" s="25">
        <f>IF($A278="","",Produtos!D278&amp;"")</f>
        <v>0</v>
      </c>
      <c r="E278" s="26">
        <f>IF($A278="","",N(Produtos!H278))</f>
        <v>0</v>
      </c>
      <c r="F278" s="26">
        <f>IF($A278="","",SUMIFS(MovQtd,MovCod,$A278,MovTipo,"Entrada"))</f>
        <v>0</v>
      </c>
      <c r="G278" s="26">
        <f>IF($A278="","",SUMIFS(MovQtd,MovCod,$A278,MovTipo,"Saída"))</f>
        <v>0</v>
      </c>
      <c r="H278" s="27">
        <f>IF($A278="","",E278+F278-G278)</f>
        <v>0</v>
      </c>
      <c r="I278" s="26">
        <f>IF($A278="","",N(Produtos!I278))</f>
        <v>0</v>
      </c>
      <c r="J278" s="26">
        <f>IF($A278="","",IF(I278&gt;0,ROUNDUP(I278*FatMax,0),""))</f>
        <v>0</v>
      </c>
      <c r="K278" s="24">
        <f>IF($A278="","",N(Produtos!F278))</f>
        <v>0</v>
      </c>
      <c r="L278" s="24">
        <f>IF($A278="","",H278*K278)</f>
        <v>0</v>
      </c>
      <c r="M278" s="26">
        <f>IF($A278="","",SUMIFS(MovQtd,MovCod,$A278,MovTipo,"Saída",MovData,"&gt;="&amp;(Hoje-DiasAn),MovData,"&lt;="&amp;Hoje))</f>
        <v>0</v>
      </c>
      <c r="N278" s="28">
        <f>IF($A278="","",M278/DiasAn)</f>
        <v>0</v>
      </c>
      <c r="O278" s="29">
        <f>IF($A278="","",IF(N278&gt;0,H278/N278,"sem giro"))</f>
        <v>0</v>
      </c>
      <c r="P278" s="30">
        <f>IF($A278="","",SUMPRODUCT(MAX((MovCod=$A278)*(MovTipo="Saída")*MovData)))</f>
        <v>0</v>
      </c>
      <c r="Q278" s="31">
        <f>IF($A278="","",IF(H278&lt;=0,"RUPTURA",IF(AND(I278&gt;0,H278&lt;=I278),"REPOR",IF(AND(J278&lt;&gt;"",H278&gt;J278),"EXCESSO","OK"))))</f>
        <v>0</v>
      </c>
      <c r="R278" s="25">
        <f>IF($A278="","",IF(AND(H278&gt;0,OR(P278=0,Hoje-P278&gt;DiasParado)),"Parado",""))</f>
        <v>0</v>
      </c>
      <c r="S278" s="26">
        <f>IF($A278="","",IF(OR(Q278="RUPTURA",Q278="REPOR"),IF(J278="",0,MAX(0,J278-H278)),0))</f>
        <v>0</v>
      </c>
      <c r="T278" s="24">
        <f>IF($A278="","",M278*IF(N(Produtos!G278)&gt;0,Produtos!G278,K278))</f>
        <v>0</v>
      </c>
      <c r="U278" s="32">
        <f>IF($A278="","",IF(T278&gt;0,T278+ROW()/1000000000,""))</f>
        <v>0</v>
      </c>
      <c r="V278" s="31">
        <f>IF($A278="","",IF(U278="","C",INDEX('Curva ABC'!$H$5:$H$304,MATCH(U278,'Curva ABC'!$B$5:$B$304,0))))</f>
        <v>0</v>
      </c>
      <c r="W278" s="24">
        <f>IF($A278="","",IF(R278="Parado",L278,0))</f>
        <v>0</v>
      </c>
      <c r="X278" s="33">
        <f>IF($A278="","",IF(OR(Q278="RUPTURA",Q278="REPOR"),COUNTIF($Q$5:Q278,"RUPTURA")+COUNTIF($Q$5:Q278,"REPOR"),""))</f>
        <v>0</v>
      </c>
    </row>
    <row r="279" spans="1:24">
      <c r="A279" s="23">
        <f>IF(Produtos!A279="","",Produtos!A279)</f>
        <v>0</v>
      </c>
      <c r="B279" s="23">
        <f>IF($A279="","",Produtos!B279&amp;"")</f>
        <v>0</v>
      </c>
      <c r="C279" s="23">
        <f>IF($A279="","",Produtos!C279&amp;"")</f>
        <v>0</v>
      </c>
      <c r="D279" s="25">
        <f>IF($A279="","",Produtos!D279&amp;"")</f>
        <v>0</v>
      </c>
      <c r="E279" s="26">
        <f>IF($A279="","",N(Produtos!H279))</f>
        <v>0</v>
      </c>
      <c r="F279" s="26">
        <f>IF($A279="","",SUMIFS(MovQtd,MovCod,$A279,MovTipo,"Entrada"))</f>
        <v>0</v>
      </c>
      <c r="G279" s="26">
        <f>IF($A279="","",SUMIFS(MovQtd,MovCod,$A279,MovTipo,"Saída"))</f>
        <v>0</v>
      </c>
      <c r="H279" s="27">
        <f>IF($A279="","",E279+F279-G279)</f>
        <v>0</v>
      </c>
      <c r="I279" s="26">
        <f>IF($A279="","",N(Produtos!I279))</f>
        <v>0</v>
      </c>
      <c r="J279" s="26">
        <f>IF($A279="","",IF(I279&gt;0,ROUNDUP(I279*FatMax,0),""))</f>
        <v>0</v>
      </c>
      <c r="K279" s="24">
        <f>IF($A279="","",N(Produtos!F279))</f>
        <v>0</v>
      </c>
      <c r="L279" s="24">
        <f>IF($A279="","",H279*K279)</f>
        <v>0</v>
      </c>
      <c r="M279" s="26">
        <f>IF($A279="","",SUMIFS(MovQtd,MovCod,$A279,MovTipo,"Saída",MovData,"&gt;="&amp;(Hoje-DiasAn),MovData,"&lt;="&amp;Hoje))</f>
        <v>0</v>
      </c>
      <c r="N279" s="28">
        <f>IF($A279="","",M279/DiasAn)</f>
        <v>0</v>
      </c>
      <c r="O279" s="29">
        <f>IF($A279="","",IF(N279&gt;0,H279/N279,"sem giro"))</f>
        <v>0</v>
      </c>
      <c r="P279" s="30">
        <f>IF($A279="","",SUMPRODUCT(MAX((MovCod=$A279)*(MovTipo="Saída")*MovData)))</f>
        <v>0</v>
      </c>
      <c r="Q279" s="31">
        <f>IF($A279="","",IF(H279&lt;=0,"RUPTURA",IF(AND(I279&gt;0,H279&lt;=I279),"REPOR",IF(AND(J279&lt;&gt;"",H279&gt;J279),"EXCESSO","OK"))))</f>
        <v>0</v>
      </c>
      <c r="R279" s="25">
        <f>IF($A279="","",IF(AND(H279&gt;0,OR(P279=0,Hoje-P279&gt;DiasParado)),"Parado",""))</f>
        <v>0</v>
      </c>
      <c r="S279" s="26">
        <f>IF($A279="","",IF(OR(Q279="RUPTURA",Q279="REPOR"),IF(J279="",0,MAX(0,J279-H279)),0))</f>
        <v>0</v>
      </c>
      <c r="T279" s="24">
        <f>IF($A279="","",M279*IF(N(Produtos!G279)&gt;0,Produtos!G279,K279))</f>
        <v>0</v>
      </c>
      <c r="U279" s="32">
        <f>IF($A279="","",IF(T279&gt;0,T279+ROW()/1000000000,""))</f>
        <v>0</v>
      </c>
      <c r="V279" s="31">
        <f>IF($A279="","",IF(U279="","C",INDEX('Curva ABC'!$H$5:$H$304,MATCH(U279,'Curva ABC'!$B$5:$B$304,0))))</f>
        <v>0</v>
      </c>
      <c r="W279" s="24">
        <f>IF($A279="","",IF(R279="Parado",L279,0))</f>
        <v>0</v>
      </c>
      <c r="X279" s="33">
        <f>IF($A279="","",IF(OR(Q279="RUPTURA",Q279="REPOR"),COUNTIF($Q$5:Q279,"RUPTURA")+COUNTIF($Q$5:Q279,"REPOR"),""))</f>
        <v>0</v>
      </c>
    </row>
    <row r="280" spans="1:24">
      <c r="A280" s="23">
        <f>IF(Produtos!A280="","",Produtos!A280)</f>
        <v>0</v>
      </c>
      <c r="B280" s="23">
        <f>IF($A280="","",Produtos!B280&amp;"")</f>
        <v>0</v>
      </c>
      <c r="C280" s="23">
        <f>IF($A280="","",Produtos!C280&amp;"")</f>
        <v>0</v>
      </c>
      <c r="D280" s="25">
        <f>IF($A280="","",Produtos!D280&amp;"")</f>
        <v>0</v>
      </c>
      <c r="E280" s="26">
        <f>IF($A280="","",N(Produtos!H280))</f>
        <v>0</v>
      </c>
      <c r="F280" s="26">
        <f>IF($A280="","",SUMIFS(MovQtd,MovCod,$A280,MovTipo,"Entrada"))</f>
        <v>0</v>
      </c>
      <c r="G280" s="26">
        <f>IF($A280="","",SUMIFS(MovQtd,MovCod,$A280,MovTipo,"Saída"))</f>
        <v>0</v>
      </c>
      <c r="H280" s="27">
        <f>IF($A280="","",E280+F280-G280)</f>
        <v>0</v>
      </c>
      <c r="I280" s="26">
        <f>IF($A280="","",N(Produtos!I280))</f>
        <v>0</v>
      </c>
      <c r="J280" s="26">
        <f>IF($A280="","",IF(I280&gt;0,ROUNDUP(I280*FatMax,0),""))</f>
        <v>0</v>
      </c>
      <c r="K280" s="24">
        <f>IF($A280="","",N(Produtos!F280))</f>
        <v>0</v>
      </c>
      <c r="L280" s="24">
        <f>IF($A280="","",H280*K280)</f>
        <v>0</v>
      </c>
      <c r="M280" s="26">
        <f>IF($A280="","",SUMIFS(MovQtd,MovCod,$A280,MovTipo,"Saída",MovData,"&gt;="&amp;(Hoje-DiasAn),MovData,"&lt;="&amp;Hoje))</f>
        <v>0</v>
      </c>
      <c r="N280" s="28">
        <f>IF($A280="","",M280/DiasAn)</f>
        <v>0</v>
      </c>
      <c r="O280" s="29">
        <f>IF($A280="","",IF(N280&gt;0,H280/N280,"sem giro"))</f>
        <v>0</v>
      </c>
      <c r="P280" s="30">
        <f>IF($A280="","",SUMPRODUCT(MAX((MovCod=$A280)*(MovTipo="Saída")*MovData)))</f>
        <v>0</v>
      </c>
      <c r="Q280" s="31">
        <f>IF($A280="","",IF(H280&lt;=0,"RUPTURA",IF(AND(I280&gt;0,H280&lt;=I280),"REPOR",IF(AND(J280&lt;&gt;"",H280&gt;J280),"EXCESSO","OK"))))</f>
        <v>0</v>
      </c>
      <c r="R280" s="25">
        <f>IF($A280="","",IF(AND(H280&gt;0,OR(P280=0,Hoje-P280&gt;DiasParado)),"Parado",""))</f>
        <v>0</v>
      </c>
      <c r="S280" s="26">
        <f>IF($A280="","",IF(OR(Q280="RUPTURA",Q280="REPOR"),IF(J280="",0,MAX(0,J280-H280)),0))</f>
        <v>0</v>
      </c>
      <c r="T280" s="24">
        <f>IF($A280="","",M280*IF(N(Produtos!G280)&gt;0,Produtos!G280,K280))</f>
        <v>0</v>
      </c>
      <c r="U280" s="32">
        <f>IF($A280="","",IF(T280&gt;0,T280+ROW()/1000000000,""))</f>
        <v>0</v>
      </c>
      <c r="V280" s="31">
        <f>IF($A280="","",IF(U280="","C",INDEX('Curva ABC'!$H$5:$H$304,MATCH(U280,'Curva ABC'!$B$5:$B$304,0))))</f>
        <v>0</v>
      </c>
      <c r="W280" s="24">
        <f>IF($A280="","",IF(R280="Parado",L280,0))</f>
        <v>0</v>
      </c>
      <c r="X280" s="33">
        <f>IF($A280="","",IF(OR(Q280="RUPTURA",Q280="REPOR"),COUNTIF($Q$5:Q280,"RUPTURA")+COUNTIF($Q$5:Q280,"REPOR"),""))</f>
        <v>0</v>
      </c>
    </row>
    <row r="281" spans="1:24">
      <c r="A281" s="23">
        <f>IF(Produtos!A281="","",Produtos!A281)</f>
        <v>0</v>
      </c>
      <c r="B281" s="23">
        <f>IF($A281="","",Produtos!B281&amp;"")</f>
        <v>0</v>
      </c>
      <c r="C281" s="23">
        <f>IF($A281="","",Produtos!C281&amp;"")</f>
        <v>0</v>
      </c>
      <c r="D281" s="25">
        <f>IF($A281="","",Produtos!D281&amp;"")</f>
        <v>0</v>
      </c>
      <c r="E281" s="26">
        <f>IF($A281="","",N(Produtos!H281))</f>
        <v>0</v>
      </c>
      <c r="F281" s="26">
        <f>IF($A281="","",SUMIFS(MovQtd,MovCod,$A281,MovTipo,"Entrada"))</f>
        <v>0</v>
      </c>
      <c r="G281" s="26">
        <f>IF($A281="","",SUMIFS(MovQtd,MovCod,$A281,MovTipo,"Saída"))</f>
        <v>0</v>
      </c>
      <c r="H281" s="27">
        <f>IF($A281="","",E281+F281-G281)</f>
        <v>0</v>
      </c>
      <c r="I281" s="26">
        <f>IF($A281="","",N(Produtos!I281))</f>
        <v>0</v>
      </c>
      <c r="J281" s="26">
        <f>IF($A281="","",IF(I281&gt;0,ROUNDUP(I281*FatMax,0),""))</f>
        <v>0</v>
      </c>
      <c r="K281" s="24">
        <f>IF($A281="","",N(Produtos!F281))</f>
        <v>0</v>
      </c>
      <c r="L281" s="24">
        <f>IF($A281="","",H281*K281)</f>
        <v>0</v>
      </c>
      <c r="M281" s="26">
        <f>IF($A281="","",SUMIFS(MovQtd,MovCod,$A281,MovTipo,"Saída",MovData,"&gt;="&amp;(Hoje-DiasAn),MovData,"&lt;="&amp;Hoje))</f>
        <v>0</v>
      </c>
      <c r="N281" s="28">
        <f>IF($A281="","",M281/DiasAn)</f>
        <v>0</v>
      </c>
      <c r="O281" s="29">
        <f>IF($A281="","",IF(N281&gt;0,H281/N281,"sem giro"))</f>
        <v>0</v>
      </c>
      <c r="P281" s="30">
        <f>IF($A281="","",SUMPRODUCT(MAX((MovCod=$A281)*(MovTipo="Saída")*MovData)))</f>
        <v>0</v>
      </c>
      <c r="Q281" s="31">
        <f>IF($A281="","",IF(H281&lt;=0,"RUPTURA",IF(AND(I281&gt;0,H281&lt;=I281),"REPOR",IF(AND(J281&lt;&gt;"",H281&gt;J281),"EXCESSO","OK"))))</f>
        <v>0</v>
      </c>
      <c r="R281" s="25">
        <f>IF($A281="","",IF(AND(H281&gt;0,OR(P281=0,Hoje-P281&gt;DiasParado)),"Parado",""))</f>
        <v>0</v>
      </c>
      <c r="S281" s="26">
        <f>IF($A281="","",IF(OR(Q281="RUPTURA",Q281="REPOR"),IF(J281="",0,MAX(0,J281-H281)),0))</f>
        <v>0</v>
      </c>
      <c r="T281" s="24">
        <f>IF($A281="","",M281*IF(N(Produtos!G281)&gt;0,Produtos!G281,K281))</f>
        <v>0</v>
      </c>
      <c r="U281" s="32">
        <f>IF($A281="","",IF(T281&gt;0,T281+ROW()/1000000000,""))</f>
        <v>0</v>
      </c>
      <c r="V281" s="31">
        <f>IF($A281="","",IF(U281="","C",INDEX('Curva ABC'!$H$5:$H$304,MATCH(U281,'Curva ABC'!$B$5:$B$304,0))))</f>
        <v>0</v>
      </c>
      <c r="W281" s="24">
        <f>IF($A281="","",IF(R281="Parado",L281,0))</f>
        <v>0</v>
      </c>
      <c r="X281" s="33">
        <f>IF($A281="","",IF(OR(Q281="RUPTURA",Q281="REPOR"),COUNTIF($Q$5:Q281,"RUPTURA")+COUNTIF($Q$5:Q281,"REPOR"),""))</f>
        <v>0</v>
      </c>
    </row>
    <row r="282" spans="1:24">
      <c r="A282" s="23">
        <f>IF(Produtos!A282="","",Produtos!A282)</f>
        <v>0</v>
      </c>
      <c r="B282" s="23">
        <f>IF($A282="","",Produtos!B282&amp;"")</f>
        <v>0</v>
      </c>
      <c r="C282" s="23">
        <f>IF($A282="","",Produtos!C282&amp;"")</f>
        <v>0</v>
      </c>
      <c r="D282" s="25">
        <f>IF($A282="","",Produtos!D282&amp;"")</f>
        <v>0</v>
      </c>
      <c r="E282" s="26">
        <f>IF($A282="","",N(Produtos!H282))</f>
        <v>0</v>
      </c>
      <c r="F282" s="26">
        <f>IF($A282="","",SUMIFS(MovQtd,MovCod,$A282,MovTipo,"Entrada"))</f>
        <v>0</v>
      </c>
      <c r="G282" s="26">
        <f>IF($A282="","",SUMIFS(MovQtd,MovCod,$A282,MovTipo,"Saída"))</f>
        <v>0</v>
      </c>
      <c r="H282" s="27">
        <f>IF($A282="","",E282+F282-G282)</f>
        <v>0</v>
      </c>
      <c r="I282" s="26">
        <f>IF($A282="","",N(Produtos!I282))</f>
        <v>0</v>
      </c>
      <c r="J282" s="26">
        <f>IF($A282="","",IF(I282&gt;0,ROUNDUP(I282*FatMax,0),""))</f>
        <v>0</v>
      </c>
      <c r="K282" s="24">
        <f>IF($A282="","",N(Produtos!F282))</f>
        <v>0</v>
      </c>
      <c r="L282" s="24">
        <f>IF($A282="","",H282*K282)</f>
        <v>0</v>
      </c>
      <c r="M282" s="26">
        <f>IF($A282="","",SUMIFS(MovQtd,MovCod,$A282,MovTipo,"Saída",MovData,"&gt;="&amp;(Hoje-DiasAn),MovData,"&lt;="&amp;Hoje))</f>
        <v>0</v>
      </c>
      <c r="N282" s="28">
        <f>IF($A282="","",M282/DiasAn)</f>
        <v>0</v>
      </c>
      <c r="O282" s="29">
        <f>IF($A282="","",IF(N282&gt;0,H282/N282,"sem giro"))</f>
        <v>0</v>
      </c>
      <c r="P282" s="30">
        <f>IF($A282="","",SUMPRODUCT(MAX((MovCod=$A282)*(MovTipo="Saída")*MovData)))</f>
        <v>0</v>
      </c>
      <c r="Q282" s="31">
        <f>IF($A282="","",IF(H282&lt;=0,"RUPTURA",IF(AND(I282&gt;0,H282&lt;=I282),"REPOR",IF(AND(J282&lt;&gt;"",H282&gt;J282),"EXCESSO","OK"))))</f>
        <v>0</v>
      </c>
      <c r="R282" s="25">
        <f>IF($A282="","",IF(AND(H282&gt;0,OR(P282=0,Hoje-P282&gt;DiasParado)),"Parado",""))</f>
        <v>0</v>
      </c>
      <c r="S282" s="26">
        <f>IF($A282="","",IF(OR(Q282="RUPTURA",Q282="REPOR"),IF(J282="",0,MAX(0,J282-H282)),0))</f>
        <v>0</v>
      </c>
      <c r="T282" s="24">
        <f>IF($A282="","",M282*IF(N(Produtos!G282)&gt;0,Produtos!G282,K282))</f>
        <v>0</v>
      </c>
      <c r="U282" s="32">
        <f>IF($A282="","",IF(T282&gt;0,T282+ROW()/1000000000,""))</f>
        <v>0</v>
      </c>
      <c r="V282" s="31">
        <f>IF($A282="","",IF(U282="","C",INDEX('Curva ABC'!$H$5:$H$304,MATCH(U282,'Curva ABC'!$B$5:$B$304,0))))</f>
        <v>0</v>
      </c>
      <c r="W282" s="24">
        <f>IF($A282="","",IF(R282="Parado",L282,0))</f>
        <v>0</v>
      </c>
      <c r="X282" s="33">
        <f>IF($A282="","",IF(OR(Q282="RUPTURA",Q282="REPOR"),COUNTIF($Q$5:Q282,"RUPTURA")+COUNTIF($Q$5:Q282,"REPOR"),""))</f>
        <v>0</v>
      </c>
    </row>
    <row r="283" spans="1:24">
      <c r="A283" s="23">
        <f>IF(Produtos!A283="","",Produtos!A283)</f>
        <v>0</v>
      </c>
      <c r="B283" s="23">
        <f>IF($A283="","",Produtos!B283&amp;"")</f>
        <v>0</v>
      </c>
      <c r="C283" s="23">
        <f>IF($A283="","",Produtos!C283&amp;"")</f>
        <v>0</v>
      </c>
      <c r="D283" s="25">
        <f>IF($A283="","",Produtos!D283&amp;"")</f>
        <v>0</v>
      </c>
      <c r="E283" s="26">
        <f>IF($A283="","",N(Produtos!H283))</f>
        <v>0</v>
      </c>
      <c r="F283" s="26">
        <f>IF($A283="","",SUMIFS(MovQtd,MovCod,$A283,MovTipo,"Entrada"))</f>
        <v>0</v>
      </c>
      <c r="G283" s="26">
        <f>IF($A283="","",SUMIFS(MovQtd,MovCod,$A283,MovTipo,"Saída"))</f>
        <v>0</v>
      </c>
      <c r="H283" s="27">
        <f>IF($A283="","",E283+F283-G283)</f>
        <v>0</v>
      </c>
      <c r="I283" s="26">
        <f>IF($A283="","",N(Produtos!I283))</f>
        <v>0</v>
      </c>
      <c r="J283" s="26">
        <f>IF($A283="","",IF(I283&gt;0,ROUNDUP(I283*FatMax,0),""))</f>
        <v>0</v>
      </c>
      <c r="K283" s="24">
        <f>IF($A283="","",N(Produtos!F283))</f>
        <v>0</v>
      </c>
      <c r="L283" s="24">
        <f>IF($A283="","",H283*K283)</f>
        <v>0</v>
      </c>
      <c r="M283" s="26">
        <f>IF($A283="","",SUMIFS(MovQtd,MovCod,$A283,MovTipo,"Saída",MovData,"&gt;="&amp;(Hoje-DiasAn),MovData,"&lt;="&amp;Hoje))</f>
        <v>0</v>
      </c>
      <c r="N283" s="28">
        <f>IF($A283="","",M283/DiasAn)</f>
        <v>0</v>
      </c>
      <c r="O283" s="29">
        <f>IF($A283="","",IF(N283&gt;0,H283/N283,"sem giro"))</f>
        <v>0</v>
      </c>
      <c r="P283" s="30">
        <f>IF($A283="","",SUMPRODUCT(MAX((MovCod=$A283)*(MovTipo="Saída")*MovData)))</f>
        <v>0</v>
      </c>
      <c r="Q283" s="31">
        <f>IF($A283="","",IF(H283&lt;=0,"RUPTURA",IF(AND(I283&gt;0,H283&lt;=I283),"REPOR",IF(AND(J283&lt;&gt;"",H283&gt;J283),"EXCESSO","OK"))))</f>
        <v>0</v>
      </c>
      <c r="R283" s="25">
        <f>IF($A283="","",IF(AND(H283&gt;0,OR(P283=0,Hoje-P283&gt;DiasParado)),"Parado",""))</f>
        <v>0</v>
      </c>
      <c r="S283" s="26">
        <f>IF($A283="","",IF(OR(Q283="RUPTURA",Q283="REPOR"),IF(J283="",0,MAX(0,J283-H283)),0))</f>
        <v>0</v>
      </c>
      <c r="T283" s="24">
        <f>IF($A283="","",M283*IF(N(Produtos!G283)&gt;0,Produtos!G283,K283))</f>
        <v>0</v>
      </c>
      <c r="U283" s="32">
        <f>IF($A283="","",IF(T283&gt;0,T283+ROW()/1000000000,""))</f>
        <v>0</v>
      </c>
      <c r="V283" s="31">
        <f>IF($A283="","",IF(U283="","C",INDEX('Curva ABC'!$H$5:$H$304,MATCH(U283,'Curva ABC'!$B$5:$B$304,0))))</f>
        <v>0</v>
      </c>
      <c r="W283" s="24">
        <f>IF($A283="","",IF(R283="Parado",L283,0))</f>
        <v>0</v>
      </c>
      <c r="X283" s="33">
        <f>IF($A283="","",IF(OR(Q283="RUPTURA",Q283="REPOR"),COUNTIF($Q$5:Q283,"RUPTURA")+COUNTIF($Q$5:Q283,"REPOR"),""))</f>
        <v>0</v>
      </c>
    </row>
    <row r="284" spans="1:24">
      <c r="A284" s="23">
        <f>IF(Produtos!A284="","",Produtos!A284)</f>
        <v>0</v>
      </c>
      <c r="B284" s="23">
        <f>IF($A284="","",Produtos!B284&amp;"")</f>
        <v>0</v>
      </c>
      <c r="C284" s="23">
        <f>IF($A284="","",Produtos!C284&amp;"")</f>
        <v>0</v>
      </c>
      <c r="D284" s="25">
        <f>IF($A284="","",Produtos!D284&amp;"")</f>
        <v>0</v>
      </c>
      <c r="E284" s="26">
        <f>IF($A284="","",N(Produtos!H284))</f>
        <v>0</v>
      </c>
      <c r="F284" s="26">
        <f>IF($A284="","",SUMIFS(MovQtd,MovCod,$A284,MovTipo,"Entrada"))</f>
        <v>0</v>
      </c>
      <c r="G284" s="26">
        <f>IF($A284="","",SUMIFS(MovQtd,MovCod,$A284,MovTipo,"Saída"))</f>
        <v>0</v>
      </c>
      <c r="H284" s="27">
        <f>IF($A284="","",E284+F284-G284)</f>
        <v>0</v>
      </c>
      <c r="I284" s="26">
        <f>IF($A284="","",N(Produtos!I284))</f>
        <v>0</v>
      </c>
      <c r="J284" s="26">
        <f>IF($A284="","",IF(I284&gt;0,ROUNDUP(I284*FatMax,0),""))</f>
        <v>0</v>
      </c>
      <c r="K284" s="24">
        <f>IF($A284="","",N(Produtos!F284))</f>
        <v>0</v>
      </c>
      <c r="L284" s="24">
        <f>IF($A284="","",H284*K284)</f>
        <v>0</v>
      </c>
      <c r="M284" s="26">
        <f>IF($A284="","",SUMIFS(MovQtd,MovCod,$A284,MovTipo,"Saída",MovData,"&gt;="&amp;(Hoje-DiasAn),MovData,"&lt;="&amp;Hoje))</f>
        <v>0</v>
      </c>
      <c r="N284" s="28">
        <f>IF($A284="","",M284/DiasAn)</f>
        <v>0</v>
      </c>
      <c r="O284" s="29">
        <f>IF($A284="","",IF(N284&gt;0,H284/N284,"sem giro"))</f>
        <v>0</v>
      </c>
      <c r="P284" s="30">
        <f>IF($A284="","",SUMPRODUCT(MAX((MovCod=$A284)*(MovTipo="Saída")*MovData)))</f>
        <v>0</v>
      </c>
      <c r="Q284" s="31">
        <f>IF($A284="","",IF(H284&lt;=0,"RUPTURA",IF(AND(I284&gt;0,H284&lt;=I284),"REPOR",IF(AND(J284&lt;&gt;"",H284&gt;J284),"EXCESSO","OK"))))</f>
        <v>0</v>
      </c>
      <c r="R284" s="25">
        <f>IF($A284="","",IF(AND(H284&gt;0,OR(P284=0,Hoje-P284&gt;DiasParado)),"Parado",""))</f>
        <v>0</v>
      </c>
      <c r="S284" s="26">
        <f>IF($A284="","",IF(OR(Q284="RUPTURA",Q284="REPOR"),IF(J284="",0,MAX(0,J284-H284)),0))</f>
        <v>0</v>
      </c>
      <c r="T284" s="24">
        <f>IF($A284="","",M284*IF(N(Produtos!G284)&gt;0,Produtos!G284,K284))</f>
        <v>0</v>
      </c>
      <c r="U284" s="32">
        <f>IF($A284="","",IF(T284&gt;0,T284+ROW()/1000000000,""))</f>
        <v>0</v>
      </c>
      <c r="V284" s="31">
        <f>IF($A284="","",IF(U284="","C",INDEX('Curva ABC'!$H$5:$H$304,MATCH(U284,'Curva ABC'!$B$5:$B$304,0))))</f>
        <v>0</v>
      </c>
      <c r="W284" s="24">
        <f>IF($A284="","",IF(R284="Parado",L284,0))</f>
        <v>0</v>
      </c>
      <c r="X284" s="33">
        <f>IF($A284="","",IF(OR(Q284="RUPTURA",Q284="REPOR"),COUNTIF($Q$5:Q284,"RUPTURA")+COUNTIF($Q$5:Q284,"REPOR"),""))</f>
        <v>0</v>
      </c>
    </row>
    <row r="285" spans="1:24">
      <c r="A285" s="23">
        <f>IF(Produtos!A285="","",Produtos!A285)</f>
        <v>0</v>
      </c>
      <c r="B285" s="23">
        <f>IF($A285="","",Produtos!B285&amp;"")</f>
        <v>0</v>
      </c>
      <c r="C285" s="23">
        <f>IF($A285="","",Produtos!C285&amp;"")</f>
        <v>0</v>
      </c>
      <c r="D285" s="25">
        <f>IF($A285="","",Produtos!D285&amp;"")</f>
        <v>0</v>
      </c>
      <c r="E285" s="26">
        <f>IF($A285="","",N(Produtos!H285))</f>
        <v>0</v>
      </c>
      <c r="F285" s="26">
        <f>IF($A285="","",SUMIFS(MovQtd,MovCod,$A285,MovTipo,"Entrada"))</f>
        <v>0</v>
      </c>
      <c r="G285" s="26">
        <f>IF($A285="","",SUMIFS(MovQtd,MovCod,$A285,MovTipo,"Saída"))</f>
        <v>0</v>
      </c>
      <c r="H285" s="27">
        <f>IF($A285="","",E285+F285-G285)</f>
        <v>0</v>
      </c>
      <c r="I285" s="26">
        <f>IF($A285="","",N(Produtos!I285))</f>
        <v>0</v>
      </c>
      <c r="J285" s="26">
        <f>IF($A285="","",IF(I285&gt;0,ROUNDUP(I285*FatMax,0),""))</f>
        <v>0</v>
      </c>
      <c r="K285" s="24">
        <f>IF($A285="","",N(Produtos!F285))</f>
        <v>0</v>
      </c>
      <c r="L285" s="24">
        <f>IF($A285="","",H285*K285)</f>
        <v>0</v>
      </c>
      <c r="M285" s="26">
        <f>IF($A285="","",SUMIFS(MovQtd,MovCod,$A285,MovTipo,"Saída",MovData,"&gt;="&amp;(Hoje-DiasAn),MovData,"&lt;="&amp;Hoje))</f>
        <v>0</v>
      </c>
      <c r="N285" s="28">
        <f>IF($A285="","",M285/DiasAn)</f>
        <v>0</v>
      </c>
      <c r="O285" s="29">
        <f>IF($A285="","",IF(N285&gt;0,H285/N285,"sem giro"))</f>
        <v>0</v>
      </c>
      <c r="P285" s="30">
        <f>IF($A285="","",SUMPRODUCT(MAX((MovCod=$A285)*(MovTipo="Saída")*MovData)))</f>
        <v>0</v>
      </c>
      <c r="Q285" s="31">
        <f>IF($A285="","",IF(H285&lt;=0,"RUPTURA",IF(AND(I285&gt;0,H285&lt;=I285),"REPOR",IF(AND(J285&lt;&gt;"",H285&gt;J285),"EXCESSO","OK"))))</f>
        <v>0</v>
      </c>
      <c r="R285" s="25">
        <f>IF($A285="","",IF(AND(H285&gt;0,OR(P285=0,Hoje-P285&gt;DiasParado)),"Parado",""))</f>
        <v>0</v>
      </c>
      <c r="S285" s="26">
        <f>IF($A285="","",IF(OR(Q285="RUPTURA",Q285="REPOR"),IF(J285="",0,MAX(0,J285-H285)),0))</f>
        <v>0</v>
      </c>
      <c r="T285" s="24">
        <f>IF($A285="","",M285*IF(N(Produtos!G285)&gt;0,Produtos!G285,K285))</f>
        <v>0</v>
      </c>
      <c r="U285" s="32">
        <f>IF($A285="","",IF(T285&gt;0,T285+ROW()/1000000000,""))</f>
        <v>0</v>
      </c>
      <c r="V285" s="31">
        <f>IF($A285="","",IF(U285="","C",INDEX('Curva ABC'!$H$5:$H$304,MATCH(U285,'Curva ABC'!$B$5:$B$304,0))))</f>
        <v>0</v>
      </c>
      <c r="W285" s="24">
        <f>IF($A285="","",IF(R285="Parado",L285,0))</f>
        <v>0</v>
      </c>
      <c r="X285" s="33">
        <f>IF($A285="","",IF(OR(Q285="RUPTURA",Q285="REPOR"),COUNTIF($Q$5:Q285,"RUPTURA")+COUNTIF($Q$5:Q285,"REPOR"),""))</f>
        <v>0</v>
      </c>
    </row>
    <row r="286" spans="1:24">
      <c r="A286" s="23">
        <f>IF(Produtos!A286="","",Produtos!A286)</f>
        <v>0</v>
      </c>
      <c r="B286" s="23">
        <f>IF($A286="","",Produtos!B286&amp;"")</f>
        <v>0</v>
      </c>
      <c r="C286" s="23">
        <f>IF($A286="","",Produtos!C286&amp;"")</f>
        <v>0</v>
      </c>
      <c r="D286" s="25">
        <f>IF($A286="","",Produtos!D286&amp;"")</f>
        <v>0</v>
      </c>
      <c r="E286" s="26">
        <f>IF($A286="","",N(Produtos!H286))</f>
        <v>0</v>
      </c>
      <c r="F286" s="26">
        <f>IF($A286="","",SUMIFS(MovQtd,MovCod,$A286,MovTipo,"Entrada"))</f>
        <v>0</v>
      </c>
      <c r="G286" s="26">
        <f>IF($A286="","",SUMIFS(MovQtd,MovCod,$A286,MovTipo,"Saída"))</f>
        <v>0</v>
      </c>
      <c r="H286" s="27">
        <f>IF($A286="","",E286+F286-G286)</f>
        <v>0</v>
      </c>
      <c r="I286" s="26">
        <f>IF($A286="","",N(Produtos!I286))</f>
        <v>0</v>
      </c>
      <c r="J286" s="26">
        <f>IF($A286="","",IF(I286&gt;0,ROUNDUP(I286*FatMax,0),""))</f>
        <v>0</v>
      </c>
      <c r="K286" s="24">
        <f>IF($A286="","",N(Produtos!F286))</f>
        <v>0</v>
      </c>
      <c r="L286" s="24">
        <f>IF($A286="","",H286*K286)</f>
        <v>0</v>
      </c>
      <c r="M286" s="26">
        <f>IF($A286="","",SUMIFS(MovQtd,MovCod,$A286,MovTipo,"Saída",MovData,"&gt;="&amp;(Hoje-DiasAn),MovData,"&lt;="&amp;Hoje))</f>
        <v>0</v>
      </c>
      <c r="N286" s="28">
        <f>IF($A286="","",M286/DiasAn)</f>
        <v>0</v>
      </c>
      <c r="O286" s="29">
        <f>IF($A286="","",IF(N286&gt;0,H286/N286,"sem giro"))</f>
        <v>0</v>
      </c>
      <c r="P286" s="30">
        <f>IF($A286="","",SUMPRODUCT(MAX((MovCod=$A286)*(MovTipo="Saída")*MovData)))</f>
        <v>0</v>
      </c>
      <c r="Q286" s="31">
        <f>IF($A286="","",IF(H286&lt;=0,"RUPTURA",IF(AND(I286&gt;0,H286&lt;=I286),"REPOR",IF(AND(J286&lt;&gt;"",H286&gt;J286),"EXCESSO","OK"))))</f>
        <v>0</v>
      </c>
      <c r="R286" s="25">
        <f>IF($A286="","",IF(AND(H286&gt;0,OR(P286=0,Hoje-P286&gt;DiasParado)),"Parado",""))</f>
        <v>0</v>
      </c>
      <c r="S286" s="26">
        <f>IF($A286="","",IF(OR(Q286="RUPTURA",Q286="REPOR"),IF(J286="",0,MAX(0,J286-H286)),0))</f>
        <v>0</v>
      </c>
      <c r="T286" s="24">
        <f>IF($A286="","",M286*IF(N(Produtos!G286)&gt;0,Produtos!G286,K286))</f>
        <v>0</v>
      </c>
      <c r="U286" s="32">
        <f>IF($A286="","",IF(T286&gt;0,T286+ROW()/1000000000,""))</f>
        <v>0</v>
      </c>
      <c r="V286" s="31">
        <f>IF($A286="","",IF(U286="","C",INDEX('Curva ABC'!$H$5:$H$304,MATCH(U286,'Curva ABC'!$B$5:$B$304,0))))</f>
        <v>0</v>
      </c>
      <c r="W286" s="24">
        <f>IF($A286="","",IF(R286="Parado",L286,0))</f>
        <v>0</v>
      </c>
      <c r="X286" s="33">
        <f>IF($A286="","",IF(OR(Q286="RUPTURA",Q286="REPOR"),COUNTIF($Q$5:Q286,"RUPTURA")+COUNTIF($Q$5:Q286,"REPOR"),""))</f>
        <v>0</v>
      </c>
    </row>
    <row r="287" spans="1:24">
      <c r="A287" s="23">
        <f>IF(Produtos!A287="","",Produtos!A287)</f>
        <v>0</v>
      </c>
      <c r="B287" s="23">
        <f>IF($A287="","",Produtos!B287&amp;"")</f>
        <v>0</v>
      </c>
      <c r="C287" s="23">
        <f>IF($A287="","",Produtos!C287&amp;"")</f>
        <v>0</v>
      </c>
      <c r="D287" s="25">
        <f>IF($A287="","",Produtos!D287&amp;"")</f>
        <v>0</v>
      </c>
      <c r="E287" s="26">
        <f>IF($A287="","",N(Produtos!H287))</f>
        <v>0</v>
      </c>
      <c r="F287" s="26">
        <f>IF($A287="","",SUMIFS(MovQtd,MovCod,$A287,MovTipo,"Entrada"))</f>
        <v>0</v>
      </c>
      <c r="G287" s="26">
        <f>IF($A287="","",SUMIFS(MovQtd,MovCod,$A287,MovTipo,"Saída"))</f>
        <v>0</v>
      </c>
      <c r="H287" s="27">
        <f>IF($A287="","",E287+F287-G287)</f>
        <v>0</v>
      </c>
      <c r="I287" s="26">
        <f>IF($A287="","",N(Produtos!I287))</f>
        <v>0</v>
      </c>
      <c r="J287" s="26">
        <f>IF($A287="","",IF(I287&gt;0,ROUNDUP(I287*FatMax,0),""))</f>
        <v>0</v>
      </c>
      <c r="K287" s="24">
        <f>IF($A287="","",N(Produtos!F287))</f>
        <v>0</v>
      </c>
      <c r="L287" s="24">
        <f>IF($A287="","",H287*K287)</f>
        <v>0</v>
      </c>
      <c r="M287" s="26">
        <f>IF($A287="","",SUMIFS(MovQtd,MovCod,$A287,MovTipo,"Saída",MovData,"&gt;="&amp;(Hoje-DiasAn),MovData,"&lt;="&amp;Hoje))</f>
        <v>0</v>
      </c>
      <c r="N287" s="28">
        <f>IF($A287="","",M287/DiasAn)</f>
        <v>0</v>
      </c>
      <c r="O287" s="29">
        <f>IF($A287="","",IF(N287&gt;0,H287/N287,"sem giro"))</f>
        <v>0</v>
      </c>
      <c r="P287" s="30">
        <f>IF($A287="","",SUMPRODUCT(MAX((MovCod=$A287)*(MovTipo="Saída")*MovData)))</f>
        <v>0</v>
      </c>
      <c r="Q287" s="31">
        <f>IF($A287="","",IF(H287&lt;=0,"RUPTURA",IF(AND(I287&gt;0,H287&lt;=I287),"REPOR",IF(AND(J287&lt;&gt;"",H287&gt;J287),"EXCESSO","OK"))))</f>
        <v>0</v>
      </c>
      <c r="R287" s="25">
        <f>IF($A287="","",IF(AND(H287&gt;0,OR(P287=0,Hoje-P287&gt;DiasParado)),"Parado",""))</f>
        <v>0</v>
      </c>
      <c r="S287" s="26">
        <f>IF($A287="","",IF(OR(Q287="RUPTURA",Q287="REPOR"),IF(J287="",0,MAX(0,J287-H287)),0))</f>
        <v>0</v>
      </c>
      <c r="T287" s="24">
        <f>IF($A287="","",M287*IF(N(Produtos!G287)&gt;0,Produtos!G287,K287))</f>
        <v>0</v>
      </c>
      <c r="U287" s="32">
        <f>IF($A287="","",IF(T287&gt;0,T287+ROW()/1000000000,""))</f>
        <v>0</v>
      </c>
      <c r="V287" s="31">
        <f>IF($A287="","",IF(U287="","C",INDEX('Curva ABC'!$H$5:$H$304,MATCH(U287,'Curva ABC'!$B$5:$B$304,0))))</f>
        <v>0</v>
      </c>
      <c r="W287" s="24">
        <f>IF($A287="","",IF(R287="Parado",L287,0))</f>
        <v>0</v>
      </c>
      <c r="X287" s="33">
        <f>IF($A287="","",IF(OR(Q287="RUPTURA",Q287="REPOR"),COUNTIF($Q$5:Q287,"RUPTURA")+COUNTIF($Q$5:Q287,"REPOR"),""))</f>
        <v>0</v>
      </c>
    </row>
    <row r="288" spans="1:24">
      <c r="A288" s="23">
        <f>IF(Produtos!A288="","",Produtos!A288)</f>
        <v>0</v>
      </c>
      <c r="B288" s="23">
        <f>IF($A288="","",Produtos!B288&amp;"")</f>
        <v>0</v>
      </c>
      <c r="C288" s="23">
        <f>IF($A288="","",Produtos!C288&amp;"")</f>
        <v>0</v>
      </c>
      <c r="D288" s="25">
        <f>IF($A288="","",Produtos!D288&amp;"")</f>
        <v>0</v>
      </c>
      <c r="E288" s="26">
        <f>IF($A288="","",N(Produtos!H288))</f>
        <v>0</v>
      </c>
      <c r="F288" s="26">
        <f>IF($A288="","",SUMIFS(MovQtd,MovCod,$A288,MovTipo,"Entrada"))</f>
        <v>0</v>
      </c>
      <c r="G288" s="26">
        <f>IF($A288="","",SUMIFS(MovQtd,MovCod,$A288,MovTipo,"Saída"))</f>
        <v>0</v>
      </c>
      <c r="H288" s="27">
        <f>IF($A288="","",E288+F288-G288)</f>
        <v>0</v>
      </c>
      <c r="I288" s="26">
        <f>IF($A288="","",N(Produtos!I288))</f>
        <v>0</v>
      </c>
      <c r="J288" s="26">
        <f>IF($A288="","",IF(I288&gt;0,ROUNDUP(I288*FatMax,0),""))</f>
        <v>0</v>
      </c>
      <c r="K288" s="24">
        <f>IF($A288="","",N(Produtos!F288))</f>
        <v>0</v>
      </c>
      <c r="L288" s="24">
        <f>IF($A288="","",H288*K288)</f>
        <v>0</v>
      </c>
      <c r="M288" s="26">
        <f>IF($A288="","",SUMIFS(MovQtd,MovCod,$A288,MovTipo,"Saída",MovData,"&gt;="&amp;(Hoje-DiasAn),MovData,"&lt;="&amp;Hoje))</f>
        <v>0</v>
      </c>
      <c r="N288" s="28">
        <f>IF($A288="","",M288/DiasAn)</f>
        <v>0</v>
      </c>
      <c r="O288" s="29">
        <f>IF($A288="","",IF(N288&gt;0,H288/N288,"sem giro"))</f>
        <v>0</v>
      </c>
      <c r="P288" s="30">
        <f>IF($A288="","",SUMPRODUCT(MAX((MovCod=$A288)*(MovTipo="Saída")*MovData)))</f>
        <v>0</v>
      </c>
      <c r="Q288" s="31">
        <f>IF($A288="","",IF(H288&lt;=0,"RUPTURA",IF(AND(I288&gt;0,H288&lt;=I288),"REPOR",IF(AND(J288&lt;&gt;"",H288&gt;J288),"EXCESSO","OK"))))</f>
        <v>0</v>
      </c>
      <c r="R288" s="25">
        <f>IF($A288="","",IF(AND(H288&gt;0,OR(P288=0,Hoje-P288&gt;DiasParado)),"Parado",""))</f>
        <v>0</v>
      </c>
      <c r="S288" s="26">
        <f>IF($A288="","",IF(OR(Q288="RUPTURA",Q288="REPOR"),IF(J288="",0,MAX(0,J288-H288)),0))</f>
        <v>0</v>
      </c>
      <c r="T288" s="24">
        <f>IF($A288="","",M288*IF(N(Produtos!G288)&gt;0,Produtos!G288,K288))</f>
        <v>0</v>
      </c>
      <c r="U288" s="32">
        <f>IF($A288="","",IF(T288&gt;0,T288+ROW()/1000000000,""))</f>
        <v>0</v>
      </c>
      <c r="V288" s="31">
        <f>IF($A288="","",IF(U288="","C",INDEX('Curva ABC'!$H$5:$H$304,MATCH(U288,'Curva ABC'!$B$5:$B$304,0))))</f>
        <v>0</v>
      </c>
      <c r="W288" s="24">
        <f>IF($A288="","",IF(R288="Parado",L288,0))</f>
        <v>0</v>
      </c>
      <c r="X288" s="33">
        <f>IF($A288="","",IF(OR(Q288="RUPTURA",Q288="REPOR"),COUNTIF($Q$5:Q288,"RUPTURA")+COUNTIF($Q$5:Q288,"REPOR"),""))</f>
        <v>0</v>
      </c>
    </row>
    <row r="289" spans="1:24">
      <c r="A289" s="23">
        <f>IF(Produtos!A289="","",Produtos!A289)</f>
        <v>0</v>
      </c>
      <c r="B289" s="23">
        <f>IF($A289="","",Produtos!B289&amp;"")</f>
        <v>0</v>
      </c>
      <c r="C289" s="23">
        <f>IF($A289="","",Produtos!C289&amp;"")</f>
        <v>0</v>
      </c>
      <c r="D289" s="25">
        <f>IF($A289="","",Produtos!D289&amp;"")</f>
        <v>0</v>
      </c>
      <c r="E289" s="26">
        <f>IF($A289="","",N(Produtos!H289))</f>
        <v>0</v>
      </c>
      <c r="F289" s="26">
        <f>IF($A289="","",SUMIFS(MovQtd,MovCod,$A289,MovTipo,"Entrada"))</f>
        <v>0</v>
      </c>
      <c r="G289" s="26">
        <f>IF($A289="","",SUMIFS(MovQtd,MovCod,$A289,MovTipo,"Saída"))</f>
        <v>0</v>
      </c>
      <c r="H289" s="27">
        <f>IF($A289="","",E289+F289-G289)</f>
        <v>0</v>
      </c>
      <c r="I289" s="26">
        <f>IF($A289="","",N(Produtos!I289))</f>
        <v>0</v>
      </c>
      <c r="J289" s="26">
        <f>IF($A289="","",IF(I289&gt;0,ROUNDUP(I289*FatMax,0),""))</f>
        <v>0</v>
      </c>
      <c r="K289" s="24">
        <f>IF($A289="","",N(Produtos!F289))</f>
        <v>0</v>
      </c>
      <c r="L289" s="24">
        <f>IF($A289="","",H289*K289)</f>
        <v>0</v>
      </c>
      <c r="M289" s="26">
        <f>IF($A289="","",SUMIFS(MovQtd,MovCod,$A289,MovTipo,"Saída",MovData,"&gt;="&amp;(Hoje-DiasAn),MovData,"&lt;="&amp;Hoje))</f>
        <v>0</v>
      </c>
      <c r="N289" s="28">
        <f>IF($A289="","",M289/DiasAn)</f>
        <v>0</v>
      </c>
      <c r="O289" s="29">
        <f>IF($A289="","",IF(N289&gt;0,H289/N289,"sem giro"))</f>
        <v>0</v>
      </c>
      <c r="P289" s="30">
        <f>IF($A289="","",SUMPRODUCT(MAX((MovCod=$A289)*(MovTipo="Saída")*MovData)))</f>
        <v>0</v>
      </c>
      <c r="Q289" s="31">
        <f>IF($A289="","",IF(H289&lt;=0,"RUPTURA",IF(AND(I289&gt;0,H289&lt;=I289),"REPOR",IF(AND(J289&lt;&gt;"",H289&gt;J289),"EXCESSO","OK"))))</f>
        <v>0</v>
      </c>
      <c r="R289" s="25">
        <f>IF($A289="","",IF(AND(H289&gt;0,OR(P289=0,Hoje-P289&gt;DiasParado)),"Parado",""))</f>
        <v>0</v>
      </c>
      <c r="S289" s="26">
        <f>IF($A289="","",IF(OR(Q289="RUPTURA",Q289="REPOR"),IF(J289="",0,MAX(0,J289-H289)),0))</f>
        <v>0</v>
      </c>
      <c r="T289" s="24">
        <f>IF($A289="","",M289*IF(N(Produtos!G289)&gt;0,Produtos!G289,K289))</f>
        <v>0</v>
      </c>
      <c r="U289" s="32">
        <f>IF($A289="","",IF(T289&gt;0,T289+ROW()/1000000000,""))</f>
        <v>0</v>
      </c>
      <c r="V289" s="31">
        <f>IF($A289="","",IF(U289="","C",INDEX('Curva ABC'!$H$5:$H$304,MATCH(U289,'Curva ABC'!$B$5:$B$304,0))))</f>
        <v>0</v>
      </c>
      <c r="W289" s="24">
        <f>IF($A289="","",IF(R289="Parado",L289,0))</f>
        <v>0</v>
      </c>
      <c r="X289" s="33">
        <f>IF($A289="","",IF(OR(Q289="RUPTURA",Q289="REPOR"),COUNTIF($Q$5:Q289,"RUPTURA")+COUNTIF($Q$5:Q289,"REPOR"),""))</f>
        <v>0</v>
      </c>
    </row>
    <row r="290" spans="1:24">
      <c r="A290" s="23">
        <f>IF(Produtos!A290="","",Produtos!A290)</f>
        <v>0</v>
      </c>
      <c r="B290" s="23">
        <f>IF($A290="","",Produtos!B290&amp;"")</f>
        <v>0</v>
      </c>
      <c r="C290" s="23">
        <f>IF($A290="","",Produtos!C290&amp;"")</f>
        <v>0</v>
      </c>
      <c r="D290" s="25">
        <f>IF($A290="","",Produtos!D290&amp;"")</f>
        <v>0</v>
      </c>
      <c r="E290" s="26">
        <f>IF($A290="","",N(Produtos!H290))</f>
        <v>0</v>
      </c>
      <c r="F290" s="26">
        <f>IF($A290="","",SUMIFS(MovQtd,MovCod,$A290,MovTipo,"Entrada"))</f>
        <v>0</v>
      </c>
      <c r="G290" s="26">
        <f>IF($A290="","",SUMIFS(MovQtd,MovCod,$A290,MovTipo,"Saída"))</f>
        <v>0</v>
      </c>
      <c r="H290" s="27">
        <f>IF($A290="","",E290+F290-G290)</f>
        <v>0</v>
      </c>
      <c r="I290" s="26">
        <f>IF($A290="","",N(Produtos!I290))</f>
        <v>0</v>
      </c>
      <c r="J290" s="26">
        <f>IF($A290="","",IF(I290&gt;0,ROUNDUP(I290*FatMax,0),""))</f>
        <v>0</v>
      </c>
      <c r="K290" s="24">
        <f>IF($A290="","",N(Produtos!F290))</f>
        <v>0</v>
      </c>
      <c r="L290" s="24">
        <f>IF($A290="","",H290*K290)</f>
        <v>0</v>
      </c>
      <c r="M290" s="26">
        <f>IF($A290="","",SUMIFS(MovQtd,MovCod,$A290,MovTipo,"Saída",MovData,"&gt;="&amp;(Hoje-DiasAn),MovData,"&lt;="&amp;Hoje))</f>
        <v>0</v>
      </c>
      <c r="N290" s="28">
        <f>IF($A290="","",M290/DiasAn)</f>
        <v>0</v>
      </c>
      <c r="O290" s="29">
        <f>IF($A290="","",IF(N290&gt;0,H290/N290,"sem giro"))</f>
        <v>0</v>
      </c>
      <c r="P290" s="30">
        <f>IF($A290="","",SUMPRODUCT(MAX((MovCod=$A290)*(MovTipo="Saída")*MovData)))</f>
        <v>0</v>
      </c>
      <c r="Q290" s="31">
        <f>IF($A290="","",IF(H290&lt;=0,"RUPTURA",IF(AND(I290&gt;0,H290&lt;=I290),"REPOR",IF(AND(J290&lt;&gt;"",H290&gt;J290),"EXCESSO","OK"))))</f>
        <v>0</v>
      </c>
      <c r="R290" s="25">
        <f>IF($A290="","",IF(AND(H290&gt;0,OR(P290=0,Hoje-P290&gt;DiasParado)),"Parado",""))</f>
        <v>0</v>
      </c>
      <c r="S290" s="26">
        <f>IF($A290="","",IF(OR(Q290="RUPTURA",Q290="REPOR"),IF(J290="",0,MAX(0,J290-H290)),0))</f>
        <v>0</v>
      </c>
      <c r="T290" s="24">
        <f>IF($A290="","",M290*IF(N(Produtos!G290)&gt;0,Produtos!G290,K290))</f>
        <v>0</v>
      </c>
      <c r="U290" s="32">
        <f>IF($A290="","",IF(T290&gt;0,T290+ROW()/1000000000,""))</f>
        <v>0</v>
      </c>
      <c r="V290" s="31">
        <f>IF($A290="","",IF(U290="","C",INDEX('Curva ABC'!$H$5:$H$304,MATCH(U290,'Curva ABC'!$B$5:$B$304,0))))</f>
        <v>0</v>
      </c>
      <c r="W290" s="24">
        <f>IF($A290="","",IF(R290="Parado",L290,0))</f>
        <v>0</v>
      </c>
      <c r="X290" s="33">
        <f>IF($A290="","",IF(OR(Q290="RUPTURA",Q290="REPOR"),COUNTIF($Q$5:Q290,"RUPTURA")+COUNTIF($Q$5:Q290,"REPOR"),""))</f>
        <v>0</v>
      </c>
    </row>
    <row r="291" spans="1:24">
      <c r="A291" s="23">
        <f>IF(Produtos!A291="","",Produtos!A291)</f>
        <v>0</v>
      </c>
      <c r="B291" s="23">
        <f>IF($A291="","",Produtos!B291&amp;"")</f>
        <v>0</v>
      </c>
      <c r="C291" s="23">
        <f>IF($A291="","",Produtos!C291&amp;"")</f>
        <v>0</v>
      </c>
      <c r="D291" s="25">
        <f>IF($A291="","",Produtos!D291&amp;"")</f>
        <v>0</v>
      </c>
      <c r="E291" s="26">
        <f>IF($A291="","",N(Produtos!H291))</f>
        <v>0</v>
      </c>
      <c r="F291" s="26">
        <f>IF($A291="","",SUMIFS(MovQtd,MovCod,$A291,MovTipo,"Entrada"))</f>
        <v>0</v>
      </c>
      <c r="G291" s="26">
        <f>IF($A291="","",SUMIFS(MovQtd,MovCod,$A291,MovTipo,"Saída"))</f>
        <v>0</v>
      </c>
      <c r="H291" s="27">
        <f>IF($A291="","",E291+F291-G291)</f>
        <v>0</v>
      </c>
      <c r="I291" s="26">
        <f>IF($A291="","",N(Produtos!I291))</f>
        <v>0</v>
      </c>
      <c r="J291" s="26">
        <f>IF($A291="","",IF(I291&gt;0,ROUNDUP(I291*FatMax,0),""))</f>
        <v>0</v>
      </c>
      <c r="K291" s="24">
        <f>IF($A291="","",N(Produtos!F291))</f>
        <v>0</v>
      </c>
      <c r="L291" s="24">
        <f>IF($A291="","",H291*K291)</f>
        <v>0</v>
      </c>
      <c r="M291" s="26">
        <f>IF($A291="","",SUMIFS(MovQtd,MovCod,$A291,MovTipo,"Saída",MovData,"&gt;="&amp;(Hoje-DiasAn),MovData,"&lt;="&amp;Hoje))</f>
        <v>0</v>
      </c>
      <c r="N291" s="28">
        <f>IF($A291="","",M291/DiasAn)</f>
        <v>0</v>
      </c>
      <c r="O291" s="29">
        <f>IF($A291="","",IF(N291&gt;0,H291/N291,"sem giro"))</f>
        <v>0</v>
      </c>
      <c r="P291" s="30">
        <f>IF($A291="","",SUMPRODUCT(MAX((MovCod=$A291)*(MovTipo="Saída")*MovData)))</f>
        <v>0</v>
      </c>
      <c r="Q291" s="31">
        <f>IF($A291="","",IF(H291&lt;=0,"RUPTURA",IF(AND(I291&gt;0,H291&lt;=I291),"REPOR",IF(AND(J291&lt;&gt;"",H291&gt;J291),"EXCESSO","OK"))))</f>
        <v>0</v>
      </c>
      <c r="R291" s="25">
        <f>IF($A291="","",IF(AND(H291&gt;0,OR(P291=0,Hoje-P291&gt;DiasParado)),"Parado",""))</f>
        <v>0</v>
      </c>
      <c r="S291" s="26">
        <f>IF($A291="","",IF(OR(Q291="RUPTURA",Q291="REPOR"),IF(J291="",0,MAX(0,J291-H291)),0))</f>
        <v>0</v>
      </c>
      <c r="T291" s="24">
        <f>IF($A291="","",M291*IF(N(Produtos!G291)&gt;0,Produtos!G291,K291))</f>
        <v>0</v>
      </c>
      <c r="U291" s="32">
        <f>IF($A291="","",IF(T291&gt;0,T291+ROW()/1000000000,""))</f>
        <v>0</v>
      </c>
      <c r="V291" s="31">
        <f>IF($A291="","",IF(U291="","C",INDEX('Curva ABC'!$H$5:$H$304,MATCH(U291,'Curva ABC'!$B$5:$B$304,0))))</f>
        <v>0</v>
      </c>
      <c r="W291" s="24">
        <f>IF($A291="","",IF(R291="Parado",L291,0))</f>
        <v>0</v>
      </c>
      <c r="X291" s="33">
        <f>IF($A291="","",IF(OR(Q291="RUPTURA",Q291="REPOR"),COUNTIF($Q$5:Q291,"RUPTURA")+COUNTIF($Q$5:Q291,"REPOR"),""))</f>
        <v>0</v>
      </c>
    </row>
    <row r="292" spans="1:24">
      <c r="A292" s="23">
        <f>IF(Produtos!A292="","",Produtos!A292)</f>
        <v>0</v>
      </c>
      <c r="B292" s="23">
        <f>IF($A292="","",Produtos!B292&amp;"")</f>
        <v>0</v>
      </c>
      <c r="C292" s="23">
        <f>IF($A292="","",Produtos!C292&amp;"")</f>
        <v>0</v>
      </c>
      <c r="D292" s="25">
        <f>IF($A292="","",Produtos!D292&amp;"")</f>
        <v>0</v>
      </c>
      <c r="E292" s="26">
        <f>IF($A292="","",N(Produtos!H292))</f>
        <v>0</v>
      </c>
      <c r="F292" s="26">
        <f>IF($A292="","",SUMIFS(MovQtd,MovCod,$A292,MovTipo,"Entrada"))</f>
        <v>0</v>
      </c>
      <c r="G292" s="26">
        <f>IF($A292="","",SUMIFS(MovQtd,MovCod,$A292,MovTipo,"Saída"))</f>
        <v>0</v>
      </c>
      <c r="H292" s="27">
        <f>IF($A292="","",E292+F292-G292)</f>
        <v>0</v>
      </c>
      <c r="I292" s="26">
        <f>IF($A292="","",N(Produtos!I292))</f>
        <v>0</v>
      </c>
      <c r="J292" s="26">
        <f>IF($A292="","",IF(I292&gt;0,ROUNDUP(I292*FatMax,0),""))</f>
        <v>0</v>
      </c>
      <c r="K292" s="24">
        <f>IF($A292="","",N(Produtos!F292))</f>
        <v>0</v>
      </c>
      <c r="L292" s="24">
        <f>IF($A292="","",H292*K292)</f>
        <v>0</v>
      </c>
      <c r="M292" s="26">
        <f>IF($A292="","",SUMIFS(MovQtd,MovCod,$A292,MovTipo,"Saída",MovData,"&gt;="&amp;(Hoje-DiasAn),MovData,"&lt;="&amp;Hoje))</f>
        <v>0</v>
      </c>
      <c r="N292" s="28">
        <f>IF($A292="","",M292/DiasAn)</f>
        <v>0</v>
      </c>
      <c r="O292" s="29">
        <f>IF($A292="","",IF(N292&gt;0,H292/N292,"sem giro"))</f>
        <v>0</v>
      </c>
      <c r="P292" s="30">
        <f>IF($A292="","",SUMPRODUCT(MAX((MovCod=$A292)*(MovTipo="Saída")*MovData)))</f>
        <v>0</v>
      </c>
      <c r="Q292" s="31">
        <f>IF($A292="","",IF(H292&lt;=0,"RUPTURA",IF(AND(I292&gt;0,H292&lt;=I292),"REPOR",IF(AND(J292&lt;&gt;"",H292&gt;J292),"EXCESSO","OK"))))</f>
        <v>0</v>
      </c>
      <c r="R292" s="25">
        <f>IF($A292="","",IF(AND(H292&gt;0,OR(P292=0,Hoje-P292&gt;DiasParado)),"Parado",""))</f>
        <v>0</v>
      </c>
      <c r="S292" s="26">
        <f>IF($A292="","",IF(OR(Q292="RUPTURA",Q292="REPOR"),IF(J292="",0,MAX(0,J292-H292)),0))</f>
        <v>0</v>
      </c>
      <c r="T292" s="24">
        <f>IF($A292="","",M292*IF(N(Produtos!G292)&gt;0,Produtos!G292,K292))</f>
        <v>0</v>
      </c>
      <c r="U292" s="32">
        <f>IF($A292="","",IF(T292&gt;0,T292+ROW()/1000000000,""))</f>
        <v>0</v>
      </c>
      <c r="V292" s="31">
        <f>IF($A292="","",IF(U292="","C",INDEX('Curva ABC'!$H$5:$H$304,MATCH(U292,'Curva ABC'!$B$5:$B$304,0))))</f>
        <v>0</v>
      </c>
      <c r="W292" s="24">
        <f>IF($A292="","",IF(R292="Parado",L292,0))</f>
        <v>0</v>
      </c>
      <c r="X292" s="33">
        <f>IF($A292="","",IF(OR(Q292="RUPTURA",Q292="REPOR"),COUNTIF($Q$5:Q292,"RUPTURA")+COUNTIF($Q$5:Q292,"REPOR"),""))</f>
        <v>0</v>
      </c>
    </row>
    <row r="293" spans="1:24">
      <c r="A293" s="23">
        <f>IF(Produtos!A293="","",Produtos!A293)</f>
        <v>0</v>
      </c>
      <c r="B293" s="23">
        <f>IF($A293="","",Produtos!B293&amp;"")</f>
        <v>0</v>
      </c>
      <c r="C293" s="23">
        <f>IF($A293="","",Produtos!C293&amp;"")</f>
        <v>0</v>
      </c>
      <c r="D293" s="25">
        <f>IF($A293="","",Produtos!D293&amp;"")</f>
        <v>0</v>
      </c>
      <c r="E293" s="26">
        <f>IF($A293="","",N(Produtos!H293))</f>
        <v>0</v>
      </c>
      <c r="F293" s="26">
        <f>IF($A293="","",SUMIFS(MovQtd,MovCod,$A293,MovTipo,"Entrada"))</f>
        <v>0</v>
      </c>
      <c r="G293" s="26">
        <f>IF($A293="","",SUMIFS(MovQtd,MovCod,$A293,MovTipo,"Saída"))</f>
        <v>0</v>
      </c>
      <c r="H293" s="27">
        <f>IF($A293="","",E293+F293-G293)</f>
        <v>0</v>
      </c>
      <c r="I293" s="26">
        <f>IF($A293="","",N(Produtos!I293))</f>
        <v>0</v>
      </c>
      <c r="J293" s="26">
        <f>IF($A293="","",IF(I293&gt;0,ROUNDUP(I293*FatMax,0),""))</f>
        <v>0</v>
      </c>
      <c r="K293" s="24">
        <f>IF($A293="","",N(Produtos!F293))</f>
        <v>0</v>
      </c>
      <c r="L293" s="24">
        <f>IF($A293="","",H293*K293)</f>
        <v>0</v>
      </c>
      <c r="M293" s="26">
        <f>IF($A293="","",SUMIFS(MovQtd,MovCod,$A293,MovTipo,"Saída",MovData,"&gt;="&amp;(Hoje-DiasAn),MovData,"&lt;="&amp;Hoje))</f>
        <v>0</v>
      </c>
      <c r="N293" s="28">
        <f>IF($A293="","",M293/DiasAn)</f>
        <v>0</v>
      </c>
      <c r="O293" s="29">
        <f>IF($A293="","",IF(N293&gt;0,H293/N293,"sem giro"))</f>
        <v>0</v>
      </c>
      <c r="P293" s="30">
        <f>IF($A293="","",SUMPRODUCT(MAX((MovCod=$A293)*(MovTipo="Saída")*MovData)))</f>
        <v>0</v>
      </c>
      <c r="Q293" s="31">
        <f>IF($A293="","",IF(H293&lt;=0,"RUPTURA",IF(AND(I293&gt;0,H293&lt;=I293),"REPOR",IF(AND(J293&lt;&gt;"",H293&gt;J293),"EXCESSO","OK"))))</f>
        <v>0</v>
      </c>
      <c r="R293" s="25">
        <f>IF($A293="","",IF(AND(H293&gt;0,OR(P293=0,Hoje-P293&gt;DiasParado)),"Parado",""))</f>
        <v>0</v>
      </c>
      <c r="S293" s="26">
        <f>IF($A293="","",IF(OR(Q293="RUPTURA",Q293="REPOR"),IF(J293="",0,MAX(0,J293-H293)),0))</f>
        <v>0</v>
      </c>
      <c r="T293" s="24">
        <f>IF($A293="","",M293*IF(N(Produtos!G293)&gt;0,Produtos!G293,K293))</f>
        <v>0</v>
      </c>
      <c r="U293" s="32">
        <f>IF($A293="","",IF(T293&gt;0,T293+ROW()/1000000000,""))</f>
        <v>0</v>
      </c>
      <c r="V293" s="31">
        <f>IF($A293="","",IF(U293="","C",INDEX('Curva ABC'!$H$5:$H$304,MATCH(U293,'Curva ABC'!$B$5:$B$304,0))))</f>
        <v>0</v>
      </c>
      <c r="W293" s="24">
        <f>IF($A293="","",IF(R293="Parado",L293,0))</f>
        <v>0</v>
      </c>
      <c r="X293" s="33">
        <f>IF($A293="","",IF(OR(Q293="RUPTURA",Q293="REPOR"),COUNTIF($Q$5:Q293,"RUPTURA")+COUNTIF($Q$5:Q293,"REPOR"),""))</f>
        <v>0</v>
      </c>
    </row>
    <row r="294" spans="1:24">
      <c r="A294" s="23">
        <f>IF(Produtos!A294="","",Produtos!A294)</f>
        <v>0</v>
      </c>
      <c r="B294" s="23">
        <f>IF($A294="","",Produtos!B294&amp;"")</f>
        <v>0</v>
      </c>
      <c r="C294" s="23">
        <f>IF($A294="","",Produtos!C294&amp;"")</f>
        <v>0</v>
      </c>
      <c r="D294" s="25">
        <f>IF($A294="","",Produtos!D294&amp;"")</f>
        <v>0</v>
      </c>
      <c r="E294" s="26">
        <f>IF($A294="","",N(Produtos!H294))</f>
        <v>0</v>
      </c>
      <c r="F294" s="26">
        <f>IF($A294="","",SUMIFS(MovQtd,MovCod,$A294,MovTipo,"Entrada"))</f>
        <v>0</v>
      </c>
      <c r="G294" s="26">
        <f>IF($A294="","",SUMIFS(MovQtd,MovCod,$A294,MovTipo,"Saída"))</f>
        <v>0</v>
      </c>
      <c r="H294" s="27">
        <f>IF($A294="","",E294+F294-G294)</f>
        <v>0</v>
      </c>
      <c r="I294" s="26">
        <f>IF($A294="","",N(Produtos!I294))</f>
        <v>0</v>
      </c>
      <c r="J294" s="26">
        <f>IF($A294="","",IF(I294&gt;0,ROUNDUP(I294*FatMax,0),""))</f>
        <v>0</v>
      </c>
      <c r="K294" s="24">
        <f>IF($A294="","",N(Produtos!F294))</f>
        <v>0</v>
      </c>
      <c r="L294" s="24">
        <f>IF($A294="","",H294*K294)</f>
        <v>0</v>
      </c>
      <c r="M294" s="26">
        <f>IF($A294="","",SUMIFS(MovQtd,MovCod,$A294,MovTipo,"Saída",MovData,"&gt;="&amp;(Hoje-DiasAn),MovData,"&lt;="&amp;Hoje))</f>
        <v>0</v>
      </c>
      <c r="N294" s="28">
        <f>IF($A294="","",M294/DiasAn)</f>
        <v>0</v>
      </c>
      <c r="O294" s="29">
        <f>IF($A294="","",IF(N294&gt;0,H294/N294,"sem giro"))</f>
        <v>0</v>
      </c>
      <c r="P294" s="30">
        <f>IF($A294="","",SUMPRODUCT(MAX((MovCod=$A294)*(MovTipo="Saída")*MovData)))</f>
        <v>0</v>
      </c>
      <c r="Q294" s="31">
        <f>IF($A294="","",IF(H294&lt;=0,"RUPTURA",IF(AND(I294&gt;0,H294&lt;=I294),"REPOR",IF(AND(J294&lt;&gt;"",H294&gt;J294),"EXCESSO","OK"))))</f>
        <v>0</v>
      </c>
      <c r="R294" s="25">
        <f>IF($A294="","",IF(AND(H294&gt;0,OR(P294=0,Hoje-P294&gt;DiasParado)),"Parado",""))</f>
        <v>0</v>
      </c>
      <c r="S294" s="26">
        <f>IF($A294="","",IF(OR(Q294="RUPTURA",Q294="REPOR"),IF(J294="",0,MAX(0,J294-H294)),0))</f>
        <v>0</v>
      </c>
      <c r="T294" s="24">
        <f>IF($A294="","",M294*IF(N(Produtos!G294)&gt;0,Produtos!G294,K294))</f>
        <v>0</v>
      </c>
      <c r="U294" s="32">
        <f>IF($A294="","",IF(T294&gt;0,T294+ROW()/1000000000,""))</f>
        <v>0</v>
      </c>
      <c r="V294" s="31">
        <f>IF($A294="","",IF(U294="","C",INDEX('Curva ABC'!$H$5:$H$304,MATCH(U294,'Curva ABC'!$B$5:$B$304,0))))</f>
        <v>0</v>
      </c>
      <c r="W294" s="24">
        <f>IF($A294="","",IF(R294="Parado",L294,0))</f>
        <v>0</v>
      </c>
      <c r="X294" s="33">
        <f>IF($A294="","",IF(OR(Q294="RUPTURA",Q294="REPOR"),COUNTIF($Q$5:Q294,"RUPTURA")+COUNTIF($Q$5:Q294,"REPOR"),""))</f>
        <v>0</v>
      </c>
    </row>
    <row r="295" spans="1:24">
      <c r="A295" s="23">
        <f>IF(Produtos!A295="","",Produtos!A295)</f>
        <v>0</v>
      </c>
      <c r="B295" s="23">
        <f>IF($A295="","",Produtos!B295&amp;"")</f>
        <v>0</v>
      </c>
      <c r="C295" s="23">
        <f>IF($A295="","",Produtos!C295&amp;"")</f>
        <v>0</v>
      </c>
      <c r="D295" s="25">
        <f>IF($A295="","",Produtos!D295&amp;"")</f>
        <v>0</v>
      </c>
      <c r="E295" s="26">
        <f>IF($A295="","",N(Produtos!H295))</f>
        <v>0</v>
      </c>
      <c r="F295" s="26">
        <f>IF($A295="","",SUMIFS(MovQtd,MovCod,$A295,MovTipo,"Entrada"))</f>
        <v>0</v>
      </c>
      <c r="G295" s="26">
        <f>IF($A295="","",SUMIFS(MovQtd,MovCod,$A295,MovTipo,"Saída"))</f>
        <v>0</v>
      </c>
      <c r="H295" s="27">
        <f>IF($A295="","",E295+F295-G295)</f>
        <v>0</v>
      </c>
      <c r="I295" s="26">
        <f>IF($A295="","",N(Produtos!I295))</f>
        <v>0</v>
      </c>
      <c r="J295" s="26">
        <f>IF($A295="","",IF(I295&gt;0,ROUNDUP(I295*FatMax,0),""))</f>
        <v>0</v>
      </c>
      <c r="K295" s="24">
        <f>IF($A295="","",N(Produtos!F295))</f>
        <v>0</v>
      </c>
      <c r="L295" s="24">
        <f>IF($A295="","",H295*K295)</f>
        <v>0</v>
      </c>
      <c r="M295" s="26">
        <f>IF($A295="","",SUMIFS(MovQtd,MovCod,$A295,MovTipo,"Saída",MovData,"&gt;="&amp;(Hoje-DiasAn),MovData,"&lt;="&amp;Hoje))</f>
        <v>0</v>
      </c>
      <c r="N295" s="28">
        <f>IF($A295="","",M295/DiasAn)</f>
        <v>0</v>
      </c>
      <c r="O295" s="29">
        <f>IF($A295="","",IF(N295&gt;0,H295/N295,"sem giro"))</f>
        <v>0</v>
      </c>
      <c r="P295" s="30">
        <f>IF($A295="","",SUMPRODUCT(MAX((MovCod=$A295)*(MovTipo="Saída")*MovData)))</f>
        <v>0</v>
      </c>
      <c r="Q295" s="31">
        <f>IF($A295="","",IF(H295&lt;=0,"RUPTURA",IF(AND(I295&gt;0,H295&lt;=I295),"REPOR",IF(AND(J295&lt;&gt;"",H295&gt;J295),"EXCESSO","OK"))))</f>
        <v>0</v>
      </c>
      <c r="R295" s="25">
        <f>IF($A295="","",IF(AND(H295&gt;0,OR(P295=0,Hoje-P295&gt;DiasParado)),"Parado",""))</f>
        <v>0</v>
      </c>
      <c r="S295" s="26">
        <f>IF($A295="","",IF(OR(Q295="RUPTURA",Q295="REPOR"),IF(J295="",0,MAX(0,J295-H295)),0))</f>
        <v>0</v>
      </c>
      <c r="T295" s="24">
        <f>IF($A295="","",M295*IF(N(Produtos!G295)&gt;0,Produtos!G295,K295))</f>
        <v>0</v>
      </c>
      <c r="U295" s="32">
        <f>IF($A295="","",IF(T295&gt;0,T295+ROW()/1000000000,""))</f>
        <v>0</v>
      </c>
      <c r="V295" s="31">
        <f>IF($A295="","",IF(U295="","C",INDEX('Curva ABC'!$H$5:$H$304,MATCH(U295,'Curva ABC'!$B$5:$B$304,0))))</f>
        <v>0</v>
      </c>
      <c r="W295" s="24">
        <f>IF($A295="","",IF(R295="Parado",L295,0))</f>
        <v>0</v>
      </c>
      <c r="X295" s="33">
        <f>IF($A295="","",IF(OR(Q295="RUPTURA",Q295="REPOR"),COUNTIF($Q$5:Q295,"RUPTURA")+COUNTIF($Q$5:Q295,"REPOR"),""))</f>
        <v>0</v>
      </c>
    </row>
    <row r="296" spans="1:24">
      <c r="A296" s="23">
        <f>IF(Produtos!A296="","",Produtos!A296)</f>
        <v>0</v>
      </c>
      <c r="B296" s="23">
        <f>IF($A296="","",Produtos!B296&amp;"")</f>
        <v>0</v>
      </c>
      <c r="C296" s="23">
        <f>IF($A296="","",Produtos!C296&amp;"")</f>
        <v>0</v>
      </c>
      <c r="D296" s="25">
        <f>IF($A296="","",Produtos!D296&amp;"")</f>
        <v>0</v>
      </c>
      <c r="E296" s="26">
        <f>IF($A296="","",N(Produtos!H296))</f>
        <v>0</v>
      </c>
      <c r="F296" s="26">
        <f>IF($A296="","",SUMIFS(MovQtd,MovCod,$A296,MovTipo,"Entrada"))</f>
        <v>0</v>
      </c>
      <c r="G296" s="26">
        <f>IF($A296="","",SUMIFS(MovQtd,MovCod,$A296,MovTipo,"Saída"))</f>
        <v>0</v>
      </c>
      <c r="H296" s="27">
        <f>IF($A296="","",E296+F296-G296)</f>
        <v>0</v>
      </c>
      <c r="I296" s="26">
        <f>IF($A296="","",N(Produtos!I296))</f>
        <v>0</v>
      </c>
      <c r="J296" s="26">
        <f>IF($A296="","",IF(I296&gt;0,ROUNDUP(I296*FatMax,0),""))</f>
        <v>0</v>
      </c>
      <c r="K296" s="24">
        <f>IF($A296="","",N(Produtos!F296))</f>
        <v>0</v>
      </c>
      <c r="L296" s="24">
        <f>IF($A296="","",H296*K296)</f>
        <v>0</v>
      </c>
      <c r="M296" s="26">
        <f>IF($A296="","",SUMIFS(MovQtd,MovCod,$A296,MovTipo,"Saída",MovData,"&gt;="&amp;(Hoje-DiasAn),MovData,"&lt;="&amp;Hoje))</f>
        <v>0</v>
      </c>
      <c r="N296" s="28">
        <f>IF($A296="","",M296/DiasAn)</f>
        <v>0</v>
      </c>
      <c r="O296" s="29">
        <f>IF($A296="","",IF(N296&gt;0,H296/N296,"sem giro"))</f>
        <v>0</v>
      </c>
      <c r="P296" s="30">
        <f>IF($A296="","",SUMPRODUCT(MAX((MovCod=$A296)*(MovTipo="Saída")*MovData)))</f>
        <v>0</v>
      </c>
      <c r="Q296" s="31">
        <f>IF($A296="","",IF(H296&lt;=0,"RUPTURA",IF(AND(I296&gt;0,H296&lt;=I296),"REPOR",IF(AND(J296&lt;&gt;"",H296&gt;J296),"EXCESSO","OK"))))</f>
        <v>0</v>
      </c>
      <c r="R296" s="25">
        <f>IF($A296="","",IF(AND(H296&gt;0,OR(P296=0,Hoje-P296&gt;DiasParado)),"Parado",""))</f>
        <v>0</v>
      </c>
      <c r="S296" s="26">
        <f>IF($A296="","",IF(OR(Q296="RUPTURA",Q296="REPOR"),IF(J296="",0,MAX(0,J296-H296)),0))</f>
        <v>0</v>
      </c>
      <c r="T296" s="24">
        <f>IF($A296="","",M296*IF(N(Produtos!G296)&gt;0,Produtos!G296,K296))</f>
        <v>0</v>
      </c>
      <c r="U296" s="32">
        <f>IF($A296="","",IF(T296&gt;0,T296+ROW()/1000000000,""))</f>
        <v>0</v>
      </c>
      <c r="V296" s="31">
        <f>IF($A296="","",IF(U296="","C",INDEX('Curva ABC'!$H$5:$H$304,MATCH(U296,'Curva ABC'!$B$5:$B$304,0))))</f>
        <v>0</v>
      </c>
      <c r="W296" s="24">
        <f>IF($A296="","",IF(R296="Parado",L296,0))</f>
        <v>0</v>
      </c>
      <c r="X296" s="33">
        <f>IF($A296="","",IF(OR(Q296="RUPTURA",Q296="REPOR"),COUNTIF($Q$5:Q296,"RUPTURA")+COUNTIF($Q$5:Q296,"REPOR"),""))</f>
        <v>0</v>
      </c>
    </row>
    <row r="297" spans="1:24">
      <c r="A297" s="23">
        <f>IF(Produtos!A297="","",Produtos!A297)</f>
        <v>0</v>
      </c>
      <c r="B297" s="23">
        <f>IF($A297="","",Produtos!B297&amp;"")</f>
        <v>0</v>
      </c>
      <c r="C297" s="23">
        <f>IF($A297="","",Produtos!C297&amp;"")</f>
        <v>0</v>
      </c>
      <c r="D297" s="25">
        <f>IF($A297="","",Produtos!D297&amp;"")</f>
        <v>0</v>
      </c>
      <c r="E297" s="26">
        <f>IF($A297="","",N(Produtos!H297))</f>
        <v>0</v>
      </c>
      <c r="F297" s="26">
        <f>IF($A297="","",SUMIFS(MovQtd,MovCod,$A297,MovTipo,"Entrada"))</f>
        <v>0</v>
      </c>
      <c r="G297" s="26">
        <f>IF($A297="","",SUMIFS(MovQtd,MovCod,$A297,MovTipo,"Saída"))</f>
        <v>0</v>
      </c>
      <c r="H297" s="27">
        <f>IF($A297="","",E297+F297-G297)</f>
        <v>0</v>
      </c>
      <c r="I297" s="26">
        <f>IF($A297="","",N(Produtos!I297))</f>
        <v>0</v>
      </c>
      <c r="J297" s="26">
        <f>IF($A297="","",IF(I297&gt;0,ROUNDUP(I297*FatMax,0),""))</f>
        <v>0</v>
      </c>
      <c r="K297" s="24">
        <f>IF($A297="","",N(Produtos!F297))</f>
        <v>0</v>
      </c>
      <c r="L297" s="24">
        <f>IF($A297="","",H297*K297)</f>
        <v>0</v>
      </c>
      <c r="M297" s="26">
        <f>IF($A297="","",SUMIFS(MovQtd,MovCod,$A297,MovTipo,"Saída",MovData,"&gt;="&amp;(Hoje-DiasAn),MovData,"&lt;="&amp;Hoje))</f>
        <v>0</v>
      </c>
      <c r="N297" s="28">
        <f>IF($A297="","",M297/DiasAn)</f>
        <v>0</v>
      </c>
      <c r="O297" s="29">
        <f>IF($A297="","",IF(N297&gt;0,H297/N297,"sem giro"))</f>
        <v>0</v>
      </c>
      <c r="P297" s="30">
        <f>IF($A297="","",SUMPRODUCT(MAX((MovCod=$A297)*(MovTipo="Saída")*MovData)))</f>
        <v>0</v>
      </c>
      <c r="Q297" s="31">
        <f>IF($A297="","",IF(H297&lt;=0,"RUPTURA",IF(AND(I297&gt;0,H297&lt;=I297),"REPOR",IF(AND(J297&lt;&gt;"",H297&gt;J297),"EXCESSO","OK"))))</f>
        <v>0</v>
      </c>
      <c r="R297" s="25">
        <f>IF($A297="","",IF(AND(H297&gt;0,OR(P297=0,Hoje-P297&gt;DiasParado)),"Parado",""))</f>
        <v>0</v>
      </c>
      <c r="S297" s="26">
        <f>IF($A297="","",IF(OR(Q297="RUPTURA",Q297="REPOR"),IF(J297="",0,MAX(0,J297-H297)),0))</f>
        <v>0</v>
      </c>
      <c r="T297" s="24">
        <f>IF($A297="","",M297*IF(N(Produtos!G297)&gt;0,Produtos!G297,K297))</f>
        <v>0</v>
      </c>
      <c r="U297" s="32">
        <f>IF($A297="","",IF(T297&gt;0,T297+ROW()/1000000000,""))</f>
        <v>0</v>
      </c>
      <c r="V297" s="31">
        <f>IF($A297="","",IF(U297="","C",INDEX('Curva ABC'!$H$5:$H$304,MATCH(U297,'Curva ABC'!$B$5:$B$304,0))))</f>
        <v>0</v>
      </c>
      <c r="W297" s="24">
        <f>IF($A297="","",IF(R297="Parado",L297,0))</f>
        <v>0</v>
      </c>
      <c r="X297" s="33">
        <f>IF($A297="","",IF(OR(Q297="RUPTURA",Q297="REPOR"),COUNTIF($Q$5:Q297,"RUPTURA")+COUNTIF($Q$5:Q297,"REPOR"),""))</f>
        <v>0</v>
      </c>
    </row>
    <row r="298" spans="1:24">
      <c r="A298" s="23">
        <f>IF(Produtos!A298="","",Produtos!A298)</f>
        <v>0</v>
      </c>
      <c r="B298" s="23">
        <f>IF($A298="","",Produtos!B298&amp;"")</f>
        <v>0</v>
      </c>
      <c r="C298" s="23">
        <f>IF($A298="","",Produtos!C298&amp;"")</f>
        <v>0</v>
      </c>
      <c r="D298" s="25">
        <f>IF($A298="","",Produtos!D298&amp;"")</f>
        <v>0</v>
      </c>
      <c r="E298" s="26">
        <f>IF($A298="","",N(Produtos!H298))</f>
        <v>0</v>
      </c>
      <c r="F298" s="26">
        <f>IF($A298="","",SUMIFS(MovQtd,MovCod,$A298,MovTipo,"Entrada"))</f>
        <v>0</v>
      </c>
      <c r="G298" s="26">
        <f>IF($A298="","",SUMIFS(MovQtd,MovCod,$A298,MovTipo,"Saída"))</f>
        <v>0</v>
      </c>
      <c r="H298" s="27">
        <f>IF($A298="","",E298+F298-G298)</f>
        <v>0</v>
      </c>
      <c r="I298" s="26">
        <f>IF($A298="","",N(Produtos!I298))</f>
        <v>0</v>
      </c>
      <c r="J298" s="26">
        <f>IF($A298="","",IF(I298&gt;0,ROUNDUP(I298*FatMax,0),""))</f>
        <v>0</v>
      </c>
      <c r="K298" s="24">
        <f>IF($A298="","",N(Produtos!F298))</f>
        <v>0</v>
      </c>
      <c r="L298" s="24">
        <f>IF($A298="","",H298*K298)</f>
        <v>0</v>
      </c>
      <c r="M298" s="26">
        <f>IF($A298="","",SUMIFS(MovQtd,MovCod,$A298,MovTipo,"Saída",MovData,"&gt;="&amp;(Hoje-DiasAn),MovData,"&lt;="&amp;Hoje))</f>
        <v>0</v>
      </c>
      <c r="N298" s="28">
        <f>IF($A298="","",M298/DiasAn)</f>
        <v>0</v>
      </c>
      <c r="O298" s="29">
        <f>IF($A298="","",IF(N298&gt;0,H298/N298,"sem giro"))</f>
        <v>0</v>
      </c>
      <c r="P298" s="30">
        <f>IF($A298="","",SUMPRODUCT(MAX((MovCod=$A298)*(MovTipo="Saída")*MovData)))</f>
        <v>0</v>
      </c>
      <c r="Q298" s="31">
        <f>IF($A298="","",IF(H298&lt;=0,"RUPTURA",IF(AND(I298&gt;0,H298&lt;=I298),"REPOR",IF(AND(J298&lt;&gt;"",H298&gt;J298),"EXCESSO","OK"))))</f>
        <v>0</v>
      </c>
      <c r="R298" s="25">
        <f>IF($A298="","",IF(AND(H298&gt;0,OR(P298=0,Hoje-P298&gt;DiasParado)),"Parado",""))</f>
        <v>0</v>
      </c>
      <c r="S298" s="26">
        <f>IF($A298="","",IF(OR(Q298="RUPTURA",Q298="REPOR"),IF(J298="",0,MAX(0,J298-H298)),0))</f>
        <v>0</v>
      </c>
      <c r="T298" s="24">
        <f>IF($A298="","",M298*IF(N(Produtos!G298)&gt;0,Produtos!G298,K298))</f>
        <v>0</v>
      </c>
      <c r="U298" s="32">
        <f>IF($A298="","",IF(T298&gt;0,T298+ROW()/1000000000,""))</f>
        <v>0</v>
      </c>
      <c r="V298" s="31">
        <f>IF($A298="","",IF(U298="","C",INDEX('Curva ABC'!$H$5:$H$304,MATCH(U298,'Curva ABC'!$B$5:$B$304,0))))</f>
        <v>0</v>
      </c>
      <c r="W298" s="24">
        <f>IF($A298="","",IF(R298="Parado",L298,0))</f>
        <v>0</v>
      </c>
      <c r="X298" s="33">
        <f>IF($A298="","",IF(OR(Q298="RUPTURA",Q298="REPOR"),COUNTIF($Q$5:Q298,"RUPTURA")+COUNTIF($Q$5:Q298,"REPOR"),""))</f>
        <v>0</v>
      </c>
    </row>
    <row r="299" spans="1:24">
      <c r="A299" s="23">
        <f>IF(Produtos!A299="","",Produtos!A299)</f>
        <v>0</v>
      </c>
      <c r="B299" s="23">
        <f>IF($A299="","",Produtos!B299&amp;"")</f>
        <v>0</v>
      </c>
      <c r="C299" s="23">
        <f>IF($A299="","",Produtos!C299&amp;"")</f>
        <v>0</v>
      </c>
      <c r="D299" s="25">
        <f>IF($A299="","",Produtos!D299&amp;"")</f>
        <v>0</v>
      </c>
      <c r="E299" s="26">
        <f>IF($A299="","",N(Produtos!H299))</f>
        <v>0</v>
      </c>
      <c r="F299" s="26">
        <f>IF($A299="","",SUMIFS(MovQtd,MovCod,$A299,MovTipo,"Entrada"))</f>
        <v>0</v>
      </c>
      <c r="G299" s="26">
        <f>IF($A299="","",SUMIFS(MovQtd,MovCod,$A299,MovTipo,"Saída"))</f>
        <v>0</v>
      </c>
      <c r="H299" s="27">
        <f>IF($A299="","",E299+F299-G299)</f>
        <v>0</v>
      </c>
      <c r="I299" s="26">
        <f>IF($A299="","",N(Produtos!I299))</f>
        <v>0</v>
      </c>
      <c r="J299" s="26">
        <f>IF($A299="","",IF(I299&gt;0,ROUNDUP(I299*FatMax,0),""))</f>
        <v>0</v>
      </c>
      <c r="K299" s="24">
        <f>IF($A299="","",N(Produtos!F299))</f>
        <v>0</v>
      </c>
      <c r="L299" s="24">
        <f>IF($A299="","",H299*K299)</f>
        <v>0</v>
      </c>
      <c r="M299" s="26">
        <f>IF($A299="","",SUMIFS(MovQtd,MovCod,$A299,MovTipo,"Saída",MovData,"&gt;="&amp;(Hoje-DiasAn),MovData,"&lt;="&amp;Hoje))</f>
        <v>0</v>
      </c>
      <c r="N299" s="28">
        <f>IF($A299="","",M299/DiasAn)</f>
        <v>0</v>
      </c>
      <c r="O299" s="29">
        <f>IF($A299="","",IF(N299&gt;0,H299/N299,"sem giro"))</f>
        <v>0</v>
      </c>
      <c r="P299" s="30">
        <f>IF($A299="","",SUMPRODUCT(MAX((MovCod=$A299)*(MovTipo="Saída")*MovData)))</f>
        <v>0</v>
      </c>
      <c r="Q299" s="31">
        <f>IF($A299="","",IF(H299&lt;=0,"RUPTURA",IF(AND(I299&gt;0,H299&lt;=I299),"REPOR",IF(AND(J299&lt;&gt;"",H299&gt;J299),"EXCESSO","OK"))))</f>
        <v>0</v>
      </c>
      <c r="R299" s="25">
        <f>IF($A299="","",IF(AND(H299&gt;0,OR(P299=0,Hoje-P299&gt;DiasParado)),"Parado",""))</f>
        <v>0</v>
      </c>
      <c r="S299" s="26">
        <f>IF($A299="","",IF(OR(Q299="RUPTURA",Q299="REPOR"),IF(J299="",0,MAX(0,J299-H299)),0))</f>
        <v>0</v>
      </c>
      <c r="T299" s="24">
        <f>IF($A299="","",M299*IF(N(Produtos!G299)&gt;0,Produtos!G299,K299))</f>
        <v>0</v>
      </c>
      <c r="U299" s="32">
        <f>IF($A299="","",IF(T299&gt;0,T299+ROW()/1000000000,""))</f>
        <v>0</v>
      </c>
      <c r="V299" s="31">
        <f>IF($A299="","",IF(U299="","C",INDEX('Curva ABC'!$H$5:$H$304,MATCH(U299,'Curva ABC'!$B$5:$B$304,0))))</f>
        <v>0</v>
      </c>
      <c r="W299" s="24">
        <f>IF($A299="","",IF(R299="Parado",L299,0))</f>
        <v>0</v>
      </c>
      <c r="X299" s="33">
        <f>IF($A299="","",IF(OR(Q299="RUPTURA",Q299="REPOR"),COUNTIF($Q$5:Q299,"RUPTURA")+COUNTIF($Q$5:Q299,"REPOR"),""))</f>
        <v>0</v>
      </c>
    </row>
    <row r="300" spans="1:24">
      <c r="A300" s="23">
        <f>IF(Produtos!A300="","",Produtos!A300)</f>
        <v>0</v>
      </c>
      <c r="B300" s="23">
        <f>IF($A300="","",Produtos!B300&amp;"")</f>
        <v>0</v>
      </c>
      <c r="C300" s="23">
        <f>IF($A300="","",Produtos!C300&amp;"")</f>
        <v>0</v>
      </c>
      <c r="D300" s="25">
        <f>IF($A300="","",Produtos!D300&amp;"")</f>
        <v>0</v>
      </c>
      <c r="E300" s="26">
        <f>IF($A300="","",N(Produtos!H300))</f>
        <v>0</v>
      </c>
      <c r="F300" s="26">
        <f>IF($A300="","",SUMIFS(MovQtd,MovCod,$A300,MovTipo,"Entrada"))</f>
        <v>0</v>
      </c>
      <c r="G300" s="26">
        <f>IF($A300="","",SUMIFS(MovQtd,MovCod,$A300,MovTipo,"Saída"))</f>
        <v>0</v>
      </c>
      <c r="H300" s="27">
        <f>IF($A300="","",E300+F300-G300)</f>
        <v>0</v>
      </c>
      <c r="I300" s="26">
        <f>IF($A300="","",N(Produtos!I300))</f>
        <v>0</v>
      </c>
      <c r="J300" s="26">
        <f>IF($A300="","",IF(I300&gt;0,ROUNDUP(I300*FatMax,0),""))</f>
        <v>0</v>
      </c>
      <c r="K300" s="24">
        <f>IF($A300="","",N(Produtos!F300))</f>
        <v>0</v>
      </c>
      <c r="L300" s="24">
        <f>IF($A300="","",H300*K300)</f>
        <v>0</v>
      </c>
      <c r="M300" s="26">
        <f>IF($A300="","",SUMIFS(MovQtd,MovCod,$A300,MovTipo,"Saída",MovData,"&gt;="&amp;(Hoje-DiasAn),MovData,"&lt;="&amp;Hoje))</f>
        <v>0</v>
      </c>
      <c r="N300" s="28">
        <f>IF($A300="","",M300/DiasAn)</f>
        <v>0</v>
      </c>
      <c r="O300" s="29">
        <f>IF($A300="","",IF(N300&gt;0,H300/N300,"sem giro"))</f>
        <v>0</v>
      </c>
      <c r="P300" s="30">
        <f>IF($A300="","",SUMPRODUCT(MAX((MovCod=$A300)*(MovTipo="Saída")*MovData)))</f>
        <v>0</v>
      </c>
      <c r="Q300" s="31">
        <f>IF($A300="","",IF(H300&lt;=0,"RUPTURA",IF(AND(I300&gt;0,H300&lt;=I300),"REPOR",IF(AND(J300&lt;&gt;"",H300&gt;J300),"EXCESSO","OK"))))</f>
        <v>0</v>
      </c>
      <c r="R300" s="25">
        <f>IF($A300="","",IF(AND(H300&gt;0,OR(P300=0,Hoje-P300&gt;DiasParado)),"Parado",""))</f>
        <v>0</v>
      </c>
      <c r="S300" s="26">
        <f>IF($A300="","",IF(OR(Q300="RUPTURA",Q300="REPOR"),IF(J300="",0,MAX(0,J300-H300)),0))</f>
        <v>0</v>
      </c>
      <c r="T300" s="24">
        <f>IF($A300="","",M300*IF(N(Produtos!G300)&gt;0,Produtos!G300,K300))</f>
        <v>0</v>
      </c>
      <c r="U300" s="32">
        <f>IF($A300="","",IF(T300&gt;0,T300+ROW()/1000000000,""))</f>
        <v>0</v>
      </c>
      <c r="V300" s="31">
        <f>IF($A300="","",IF(U300="","C",INDEX('Curva ABC'!$H$5:$H$304,MATCH(U300,'Curva ABC'!$B$5:$B$304,0))))</f>
        <v>0</v>
      </c>
      <c r="W300" s="24">
        <f>IF($A300="","",IF(R300="Parado",L300,0))</f>
        <v>0</v>
      </c>
      <c r="X300" s="33">
        <f>IF($A300="","",IF(OR(Q300="RUPTURA",Q300="REPOR"),COUNTIF($Q$5:Q300,"RUPTURA")+COUNTIF($Q$5:Q300,"REPOR"),""))</f>
        <v>0</v>
      </c>
    </row>
    <row r="301" spans="1:24">
      <c r="A301" s="23">
        <f>IF(Produtos!A301="","",Produtos!A301)</f>
        <v>0</v>
      </c>
      <c r="B301" s="23">
        <f>IF($A301="","",Produtos!B301&amp;"")</f>
        <v>0</v>
      </c>
      <c r="C301" s="23">
        <f>IF($A301="","",Produtos!C301&amp;"")</f>
        <v>0</v>
      </c>
      <c r="D301" s="25">
        <f>IF($A301="","",Produtos!D301&amp;"")</f>
        <v>0</v>
      </c>
      <c r="E301" s="26">
        <f>IF($A301="","",N(Produtos!H301))</f>
        <v>0</v>
      </c>
      <c r="F301" s="26">
        <f>IF($A301="","",SUMIFS(MovQtd,MovCod,$A301,MovTipo,"Entrada"))</f>
        <v>0</v>
      </c>
      <c r="G301" s="26">
        <f>IF($A301="","",SUMIFS(MovQtd,MovCod,$A301,MovTipo,"Saída"))</f>
        <v>0</v>
      </c>
      <c r="H301" s="27">
        <f>IF($A301="","",E301+F301-G301)</f>
        <v>0</v>
      </c>
      <c r="I301" s="26">
        <f>IF($A301="","",N(Produtos!I301))</f>
        <v>0</v>
      </c>
      <c r="J301" s="26">
        <f>IF($A301="","",IF(I301&gt;0,ROUNDUP(I301*FatMax,0),""))</f>
        <v>0</v>
      </c>
      <c r="K301" s="24">
        <f>IF($A301="","",N(Produtos!F301))</f>
        <v>0</v>
      </c>
      <c r="L301" s="24">
        <f>IF($A301="","",H301*K301)</f>
        <v>0</v>
      </c>
      <c r="M301" s="26">
        <f>IF($A301="","",SUMIFS(MovQtd,MovCod,$A301,MovTipo,"Saída",MovData,"&gt;="&amp;(Hoje-DiasAn),MovData,"&lt;="&amp;Hoje))</f>
        <v>0</v>
      </c>
      <c r="N301" s="28">
        <f>IF($A301="","",M301/DiasAn)</f>
        <v>0</v>
      </c>
      <c r="O301" s="29">
        <f>IF($A301="","",IF(N301&gt;0,H301/N301,"sem giro"))</f>
        <v>0</v>
      </c>
      <c r="P301" s="30">
        <f>IF($A301="","",SUMPRODUCT(MAX((MovCod=$A301)*(MovTipo="Saída")*MovData)))</f>
        <v>0</v>
      </c>
      <c r="Q301" s="31">
        <f>IF($A301="","",IF(H301&lt;=0,"RUPTURA",IF(AND(I301&gt;0,H301&lt;=I301),"REPOR",IF(AND(J301&lt;&gt;"",H301&gt;J301),"EXCESSO","OK"))))</f>
        <v>0</v>
      </c>
      <c r="R301" s="25">
        <f>IF($A301="","",IF(AND(H301&gt;0,OR(P301=0,Hoje-P301&gt;DiasParado)),"Parado",""))</f>
        <v>0</v>
      </c>
      <c r="S301" s="26">
        <f>IF($A301="","",IF(OR(Q301="RUPTURA",Q301="REPOR"),IF(J301="",0,MAX(0,J301-H301)),0))</f>
        <v>0</v>
      </c>
      <c r="T301" s="24">
        <f>IF($A301="","",M301*IF(N(Produtos!G301)&gt;0,Produtos!G301,K301))</f>
        <v>0</v>
      </c>
      <c r="U301" s="32">
        <f>IF($A301="","",IF(T301&gt;0,T301+ROW()/1000000000,""))</f>
        <v>0</v>
      </c>
      <c r="V301" s="31">
        <f>IF($A301="","",IF(U301="","C",INDEX('Curva ABC'!$H$5:$H$304,MATCH(U301,'Curva ABC'!$B$5:$B$304,0))))</f>
        <v>0</v>
      </c>
      <c r="W301" s="24">
        <f>IF($A301="","",IF(R301="Parado",L301,0))</f>
        <v>0</v>
      </c>
      <c r="X301" s="33">
        <f>IF($A301="","",IF(OR(Q301="RUPTURA",Q301="REPOR"),COUNTIF($Q$5:Q301,"RUPTURA")+COUNTIF($Q$5:Q301,"REPOR"),""))</f>
        <v>0</v>
      </c>
    </row>
    <row r="302" spans="1:24">
      <c r="A302" s="23">
        <f>IF(Produtos!A302="","",Produtos!A302)</f>
        <v>0</v>
      </c>
      <c r="B302" s="23">
        <f>IF($A302="","",Produtos!B302&amp;"")</f>
        <v>0</v>
      </c>
      <c r="C302" s="23">
        <f>IF($A302="","",Produtos!C302&amp;"")</f>
        <v>0</v>
      </c>
      <c r="D302" s="25">
        <f>IF($A302="","",Produtos!D302&amp;"")</f>
        <v>0</v>
      </c>
      <c r="E302" s="26">
        <f>IF($A302="","",N(Produtos!H302))</f>
        <v>0</v>
      </c>
      <c r="F302" s="26">
        <f>IF($A302="","",SUMIFS(MovQtd,MovCod,$A302,MovTipo,"Entrada"))</f>
        <v>0</v>
      </c>
      <c r="G302" s="26">
        <f>IF($A302="","",SUMIFS(MovQtd,MovCod,$A302,MovTipo,"Saída"))</f>
        <v>0</v>
      </c>
      <c r="H302" s="27">
        <f>IF($A302="","",E302+F302-G302)</f>
        <v>0</v>
      </c>
      <c r="I302" s="26">
        <f>IF($A302="","",N(Produtos!I302))</f>
        <v>0</v>
      </c>
      <c r="J302" s="26">
        <f>IF($A302="","",IF(I302&gt;0,ROUNDUP(I302*FatMax,0),""))</f>
        <v>0</v>
      </c>
      <c r="K302" s="24">
        <f>IF($A302="","",N(Produtos!F302))</f>
        <v>0</v>
      </c>
      <c r="L302" s="24">
        <f>IF($A302="","",H302*K302)</f>
        <v>0</v>
      </c>
      <c r="M302" s="26">
        <f>IF($A302="","",SUMIFS(MovQtd,MovCod,$A302,MovTipo,"Saída",MovData,"&gt;="&amp;(Hoje-DiasAn),MovData,"&lt;="&amp;Hoje))</f>
        <v>0</v>
      </c>
      <c r="N302" s="28">
        <f>IF($A302="","",M302/DiasAn)</f>
        <v>0</v>
      </c>
      <c r="O302" s="29">
        <f>IF($A302="","",IF(N302&gt;0,H302/N302,"sem giro"))</f>
        <v>0</v>
      </c>
      <c r="P302" s="30">
        <f>IF($A302="","",SUMPRODUCT(MAX((MovCod=$A302)*(MovTipo="Saída")*MovData)))</f>
        <v>0</v>
      </c>
      <c r="Q302" s="31">
        <f>IF($A302="","",IF(H302&lt;=0,"RUPTURA",IF(AND(I302&gt;0,H302&lt;=I302),"REPOR",IF(AND(J302&lt;&gt;"",H302&gt;J302),"EXCESSO","OK"))))</f>
        <v>0</v>
      </c>
      <c r="R302" s="25">
        <f>IF($A302="","",IF(AND(H302&gt;0,OR(P302=0,Hoje-P302&gt;DiasParado)),"Parado",""))</f>
        <v>0</v>
      </c>
      <c r="S302" s="26">
        <f>IF($A302="","",IF(OR(Q302="RUPTURA",Q302="REPOR"),IF(J302="",0,MAX(0,J302-H302)),0))</f>
        <v>0</v>
      </c>
      <c r="T302" s="24">
        <f>IF($A302="","",M302*IF(N(Produtos!G302)&gt;0,Produtos!G302,K302))</f>
        <v>0</v>
      </c>
      <c r="U302" s="32">
        <f>IF($A302="","",IF(T302&gt;0,T302+ROW()/1000000000,""))</f>
        <v>0</v>
      </c>
      <c r="V302" s="31">
        <f>IF($A302="","",IF(U302="","C",INDEX('Curva ABC'!$H$5:$H$304,MATCH(U302,'Curva ABC'!$B$5:$B$304,0))))</f>
        <v>0</v>
      </c>
      <c r="W302" s="24">
        <f>IF($A302="","",IF(R302="Parado",L302,0))</f>
        <v>0</v>
      </c>
      <c r="X302" s="33">
        <f>IF($A302="","",IF(OR(Q302="RUPTURA",Q302="REPOR"),COUNTIF($Q$5:Q302,"RUPTURA")+COUNTIF($Q$5:Q302,"REPOR"),""))</f>
        <v>0</v>
      </c>
    </row>
    <row r="303" spans="1:24">
      <c r="A303" s="23">
        <f>IF(Produtos!A303="","",Produtos!A303)</f>
        <v>0</v>
      </c>
      <c r="B303" s="23">
        <f>IF($A303="","",Produtos!B303&amp;"")</f>
        <v>0</v>
      </c>
      <c r="C303" s="23">
        <f>IF($A303="","",Produtos!C303&amp;"")</f>
        <v>0</v>
      </c>
      <c r="D303" s="25">
        <f>IF($A303="","",Produtos!D303&amp;"")</f>
        <v>0</v>
      </c>
      <c r="E303" s="26">
        <f>IF($A303="","",N(Produtos!H303))</f>
        <v>0</v>
      </c>
      <c r="F303" s="26">
        <f>IF($A303="","",SUMIFS(MovQtd,MovCod,$A303,MovTipo,"Entrada"))</f>
        <v>0</v>
      </c>
      <c r="G303" s="26">
        <f>IF($A303="","",SUMIFS(MovQtd,MovCod,$A303,MovTipo,"Saída"))</f>
        <v>0</v>
      </c>
      <c r="H303" s="27">
        <f>IF($A303="","",E303+F303-G303)</f>
        <v>0</v>
      </c>
      <c r="I303" s="26">
        <f>IF($A303="","",N(Produtos!I303))</f>
        <v>0</v>
      </c>
      <c r="J303" s="26">
        <f>IF($A303="","",IF(I303&gt;0,ROUNDUP(I303*FatMax,0),""))</f>
        <v>0</v>
      </c>
      <c r="K303" s="24">
        <f>IF($A303="","",N(Produtos!F303))</f>
        <v>0</v>
      </c>
      <c r="L303" s="24">
        <f>IF($A303="","",H303*K303)</f>
        <v>0</v>
      </c>
      <c r="M303" s="26">
        <f>IF($A303="","",SUMIFS(MovQtd,MovCod,$A303,MovTipo,"Saída",MovData,"&gt;="&amp;(Hoje-DiasAn),MovData,"&lt;="&amp;Hoje))</f>
        <v>0</v>
      </c>
      <c r="N303" s="28">
        <f>IF($A303="","",M303/DiasAn)</f>
        <v>0</v>
      </c>
      <c r="O303" s="29">
        <f>IF($A303="","",IF(N303&gt;0,H303/N303,"sem giro"))</f>
        <v>0</v>
      </c>
      <c r="P303" s="30">
        <f>IF($A303="","",SUMPRODUCT(MAX((MovCod=$A303)*(MovTipo="Saída")*MovData)))</f>
        <v>0</v>
      </c>
      <c r="Q303" s="31">
        <f>IF($A303="","",IF(H303&lt;=0,"RUPTURA",IF(AND(I303&gt;0,H303&lt;=I303),"REPOR",IF(AND(J303&lt;&gt;"",H303&gt;J303),"EXCESSO","OK"))))</f>
        <v>0</v>
      </c>
      <c r="R303" s="25">
        <f>IF($A303="","",IF(AND(H303&gt;0,OR(P303=0,Hoje-P303&gt;DiasParado)),"Parado",""))</f>
        <v>0</v>
      </c>
      <c r="S303" s="26">
        <f>IF($A303="","",IF(OR(Q303="RUPTURA",Q303="REPOR"),IF(J303="",0,MAX(0,J303-H303)),0))</f>
        <v>0</v>
      </c>
      <c r="T303" s="24">
        <f>IF($A303="","",M303*IF(N(Produtos!G303)&gt;0,Produtos!G303,K303))</f>
        <v>0</v>
      </c>
      <c r="U303" s="32">
        <f>IF($A303="","",IF(T303&gt;0,T303+ROW()/1000000000,""))</f>
        <v>0</v>
      </c>
      <c r="V303" s="31">
        <f>IF($A303="","",IF(U303="","C",INDEX('Curva ABC'!$H$5:$H$304,MATCH(U303,'Curva ABC'!$B$5:$B$304,0))))</f>
        <v>0</v>
      </c>
      <c r="W303" s="24">
        <f>IF($A303="","",IF(R303="Parado",L303,0))</f>
        <v>0</v>
      </c>
      <c r="X303" s="33">
        <f>IF($A303="","",IF(OR(Q303="RUPTURA",Q303="REPOR"),COUNTIF($Q$5:Q303,"RUPTURA")+COUNTIF($Q$5:Q303,"REPOR"),""))</f>
        <v>0</v>
      </c>
    </row>
    <row r="304" spans="1:24">
      <c r="A304" s="23">
        <f>IF(Produtos!A304="","",Produtos!A304)</f>
        <v>0</v>
      </c>
      <c r="B304" s="23">
        <f>IF($A304="","",Produtos!B304&amp;"")</f>
        <v>0</v>
      </c>
      <c r="C304" s="23">
        <f>IF($A304="","",Produtos!C304&amp;"")</f>
        <v>0</v>
      </c>
      <c r="D304" s="25">
        <f>IF($A304="","",Produtos!D304&amp;"")</f>
        <v>0</v>
      </c>
      <c r="E304" s="26">
        <f>IF($A304="","",N(Produtos!H304))</f>
        <v>0</v>
      </c>
      <c r="F304" s="26">
        <f>IF($A304="","",SUMIFS(MovQtd,MovCod,$A304,MovTipo,"Entrada"))</f>
        <v>0</v>
      </c>
      <c r="G304" s="26">
        <f>IF($A304="","",SUMIFS(MovQtd,MovCod,$A304,MovTipo,"Saída"))</f>
        <v>0</v>
      </c>
      <c r="H304" s="27">
        <f>IF($A304="","",E304+F304-G304)</f>
        <v>0</v>
      </c>
      <c r="I304" s="26">
        <f>IF($A304="","",N(Produtos!I304))</f>
        <v>0</v>
      </c>
      <c r="J304" s="26">
        <f>IF($A304="","",IF(I304&gt;0,ROUNDUP(I304*FatMax,0),""))</f>
        <v>0</v>
      </c>
      <c r="K304" s="24">
        <f>IF($A304="","",N(Produtos!F304))</f>
        <v>0</v>
      </c>
      <c r="L304" s="24">
        <f>IF($A304="","",H304*K304)</f>
        <v>0</v>
      </c>
      <c r="M304" s="26">
        <f>IF($A304="","",SUMIFS(MovQtd,MovCod,$A304,MovTipo,"Saída",MovData,"&gt;="&amp;(Hoje-DiasAn),MovData,"&lt;="&amp;Hoje))</f>
        <v>0</v>
      </c>
      <c r="N304" s="28">
        <f>IF($A304="","",M304/DiasAn)</f>
        <v>0</v>
      </c>
      <c r="O304" s="29">
        <f>IF($A304="","",IF(N304&gt;0,H304/N304,"sem giro"))</f>
        <v>0</v>
      </c>
      <c r="P304" s="30">
        <f>IF($A304="","",SUMPRODUCT(MAX((MovCod=$A304)*(MovTipo="Saída")*MovData)))</f>
        <v>0</v>
      </c>
      <c r="Q304" s="31">
        <f>IF($A304="","",IF(H304&lt;=0,"RUPTURA",IF(AND(I304&gt;0,H304&lt;=I304),"REPOR",IF(AND(J304&lt;&gt;"",H304&gt;J304),"EXCESSO","OK"))))</f>
        <v>0</v>
      </c>
      <c r="R304" s="25">
        <f>IF($A304="","",IF(AND(H304&gt;0,OR(P304=0,Hoje-P304&gt;DiasParado)),"Parado",""))</f>
        <v>0</v>
      </c>
      <c r="S304" s="26">
        <f>IF($A304="","",IF(OR(Q304="RUPTURA",Q304="REPOR"),IF(J304="",0,MAX(0,J304-H304)),0))</f>
        <v>0</v>
      </c>
      <c r="T304" s="24">
        <f>IF($A304="","",M304*IF(N(Produtos!G304)&gt;0,Produtos!G304,K304))</f>
        <v>0</v>
      </c>
      <c r="U304" s="32">
        <f>IF($A304="","",IF(T304&gt;0,T304+ROW()/1000000000,""))</f>
        <v>0</v>
      </c>
      <c r="V304" s="31">
        <f>IF($A304="","",IF(U304="","C",INDEX('Curva ABC'!$H$5:$H$304,MATCH(U304,'Curva ABC'!$B$5:$B$304,0))))</f>
        <v>0</v>
      </c>
      <c r="W304" s="24">
        <f>IF($A304="","",IF(R304="Parado",L304,0))</f>
        <v>0</v>
      </c>
      <c r="X304" s="33">
        <f>IF($A304="","",IF(OR(Q304="RUPTURA",Q304="REPOR"),COUNTIF($Q$5:Q304,"RUPTURA")+COUNTIF($Q$5:Q304,"REPOR"),""))</f>
        <v>0</v>
      </c>
    </row>
  </sheetData>
  <autoFilter ref="A4:X304"/>
  <mergeCells count="2">
    <mergeCell ref="A1:X1"/>
    <mergeCell ref="A2:X2"/>
  </mergeCells>
  <conditionalFormatting sqref="Q5:Q304">
    <cfRule type="cellIs" dxfId="3" priority="1" operator="equal">
      <formula>"RUPTURA"</formula>
    </cfRule>
    <cfRule type="cellIs" dxfId="4" priority="2" operator="equal">
      <formula>"REPOR"</formula>
    </cfRule>
    <cfRule type="cellIs" dxfId="5" priority="3" operator="equal">
      <formula>"EXCESSO"</formula>
    </cfRule>
    <cfRule type="cellIs" dxfId="6" priority="4" operator="equal">
      <formula>"OK"</formula>
    </cfRule>
  </conditionalFormatting>
  <conditionalFormatting sqref="R5:R304">
    <cfRule type="cellIs" dxfId="7" priority="5" operator="equal">
      <formula>"Parado"</formula>
    </cfRule>
  </conditionalFormatting>
  <conditionalFormatting sqref="V5:V304">
    <cfRule type="cellIs" dxfId="8" priority="6" operator="equal">
      <formula>"A"</formula>
    </cfRule>
  </conditionalFormatting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N3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0" hidden="1" customWidth="1"/>
    <col min="3" max="3" width="9.7109375" customWidth="1"/>
    <col min="4" max="4" width="38.7109375" customWidth="1"/>
    <col min="5" max="5" width="16.7109375" customWidth="1"/>
    <col min="6" max="6" width="10.7109375" customWidth="1"/>
    <col min="7" max="7" width="12.7109375" customWidth="1"/>
    <col min="8" max="8" width="8.7109375" customWidth="1"/>
    <col min="10" max="13" width="14.7109375" customWidth="1"/>
  </cols>
  <sheetData>
    <row r="1" spans="1:14" ht="36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402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3" t="s">
        <v>45</v>
      </c>
    </row>
    <row r="4" spans="1:14" ht="30" customHeight="1">
      <c r="A4" s="11" t="s">
        <v>403</v>
      </c>
      <c r="B4" s="11" t="s">
        <v>404</v>
      </c>
      <c r="C4" s="11" t="s">
        <v>79</v>
      </c>
      <c r="D4" s="11" t="s">
        <v>80</v>
      </c>
      <c r="E4" s="11" t="s">
        <v>405</v>
      </c>
      <c r="F4" s="11" t="s">
        <v>406</v>
      </c>
      <c r="G4" s="11" t="s">
        <v>407</v>
      </c>
      <c r="H4" s="11" t="s">
        <v>408</v>
      </c>
      <c r="J4" s="11" t="s">
        <v>409</v>
      </c>
      <c r="K4" s="11"/>
      <c r="L4" s="11"/>
      <c r="M4" s="11"/>
    </row>
    <row r="5" spans="1:14">
      <c r="A5" s="34">
        <v>1</v>
      </c>
      <c r="B5" s="23">
        <f>IFERROR(LARGE(Posição!$U$5:$U$304,A5),"")</f>
        <v>19707.100000007</v>
      </c>
      <c r="C5" s="25" t="str">
        <f>IF(B5="","",INDEX(Posição!$A$5:$A$304,MATCH(B5,Posição!$U$5:$U$304,0)))</f>
        <v>E003</v>
      </c>
      <c r="D5" s="23" t="str">
        <f>IF(B5="","",INDEX(Posição!$B$5:$B$304,MATCH(B5,Posição!$U$5:$U$304,0)))</f>
        <v>Papel A4 75g (resma)</v>
      </c>
      <c r="E5" s="24">
        <f>IF(B5="","",ROUND(B5,2))</f>
        <v>19707.1</v>
      </c>
      <c r="F5" s="35">
        <f>IF(E5="","",E5/SUM($E$5:$E$304))</f>
        <v>0.304453617676048</v>
      </c>
      <c r="G5" s="35">
        <f>IF(F5="","",SUM($F$5:F5))</f>
        <v>0.304453617676048</v>
      </c>
      <c r="H5" s="31" t="str">
        <f>IF(F5="","",IF(G5-F5&lt;CorteA,"A",IF(G5-F5&lt;CorteB,"B","C")))</f>
        <v>A</v>
      </c>
      <c r="J5" s="36" t="s">
        <v>408</v>
      </c>
      <c r="K5" s="36" t="s">
        <v>410</v>
      </c>
      <c r="L5" s="36" t="s">
        <v>411</v>
      </c>
      <c r="M5" s="36" t="s">
        <v>412</v>
      </c>
    </row>
    <row r="6" spans="1:14">
      <c r="A6" s="34">
        <v>2</v>
      </c>
      <c r="B6" s="23">
        <f>IFERROR(LARGE(Posição!$U$5:$U$304,A6),"")</f>
        <v>8994.800000005</v>
      </c>
      <c r="C6" s="25" t="str">
        <f>IF(B6="","",INDEX(Posição!$A$5:$A$304,MATCH(B6,Posição!$U$5:$U$304,0)))</f>
        <v>E001</v>
      </c>
      <c r="D6" s="23" t="str">
        <f>IF(B6="","",INDEX(Posição!$B$5:$B$304,MATCH(B6,Posição!$U$5:$U$304,0)))</f>
        <v>Caderno universitário 10 matérias</v>
      </c>
      <c r="E6" s="24">
        <f>IF(B6="","",ROUND(B6,2))</f>
        <v>8994.8</v>
      </c>
      <c r="F6" s="35">
        <f>IF(E6="","",E6/SUM($E$5:$E$304))</f>
        <v>0.138960039796445</v>
      </c>
      <c r="G6" s="35">
        <f>IF(F6="","",SUM($F$5:F6))</f>
        <v>0.443413657472493</v>
      </c>
      <c r="H6" s="31" t="str">
        <f>IF(F6="","",IF(G6-F6&lt;CorteA,"A",IF(G6-F6&lt;CorteB,"B","C")))</f>
        <v>A</v>
      </c>
      <c r="J6" s="37" t="s">
        <v>413</v>
      </c>
      <c r="K6" s="26">
        <f>COUNTIF($H$5:$H$304,J6)</f>
        <v>10</v>
      </c>
      <c r="L6" s="35">
        <f>IFERROR(K6/COUNT($E$5:$E$304),0)</f>
        <v>0.27027027027027</v>
      </c>
      <c r="M6" s="35">
        <f>IFERROR(SUMIF($H$5:$H$304,J6,$E$5:$E$304)/SUM($E$5:$E$304),0)</f>
        <v>0.800583660593177</v>
      </c>
    </row>
    <row r="7" spans="1:14">
      <c r="A7" s="34">
        <v>3</v>
      </c>
      <c r="B7" s="23">
        <f>IFERROR(LARGE(Posição!$U$5:$U$304,A7),"")</f>
        <v>7092.900000013</v>
      </c>
      <c r="C7" s="25" t="str">
        <f>IF(B7="","",INDEX(Posição!$A$5:$A$304,MATCH(B7,Posição!$U$5:$U$304,0)))</f>
        <v>E009</v>
      </c>
      <c r="D7" s="23" t="str">
        <f>IF(B7="","",INDEX(Posição!$B$5:$B$304,MATCH(B7,Posição!$U$5:$U$304,0)))</f>
        <v>Mochila escolar 20L</v>
      </c>
      <c r="E7" s="24">
        <f>IF(B7="","",ROUND(B7,2))</f>
        <v>7092.9</v>
      </c>
      <c r="F7" s="35">
        <f>IF(E7="","",E7/SUM($E$5:$E$304))</f>
        <v>0.109577718934518</v>
      </c>
      <c r="G7" s="35">
        <f>IF(F7="","",SUM($F$5:F7))</f>
        <v>0.552991376407011</v>
      </c>
      <c r="H7" s="31" t="str">
        <f>IF(F7="","",IF(G7-F7&lt;CorteA,"A",IF(G7-F7&lt;CorteB,"B","C")))</f>
        <v>A</v>
      </c>
      <c r="J7" s="37" t="s">
        <v>414</v>
      </c>
      <c r="K7" s="26">
        <f>COUNTIF($H$5:$H$304,J7)</f>
        <v>18</v>
      </c>
      <c r="L7" s="35">
        <f>IFERROR(K7/COUNT($E$5:$E$304),0)</f>
        <v>0.486486486486487</v>
      </c>
      <c r="M7" s="35">
        <f>IFERROR(SUMIF($H$5:$H$304,J7,$E$5:$E$304)/SUM($E$5:$E$304),0)</f>
        <v>0.154833815854928</v>
      </c>
    </row>
    <row r="8" spans="1:14">
      <c r="A8" s="34">
        <v>4</v>
      </c>
      <c r="B8" s="23">
        <f>IFERROR(LARGE(Posição!$U$5:$U$304,A8),"")</f>
        <v>5657.400000006</v>
      </c>
      <c r="C8" s="25" t="str">
        <f>IF(B8="","",INDEX(Posição!$A$5:$A$304,MATCH(B8,Posição!$U$5:$U$304,0)))</f>
        <v>E002</v>
      </c>
      <c r="D8" s="23" t="str">
        <f>IF(B8="","",INDEX(Posição!$B$5:$B$304,MATCH(B8,Posição!$U$5:$U$304,0)))</f>
        <v>Caneta esferográfica azul (cx 50)</v>
      </c>
      <c r="E8" s="24">
        <f>IF(B8="","",ROUND(B8,2))</f>
        <v>5657.4</v>
      </c>
      <c r="F8" s="35">
        <f>IF(E8="","",E8/SUM($E$5:$E$304))</f>
        <v>0.0874007792440529</v>
      </c>
      <c r="G8" s="35">
        <f>IF(F8="","",SUM($F$5:F8))</f>
        <v>0.640392155651064</v>
      </c>
      <c r="H8" s="31" t="str">
        <f>IF(F8="","",IF(G8-F8&lt;CorteA,"A",IF(G8-F8&lt;CorteB,"B","C")))</f>
        <v>A</v>
      </c>
      <c r="J8" s="37" t="s">
        <v>415</v>
      </c>
      <c r="K8" s="26">
        <f>COUNTIF($H$5:$H$304,J8)</f>
        <v>9</v>
      </c>
      <c r="L8" s="35">
        <f>IFERROR(K8/COUNT($E$5:$E$304),0)</f>
        <v>0.243243243243243</v>
      </c>
      <c r="M8" s="35">
        <f>IFERROR(SUMIF($H$5:$H$304,J8,$E$5:$E$304)/SUM($E$5:$E$304),0)</f>
        <v>0.0445825235518945</v>
      </c>
    </row>
    <row r="9" spans="1:14">
      <c r="A9" s="34">
        <v>5</v>
      </c>
      <c r="B9" s="23">
        <f>IFERROR(LARGE(Posição!$U$5:$U$304,A9),"")</f>
        <v>4534.900000011</v>
      </c>
      <c r="C9" s="25" t="str">
        <f>IF(B9="","",INDEX(Posição!$A$5:$A$304,MATCH(B9,Posição!$U$5:$U$304,0)))</f>
        <v>E007</v>
      </c>
      <c r="D9" s="23" t="str">
        <f>IF(B9="","",INDEX(Posição!$B$5:$B$304,MATCH(B9,Posição!$U$5:$U$304,0)))</f>
        <v>Pen drive 32GB</v>
      </c>
      <c r="E9" s="24">
        <f>IF(B9="","",ROUND(B9,2))</f>
        <v>4534.9</v>
      </c>
      <c r="F9" s="35">
        <f>IF(E9="","",E9/SUM($E$5:$E$304))</f>
        <v>0.0700593547908678</v>
      </c>
      <c r="G9" s="35">
        <f>IF(F9="","",SUM($F$5:F9))</f>
        <v>0.710451510441932</v>
      </c>
      <c r="H9" s="31" t="str">
        <f>IF(F9="","",IF(G9-F9&lt;CorteA,"A",IF(G9-F9&lt;CorteB,"B","C")))</f>
        <v>A</v>
      </c>
    </row>
    <row r="10" spans="1:14">
      <c r="A10" s="34">
        <v>6</v>
      </c>
      <c r="B10" s="23">
        <f>IFERROR(LARGE(Posição!$U$5:$U$304,A10),"")</f>
        <v>2447.700000012</v>
      </c>
      <c r="C10" s="25" t="str">
        <f>IF(B10="","",INDEX(Posição!$A$5:$A$304,MATCH(B10,Posição!$U$5:$U$304,0)))</f>
        <v>E008</v>
      </c>
      <c r="D10" s="23" t="str">
        <f>IF(B10="","",INDEX(Posição!$B$5:$B$304,MATCH(B10,Posição!$U$5:$U$304,0)))</f>
        <v>Cabo USB-C 1m</v>
      </c>
      <c r="E10" s="24">
        <f>IF(B10="","",ROUND(B10,2))</f>
        <v>2447.7</v>
      </c>
      <c r="F10" s="35">
        <f>IF(E10="","",E10/SUM($E$5:$E$304))</f>
        <v>0.0378143471127494</v>
      </c>
      <c r="G10" s="35">
        <f>IF(F10="","",SUM($F$5:F10))</f>
        <v>0.748265857554681</v>
      </c>
      <c r="H10" s="31" t="str">
        <f>IF(F10="","",IF(G10-F10&lt;CorteA,"A",IF(G10-F10&lt;CorteB,"B","C")))</f>
        <v>A</v>
      </c>
      <c r="J10" s="12" t="s">
        <v>416</v>
      </c>
      <c r="K10" s="12"/>
      <c r="L10" s="12"/>
      <c r="M10" s="12"/>
    </row>
    <row r="11" spans="1:14">
      <c r="A11" s="34">
        <v>7</v>
      </c>
      <c r="B11" s="23">
        <f>IFERROR(LARGE(Posição!$U$5:$U$304,A11),"")</f>
        <v>1079.100000034</v>
      </c>
      <c r="C11" s="25" t="str">
        <f>IF(B11="","",INDEX(Posição!$A$5:$A$304,MATCH(B11,Posição!$U$5:$U$304,0)))</f>
        <v>E030</v>
      </c>
      <c r="D11" s="23" t="str">
        <f>IF(B11="","",INDEX(Posição!$B$5:$B$304,MATCH(B11,Posição!$U$5:$U$304,0)))</f>
        <v>Toner genérico preto</v>
      </c>
      <c r="E11" s="24">
        <f>IF(B11="","",ROUND(B11,2))</f>
        <v>1079.1</v>
      </c>
      <c r="F11" s="35">
        <f>IF(E11="","",E11/SUM($E$5:$E$304))</f>
        <v>0.0166709408707635</v>
      </c>
      <c r="G11" s="35">
        <f>IF(F11="","",SUM($F$5:F11))</f>
        <v>0.764936798425445</v>
      </c>
      <c r="H11" s="31" t="str">
        <f>IF(F11="","",IF(G11-F11&lt;CorteA,"A",IF(G11-F11&lt;CorteB,"B","C")))</f>
        <v>A</v>
      </c>
      <c r="J11" s="12"/>
      <c r="K11" s="12"/>
      <c r="L11" s="12"/>
      <c r="M11" s="12"/>
    </row>
    <row r="12" spans="1:14">
      <c r="A12" s="34">
        <v>8</v>
      </c>
      <c r="B12" s="23">
        <f>IFERROR(LARGE(Posição!$U$5:$U$304,A12),"")</f>
        <v>786.900000025</v>
      </c>
      <c r="C12" s="25" t="str">
        <f>IF(B12="","",INDEX(Posição!$A$5:$A$304,MATCH(B12,Posição!$U$5:$U$304,0)))</f>
        <v>E021</v>
      </c>
      <c r="D12" s="23" t="str">
        <f>IF(B12="","",INDEX(Posição!$B$5:$B$304,MATCH(B12,Posição!$U$5:$U$304,0)))</f>
        <v>Caneca branca para sublimação</v>
      </c>
      <c r="E12" s="24">
        <f>IF(B12="","",ROUND(B12,2))</f>
        <v>786.9</v>
      </c>
      <c r="F12" s="35">
        <f>IF(E12="","",E12/SUM($E$5:$E$304))</f>
        <v>0.0121567633872707</v>
      </c>
      <c r="G12" s="35">
        <f>IF(F12="","",SUM($F$5:F12))</f>
        <v>0.777093561812716</v>
      </c>
      <c r="H12" s="31" t="str">
        <f>IF(F12="","",IF(G12-F12&lt;CorteA,"A",IF(G12-F12&lt;CorteB,"B","C")))</f>
        <v>A</v>
      </c>
      <c r="J12" s="12"/>
      <c r="K12" s="12"/>
      <c r="L12" s="12"/>
      <c r="M12" s="12"/>
    </row>
    <row r="13" spans="1:14">
      <c r="A13" s="34">
        <v>9</v>
      </c>
      <c r="B13" s="23">
        <f>IFERROR(LARGE(Posição!$U$5:$U$304,A13),"")</f>
        <v>773.500000023</v>
      </c>
      <c r="C13" s="25" t="str">
        <f>IF(B13="","",INDEX(Posição!$A$5:$A$304,MATCH(B13,Posição!$U$5:$U$304,0)))</f>
        <v>E019</v>
      </c>
      <c r="D13" s="23" t="str">
        <f>IF(B13="","",INDEX(Posição!$B$5:$B$304,MATCH(B13,Posição!$U$5:$U$304,0)))</f>
        <v>Papel toalha (pct 2)</v>
      </c>
      <c r="E13" s="24">
        <f>IF(B13="","",ROUND(B13,2))</f>
        <v>773.5</v>
      </c>
      <c r="F13" s="35">
        <f>IF(E13="","",E13/SUM($E$5:$E$304))</f>
        <v>0.0119497477189654</v>
      </c>
      <c r="G13" s="35">
        <f>IF(F13="","",SUM($F$5:F13))</f>
        <v>0.789043309531681</v>
      </c>
      <c r="H13" s="31" t="str">
        <f>IF(F13="","",IF(G13-F13&lt;CorteA,"A",IF(G13-F13&lt;CorteB,"B","C")))</f>
        <v>A</v>
      </c>
      <c r="J13" s="12"/>
      <c r="K13" s="12"/>
      <c r="L13" s="12"/>
      <c r="M13" s="12"/>
    </row>
    <row r="14" spans="1:14">
      <c r="A14" s="34">
        <v>10</v>
      </c>
      <c r="B14" s="23">
        <f>IFERROR(LARGE(Posição!$U$5:$U$304,A14),"")</f>
        <v>747.000000018</v>
      </c>
      <c r="C14" s="25" t="str">
        <f>IF(B14="","",INDEX(Posição!$A$5:$A$304,MATCH(B14,Posição!$U$5:$U$304,0)))</f>
        <v>E014</v>
      </c>
      <c r="D14" s="23" t="str">
        <f>IF(B14="","",INDEX(Posição!$B$5:$B$304,MATCH(B14,Posição!$U$5:$U$304,0)))</f>
        <v>Fita adesiva transparente</v>
      </c>
      <c r="E14" s="24">
        <f>IF(B14="","",ROUND(B14,2))</f>
        <v>747</v>
      </c>
      <c r="F14" s="35">
        <f>IF(E14="","",E14/SUM($E$5:$E$304))</f>
        <v>0.011540351061496</v>
      </c>
      <c r="G14" s="35">
        <f>IF(F14="","",SUM($F$5:F14))</f>
        <v>0.800583660593177</v>
      </c>
      <c r="H14" s="31" t="str">
        <f>IF(F14="","",IF(G14-F14&lt;CorteA,"A",IF(G14-F14&lt;CorteB,"B","C")))</f>
        <v>A</v>
      </c>
    </row>
    <row r="15" spans="1:14">
      <c r="A15" s="34">
        <v>11</v>
      </c>
      <c r="B15" s="23">
        <f>IFERROR(LARGE(Posição!$U$5:$U$304,A15),"")</f>
        <v>718.80000002</v>
      </c>
      <c r="C15" s="25" t="str">
        <f>IF(B15="","",INDEX(Posição!$A$5:$A$304,MATCH(B15,Posição!$U$5:$U$304,0)))</f>
        <v>E016</v>
      </c>
      <c r="D15" s="23" t="str">
        <f>IF(B15="","",INDEX(Posição!$B$5:$B$304,MATCH(B15,Posição!$U$5:$U$304,0)))</f>
        <v>Plástico bolha (rolo 50m)</v>
      </c>
      <c r="E15" s="24">
        <f>IF(B15="","",ROUND(B15,2))</f>
        <v>718.8</v>
      </c>
      <c r="F15" s="35">
        <f>IF(E15="","",E15/SUM($E$5:$E$304))</f>
        <v>0.0111046912222267</v>
      </c>
      <c r="G15" s="35">
        <f>IF(F15="","",SUM($F$5:F15))</f>
        <v>0.811688351815404</v>
      </c>
      <c r="H15" s="31" t="str">
        <f>IF(F15="","",IF(G15-F15&lt;CorteA,"A",IF(G15-F15&lt;CorteB,"B","C")))</f>
        <v>B</v>
      </c>
    </row>
    <row r="16" spans="1:14">
      <c r="A16" s="34">
        <v>12</v>
      </c>
      <c r="B16" s="23">
        <f>IFERROR(LARGE(Posição!$U$5:$U$304,A16),"")</f>
        <v>718.400000031</v>
      </c>
      <c r="C16" s="25" t="str">
        <f>IF(B16="","",INDEX(Posição!$A$5:$A$304,MATCH(B16,Posição!$U$5:$U$304,0)))</f>
        <v>E027</v>
      </c>
      <c r="D16" s="23" t="str">
        <f>IF(B16="","",INDEX(Posição!$B$5:$B$304,MATCH(B16,Posição!$U$5:$U$304,0)))</f>
        <v>Fichário argolado</v>
      </c>
      <c r="E16" s="24">
        <f>IF(B16="","",ROUND(B16,2))</f>
        <v>718.4</v>
      </c>
      <c r="F16" s="35">
        <f>IF(E16="","",E16/SUM($E$5:$E$304))</f>
        <v>0.0110985116500385</v>
      </c>
      <c r="G16" s="35">
        <f>IF(F16="","",SUM($F$5:F16))</f>
        <v>0.822786863465442</v>
      </c>
      <c r="H16" s="31" t="str">
        <f>IF(F16="","",IF(G16-F16&lt;CorteA,"A",IF(G16-F16&lt;CorteB,"B","C")))</f>
        <v>B</v>
      </c>
    </row>
    <row r="17" spans="1:8">
      <c r="A17" s="34">
        <v>13</v>
      </c>
      <c r="B17" s="23">
        <f>IFERROR(LARGE(Posição!$U$5:$U$304,A17),"")</f>
        <v>670.600000021</v>
      </c>
      <c r="C17" s="25" t="str">
        <f>IF(B17="","",INDEX(Posição!$A$5:$A$304,MATCH(B17,Posição!$U$5:$U$304,0)))</f>
        <v>E017</v>
      </c>
      <c r="D17" s="23" t="str">
        <f>IF(B17="","",INDEX(Posição!$B$5:$B$304,MATCH(B17,Posição!$U$5:$U$304,0)))</f>
        <v>Sacola kraft G (pct 50)</v>
      </c>
      <c r="E17" s="24">
        <f>IF(B17="","",ROUND(B17,2))</f>
        <v>670.6</v>
      </c>
      <c r="F17" s="35">
        <f>IF(E17="","",E17/SUM($E$5:$E$304))</f>
        <v>0.0103600527735465</v>
      </c>
      <c r="G17" s="35">
        <f>IF(F17="","",SUM($F$5:F17))</f>
        <v>0.833146916238989</v>
      </c>
      <c r="H17" s="31" t="str">
        <f>IF(F17="","",IF(G17-F17&lt;CorteA,"A",IF(G17-F17&lt;CorteB,"B","C")))</f>
        <v>B</v>
      </c>
    </row>
    <row r="18" spans="1:8">
      <c r="A18" s="34">
        <v>14</v>
      </c>
      <c r="B18" s="23">
        <f>IFERROR(LARGE(Posição!$U$5:$U$304,A18),"")</f>
        <v>658.800000008</v>
      </c>
      <c r="C18" s="25" t="str">
        <f>IF(B18="","",INDEX(Posição!$A$5:$A$304,MATCH(B18,Posição!$U$5:$U$304,0)))</f>
        <v>E004</v>
      </c>
      <c r="D18" s="23" t="str">
        <f>IF(B18="","",INDEX(Posição!$B$5:$B$304,MATCH(B18,Posição!$U$5:$U$304,0)))</f>
        <v>Pasta suspensa (pct 25)</v>
      </c>
      <c r="E18" s="24">
        <f>IF(B18="","",ROUND(B18,2))</f>
        <v>658.8</v>
      </c>
      <c r="F18" s="35">
        <f>IF(E18="","",E18/SUM($E$5:$E$304))</f>
        <v>0.0101777553939941</v>
      </c>
      <c r="G18" s="35">
        <f>IF(F18="","",SUM($F$5:F18))</f>
        <v>0.843324671632983</v>
      </c>
      <c r="H18" s="31" t="str">
        <f>IF(F18="","",IF(G18-F18&lt;CorteA,"A",IF(G18-F18&lt;CorteB,"B","C")))</f>
        <v>B</v>
      </c>
    </row>
    <row r="19" spans="1:8">
      <c r="A19" s="34">
        <v>15</v>
      </c>
      <c r="B19" s="23">
        <f>IFERROR(LARGE(Posição!$U$5:$U$304,A19),"")</f>
        <v>635.100000014</v>
      </c>
      <c r="C19" s="25" t="str">
        <f>IF(B19="","",INDEX(Posição!$A$5:$A$304,MATCH(B19,Posição!$U$5:$U$304,0)))</f>
        <v>E010</v>
      </c>
      <c r="D19" s="23" t="str">
        <f>IF(B19="","",INDEX(Posição!$B$5:$B$304,MATCH(B19,Posição!$U$5:$U$304,0)))</f>
        <v>Estojo duplo</v>
      </c>
      <c r="E19" s="24">
        <f>IF(B19="","",ROUND(B19,2))</f>
        <v>635.1</v>
      </c>
      <c r="F19" s="35">
        <f>IF(E19="","",E19/SUM($E$5:$E$304))</f>
        <v>0.00981161574184219</v>
      </c>
      <c r="G19" s="35">
        <f>IF(F19="","",SUM($F$5:F19))</f>
        <v>0.853136287374825</v>
      </c>
      <c r="H19" s="31" t="str">
        <f>IF(F19="","",IF(G19-F19&lt;CorteA,"A",IF(G19-F19&lt;CorteB,"B","C")))</f>
        <v>B</v>
      </c>
    </row>
    <row r="20" spans="1:8">
      <c r="A20" s="34">
        <v>16</v>
      </c>
      <c r="B20" s="23">
        <f>IFERROR(LARGE(Posição!$U$5:$U$304,A20),"")</f>
        <v>622.50000001</v>
      </c>
      <c r="C20" s="25" t="str">
        <f>IF(B20="","",INDEX(Posição!$A$5:$A$304,MATCH(B20,Posição!$U$5:$U$304,0)))</f>
        <v>E006</v>
      </c>
      <c r="D20" s="23" t="str">
        <f>IF(B20="","",INDEX(Posição!$B$5:$B$304,MATCH(B20,Posição!$U$5:$U$304,0)))</f>
        <v>Mouse óptico USB</v>
      </c>
      <c r="E20" s="24">
        <f>IF(B20="","",ROUND(B20,2))</f>
        <v>622.5</v>
      </c>
      <c r="F20" s="35">
        <f>IF(E20="","",E20/SUM($E$5:$E$304))</f>
        <v>0.00961695921791334</v>
      </c>
      <c r="G20" s="35">
        <f>IF(F20="","",SUM($F$5:F20))</f>
        <v>0.862753246592738</v>
      </c>
      <c r="H20" s="31" t="str">
        <f>IF(F20="","",IF(G20-F20&lt;CorteA,"A",IF(G20-F20&lt;CorteB,"B","C")))</f>
        <v>B</v>
      </c>
    </row>
    <row r="21" spans="1:8">
      <c r="A21" s="34">
        <v>17</v>
      </c>
      <c r="B21" s="23">
        <f>IFERROR(LARGE(Posição!$U$5:$U$304,A21),"")</f>
        <v>600.600000042</v>
      </c>
      <c r="C21" s="25" t="str">
        <f>IF(B21="","",INDEX(Posição!$A$5:$A$304,MATCH(B21,Posição!$U$5:$U$304,0)))</f>
        <v>E038</v>
      </c>
      <c r="D21" s="23" t="str">
        <f>IF(B21="","",INDEX(Posição!$B$5:$B$304,MATCH(B21,Posição!$U$5:$U$304,0)))</f>
        <v>Caixa organizadora</v>
      </c>
      <c r="E21" s="24">
        <f>IF(B21="","",ROUND(B21,2))</f>
        <v>600.6</v>
      </c>
      <c r="F21" s="35">
        <f>IF(E21="","",E21/SUM($E$5:$E$304))</f>
        <v>0.00927862764060844</v>
      </c>
      <c r="G21" s="35">
        <f>IF(F21="","",SUM($F$5:F21))</f>
        <v>0.872031874233347</v>
      </c>
      <c r="H21" s="31" t="str">
        <f>IF(F21="","",IF(G21-F21&lt;CorteA,"A",IF(G21-F21&lt;CorteB,"B","C")))</f>
        <v>B</v>
      </c>
    </row>
    <row r="22" spans="1:8">
      <c r="A22" s="34">
        <v>18</v>
      </c>
      <c r="B22" s="23">
        <f>IFERROR(LARGE(Posição!$U$5:$U$304,A22),"")</f>
        <v>597.600000026</v>
      </c>
      <c r="C22" s="25" t="str">
        <f>IF(B22="","",INDEX(Posição!$A$5:$A$304,MATCH(B22,Posição!$U$5:$U$304,0)))</f>
        <v>E022</v>
      </c>
      <c r="D22" s="23" t="str">
        <f>IF(B22="","",INDEX(Posição!$B$5:$B$304,MATCH(B22,Posição!$U$5:$U$304,0)))</f>
        <v>Garrafa squeeze 600ml</v>
      </c>
      <c r="E22" s="24">
        <f>IF(B22="","",ROUND(B22,2))</f>
        <v>597.6</v>
      </c>
      <c r="F22" s="35">
        <f>IF(E22="","",E22/SUM($E$5:$E$304))</f>
        <v>0.00923228084919681</v>
      </c>
      <c r="G22" s="35">
        <f>IF(F22="","",SUM($F$5:F22))</f>
        <v>0.881264155082544</v>
      </c>
      <c r="H22" s="31" t="str">
        <f>IF(F22="","",IF(G22-F22&lt;CorteA,"A",IF(G22-F22&lt;CorteB,"B","C")))</f>
        <v>B</v>
      </c>
    </row>
    <row r="23" spans="1:8">
      <c r="A23" s="34">
        <v>19</v>
      </c>
      <c r="B23" s="23">
        <f>IFERROR(LARGE(Posição!$U$5:$U$304,A23),"")</f>
        <v>573.300000016</v>
      </c>
      <c r="C23" s="25" t="str">
        <f>IF(B23="","",INDEX(Posição!$A$5:$A$304,MATCH(B23,Posição!$U$5:$U$304,0)))</f>
        <v>E012</v>
      </c>
      <c r="D23" s="23" t="str">
        <f>IF(B23="","",INDEX(Posição!$B$5:$B$304,MATCH(B23,Posição!$U$5:$U$304,0)))</f>
        <v>Cola branca 90g</v>
      </c>
      <c r="E23" s="24">
        <f>IF(B23="","",ROUND(B23,2))</f>
        <v>573.3</v>
      </c>
      <c r="F23" s="35">
        <f>IF(E23="","",E23/SUM($E$5:$E$304))</f>
        <v>0.0088568718387626</v>
      </c>
      <c r="G23" s="35">
        <f>IF(F23="","",SUM($F$5:F23))</f>
        <v>0.890121026921306</v>
      </c>
      <c r="H23" s="31" t="str">
        <f>IF(F23="","",IF(G23-F23&lt;CorteA,"A",IF(G23-F23&lt;CorteB,"B","C")))</f>
        <v>B</v>
      </c>
    </row>
    <row r="24" spans="1:8">
      <c r="A24" s="34">
        <v>20</v>
      </c>
      <c r="B24" s="23">
        <f>IFERROR(LARGE(Posição!$U$5:$U$304,A24),"")</f>
        <v>518.70000004</v>
      </c>
      <c r="C24" s="25" t="str">
        <f>IF(B24="","",INDEX(Posição!$A$5:$A$304,MATCH(B24,Posição!$U$5:$U$304,0)))</f>
        <v>E036</v>
      </c>
      <c r="D24" s="23" t="str">
        <f>IF(B24="","",INDEX(Posição!$B$5:$B$304,MATCH(B24,Posição!$U$5:$U$304,0)))</f>
        <v>Luva descartável (cx 100)</v>
      </c>
      <c r="E24" s="24">
        <f>IF(B24="","",ROUND(B24,2))</f>
        <v>518.7</v>
      </c>
      <c r="F24" s="35">
        <f>IF(E24="","",E24/SUM($E$5:$E$304))</f>
        <v>0.00801336023507093</v>
      </c>
      <c r="G24" s="35">
        <f>IF(F24="","",SUM($F$5:F24))</f>
        <v>0.898134387156377</v>
      </c>
      <c r="H24" s="31" t="str">
        <f>IF(F24="","",IF(G24-F24&lt;CorteA,"A",IF(G24-F24&lt;CorteB,"B","C")))</f>
        <v>B</v>
      </c>
    </row>
    <row r="25" spans="1:8">
      <c r="A25" s="34">
        <v>21</v>
      </c>
      <c r="B25" s="23">
        <f>IFERROR(LARGE(Posição!$U$5:$U$304,A25),"")</f>
        <v>518.70000003</v>
      </c>
      <c r="C25" s="25" t="str">
        <f>IF(B25="","",INDEX(Posição!$A$5:$A$304,MATCH(B25,Posição!$U$5:$U$304,0)))</f>
        <v>E026</v>
      </c>
      <c r="D25" s="23" t="str">
        <f>IF(B25="","",INDEX(Posição!$B$5:$B$304,MATCH(B25,Posição!$U$5:$U$304,0)))</f>
        <v>Calculadora de mesa</v>
      </c>
      <c r="E25" s="24">
        <f>IF(B25="","",ROUND(B25,2))</f>
        <v>518.7</v>
      </c>
      <c r="F25" s="35">
        <f>IF(E25="","",E25/SUM($E$5:$E$304))</f>
        <v>0.00801336023507093</v>
      </c>
      <c r="G25" s="35">
        <f>IF(F25="","",SUM($F$5:F25))</f>
        <v>0.906147747391448</v>
      </c>
      <c r="H25" s="31" t="str">
        <f>IF(F25="","",IF(G25-F25&lt;CorteA,"A",IF(G25-F25&lt;CorteB,"B","C")))</f>
        <v>B</v>
      </c>
    </row>
    <row r="26" spans="1:8">
      <c r="A26" s="34">
        <v>22</v>
      </c>
      <c r="B26" s="23">
        <f>IFERROR(LARGE(Posição!$U$5:$U$304,A26),"")</f>
        <v>505.600000017</v>
      </c>
      <c r="C26" s="25" t="str">
        <f>IF(B26="","",INDEX(Posição!$A$5:$A$304,MATCH(B26,Posição!$U$5:$U$304,0)))</f>
        <v>E013</v>
      </c>
      <c r="D26" s="23" t="str">
        <f>IF(B26="","",INDEX(Posição!$B$5:$B$304,MATCH(B26,Posição!$U$5:$U$304,0)))</f>
        <v>Tesoura escolar</v>
      </c>
      <c r="E26" s="24">
        <f>IF(B26="","",ROUND(B26,2))</f>
        <v>505.6</v>
      </c>
      <c r="F26" s="35">
        <f>IF(E26="","",E26/SUM($E$5:$E$304))</f>
        <v>0.00781097924590681</v>
      </c>
      <c r="G26" s="35">
        <f>IF(F26="","",SUM($F$5:F26))</f>
        <v>0.913958726637355</v>
      </c>
      <c r="H26" s="31" t="str">
        <f>IF(F26="","",IF(G26-F26&lt;CorteA,"A",IF(G26-F26&lt;CorteB,"B","C")))</f>
        <v>B</v>
      </c>
    </row>
    <row r="27" spans="1:8">
      <c r="A27" s="34">
        <v>23</v>
      </c>
      <c r="B27" s="23">
        <f>IFERROR(LARGE(Posição!$U$5:$U$304,A27),"")</f>
        <v>503.800000028</v>
      </c>
      <c r="C27" s="25" t="str">
        <f>IF(B27="","",INDEX(Posição!$A$5:$A$304,MATCH(B27,Posição!$U$5:$U$304,0)))</f>
        <v>E024</v>
      </c>
      <c r="D27" s="23" t="str">
        <f>IF(B27="","",INDEX(Posição!$B$5:$B$304,MATCH(B27,Posição!$U$5:$U$304,0)))</f>
        <v>Marca-texto (cx 6)</v>
      </c>
      <c r="E27" s="24">
        <f>IF(B27="","",ROUND(B27,2))</f>
        <v>503.8</v>
      </c>
      <c r="F27" s="35">
        <f>IF(E27="","",E27/SUM($E$5:$E$304))</f>
        <v>0.00778317117105983</v>
      </c>
      <c r="G27" s="35">
        <f>IF(F27="","",SUM($F$5:F27))</f>
        <v>0.921741897808415</v>
      </c>
      <c r="H27" s="31" t="str">
        <f>IF(F27="","",IF(G27-F27&lt;CorteA,"A",IF(G27-F27&lt;CorteB,"B","C")))</f>
        <v>B</v>
      </c>
    </row>
    <row r="28" spans="1:8">
      <c r="A28" s="34">
        <v>24</v>
      </c>
      <c r="B28" s="23">
        <f>IFERROR(LARGE(Posição!$U$5:$U$304,A28),"")</f>
        <v>457.700000038</v>
      </c>
      <c r="C28" s="25" t="str">
        <f>IF(B28="","",INDEX(Posição!$A$5:$A$304,MATCH(B28,Posição!$U$5:$U$304,0)))</f>
        <v>E034</v>
      </c>
      <c r="D28" s="23" t="str">
        <f>IF(B28="","",INDEX(Posição!$B$5:$B$304,MATCH(B28,Posição!$U$5:$U$304,0)))</f>
        <v>Tinta guache (kit 6)</v>
      </c>
      <c r="E28" s="24">
        <f>IF(B28="","",ROUND(B28,2))</f>
        <v>457.7</v>
      </c>
      <c r="F28" s="35">
        <f>IF(E28="","",E28/SUM($E$5:$E$304))</f>
        <v>0.00707097547636777</v>
      </c>
      <c r="G28" s="35">
        <f>IF(F28="","",SUM($F$5:F28))</f>
        <v>0.928812873284783</v>
      </c>
      <c r="H28" s="31" t="str">
        <f>IF(F28="","",IF(G28-F28&lt;CorteA,"A",IF(G28-F28&lt;CorteB,"B","C")))</f>
        <v>B</v>
      </c>
    </row>
    <row r="29" spans="1:8">
      <c r="A29" s="34">
        <v>25</v>
      </c>
      <c r="B29" s="23">
        <f>IFERROR(LARGE(Posição!$U$5:$U$304,A29),"")</f>
        <v>453.700000027</v>
      </c>
      <c r="C29" s="25" t="str">
        <f>IF(B29="","",INDEX(Posição!$A$5:$A$304,MATCH(B29,Posição!$U$5:$U$304,0)))</f>
        <v>E023</v>
      </c>
      <c r="D29" s="23" t="str">
        <f>IF(B29="","",INDEX(Posição!$B$5:$B$304,MATCH(B29,Posição!$U$5:$U$304,0)))</f>
        <v>Agenda 2027</v>
      </c>
      <c r="E29" s="24">
        <f>IF(B29="","",ROUND(B29,2))</f>
        <v>453.7</v>
      </c>
      <c r="F29" s="35">
        <f>IF(E29="","",E29/SUM($E$5:$E$304))</f>
        <v>0.0070091797544856</v>
      </c>
      <c r="G29" s="35">
        <f>IF(F29="","",SUM($F$5:F29))</f>
        <v>0.935822053039268</v>
      </c>
      <c r="H29" s="31" t="str">
        <f>IF(F29="","",IF(G29-F29&lt;CorteA,"A",IF(G29-F29&lt;CorteB,"B","C")))</f>
        <v>B</v>
      </c>
    </row>
    <row r="30" spans="1:8">
      <c r="A30" s="34">
        <v>26</v>
      </c>
      <c r="B30" s="23">
        <f>IFERROR(LARGE(Posição!$U$5:$U$304,A30),"")</f>
        <v>447.000000035</v>
      </c>
      <c r="C30" s="25" t="str">
        <f>IF(B30="","",INDEX(Posição!$A$5:$A$304,MATCH(B30,Posição!$U$5:$U$304,0)))</f>
        <v>E031</v>
      </c>
      <c r="D30" s="23" t="str">
        <f>IF(B30="","",INDEX(Posição!$B$5:$B$304,MATCH(B30,Posição!$U$5:$U$304,0)))</f>
        <v>Mouse pad</v>
      </c>
      <c r="E30" s="24">
        <f>IF(B30="","",ROUND(B30,2))</f>
        <v>447</v>
      </c>
      <c r="F30" s="35">
        <f>IF(E30="","",E30/SUM($E$5:$E$304))</f>
        <v>0.00690567192033296</v>
      </c>
      <c r="G30" s="35">
        <f>IF(F30="","",SUM($F$5:F30))</f>
        <v>0.942727724959601</v>
      </c>
      <c r="H30" s="31" t="str">
        <f>IF(F30="","",IF(G30-F30&lt;CorteA,"A",IF(G30-F30&lt;CorteB,"B","C")))</f>
        <v>B</v>
      </c>
    </row>
    <row r="31" spans="1:8">
      <c r="A31" s="34">
        <v>27</v>
      </c>
      <c r="B31" s="23">
        <f>IFERROR(LARGE(Posição!$U$5:$U$304,A31),"")</f>
        <v>415.800000015</v>
      </c>
      <c r="C31" s="25" t="str">
        <f>IF(B31="","",INDEX(Posição!$A$5:$A$304,MATCH(B31,Posição!$U$5:$U$304,0)))</f>
        <v>E011</v>
      </c>
      <c r="D31" s="23" t="str">
        <f>IF(B31="","",INDEX(Posição!$B$5:$B$304,MATCH(B31,Posição!$U$5:$U$304,0)))</f>
        <v>Lápis de cor (cx 24)</v>
      </c>
      <c r="E31" s="24">
        <f>IF(B31="","",ROUND(B31,2))</f>
        <v>415.8</v>
      </c>
      <c r="F31" s="35">
        <f>IF(E31="","",E31/SUM($E$5:$E$304))</f>
        <v>0.006423665289652</v>
      </c>
      <c r="G31" s="35">
        <f>IF(F31="","",SUM($F$5:F31))</f>
        <v>0.949151390249253</v>
      </c>
      <c r="H31" s="31" t="str">
        <f>IF(F31="","",IF(G31-F31&lt;CorteA,"A",IF(G31-F31&lt;CorteB,"B","C")))</f>
        <v>B</v>
      </c>
    </row>
    <row r="32" spans="1:8">
      <c r="A32" s="34">
        <v>28</v>
      </c>
      <c r="B32" s="23">
        <f>IFERROR(LARGE(Posição!$U$5:$U$304,A32),"")</f>
        <v>405.600000024</v>
      </c>
      <c r="C32" s="25" t="str">
        <f>IF(B32="","",INDEX(Posição!$A$5:$A$304,MATCH(B32,Posição!$U$5:$U$304,0)))</f>
        <v>E020</v>
      </c>
      <c r="D32" s="23" t="str">
        <f>IF(B32="","",INDEX(Posição!$B$5:$B$304,MATCH(B32,Posição!$U$5:$U$304,0)))</f>
        <v>Pilha AA (cartela 4)</v>
      </c>
      <c r="E32" s="24">
        <f>IF(B32="","",ROUND(B32,2))</f>
        <v>405.6</v>
      </c>
      <c r="F32" s="35">
        <f>IF(E32="","",E32/SUM($E$5:$E$304))</f>
        <v>0.00626608619885245</v>
      </c>
      <c r="G32" s="35">
        <f>IF(F32="","",SUM($F$5:F32))</f>
        <v>0.955417476448106</v>
      </c>
      <c r="H32" s="31" t="str">
        <f>IF(F32="","",IF(G32-F32&lt;CorteA,"A",IF(G32-F32&lt;CorteB,"B","C")))</f>
        <v>B</v>
      </c>
    </row>
    <row r="33" spans="1:8">
      <c r="A33" s="34">
        <v>29</v>
      </c>
      <c r="B33" s="23">
        <f>IFERROR(LARGE(Posição!$U$5:$U$304,A33),"")</f>
        <v>390.600000039</v>
      </c>
      <c r="C33" s="25" t="str">
        <f>IF(B33="","",INDEX(Posição!$A$5:$A$304,MATCH(B33,Posição!$U$5:$U$304,0)))</f>
        <v>E035</v>
      </c>
      <c r="D33" s="23" t="str">
        <f>IF(B33="","",INDEX(Posição!$B$5:$B$304,MATCH(B33,Posição!$U$5:$U$304,0)))</f>
        <v>Papel fotográfico A4 (pct 20)</v>
      </c>
      <c r="E33" s="24">
        <f>IF(B33="","",ROUND(B33,2))</f>
        <v>390.6</v>
      </c>
      <c r="F33" s="35">
        <f>IF(E33="","",E33/SUM($E$5:$E$304))</f>
        <v>0.0060343522417943</v>
      </c>
      <c r="G33" s="35">
        <f>IF(F33="","",SUM($F$5:F33))</f>
        <v>0.9614518286899</v>
      </c>
      <c r="H33" s="31" t="str">
        <f>IF(F33="","",IF(G33-F33&lt;CorteA,"A",IF(G33-F33&lt;CorteB,"B","C")))</f>
        <v>C</v>
      </c>
    </row>
    <row r="34" spans="1:8">
      <c r="A34" s="34">
        <v>30</v>
      </c>
      <c r="B34" s="23">
        <f>IFERROR(LARGE(Posição!$U$5:$U$304,A34),"")</f>
        <v>358.800000037</v>
      </c>
      <c r="C34" s="25" t="str">
        <f>IF(B34="","",INDEX(Posição!$A$5:$A$304,MATCH(B34,Posição!$U$5:$U$304,0)))</f>
        <v>E033</v>
      </c>
      <c r="D34" s="23" t="str">
        <f>IF(B34="","",INDEX(Posição!$B$5:$B$304,MATCH(B34,Posição!$U$5:$U$304,0)))</f>
        <v>Envelope A4 (pct 50)</v>
      </c>
      <c r="E34" s="24">
        <f>IF(B34="","",ROUND(B34,2))</f>
        <v>358.8</v>
      </c>
      <c r="F34" s="35">
        <f>IF(E34="","",E34/SUM($E$5:$E$304))</f>
        <v>0.00554307625283102</v>
      </c>
      <c r="G34" s="35">
        <f>IF(F34="","",SUM($F$5:F34))</f>
        <v>0.966994904942731</v>
      </c>
      <c r="H34" s="31" t="str">
        <f>IF(F34="","",IF(G34-F34&lt;CorteA,"A",IF(G34-F34&lt;CorteB,"B","C")))</f>
        <v>C</v>
      </c>
    </row>
    <row r="35" spans="1:8">
      <c r="A35" s="34">
        <v>31</v>
      </c>
      <c r="B35" s="23">
        <f>IFERROR(LARGE(Posição!$U$5:$U$304,A35),"")</f>
        <v>358.800000019</v>
      </c>
      <c r="C35" s="25" t="str">
        <f>IF(B35="","",INDEX(Posição!$A$5:$A$304,MATCH(B35,Posição!$U$5:$U$304,0)))</f>
        <v>E015</v>
      </c>
      <c r="D35" s="23" t="str">
        <f>IF(B35="","",INDEX(Posição!$B$5:$B$304,MATCH(B35,Posição!$U$5:$U$304,0)))</f>
        <v>Caixa de papelão M (pct 10)</v>
      </c>
      <c r="E35" s="24">
        <f>IF(B35="","",ROUND(B35,2))</f>
        <v>358.8</v>
      </c>
      <c r="F35" s="35">
        <f>IF(E35="","",E35/SUM($E$5:$E$304))</f>
        <v>0.00554307625283102</v>
      </c>
      <c r="G35" s="35">
        <f>IF(F35="","",SUM($F$5:F35))</f>
        <v>0.972537981195562</v>
      </c>
      <c r="H35" s="31" t="str">
        <f>IF(F35="","",IF(G35-F35&lt;CorteA,"A",IF(G35-F35&lt;CorteB,"B","C")))</f>
        <v>C</v>
      </c>
    </row>
    <row r="36" spans="1:8">
      <c r="A36" s="34">
        <v>32</v>
      </c>
      <c r="B36" s="23">
        <f>IFERROR(LARGE(Posição!$U$5:$U$304,A36),"")</f>
        <v>338.200000029</v>
      </c>
      <c r="C36" s="25" t="str">
        <f>IF(B36="","",INDEX(Posição!$A$5:$A$304,MATCH(B36,Posição!$U$5:$U$304,0)))</f>
        <v>E025</v>
      </c>
      <c r="D36" s="23" t="str">
        <f>IF(B36="","",INDEX(Posição!$B$5:$B$304,MATCH(B36,Posição!$U$5:$U$304,0)))</f>
        <v>Bloco de notas adesivas</v>
      </c>
      <c r="E36" s="24">
        <f>IF(B36="","",ROUND(B36,2))</f>
        <v>338.2</v>
      </c>
      <c r="F36" s="35">
        <f>IF(E36="","",E36/SUM($E$5:$E$304))</f>
        <v>0.00522482828513782</v>
      </c>
      <c r="G36" s="35">
        <f>IF(F36="","",SUM($F$5:F36))</f>
        <v>0.9777628094807</v>
      </c>
      <c r="H36" s="31" t="str">
        <f>IF(F36="","",IF(G36-F36&lt;CorteA,"A",IF(G36-F36&lt;CorteB,"B","C")))</f>
        <v>C</v>
      </c>
    </row>
    <row r="37" spans="1:8">
      <c r="A37" s="34">
        <v>33</v>
      </c>
      <c r="B37" s="23">
        <f>IFERROR(LARGE(Posição!$U$5:$U$304,A37),"")</f>
        <v>323.700000041</v>
      </c>
      <c r="C37" s="25" t="str">
        <f>IF(B37="","",INDEX(Posição!$A$5:$A$304,MATCH(B37,Posição!$U$5:$U$304,0)))</f>
        <v>E037</v>
      </c>
      <c r="D37" s="23" t="str">
        <f>IF(B37="","",INDEX(Posição!$B$5:$B$304,MATCH(B37,Posição!$U$5:$U$304,0)))</f>
        <v>Pote plástico 500ml (pct 12)</v>
      </c>
      <c r="E37" s="24">
        <f>IF(B37="","",ROUND(B37,2))</f>
        <v>323.7</v>
      </c>
      <c r="F37" s="35">
        <f>IF(E37="","",E37/SUM($E$5:$E$304))</f>
        <v>0.00500081879331494</v>
      </c>
      <c r="G37" s="35">
        <f>IF(F37="","",SUM($F$5:F37))</f>
        <v>0.982763628274015</v>
      </c>
      <c r="H37" s="31" t="str">
        <f>IF(F37="","",IF(G37-F37&lt;CorteA,"A",IF(G37-F37&lt;CorteB,"B","C")))</f>
        <v>C</v>
      </c>
    </row>
    <row r="38" spans="1:8">
      <c r="A38" s="34">
        <v>34</v>
      </c>
      <c r="B38" s="23">
        <f>IFERROR(LARGE(Posição!$U$5:$U$304,A38),"")</f>
        <v>322.500000022</v>
      </c>
      <c r="C38" s="25" t="str">
        <f>IF(B38="","",INDEX(Posição!$A$5:$A$304,MATCH(B38,Posição!$U$5:$U$304,0)))</f>
        <v>E018</v>
      </c>
      <c r="D38" s="23" t="str">
        <f>IF(B38="","",INDEX(Posição!$B$5:$B$304,MATCH(B38,Posição!$U$5:$U$304,0)))</f>
        <v>Álcool 70% 1L</v>
      </c>
      <c r="E38" s="24">
        <f>IF(B38="","",ROUND(B38,2))</f>
        <v>322.5</v>
      </c>
      <c r="F38" s="35">
        <f>IF(E38="","",E38/SUM($E$5:$E$304))</f>
        <v>0.00498228007675029</v>
      </c>
      <c r="G38" s="35">
        <f>IF(F38="","",SUM($F$5:F38))</f>
        <v>0.987745908350765</v>
      </c>
      <c r="H38" s="31" t="str">
        <f>IF(F38="","",IF(G38-F38&lt;CorteA,"A",IF(G38-F38&lt;CorteB,"B","C")))</f>
        <v>C</v>
      </c>
    </row>
    <row r="39" spans="1:8">
      <c r="A39" s="34">
        <v>35</v>
      </c>
      <c r="B39" s="23">
        <f>IFERROR(LARGE(Posição!$U$5:$U$304,A39),"")</f>
        <v>297.500000032</v>
      </c>
      <c r="C39" s="25" t="str">
        <f>IF(B39="","",INDEX(Posição!$A$5:$A$304,MATCH(B39,Posição!$U$5:$U$304,0)))</f>
        <v>E028</v>
      </c>
      <c r="D39" s="23" t="str">
        <f>IF(B39="","",INDEX(Posição!$B$5:$B$304,MATCH(B39,Posição!$U$5:$U$304,0)))</f>
        <v>Régua 30cm</v>
      </c>
      <c r="E39" s="24">
        <f>IF(B39="","",ROUND(B39,2))</f>
        <v>297.5</v>
      </c>
      <c r="F39" s="35">
        <f>IF(E39="","",E39/SUM($E$5:$E$304))</f>
        <v>0.0045960568149867</v>
      </c>
      <c r="G39" s="35">
        <f>IF(F39="","",SUM($F$5:F39))</f>
        <v>0.992341965165752</v>
      </c>
      <c r="H39" s="31" t="str">
        <f>IF(F39="","",IF(G39-F39&lt;CorteA,"A",IF(G39-F39&lt;CorteB,"B","C")))</f>
        <v>C</v>
      </c>
    </row>
    <row r="40" spans="1:8">
      <c r="A40" s="34">
        <v>36</v>
      </c>
      <c r="B40" s="23">
        <f>IFERROR(LARGE(Posição!$U$5:$U$304,A40),"")</f>
        <v>286.400000044</v>
      </c>
      <c r="C40" s="25" t="str">
        <f>IF(B40="","",INDEX(Posição!$A$5:$A$304,MATCH(B40,Posição!$U$5:$U$304,0)))</f>
        <v>E040</v>
      </c>
      <c r="D40" s="23" t="str">
        <f>IF(B40="","",INDEX(Posição!$B$5:$B$304,MATCH(B40,Posição!$U$5:$U$304,0)))</f>
        <v>Porta-retrato 10x15</v>
      </c>
      <c r="E40" s="24">
        <f>IF(B40="","",ROUND(B40,2))</f>
        <v>286.4</v>
      </c>
      <c r="F40" s="35">
        <f>IF(E40="","",E40/SUM($E$5:$E$304))</f>
        <v>0.00442457368676367</v>
      </c>
      <c r="G40" s="35">
        <f>IF(F40="","",SUM($F$5:F40))</f>
        <v>0.996766538852515</v>
      </c>
      <c r="H40" s="31" t="str">
        <f>IF(F40="","",IF(G40-F40&lt;CorteA,"A",IF(G40-F40&lt;CorteB,"B","C")))</f>
        <v>C</v>
      </c>
    </row>
    <row r="41" spans="1:8">
      <c r="A41" s="34">
        <v>37</v>
      </c>
      <c r="B41" s="23">
        <f>IFERROR(LARGE(Posição!$U$5:$U$304,A41),"")</f>
        <v>209.300000009</v>
      </c>
      <c r="C41" s="25" t="str">
        <f>IF(B41="","",INDEX(Posição!$A$5:$A$304,MATCH(B41,Posição!$U$5:$U$304,0)))</f>
        <v>E005</v>
      </c>
      <c r="D41" s="23" t="str">
        <f>IF(B41="","",INDEX(Posição!$B$5:$B$304,MATCH(B41,Posição!$U$5:$U$304,0)))</f>
        <v>Grampeador médio</v>
      </c>
      <c r="E41" s="24">
        <f>IF(B41="","",ROUND(B41,2))</f>
        <v>209.3</v>
      </c>
      <c r="F41" s="35">
        <f>IF(E41="","",E41/SUM($E$5:$E$304))</f>
        <v>0.00323346114748476</v>
      </c>
      <c r="G41" s="35">
        <f>IF(F41="","",SUM($F$5:F41))</f>
        <v>1</v>
      </c>
      <c r="H41" s="31" t="str">
        <f>IF(F41="","",IF(G41-F41&lt;CorteA,"A",IF(G41-F41&lt;CorteB,"B","C")))</f>
        <v>C</v>
      </c>
    </row>
    <row r="42" spans="1:8">
      <c r="A42" s="34">
        <v>38</v>
      </c>
      <c r="B42" s="23">
        <f>IFERROR(LARGE(Posição!$U$5:$U$304,A42),"")</f>
        <v>0</v>
      </c>
      <c r="C42" s="25">
        <f>IF(B42="","",INDEX(Posição!$A$5:$A$304,MATCH(B42,Posição!$U$5:$U$304,0)))</f>
        <v>0</v>
      </c>
      <c r="D42" s="23">
        <f>IF(B42="","",INDEX(Posição!$B$5:$B$304,MATCH(B42,Posição!$U$5:$U$304,0)))</f>
        <v>0</v>
      </c>
      <c r="E42" s="24">
        <f>IF(B42="","",ROUND(B42,2))</f>
        <v>0</v>
      </c>
      <c r="F42" s="35">
        <f>IF(E42="","",E42/SUM($E$5:$E$304))</f>
        <v>0</v>
      </c>
      <c r="G42" s="35">
        <f>IF(F42="","",SUM($F$5:F42))</f>
        <v>0</v>
      </c>
      <c r="H42" s="31">
        <f>IF(F42="","",IF(G42-F42&lt;CorteA,"A",IF(G42-F42&lt;CorteB,"B","C")))</f>
        <v>0</v>
      </c>
    </row>
    <row r="43" spans="1:8">
      <c r="A43" s="34">
        <v>39</v>
      </c>
      <c r="B43" s="23">
        <f>IFERROR(LARGE(Posição!$U$5:$U$304,A43),"")</f>
        <v>0</v>
      </c>
      <c r="C43" s="25">
        <f>IF(B43="","",INDEX(Posição!$A$5:$A$304,MATCH(B43,Posição!$U$5:$U$304,0)))</f>
        <v>0</v>
      </c>
      <c r="D43" s="23">
        <f>IF(B43="","",INDEX(Posição!$B$5:$B$304,MATCH(B43,Posição!$U$5:$U$304,0)))</f>
        <v>0</v>
      </c>
      <c r="E43" s="24">
        <f>IF(B43="","",ROUND(B43,2))</f>
        <v>0</v>
      </c>
      <c r="F43" s="35">
        <f>IF(E43="","",E43/SUM($E$5:$E$304))</f>
        <v>0</v>
      </c>
      <c r="G43" s="35">
        <f>IF(F43="","",SUM($F$5:F43))</f>
        <v>0</v>
      </c>
      <c r="H43" s="31">
        <f>IF(F43="","",IF(G43-F43&lt;CorteA,"A",IF(G43-F43&lt;CorteB,"B","C")))</f>
        <v>0</v>
      </c>
    </row>
    <row r="44" spans="1:8">
      <c r="A44" s="34">
        <v>40</v>
      </c>
      <c r="B44" s="23">
        <f>IFERROR(LARGE(Posição!$U$5:$U$304,A44),"")</f>
        <v>0</v>
      </c>
      <c r="C44" s="25">
        <f>IF(B44="","",INDEX(Posição!$A$5:$A$304,MATCH(B44,Posição!$U$5:$U$304,0)))</f>
        <v>0</v>
      </c>
      <c r="D44" s="23">
        <f>IF(B44="","",INDEX(Posição!$B$5:$B$304,MATCH(B44,Posição!$U$5:$U$304,0)))</f>
        <v>0</v>
      </c>
      <c r="E44" s="24">
        <f>IF(B44="","",ROUND(B44,2))</f>
        <v>0</v>
      </c>
      <c r="F44" s="35">
        <f>IF(E44="","",E44/SUM($E$5:$E$304))</f>
        <v>0</v>
      </c>
      <c r="G44" s="35">
        <f>IF(F44="","",SUM($F$5:F44))</f>
        <v>0</v>
      </c>
      <c r="H44" s="31">
        <f>IF(F44="","",IF(G44-F44&lt;CorteA,"A",IF(G44-F44&lt;CorteB,"B","C")))</f>
        <v>0</v>
      </c>
    </row>
    <row r="45" spans="1:8">
      <c r="A45" s="34">
        <v>41</v>
      </c>
      <c r="B45" s="23">
        <f>IFERROR(LARGE(Posição!$U$5:$U$304,A45),"")</f>
        <v>0</v>
      </c>
      <c r="C45" s="25">
        <f>IF(B45="","",INDEX(Posição!$A$5:$A$304,MATCH(B45,Posição!$U$5:$U$304,0)))</f>
        <v>0</v>
      </c>
      <c r="D45" s="23">
        <f>IF(B45="","",INDEX(Posição!$B$5:$B$304,MATCH(B45,Posição!$U$5:$U$304,0)))</f>
        <v>0</v>
      </c>
      <c r="E45" s="24">
        <f>IF(B45="","",ROUND(B45,2))</f>
        <v>0</v>
      </c>
      <c r="F45" s="35">
        <f>IF(E45="","",E45/SUM($E$5:$E$304))</f>
        <v>0</v>
      </c>
      <c r="G45" s="35">
        <f>IF(F45="","",SUM($F$5:F45))</f>
        <v>0</v>
      </c>
      <c r="H45" s="31">
        <f>IF(F45="","",IF(G45-F45&lt;CorteA,"A",IF(G45-F45&lt;CorteB,"B","C")))</f>
        <v>0</v>
      </c>
    </row>
    <row r="46" spans="1:8">
      <c r="A46" s="34">
        <v>42</v>
      </c>
      <c r="B46" s="23">
        <f>IFERROR(LARGE(Posição!$U$5:$U$304,A46),"")</f>
        <v>0</v>
      </c>
      <c r="C46" s="25">
        <f>IF(B46="","",INDEX(Posição!$A$5:$A$304,MATCH(B46,Posição!$U$5:$U$304,0)))</f>
        <v>0</v>
      </c>
      <c r="D46" s="23">
        <f>IF(B46="","",INDEX(Posição!$B$5:$B$304,MATCH(B46,Posição!$U$5:$U$304,0)))</f>
        <v>0</v>
      </c>
      <c r="E46" s="24">
        <f>IF(B46="","",ROUND(B46,2))</f>
        <v>0</v>
      </c>
      <c r="F46" s="35">
        <f>IF(E46="","",E46/SUM($E$5:$E$304))</f>
        <v>0</v>
      </c>
      <c r="G46" s="35">
        <f>IF(F46="","",SUM($F$5:F46))</f>
        <v>0</v>
      </c>
      <c r="H46" s="31">
        <f>IF(F46="","",IF(G46-F46&lt;CorteA,"A",IF(G46-F46&lt;CorteB,"B","C")))</f>
        <v>0</v>
      </c>
    </row>
    <row r="47" spans="1:8">
      <c r="A47" s="34">
        <v>43</v>
      </c>
      <c r="B47" s="23">
        <f>IFERROR(LARGE(Posição!$U$5:$U$304,A47),"")</f>
        <v>0</v>
      </c>
      <c r="C47" s="25">
        <f>IF(B47="","",INDEX(Posição!$A$5:$A$304,MATCH(B47,Posição!$U$5:$U$304,0)))</f>
        <v>0</v>
      </c>
      <c r="D47" s="23">
        <f>IF(B47="","",INDEX(Posição!$B$5:$B$304,MATCH(B47,Posição!$U$5:$U$304,0)))</f>
        <v>0</v>
      </c>
      <c r="E47" s="24">
        <f>IF(B47="","",ROUND(B47,2))</f>
        <v>0</v>
      </c>
      <c r="F47" s="35">
        <f>IF(E47="","",E47/SUM($E$5:$E$304))</f>
        <v>0</v>
      </c>
      <c r="G47" s="35">
        <f>IF(F47="","",SUM($F$5:F47))</f>
        <v>0</v>
      </c>
      <c r="H47" s="31">
        <f>IF(F47="","",IF(G47-F47&lt;CorteA,"A",IF(G47-F47&lt;CorteB,"B","C")))</f>
        <v>0</v>
      </c>
    </row>
    <row r="48" spans="1:8">
      <c r="A48" s="34">
        <v>44</v>
      </c>
      <c r="B48" s="23">
        <f>IFERROR(LARGE(Posição!$U$5:$U$304,A48),"")</f>
        <v>0</v>
      </c>
      <c r="C48" s="25">
        <f>IF(B48="","",INDEX(Posição!$A$5:$A$304,MATCH(B48,Posição!$U$5:$U$304,0)))</f>
        <v>0</v>
      </c>
      <c r="D48" s="23">
        <f>IF(B48="","",INDEX(Posição!$B$5:$B$304,MATCH(B48,Posição!$U$5:$U$304,0)))</f>
        <v>0</v>
      </c>
      <c r="E48" s="24">
        <f>IF(B48="","",ROUND(B48,2))</f>
        <v>0</v>
      </c>
      <c r="F48" s="35">
        <f>IF(E48="","",E48/SUM($E$5:$E$304))</f>
        <v>0</v>
      </c>
      <c r="G48" s="35">
        <f>IF(F48="","",SUM($F$5:F48))</f>
        <v>0</v>
      </c>
      <c r="H48" s="31">
        <f>IF(F48="","",IF(G48-F48&lt;CorteA,"A",IF(G48-F48&lt;CorteB,"B","C")))</f>
        <v>0</v>
      </c>
    </row>
    <row r="49" spans="1:8">
      <c r="A49" s="34">
        <v>45</v>
      </c>
      <c r="B49" s="23">
        <f>IFERROR(LARGE(Posição!$U$5:$U$304,A49),"")</f>
        <v>0</v>
      </c>
      <c r="C49" s="25">
        <f>IF(B49="","",INDEX(Posição!$A$5:$A$304,MATCH(B49,Posição!$U$5:$U$304,0)))</f>
        <v>0</v>
      </c>
      <c r="D49" s="23">
        <f>IF(B49="","",INDEX(Posição!$B$5:$B$304,MATCH(B49,Posição!$U$5:$U$304,0)))</f>
        <v>0</v>
      </c>
      <c r="E49" s="24">
        <f>IF(B49="","",ROUND(B49,2))</f>
        <v>0</v>
      </c>
      <c r="F49" s="35">
        <f>IF(E49="","",E49/SUM($E$5:$E$304))</f>
        <v>0</v>
      </c>
      <c r="G49" s="35">
        <f>IF(F49="","",SUM($F$5:F49))</f>
        <v>0</v>
      </c>
      <c r="H49" s="31">
        <f>IF(F49="","",IF(G49-F49&lt;CorteA,"A",IF(G49-F49&lt;CorteB,"B","C")))</f>
        <v>0</v>
      </c>
    </row>
    <row r="50" spans="1:8">
      <c r="A50" s="34">
        <v>46</v>
      </c>
      <c r="B50" s="23">
        <f>IFERROR(LARGE(Posição!$U$5:$U$304,A50),"")</f>
        <v>0</v>
      </c>
      <c r="C50" s="25">
        <f>IF(B50="","",INDEX(Posição!$A$5:$A$304,MATCH(B50,Posição!$U$5:$U$304,0)))</f>
        <v>0</v>
      </c>
      <c r="D50" s="23">
        <f>IF(B50="","",INDEX(Posição!$B$5:$B$304,MATCH(B50,Posição!$U$5:$U$304,0)))</f>
        <v>0</v>
      </c>
      <c r="E50" s="24">
        <f>IF(B50="","",ROUND(B50,2))</f>
        <v>0</v>
      </c>
      <c r="F50" s="35">
        <f>IF(E50="","",E50/SUM($E$5:$E$304))</f>
        <v>0</v>
      </c>
      <c r="G50" s="35">
        <f>IF(F50="","",SUM($F$5:F50))</f>
        <v>0</v>
      </c>
      <c r="H50" s="31">
        <f>IF(F50="","",IF(G50-F50&lt;CorteA,"A",IF(G50-F50&lt;CorteB,"B","C")))</f>
        <v>0</v>
      </c>
    </row>
    <row r="51" spans="1:8">
      <c r="A51" s="34">
        <v>47</v>
      </c>
      <c r="B51" s="23">
        <f>IFERROR(LARGE(Posição!$U$5:$U$304,A51),"")</f>
        <v>0</v>
      </c>
      <c r="C51" s="25">
        <f>IF(B51="","",INDEX(Posição!$A$5:$A$304,MATCH(B51,Posição!$U$5:$U$304,0)))</f>
        <v>0</v>
      </c>
      <c r="D51" s="23">
        <f>IF(B51="","",INDEX(Posição!$B$5:$B$304,MATCH(B51,Posição!$U$5:$U$304,0)))</f>
        <v>0</v>
      </c>
      <c r="E51" s="24">
        <f>IF(B51="","",ROUND(B51,2))</f>
        <v>0</v>
      </c>
      <c r="F51" s="35">
        <f>IF(E51="","",E51/SUM($E$5:$E$304))</f>
        <v>0</v>
      </c>
      <c r="G51" s="35">
        <f>IF(F51="","",SUM($F$5:F51))</f>
        <v>0</v>
      </c>
      <c r="H51" s="31">
        <f>IF(F51="","",IF(G51-F51&lt;CorteA,"A",IF(G51-F51&lt;CorteB,"B","C")))</f>
        <v>0</v>
      </c>
    </row>
    <row r="52" spans="1:8">
      <c r="A52" s="34">
        <v>48</v>
      </c>
      <c r="B52" s="23">
        <f>IFERROR(LARGE(Posição!$U$5:$U$304,A52),"")</f>
        <v>0</v>
      </c>
      <c r="C52" s="25">
        <f>IF(B52="","",INDEX(Posição!$A$5:$A$304,MATCH(B52,Posição!$U$5:$U$304,0)))</f>
        <v>0</v>
      </c>
      <c r="D52" s="23">
        <f>IF(B52="","",INDEX(Posição!$B$5:$B$304,MATCH(B52,Posição!$U$5:$U$304,0)))</f>
        <v>0</v>
      </c>
      <c r="E52" s="24">
        <f>IF(B52="","",ROUND(B52,2))</f>
        <v>0</v>
      </c>
      <c r="F52" s="35">
        <f>IF(E52="","",E52/SUM($E$5:$E$304))</f>
        <v>0</v>
      </c>
      <c r="G52" s="35">
        <f>IF(F52="","",SUM($F$5:F52))</f>
        <v>0</v>
      </c>
      <c r="H52" s="31">
        <f>IF(F52="","",IF(G52-F52&lt;CorteA,"A",IF(G52-F52&lt;CorteB,"B","C")))</f>
        <v>0</v>
      </c>
    </row>
    <row r="53" spans="1:8">
      <c r="A53" s="34">
        <v>49</v>
      </c>
      <c r="B53" s="23">
        <f>IFERROR(LARGE(Posição!$U$5:$U$304,A53),"")</f>
        <v>0</v>
      </c>
      <c r="C53" s="25">
        <f>IF(B53="","",INDEX(Posição!$A$5:$A$304,MATCH(B53,Posição!$U$5:$U$304,0)))</f>
        <v>0</v>
      </c>
      <c r="D53" s="23">
        <f>IF(B53="","",INDEX(Posição!$B$5:$B$304,MATCH(B53,Posição!$U$5:$U$304,0)))</f>
        <v>0</v>
      </c>
      <c r="E53" s="24">
        <f>IF(B53="","",ROUND(B53,2))</f>
        <v>0</v>
      </c>
      <c r="F53" s="35">
        <f>IF(E53="","",E53/SUM($E$5:$E$304))</f>
        <v>0</v>
      </c>
      <c r="G53" s="35">
        <f>IF(F53="","",SUM($F$5:F53))</f>
        <v>0</v>
      </c>
      <c r="H53" s="31">
        <f>IF(F53="","",IF(G53-F53&lt;CorteA,"A",IF(G53-F53&lt;CorteB,"B","C")))</f>
        <v>0</v>
      </c>
    </row>
    <row r="54" spans="1:8">
      <c r="A54" s="34">
        <v>50</v>
      </c>
      <c r="B54" s="23">
        <f>IFERROR(LARGE(Posição!$U$5:$U$304,A54),"")</f>
        <v>0</v>
      </c>
      <c r="C54" s="25">
        <f>IF(B54="","",INDEX(Posição!$A$5:$A$304,MATCH(B54,Posição!$U$5:$U$304,0)))</f>
        <v>0</v>
      </c>
      <c r="D54" s="23">
        <f>IF(B54="","",INDEX(Posição!$B$5:$B$304,MATCH(B54,Posição!$U$5:$U$304,0)))</f>
        <v>0</v>
      </c>
      <c r="E54" s="24">
        <f>IF(B54="","",ROUND(B54,2))</f>
        <v>0</v>
      </c>
      <c r="F54" s="35">
        <f>IF(E54="","",E54/SUM($E$5:$E$304))</f>
        <v>0</v>
      </c>
      <c r="G54" s="35">
        <f>IF(F54="","",SUM($F$5:F54))</f>
        <v>0</v>
      </c>
      <c r="H54" s="31">
        <f>IF(F54="","",IF(G54-F54&lt;CorteA,"A",IF(G54-F54&lt;CorteB,"B","C")))</f>
        <v>0</v>
      </c>
    </row>
    <row r="55" spans="1:8">
      <c r="A55" s="34">
        <v>51</v>
      </c>
      <c r="B55" s="23">
        <f>IFERROR(LARGE(Posição!$U$5:$U$304,A55),"")</f>
        <v>0</v>
      </c>
      <c r="C55" s="25">
        <f>IF(B55="","",INDEX(Posição!$A$5:$A$304,MATCH(B55,Posição!$U$5:$U$304,0)))</f>
        <v>0</v>
      </c>
      <c r="D55" s="23">
        <f>IF(B55="","",INDEX(Posição!$B$5:$B$304,MATCH(B55,Posição!$U$5:$U$304,0)))</f>
        <v>0</v>
      </c>
      <c r="E55" s="24">
        <f>IF(B55="","",ROUND(B55,2))</f>
        <v>0</v>
      </c>
      <c r="F55" s="35">
        <f>IF(E55="","",E55/SUM($E$5:$E$304))</f>
        <v>0</v>
      </c>
      <c r="G55" s="35">
        <f>IF(F55="","",SUM($F$5:F55))</f>
        <v>0</v>
      </c>
      <c r="H55" s="31">
        <f>IF(F55="","",IF(G55-F55&lt;CorteA,"A",IF(G55-F55&lt;CorteB,"B","C")))</f>
        <v>0</v>
      </c>
    </row>
    <row r="56" spans="1:8">
      <c r="A56" s="34">
        <v>52</v>
      </c>
      <c r="B56" s="23">
        <f>IFERROR(LARGE(Posição!$U$5:$U$304,A56),"")</f>
        <v>0</v>
      </c>
      <c r="C56" s="25">
        <f>IF(B56="","",INDEX(Posição!$A$5:$A$304,MATCH(B56,Posição!$U$5:$U$304,0)))</f>
        <v>0</v>
      </c>
      <c r="D56" s="23">
        <f>IF(B56="","",INDEX(Posição!$B$5:$B$304,MATCH(B56,Posição!$U$5:$U$304,0)))</f>
        <v>0</v>
      </c>
      <c r="E56" s="24">
        <f>IF(B56="","",ROUND(B56,2))</f>
        <v>0</v>
      </c>
      <c r="F56" s="35">
        <f>IF(E56="","",E56/SUM($E$5:$E$304))</f>
        <v>0</v>
      </c>
      <c r="G56" s="35">
        <f>IF(F56="","",SUM($F$5:F56))</f>
        <v>0</v>
      </c>
      <c r="H56" s="31">
        <f>IF(F56="","",IF(G56-F56&lt;CorteA,"A",IF(G56-F56&lt;CorteB,"B","C")))</f>
        <v>0</v>
      </c>
    </row>
    <row r="57" spans="1:8">
      <c r="A57" s="34">
        <v>53</v>
      </c>
      <c r="B57" s="23">
        <f>IFERROR(LARGE(Posição!$U$5:$U$304,A57),"")</f>
        <v>0</v>
      </c>
      <c r="C57" s="25">
        <f>IF(B57="","",INDEX(Posição!$A$5:$A$304,MATCH(B57,Posição!$U$5:$U$304,0)))</f>
        <v>0</v>
      </c>
      <c r="D57" s="23">
        <f>IF(B57="","",INDEX(Posição!$B$5:$B$304,MATCH(B57,Posição!$U$5:$U$304,0)))</f>
        <v>0</v>
      </c>
      <c r="E57" s="24">
        <f>IF(B57="","",ROUND(B57,2))</f>
        <v>0</v>
      </c>
      <c r="F57" s="35">
        <f>IF(E57="","",E57/SUM($E$5:$E$304))</f>
        <v>0</v>
      </c>
      <c r="G57" s="35">
        <f>IF(F57="","",SUM($F$5:F57))</f>
        <v>0</v>
      </c>
      <c r="H57" s="31">
        <f>IF(F57="","",IF(G57-F57&lt;CorteA,"A",IF(G57-F57&lt;CorteB,"B","C")))</f>
        <v>0</v>
      </c>
    </row>
    <row r="58" spans="1:8">
      <c r="A58" s="34">
        <v>54</v>
      </c>
      <c r="B58" s="23">
        <f>IFERROR(LARGE(Posição!$U$5:$U$304,A58),"")</f>
        <v>0</v>
      </c>
      <c r="C58" s="25">
        <f>IF(B58="","",INDEX(Posição!$A$5:$A$304,MATCH(B58,Posição!$U$5:$U$304,0)))</f>
        <v>0</v>
      </c>
      <c r="D58" s="23">
        <f>IF(B58="","",INDEX(Posição!$B$5:$B$304,MATCH(B58,Posição!$U$5:$U$304,0)))</f>
        <v>0</v>
      </c>
      <c r="E58" s="24">
        <f>IF(B58="","",ROUND(B58,2))</f>
        <v>0</v>
      </c>
      <c r="F58" s="35">
        <f>IF(E58="","",E58/SUM($E$5:$E$304))</f>
        <v>0</v>
      </c>
      <c r="G58" s="35">
        <f>IF(F58="","",SUM($F$5:F58))</f>
        <v>0</v>
      </c>
      <c r="H58" s="31">
        <f>IF(F58="","",IF(G58-F58&lt;CorteA,"A",IF(G58-F58&lt;CorteB,"B","C")))</f>
        <v>0</v>
      </c>
    </row>
    <row r="59" spans="1:8">
      <c r="A59" s="34">
        <v>55</v>
      </c>
      <c r="B59" s="23">
        <f>IFERROR(LARGE(Posição!$U$5:$U$304,A59),"")</f>
        <v>0</v>
      </c>
      <c r="C59" s="25">
        <f>IF(B59="","",INDEX(Posição!$A$5:$A$304,MATCH(B59,Posição!$U$5:$U$304,0)))</f>
        <v>0</v>
      </c>
      <c r="D59" s="23">
        <f>IF(B59="","",INDEX(Posição!$B$5:$B$304,MATCH(B59,Posição!$U$5:$U$304,0)))</f>
        <v>0</v>
      </c>
      <c r="E59" s="24">
        <f>IF(B59="","",ROUND(B59,2))</f>
        <v>0</v>
      </c>
      <c r="F59" s="35">
        <f>IF(E59="","",E59/SUM($E$5:$E$304))</f>
        <v>0</v>
      </c>
      <c r="G59" s="35">
        <f>IF(F59="","",SUM($F$5:F59))</f>
        <v>0</v>
      </c>
      <c r="H59" s="31">
        <f>IF(F59="","",IF(G59-F59&lt;CorteA,"A",IF(G59-F59&lt;CorteB,"B","C")))</f>
        <v>0</v>
      </c>
    </row>
    <row r="60" spans="1:8">
      <c r="A60" s="34">
        <v>56</v>
      </c>
      <c r="B60" s="23">
        <f>IFERROR(LARGE(Posição!$U$5:$U$304,A60),"")</f>
        <v>0</v>
      </c>
      <c r="C60" s="25">
        <f>IF(B60="","",INDEX(Posição!$A$5:$A$304,MATCH(B60,Posição!$U$5:$U$304,0)))</f>
        <v>0</v>
      </c>
      <c r="D60" s="23">
        <f>IF(B60="","",INDEX(Posição!$B$5:$B$304,MATCH(B60,Posição!$U$5:$U$304,0)))</f>
        <v>0</v>
      </c>
      <c r="E60" s="24">
        <f>IF(B60="","",ROUND(B60,2))</f>
        <v>0</v>
      </c>
      <c r="F60" s="35">
        <f>IF(E60="","",E60/SUM($E$5:$E$304))</f>
        <v>0</v>
      </c>
      <c r="G60" s="35">
        <f>IF(F60="","",SUM($F$5:F60))</f>
        <v>0</v>
      </c>
      <c r="H60" s="31">
        <f>IF(F60="","",IF(G60-F60&lt;CorteA,"A",IF(G60-F60&lt;CorteB,"B","C")))</f>
        <v>0</v>
      </c>
    </row>
    <row r="61" spans="1:8">
      <c r="A61" s="34">
        <v>57</v>
      </c>
      <c r="B61" s="23">
        <f>IFERROR(LARGE(Posição!$U$5:$U$304,A61),"")</f>
        <v>0</v>
      </c>
      <c r="C61" s="25">
        <f>IF(B61="","",INDEX(Posição!$A$5:$A$304,MATCH(B61,Posição!$U$5:$U$304,0)))</f>
        <v>0</v>
      </c>
      <c r="D61" s="23">
        <f>IF(B61="","",INDEX(Posição!$B$5:$B$304,MATCH(B61,Posição!$U$5:$U$304,0)))</f>
        <v>0</v>
      </c>
      <c r="E61" s="24">
        <f>IF(B61="","",ROUND(B61,2))</f>
        <v>0</v>
      </c>
      <c r="F61" s="35">
        <f>IF(E61="","",E61/SUM($E$5:$E$304))</f>
        <v>0</v>
      </c>
      <c r="G61" s="35">
        <f>IF(F61="","",SUM($F$5:F61))</f>
        <v>0</v>
      </c>
      <c r="H61" s="31">
        <f>IF(F61="","",IF(G61-F61&lt;CorteA,"A",IF(G61-F61&lt;CorteB,"B","C")))</f>
        <v>0</v>
      </c>
    </row>
    <row r="62" spans="1:8">
      <c r="A62" s="34">
        <v>58</v>
      </c>
      <c r="B62" s="23">
        <f>IFERROR(LARGE(Posição!$U$5:$U$304,A62),"")</f>
        <v>0</v>
      </c>
      <c r="C62" s="25">
        <f>IF(B62="","",INDEX(Posição!$A$5:$A$304,MATCH(B62,Posição!$U$5:$U$304,0)))</f>
        <v>0</v>
      </c>
      <c r="D62" s="23">
        <f>IF(B62="","",INDEX(Posição!$B$5:$B$304,MATCH(B62,Posição!$U$5:$U$304,0)))</f>
        <v>0</v>
      </c>
      <c r="E62" s="24">
        <f>IF(B62="","",ROUND(B62,2))</f>
        <v>0</v>
      </c>
      <c r="F62" s="35">
        <f>IF(E62="","",E62/SUM($E$5:$E$304))</f>
        <v>0</v>
      </c>
      <c r="G62" s="35">
        <f>IF(F62="","",SUM($F$5:F62))</f>
        <v>0</v>
      </c>
      <c r="H62" s="31">
        <f>IF(F62="","",IF(G62-F62&lt;CorteA,"A",IF(G62-F62&lt;CorteB,"B","C")))</f>
        <v>0</v>
      </c>
    </row>
    <row r="63" spans="1:8">
      <c r="A63" s="34">
        <v>59</v>
      </c>
      <c r="B63" s="23">
        <f>IFERROR(LARGE(Posição!$U$5:$U$304,A63),"")</f>
        <v>0</v>
      </c>
      <c r="C63" s="25">
        <f>IF(B63="","",INDEX(Posição!$A$5:$A$304,MATCH(B63,Posição!$U$5:$U$304,0)))</f>
        <v>0</v>
      </c>
      <c r="D63" s="23">
        <f>IF(B63="","",INDEX(Posição!$B$5:$B$304,MATCH(B63,Posição!$U$5:$U$304,0)))</f>
        <v>0</v>
      </c>
      <c r="E63" s="24">
        <f>IF(B63="","",ROUND(B63,2))</f>
        <v>0</v>
      </c>
      <c r="F63" s="35">
        <f>IF(E63="","",E63/SUM($E$5:$E$304))</f>
        <v>0</v>
      </c>
      <c r="G63" s="35">
        <f>IF(F63="","",SUM($F$5:F63))</f>
        <v>0</v>
      </c>
      <c r="H63" s="31">
        <f>IF(F63="","",IF(G63-F63&lt;CorteA,"A",IF(G63-F63&lt;CorteB,"B","C")))</f>
        <v>0</v>
      </c>
    </row>
    <row r="64" spans="1:8">
      <c r="A64" s="34">
        <v>60</v>
      </c>
      <c r="B64" s="23">
        <f>IFERROR(LARGE(Posição!$U$5:$U$304,A64),"")</f>
        <v>0</v>
      </c>
      <c r="C64" s="25">
        <f>IF(B64="","",INDEX(Posição!$A$5:$A$304,MATCH(B64,Posição!$U$5:$U$304,0)))</f>
        <v>0</v>
      </c>
      <c r="D64" s="23">
        <f>IF(B64="","",INDEX(Posição!$B$5:$B$304,MATCH(B64,Posição!$U$5:$U$304,0)))</f>
        <v>0</v>
      </c>
      <c r="E64" s="24">
        <f>IF(B64="","",ROUND(B64,2))</f>
        <v>0</v>
      </c>
      <c r="F64" s="35">
        <f>IF(E64="","",E64/SUM($E$5:$E$304))</f>
        <v>0</v>
      </c>
      <c r="G64" s="35">
        <f>IF(F64="","",SUM($F$5:F64))</f>
        <v>0</v>
      </c>
      <c r="H64" s="31">
        <f>IF(F64="","",IF(G64-F64&lt;CorteA,"A",IF(G64-F64&lt;CorteB,"B","C")))</f>
        <v>0</v>
      </c>
    </row>
    <row r="65" spans="1:8">
      <c r="A65" s="34">
        <v>61</v>
      </c>
      <c r="B65" s="23">
        <f>IFERROR(LARGE(Posição!$U$5:$U$304,A65),"")</f>
        <v>0</v>
      </c>
      <c r="C65" s="25">
        <f>IF(B65="","",INDEX(Posição!$A$5:$A$304,MATCH(B65,Posição!$U$5:$U$304,0)))</f>
        <v>0</v>
      </c>
      <c r="D65" s="23">
        <f>IF(B65="","",INDEX(Posição!$B$5:$B$304,MATCH(B65,Posição!$U$5:$U$304,0)))</f>
        <v>0</v>
      </c>
      <c r="E65" s="24">
        <f>IF(B65="","",ROUND(B65,2))</f>
        <v>0</v>
      </c>
      <c r="F65" s="35">
        <f>IF(E65="","",E65/SUM($E$5:$E$304))</f>
        <v>0</v>
      </c>
      <c r="G65" s="35">
        <f>IF(F65="","",SUM($F$5:F65))</f>
        <v>0</v>
      </c>
      <c r="H65" s="31">
        <f>IF(F65="","",IF(G65-F65&lt;CorteA,"A",IF(G65-F65&lt;CorteB,"B","C")))</f>
        <v>0</v>
      </c>
    </row>
    <row r="66" spans="1:8">
      <c r="A66" s="34">
        <v>62</v>
      </c>
      <c r="B66" s="23">
        <f>IFERROR(LARGE(Posição!$U$5:$U$304,A66),"")</f>
        <v>0</v>
      </c>
      <c r="C66" s="25">
        <f>IF(B66="","",INDEX(Posição!$A$5:$A$304,MATCH(B66,Posição!$U$5:$U$304,0)))</f>
        <v>0</v>
      </c>
      <c r="D66" s="23">
        <f>IF(B66="","",INDEX(Posição!$B$5:$B$304,MATCH(B66,Posição!$U$5:$U$304,0)))</f>
        <v>0</v>
      </c>
      <c r="E66" s="24">
        <f>IF(B66="","",ROUND(B66,2))</f>
        <v>0</v>
      </c>
      <c r="F66" s="35">
        <f>IF(E66="","",E66/SUM($E$5:$E$304))</f>
        <v>0</v>
      </c>
      <c r="G66" s="35">
        <f>IF(F66="","",SUM($F$5:F66))</f>
        <v>0</v>
      </c>
      <c r="H66" s="31">
        <f>IF(F66="","",IF(G66-F66&lt;CorteA,"A",IF(G66-F66&lt;CorteB,"B","C")))</f>
        <v>0</v>
      </c>
    </row>
    <row r="67" spans="1:8">
      <c r="A67" s="34">
        <v>63</v>
      </c>
      <c r="B67" s="23">
        <f>IFERROR(LARGE(Posição!$U$5:$U$304,A67),"")</f>
        <v>0</v>
      </c>
      <c r="C67" s="25">
        <f>IF(B67="","",INDEX(Posição!$A$5:$A$304,MATCH(B67,Posição!$U$5:$U$304,0)))</f>
        <v>0</v>
      </c>
      <c r="D67" s="23">
        <f>IF(B67="","",INDEX(Posição!$B$5:$B$304,MATCH(B67,Posição!$U$5:$U$304,0)))</f>
        <v>0</v>
      </c>
      <c r="E67" s="24">
        <f>IF(B67="","",ROUND(B67,2))</f>
        <v>0</v>
      </c>
      <c r="F67" s="35">
        <f>IF(E67="","",E67/SUM($E$5:$E$304))</f>
        <v>0</v>
      </c>
      <c r="G67" s="35">
        <f>IF(F67="","",SUM($F$5:F67))</f>
        <v>0</v>
      </c>
      <c r="H67" s="31">
        <f>IF(F67="","",IF(G67-F67&lt;CorteA,"A",IF(G67-F67&lt;CorteB,"B","C")))</f>
        <v>0</v>
      </c>
    </row>
    <row r="68" spans="1:8">
      <c r="A68" s="34">
        <v>64</v>
      </c>
      <c r="B68" s="23">
        <f>IFERROR(LARGE(Posição!$U$5:$U$304,A68),"")</f>
        <v>0</v>
      </c>
      <c r="C68" s="25">
        <f>IF(B68="","",INDEX(Posição!$A$5:$A$304,MATCH(B68,Posição!$U$5:$U$304,0)))</f>
        <v>0</v>
      </c>
      <c r="D68" s="23">
        <f>IF(B68="","",INDEX(Posição!$B$5:$B$304,MATCH(B68,Posição!$U$5:$U$304,0)))</f>
        <v>0</v>
      </c>
      <c r="E68" s="24">
        <f>IF(B68="","",ROUND(B68,2))</f>
        <v>0</v>
      </c>
      <c r="F68" s="35">
        <f>IF(E68="","",E68/SUM($E$5:$E$304))</f>
        <v>0</v>
      </c>
      <c r="G68" s="35">
        <f>IF(F68="","",SUM($F$5:F68))</f>
        <v>0</v>
      </c>
      <c r="H68" s="31">
        <f>IF(F68="","",IF(G68-F68&lt;CorteA,"A",IF(G68-F68&lt;CorteB,"B","C")))</f>
        <v>0</v>
      </c>
    </row>
    <row r="69" spans="1:8">
      <c r="A69" s="34">
        <v>65</v>
      </c>
      <c r="B69" s="23">
        <f>IFERROR(LARGE(Posição!$U$5:$U$304,A69),"")</f>
        <v>0</v>
      </c>
      <c r="C69" s="25">
        <f>IF(B69="","",INDEX(Posição!$A$5:$A$304,MATCH(B69,Posição!$U$5:$U$304,0)))</f>
        <v>0</v>
      </c>
      <c r="D69" s="23">
        <f>IF(B69="","",INDEX(Posição!$B$5:$B$304,MATCH(B69,Posição!$U$5:$U$304,0)))</f>
        <v>0</v>
      </c>
      <c r="E69" s="24">
        <f>IF(B69="","",ROUND(B69,2))</f>
        <v>0</v>
      </c>
      <c r="F69" s="35">
        <f>IF(E69="","",E69/SUM($E$5:$E$304))</f>
        <v>0</v>
      </c>
      <c r="G69" s="35">
        <f>IF(F69="","",SUM($F$5:F69))</f>
        <v>0</v>
      </c>
      <c r="H69" s="31">
        <f>IF(F69="","",IF(G69-F69&lt;CorteA,"A",IF(G69-F69&lt;CorteB,"B","C")))</f>
        <v>0</v>
      </c>
    </row>
    <row r="70" spans="1:8">
      <c r="A70" s="34">
        <v>66</v>
      </c>
      <c r="B70" s="23">
        <f>IFERROR(LARGE(Posição!$U$5:$U$304,A70),"")</f>
        <v>0</v>
      </c>
      <c r="C70" s="25">
        <f>IF(B70="","",INDEX(Posição!$A$5:$A$304,MATCH(B70,Posição!$U$5:$U$304,0)))</f>
        <v>0</v>
      </c>
      <c r="D70" s="23">
        <f>IF(B70="","",INDEX(Posição!$B$5:$B$304,MATCH(B70,Posição!$U$5:$U$304,0)))</f>
        <v>0</v>
      </c>
      <c r="E70" s="24">
        <f>IF(B70="","",ROUND(B70,2))</f>
        <v>0</v>
      </c>
      <c r="F70" s="35">
        <f>IF(E70="","",E70/SUM($E$5:$E$304))</f>
        <v>0</v>
      </c>
      <c r="G70" s="35">
        <f>IF(F70="","",SUM($F$5:F70))</f>
        <v>0</v>
      </c>
      <c r="H70" s="31">
        <f>IF(F70="","",IF(G70-F70&lt;CorteA,"A",IF(G70-F70&lt;CorteB,"B","C")))</f>
        <v>0</v>
      </c>
    </row>
    <row r="71" spans="1:8">
      <c r="A71" s="34">
        <v>67</v>
      </c>
      <c r="B71" s="23">
        <f>IFERROR(LARGE(Posição!$U$5:$U$304,A71),"")</f>
        <v>0</v>
      </c>
      <c r="C71" s="25">
        <f>IF(B71="","",INDEX(Posição!$A$5:$A$304,MATCH(B71,Posição!$U$5:$U$304,0)))</f>
        <v>0</v>
      </c>
      <c r="D71" s="23">
        <f>IF(B71="","",INDEX(Posição!$B$5:$B$304,MATCH(B71,Posição!$U$5:$U$304,0)))</f>
        <v>0</v>
      </c>
      <c r="E71" s="24">
        <f>IF(B71="","",ROUND(B71,2))</f>
        <v>0</v>
      </c>
      <c r="F71" s="35">
        <f>IF(E71="","",E71/SUM($E$5:$E$304))</f>
        <v>0</v>
      </c>
      <c r="G71" s="35">
        <f>IF(F71="","",SUM($F$5:F71))</f>
        <v>0</v>
      </c>
      <c r="H71" s="31">
        <f>IF(F71="","",IF(G71-F71&lt;CorteA,"A",IF(G71-F71&lt;CorteB,"B","C")))</f>
        <v>0</v>
      </c>
    </row>
    <row r="72" spans="1:8">
      <c r="A72" s="34">
        <v>68</v>
      </c>
      <c r="B72" s="23">
        <f>IFERROR(LARGE(Posição!$U$5:$U$304,A72),"")</f>
        <v>0</v>
      </c>
      <c r="C72" s="25">
        <f>IF(B72="","",INDEX(Posição!$A$5:$A$304,MATCH(B72,Posição!$U$5:$U$304,0)))</f>
        <v>0</v>
      </c>
      <c r="D72" s="23">
        <f>IF(B72="","",INDEX(Posição!$B$5:$B$304,MATCH(B72,Posição!$U$5:$U$304,0)))</f>
        <v>0</v>
      </c>
      <c r="E72" s="24">
        <f>IF(B72="","",ROUND(B72,2))</f>
        <v>0</v>
      </c>
      <c r="F72" s="35">
        <f>IF(E72="","",E72/SUM($E$5:$E$304))</f>
        <v>0</v>
      </c>
      <c r="G72" s="35">
        <f>IF(F72="","",SUM($F$5:F72))</f>
        <v>0</v>
      </c>
      <c r="H72" s="31">
        <f>IF(F72="","",IF(G72-F72&lt;CorteA,"A",IF(G72-F72&lt;CorteB,"B","C")))</f>
        <v>0</v>
      </c>
    </row>
    <row r="73" spans="1:8">
      <c r="A73" s="34">
        <v>69</v>
      </c>
      <c r="B73" s="23">
        <f>IFERROR(LARGE(Posição!$U$5:$U$304,A73),"")</f>
        <v>0</v>
      </c>
      <c r="C73" s="25">
        <f>IF(B73="","",INDEX(Posição!$A$5:$A$304,MATCH(B73,Posição!$U$5:$U$304,0)))</f>
        <v>0</v>
      </c>
      <c r="D73" s="23">
        <f>IF(B73="","",INDEX(Posição!$B$5:$B$304,MATCH(B73,Posição!$U$5:$U$304,0)))</f>
        <v>0</v>
      </c>
      <c r="E73" s="24">
        <f>IF(B73="","",ROUND(B73,2))</f>
        <v>0</v>
      </c>
      <c r="F73" s="35">
        <f>IF(E73="","",E73/SUM($E$5:$E$304))</f>
        <v>0</v>
      </c>
      <c r="G73" s="35">
        <f>IF(F73="","",SUM($F$5:F73))</f>
        <v>0</v>
      </c>
      <c r="H73" s="31">
        <f>IF(F73="","",IF(G73-F73&lt;CorteA,"A",IF(G73-F73&lt;CorteB,"B","C")))</f>
        <v>0</v>
      </c>
    </row>
    <row r="74" spans="1:8">
      <c r="A74" s="34">
        <v>70</v>
      </c>
      <c r="B74" s="23">
        <f>IFERROR(LARGE(Posição!$U$5:$U$304,A74),"")</f>
        <v>0</v>
      </c>
      <c r="C74" s="25">
        <f>IF(B74="","",INDEX(Posição!$A$5:$A$304,MATCH(B74,Posição!$U$5:$U$304,0)))</f>
        <v>0</v>
      </c>
      <c r="D74" s="23">
        <f>IF(B74="","",INDEX(Posição!$B$5:$B$304,MATCH(B74,Posição!$U$5:$U$304,0)))</f>
        <v>0</v>
      </c>
      <c r="E74" s="24">
        <f>IF(B74="","",ROUND(B74,2))</f>
        <v>0</v>
      </c>
      <c r="F74" s="35">
        <f>IF(E74="","",E74/SUM($E$5:$E$304))</f>
        <v>0</v>
      </c>
      <c r="G74" s="35">
        <f>IF(F74="","",SUM($F$5:F74))</f>
        <v>0</v>
      </c>
      <c r="H74" s="31">
        <f>IF(F74="","",IF(G74-F74&lt;CorteA,"A",IF(G74-F74&lt;CorteB,"B","C")))</f>
        <v>0</v>
      </c>
    </row>
    <row r="75" spans="1:8">
      <c r="A75" s="34">
        <v>71</v>
      </c>
      <c r="B75" s="23">
        <f>IFERROR(LARGE(Posição!$U$5:$U$304,A75),"")</f>
        <v>0</v>
      </c>
      <c r="C75" s="25">
        <f>IF(B75="","",INDEX(Posição!$A$5:$A$304,MATCH(B75,Posição!$U$5:$U$304,0)))</f>
        <v>0</v>
      </c>
      <c r="D75" s="23">
        <f>IF(B75="","",INDEX(Posição!$B$5:$B$304,MATCH(B75,Posição!$U$5:$U$304,0)))</f>
        <v>0</v>
      </c>
      <c r="E75" s="24">
        <f>IF(B75="","",ROUND(B75,2))</f>
        <v>0</v>
      </c>
      <c r="F75" s="35">
        <f>IF(E75="","",E75/SUM($E$5:$E$304))</f>
        <v>0</v>
      </c>
      <c r="G75" s="35">
        <f>IF(F75="","",SUM($F$5:F75))</f>
        <v>0</v>
      </c>
      <c r="H75" s="31">
        <f>IF(F75="","",IF(G75-F75&lt;CorteA,"A",IF(G75-F75&lt;CorteB,"B","C")))</f>
        <v>0</v>
      </c>
    </row>
    <row r="76" spans="1:8">
      <c r="A76" s="34">
        <v>72</v>
      </c>
      <c r="B76" s="23">
        <f>IFERROR(LARGE(Posição!$U$5:$U$304,A76),"")</f>
        <v>0</v>
      </c>
      <c r="C76" s="25">
        <f>IF(B76="","",INDEX(Posição!$A$5:$A$304,MATCH(B76,Posição!$U$5:$U$304,0)))</f>
        <v>0</v>
      </c>
      <c r="D76" s="23">
        <f>IF(B76="","",INDEX(Posição!$B$5:$B$304,MATCH(B76,Posição!$U$5:$U$304,0)))</f>
        <v>0</v>
      </c>
      <c r="E76" s="24">
        <f>IF(B76="","",ROUND(B76,2))</f>
        <v>0</v>
      </c>
      <c r="F76" s="35">
        <f>IF(E76="","",E76/SUM($E$5:$E$304))</f>
        <v>0</v>
      </c>
      <c r="G76" s="35">
        <f>IF(F76="","",SUM($F$5:F76))</f>
        <v>0</v>
      </c>
      <c r="H76" s="31">
        <f>IF(F76="","",IF(G76-F76&lt;CorteA,"A",IF(G76-F76&lt;CorteB,"B","C")))</f>
        <v>0</v>
      </c>
    </row>
    <row r="77" spans="1:8">
      <c r="A77" s="34">
        <v>73</v>
      </c>
      <c r="B77" s="23">
        <f>IFERROR(LARGE(Posição!$U$5:$U$304,A77),"")</f>
        <v>0</v>
      </c>
      <c r="C77" s="25">
        <f>IF(B77="","",INDEX(Posição!$A$5:$A$304,MATCH(B77,Posição!$U$5:$U$304,0)))</f>
        <v>0</v>
      </c>
      <c r="D77" s="23">
        <f>IF(B77="","",INDEX(Posição!$B$5:$B$304,MATCH(B77,Posição!$U$5:$U$304,0)))</f>
        <v>0</v>
      </c>
      <c r="E77" s="24">
        <f>IF(B77="","",ROUND(B77,2))</f>
        <v>0</v>
      </c>
      <c r="F77" s="35">
        <f>IF(E77="","",E77/SUM($E$5:$E$304))</f>
        <v>0</v>
      </c>
      <c r="G77" s="35">
        <f>IF(F77="","",SUM($F$5:F77))</f>
        <v>0</v>
      </c>
      <c r="H77" s="31">
        <f>IF(F77="","",IF(G77-F77&lt;CorteA,"A",IF(G77-F77&lt;CorteB,"B","C")))</f>
        <v>0</v>
      </c>
    </row>
    <row r="78" spans="1:8">
      <c r="A78" s="34">
        <v>74</v>
      </c>
      <c r="B78" s="23">
        <f>IFERROR(LARGE(Posição!$U$5:$U$304,A78),"")</f>
        <v>0</v>
      </c>
      <c r="C78" s="25">
        <f>IF(B78="","",INDEX(Posição!$A$5:$A$304,MATCH(B78,Posição!$U$5:$U$304,0)))</f>
        <v>0</v>
      </c>
      <c r="D78" s="23">
        <f>IF(B78="","",INDEX(Posição!$B$5:$B$304,MATCH(B78,Posição!$U$5:$U$304,0)))</f>
        <v>0</v>
      </c>
      <c r="E78" s="24">
        <f>IF(B78="","",ROUND(B78,2))</f>
        <v>0</v>
      </c>
      <c r="F78" s="35">
        <f>IF(E78="","",E78/SUM($E$5:$E$304))</f>
        <v>0</v>
      </c>
      <c r="G78" s="35">
        <f>IF(F78="","",SUM($F$5:F78))</f>
        <v>0</v>
      </c>
      <c r="H78" s="31">
        <f>IF(F78="","",IF(G78-F78&lt;CorteA,"A",IF(G78-F78&lt;CorteB,"B","C")))</f>
        <v>0</v>
      </c>
    </row>
    <row r="79" spans="1:8">
      <c r="A79" s="34">
        <v>75</v>
      </c>
      <c r="B79" s="23">
        <f>IFERROR(LARGE(Posição!$U$5:$U$304,A79),"")</f>
        <v>0</v>
      </c>
      <c r="C79" s="25">
        <f>IF(B79="","",INDEX(Posição!$A$5:$A$304,MATCH(B79,Posição!$U$5:$U$304,0)))</f>
        <v>0</v>
      </c>
      <c r="D79" s="23">
        <f>IF(B79="","",INDEX(Posição!$B$5:$B$304,MATCH(B79,Posição!$U$5:$U$304,0)))</f>
        <v>0</v>
      </c>
      <c r="E79" s="24">
        <f>IF(B79="","",ROUND(B79,2))</f>
        <v>0</v>
      </c>
      <c r="F79" s="35">
        <f>IF(E79="","",E79/SUM($E$5:$E$304))</f>
        <v>0</v>
      </c>
      <c r="G79" s="35">
        <f>IF(F79="","",SUM($F$5:F79))</f>
        <v>0</v>
      </c>
      <c r="H79" s="31">
        <f>IF(F79="","",IF(G79-F79&lt;CorteA,"A",IF(G79-F79&lt;CorteB,"B","C")))</f>
        <v>0</v>
      </c>
    </row>
    <row r="80" spans="1:8">
      <c r="A80" s="34">
        <v>76</v>
      </c>
      <c r="B80" s="23">
        <f>IFERROR(LARGE(Posição!$U$5:$U$304,A80),"")</f>
        <v>0</v>
      </c>
      <c r="C80" s="25">
        <f>IF(B80="","",INDEX(Posição!$A$5:$A$304,MATCH(B80,Posição!$U$5:$U$304,0)))</f>
        <v>0</v>
      </c>
      <c r="D80" s="23">
        <f>IF(B80="","",INDEX(Posição!$B$5:$B$304,MATCH(B80,Posição!$U$5:$U$304,0)))</f>
        <v>0</v>
      </c>
      <c r="E80" s="24">
        <f>IF(B80="","",ROUND(B80,2))</f>
        <v>0</v>
      </c>
      <c r="F80" s="35">
        <f>IF(E80="","",E80/SUM($E$5:$E$304))</f>
        <v>0</v>
      </c>
      <c r="G80" s="35">
        <f>IF(F80="","",SUM($F$5:F80))</f>
        <v>0</v>
      </c>
      <c r="H80" s="31">
        <f>IF(F80="","",IF(G80-F80&lt;CorteA,"A",IF(G80-F80&lt;CorteB,"B","C")))</f>
        <v>0</v>
      </c>
    </row>
    <row r="81" spans="1:8">
      <c r="A81" s="34">
        <v>77</v>
      </c>
      <c r="B81" s="23">
        <f>IFERROR(LARGE(Posição!$U$5:$U$304,A81),"")</f>
        <v>0</v>
      </c>
      <c r="C81" s="25">
        <f>IF(B81="","",INDEX(Posição!$A$5:$A$304,MATCH(B81,Posição!$U$5:$U$304,0)))</f>
        <v>0</v>
      </c>
      <c r="D81" s="23">
        <f>IF(B81="","",INDEX(Posição!$B$5:$B$304,MATCH(B81,Posição!$U$5:$U$304,0)))</f>
        <v>0</v>
      </c>
      <c r="E81" s="24">
        <f>IF(B81="","",ROUND(B81,2))</f>
        <v>0</v>
      </c>
      <c r="F81" s="35">
        <f>IF(E81="","",E81/SUM($E$5:$E$304))</f>
        <v>0</v>
      </c>
      <c r="G81" s="35">
        <f>IF(F81="","",SUM($F$5:F81))</f>
        <v>0</v>
      </c>
      <c r="H81" s="31">
        <f>IF(F81="","",IF(G81-F81&lt;CorteA,"A",IF(G81-F81&lt;CorteB,"B","C")))</f>
        <v>0</v>
      </c>
    </row>
    <row r="82" spans="1:8">
      <c r="A82" s="34">
        <v>78</v>
      </c>
      <c r="B82" s="23">
        <f>IFERROR(LARGE(Posição!$U$5:$U$304,A82),"")</f>
        <v>0</v>
      </c>
      <c r="C82" s="25">
        <f>IF(B82="","",INDEX(Posição!$A$5:$A$304,MATCH(B82,Posição!$U$5:$U$304,0)))</f>
        <v>0</v>
      </c>
      <c r="D82" s="23">
        <f>IF(B82="","",INDEX(Posição!$B$5:$B$304,MATCH(B82,Posição!$U$5:$U$304,0)))</f>
        <v>0</v>
      </c>
      <c r="E82" s="24">
        <f>IF(B82="","",ROUND(B82,2))</f>
        <v>0</v>
      </c>
      <c r="F82" s="35">
        <f>IF(E82="","",E82/SUM($E$5:$E$304))</f>
        <v>0</v>
      </c>
      <c r="G82" s="35">
        <f>IF(F82="","",SUM($F$5:F82))</f>
        <v>0</v>
      </c>
      <c r="H82" s="31">
        <f>IF(F82="","",IF(G82-F82&lt;CorteA,"A",IF(G82-F82&lt;CorteB,"B","C")))</f>
        <v>0</v>
      </c>
    </row>
    <row r="83" spans="1:8">
      <c r="A83" s="34">
        <v>79</v>
      </c>
      <c r="B83" s="23">
        <f>IFERROR(LARGE(Posição!$U$5:$U$304,A83),"")</f>
        <v>0</v>
      </c>
      <c r="C83" s="25">
        <f>IF(B83="","",INDEX(Posição!$A$5:$A$304,MATCH(B83,Posição!$U$5:$U$304,0)))</f>
        <v>0</v>
      </c>
      <c r="D83" s="23">
        <f>IF(B83="","",INDEX(Posição!$B$5:$B$304,MATCH(B83,Posição!$U$5:$U$304,0)))</f>
        <v>0</v>
      </c>
      <c r="E83" s="24">
        <f>IF(B83="","",ROUND(B83,2))</f>
        <v>0</v>
      </c>
      <c r="F83" s="35">
        <f>IF(E83="","",E83/SUM($E$5:$E$304))</f>
        <v>0</v>
      </c>
      <c r="G83" s="35">
        <f>IF(F83="","",SUM($F$5:F83))</f>
        <v>0</v>
      </c>
      <c r="H83" s="31">
        <f>IF(F83="","",IF(G83-F83&lt;CorteA,"A",IF(G83-F83&lt;CorteB,"B","C")))</f>
        <v>0</v>
      </c>
    </row>
    <row r="84" spans="1:8">
      <c r="A84" s="34">
        <v>80</v>
      </c>
      <c r="B84" s="23">
        <f>IFERROR(LARGE(Posição!$U$5:$U$304,A84),"")</f>
        <v>0</v>
      </c>
      <c r="C84" s="25">
        <f>IF(B84="","",INDEX(Posição!$A$5:$A$304,MATCH(B84,Posição!$U$5:$U$304,0)))</f>
        <v>0</v>
      </c>
      <c r="D84" s="23">
        <f>IF(B84="","",INDEX(Posição!$B$5:$B$304,MATCH(B84,Posição!$U$5:$U$304,0)))</f>
        <v>0</v>
      </c>
      <c r="E84" s="24">
        <f>IF(B84="","",ROUND(B84,2))</f>
        <v>0</v>
      </c>
      <c r="F84" s="35">
        <f>IF(E84="","",E84/SUM($E$5:$E$304))</f>
        <v>0</v>
      </c>
      <c r="G84" s="35">
        <f>IF(F84="","",SUM($F$5:F84))</f>
        <v>0</v>
      </c>
      <c r="H84" s="31">
        <f>IF(F84="","",IF(G84-F84&lt;CorteA,"A",IF(G84-F84&lt;CorteB,"B","C")))</f>
        <v>0</v>
      </c>
    </row>
    <row r="85" spans="1:8">
      <c r="A85" s="34">
        <v>81</v>
      </c>
      <c r="B85" s="23">
        <f>IFERROR(LARGE(Posição!$U$5:$U$304,A85),"")</f>
        <v>0</v>
      </c>
      <c r="C85" s="25">
        <f>IF(B85="","",INDEX(Posição!$A$5:$A$304,MATCH(B85,Posição!$U$5:$U$304,0)))</f>
        <v>0</v>
      </c>
      <c r="D85" s="23">
        <f>IF(B85="","",INDEX(Posição!$B$5:$B$304,MATCH(B85,Posição!$U$5:$U$304,0)))</f>
        <v>0</v>
      </c>
      <c r="E85" s="24">
        <f>IF(B85="","",ROUND(B85,2))</f>
        <v>0</v>
      </c>
      <c r="F85" s="35">
        <f>IF(E85="","",E85/SUM($E$5:$E$304))</f>
        <v>0</v>
      </c>
      <c r="G85" s="35">
        <f>IF(F85="","",SUM($F$5:F85))</f>
        <v>0</v>
      </c>
      <c r="H85" s="31">
        <f>IF(F85="","",IF(G85-F85&lt;CorteA,"A",IF(G85-F85&lt;CorteB,"B","C")))</f>
        <v>0</v>
      </c>
    </row>
    <row r="86" spans="1:8">
      <c r="A86" s="34">
        <v>82</v>
      </c>
      <c r="B86" s="23">
        <f>IFERROR(LARGE(Posição!$U$5:$U$304,A86),"")</f>
        <v>0</v>
      </c>
      <c r="C86" s="25">
        <f>IF(B86="","",INDEX(Posição!$A$5:$A$304,MATCH(B86,Posição!$U$5:$U$304,0)))</f>
        <v>0</v>
      </c>
      <c r="D86" s="23">
        <f>IF(B86="","",INDEX(Posição!$B$5:$B$304,MATCH(B86,Posição!$U$5:$U$304,0)))</f>
        <v>0</v>
      </c>
      <c r="E86" s="24">
        <f>IF(B86="","",ROUND(B86,2))</f>
        <v>0</v>
      </c>
      <c r="F86" s="35">
        <f>IF(E86="","",E86/SUM($E$5:$E$304))</f>
        <v>0</v>
      </c>
      <c r="G86" s="35">
        <f>IF(F86="","",SUM($F$5:F86))</f>
        <v>0</v>
      </c>
      <c r="H86" s="31">
        <f>IF(F86="","",IF(G86-F86&lt;CorteA,"A",IF(G86-F86&lt;CorteB,"B","C")))</f>
        <v>0</v>
      </c>
    </row>
    <row r="87" spans="1:8">
      <c r="A87" s="34">
        <v>83</v>
      </c>
      <c r="B87" s="23">
        <f>IFERROR(LARGE(Posição!$U$5:$U$304,A87),"")</f>
        <v>0</v>
      </c>
      <c r="C87" s="25">
        <f>IF(B87="","",INDEX(Posição!$A$5:$A$304,MATCH(B87,Posição!$U$5:$U$304,0)))</f>
        <v>0</v>
      </c>
      <c r="D87" s="23">
        <f>IF(B87="","",INDEX(Posição!$B$5:$B$304,MATCH(B87,Posição!$U$5:$U$304,0)))</f>
        <v>0</v>
      </c>
      <c r="E87" s="24">
        <f>IF(B87="","",ROUND(B87,2))</f>
        <v>0</v>
      </c>
      <c r="F87" s="35">
        <f>IF(E87="","",E87/SUM($E$5:$E$304))</f>
        <v>0</v>
      </c>
      <c r="G87" s="35">
        <f>IF(F87="","",SUM($F$5:F87))</f>
        <v>0</v>
      </c>
      <c r="H87" s="31">
        <f>IF(F87="","",IF(G87-F87&lt;CorteA,"A",IF(G87-F87&lt;CorteB,"B","C")))</f>
        <v>0</v>
      </c>
    </row>
    <row r="88" spans="1:8">
      <c r="A88" s="34">
        <v>84</v>
      </c>
      <c r="B88" s="23">
        <f>IFERROR(LARGE(Posição!$U$5:$U$304,A88),"")</f>
        <v>0</v>
      </c>
      <c r="C88" s="25">
        <f>IF(B88="","",INDEX(Posição!$A$5:$A$304,MATCH(B88,Posição!$U$5:$U$304,0)))</f>
        <v>0</v>
      </c>
      <c r="D88" s="23">
        <f>IF(B88="","",INDEX(Posição!$B$5:$B$304,MATCH(B88,Posição!$U$5:$U$304,0)))</f>
        <v>0</v>
      </c>
      <c r="E88" s="24">
        <f>IF(B88="","",ROUND(B88,2))</f>
        <v>0</v>
      </c>
      <c r="F88" s="35">
        <f>IF(E88="","",E88/SUM($E$5:$E$304))</f>
        <v>0</v>
      </c>
      <c r="G88" s="35">
        <f>IF(F88="","",SUM($F$5:F88))</f>
        <v>0</v>
      </c>
      <c r="H88" s="31">
        <f>IF(F88="","",IF(G88-F88&lt;CorteA,"A",IF(G88-F88&lt;CorteB,"B","C")))</f>
        <v>0</v>
      </c>
    </row>
    <row r="89" spans="1:8">
      <c r="A89" s="34">
        <v>85</v>
      </c>
      <c r="B89" s="23">
        <f>IFERROR(LARGE(Posição!$U$5:$U$304,A89),"")</f>
        <v>0</v>
      </c>
      <c r="C89" s="25">
        <f>IF(B89="","",INDEX(Posição!$A$5:$A$304,MATCH(B89,Posição!$U$5:$U$304,0)))</f>
        <v>0</v>
      </c>
      <c r="D89" s="23">
        <f>IF(B89="","",INDEX(Posição!$B$5:$B$304,MATCH(B89,Posição!$U$5:$U$304,0)))</f>
        <v>0</v>
      </c>
      <c r="E89" s="24">
        <f>IF(B89="","",ROUND(B89,2))</f>
        <v>0</v>
      </c>
      <c r="F89" s="35">
        <f>IF(E89="","",E89/SUM($E$5:$E$304))</f>
        <v>0</v>
      </c>
      <c r="G89" s="35">
        <f>IF(F89="","",SUM($F$5:F89))</f>
        <v>0</v>
      </c>
      <c r="H89" s="31">
        <f>IF(F89="","",IF(G89-F89&lt;CorteA,"A",IF(G89-F89&lt;CorteB,"B","C")))</f>
        <v>0</v>
      </c>
    </row>
    <row r="90" spans="1:8">
      <c r="A90" s="34">
        <v>86</v>
      </c>
      <c r="B90" s="23">
        <f>IFERROR(LARGE(Posição!$U$5:$U$304,A90),"")</f>
        <v>0</v>
      </c>
      <c r="C90" s="25">
        <f>IF(B90="","",INDEX(Posição!$A$5:$A$304,MATCH(B90,Posição!$U$5:$U$304,0)))</f>
        <v>0</v>
      </c>
      <c r="D90" s="23">
        <f>IF(B90="","",INDEX(Posição!$B$5:$B$304,MATCH(B90,Posição!$U$5:$U$304,0)))</f>
        <v>0</v>
      </c>
      <c r="E90" s="24">
        <f>IF(B90="","",ROUND(B90,2))</f>
        <v>0</v>
      </c>
      <c r="F90" s="35">
        <f>IF(E90="","",E90/SUM($E$5:$E$304))</f>
        <v>0</v>
      </c>
      <c r="G90" s="35">
        <f>IF(F90="","",SUM($F$5:F90))</f>
        <v>0</v>
      </c>
      <c r="H90" s="31">
        <f>IF(F90="","",IF(G90-F90&lt;CorteA,"A",IF(G90-F90&lt;CorteB,"B","C")))</f>
        <v>0</v>
      </c>
    </row>
    <row r="91" spans="1:8">
      <c r="A91" s="34">
        <v>87</v>
      </c>
      <c r="B91" s="23">
        <f>IFERROR(LARGE(Posição!$U$5:$U$304,A91),"")</f>
        <v>0</v>
      </c>
      <c r="C91" s="25">
        <f>IF(B91="","",INDEX(Posição!$A$5:$A$304,MATCH(B91,Posição!$U$5:$U$304,0)))</f>
        <v>0</v>
      </c>
      <c r="D91" s="23">
        <f>IF(B91="","",INDEX(Posição!$B$5:$B$304,MATCH(B91,Posição!$U$5:$U$304,0)))</f>
        <v>0</v>
      </c>
      <c r="E91" s="24">
        <f>IF(B91="","",ROUND(B91,2))</f>
        <v>0</v>
      </c>
      <c r="F91" s="35">
        <f>IF(E91="","",E91/SUM($E$5:$E$304))</f>
        <v>0</v>
      </c>
      <c r="G91" s="35">
        <f>IF(F91="","",SUM($F$5:F91))</f>
        <v>0</v>
      </c>
      <c r="H91" s="31">
        <f>IF(F91="","",IF(G91-F91&lt;CorteA,"A",IF(G91-F91&lt;CorteB,"B","C")))</f>
        <v>0</v>
      </c>
    </row>
    <row r="92" spans="1:8">
      <c r="A92" s="34">
        <v>88</v>
      </c>
      <c r="B92" s="23">
        <f>IFERROR(LARGE(Posição!$U$5:$U$304,A92),"")</f>
        <v>0</v>
      </c>
      <c r="C92" s="25">
        <f>IF(B92="","",INDEX(Posição!$A$5:$A$304,MATCH(B92,Posição!$U$5:$U$304,0)))</f>
        <v>0</v>
      </c>
      <c r="D92" s="23">
        <f>IF(B92="","",INDEX(Posição!$B$5:$B$304,MATCH(B92,Posição!$U$5:$U$304,0)))</f>
        <v>0</v>
      </c>
      <c r="E92" s="24">
        <f>IF(B92="","",ROUND(B92,2))</f>
        <v>0</v>
      </c>
      <c r="F92" s="35">
        <f>IF(E92="","",E92/SUM($E$5:$E$304))</f>
        <v>0</v>
      </c>
      <c r="G92" s="35">
        <f>IF(F92="","",SUM($F$5:F92))</f>
        <v>0</v>
      </c>
      <c r="H92" s="31">
        <f>IF(F92="","",IF(G92-F92&lt;CorteA,"A",IF(G92-F92&lt;CorteB,"B","C")))</f>
        <v>0</v>
      </c>
    </row>
    <row r="93" spans="1:8">
      <c r="A93" s="34">
        <v>89</v>
      </c>
      <c r="B93" s="23">
        <f>IFERROR(LARGE(Posição!$U$5:$U$304,A93),"")</f>
        <v>0</v>
      </c>
      <c r="C93" s="25">
        <f>IF(B93="","",INDEX(Posição!$A$5:$A$304,MATCH(B93,Posição!$U$5:$U$304,0)))</f>
        <v>0</v>
      </c>
      <c r="D93" s="23">
        <f>IF(B93="","",INDEX(Posição!$B$5:$B$304,MATCH(B93,Posição!$U$5:$U$304,0)))</f>
        <v>0</v>
      </c>
      <c r="E93" s="24">
        <f>IF(B93="","",ROUND(B93,2))</f>
        <v>0</v>
      </c>
      <c r="F93" s="35">
        <f>IF(E93="","",E93/SUM($E$5:$E$304))</f>
        <v>0</v>
      </c>
      <c r="G93" s="35">
        <f>IF(F93="","",SUM($F$5:F93))</f>
        <v>0</v>
      </c>
      <c r="H93" s="31">
        <f>IF(F93="","",IF(G93-F93&lt;CorteA,"A",IF(G93-F93&lt;CorteB,"B","C")))</f>
        <v>0</v>
      </c>
    </row>
    <row r="94" spans="1:8">
      <c r="A94" s="34">
        <v>90</v>
      </c>
      <c r="B94" s="23">
        <f>IFERROR(LARGE(Posição!$U$5:$U$304,A94),"")</f>
        <v>0</v>
      </c>
      <c r="C94" s="25">
        <f>IF(B94="","",INDEX(Posição!$A$5:$A$304,MATCH(B94,Posição!$U$5:$U$304,0)))</f>
        <v>0</v>
      </c>
      <c r="D94" s="23">
        <f>IF(B94="","",INDEX(Posição!$B$5:$B$304,MATCH(B94,Posição!$U$5:$U$304,0)))</f>
        <v>0</v>
      </c>
      <c r="E94" s="24">
        <f>IF(B94="","",ROUND(B94,2))</f>
        <v>0</v>
      </c>
      <c r="F94" s="35">
        <f>IF(E94="","",E94/SUM($E$5:$E$304))</f>
        <v>0</v>
      </c>
      <c r="G94" s="35">
        <f>IF(F94="","",SUM($F$5:F94))</f>
        <v>0</v>
      </c>
      <c r="H94" s="31">
        <f>IF(F94="","",IF(G94-F94&lt;CorteA,"A",IF(G94-F94&lt;CorteB,"B","C")))</f>
        <v>0</v>
      </c>
    </row>
    <row r="95" spans="1:8">
      <c r="A95" s="34">
        <v>91</v>
      </c>
      <c r="B95" s="23">
        <f>IFERROR(LARGE(Posição!$U$5:$U$304,A95),"")</f>
        <v>0</v>
      </c>
      <c r="C95" s="25">
        <f>IF(B95="","",INDEX(Posição!$A$5:$A$304,MATCH(B95,Posição!$U$5:$U$304,0)))</f>
        <v>0</v>
      </c>
      <c r="D95" s="23">
        <f>IF(B95="","",INDEX(Posição!$B$5:$B$304,MATCH(B95,Posição!$U$5:$U$304,0)))</f>
        <v>0</v>
      </c>
      <c r="E95" s="24">
        <f>IF(B95="","",ROUND(B95,2))</f>
        <v>0</v>
      </c>
      <c r="F95" s="35">
        <f>IF(E95="","",E95/SUM($E$5:$E$304))</f>
        <v>0</v>
      </c>
      <c r="G95" s="35">
        <f>IF(F95="","",SUM($F$5:F95))</f>
        <v>0</v>
      </c>
      <c r="H95" s="31">
        <f>IF(F95="","",IF(G95-F95&lt;CorteA,"A",IF(G95-F95&lt;CorteB,"B","C")))</f>
        <v>0</v>
      </c>
    </row>
    <row r="96" spans="1:8">
      <c r="A96" s="34">
        <v>92</v>
      </c>
      <c r="B96" s="23">
        <f>IFERROR(LARGE(Posição!$U$5:$U$304,A96),"")</f>
        <v>0</v>
      </c>
      <c r="C96" s="25">
        <f>IF(B96="","",INDEX(Posição!$A$5:$A$304,MATCH(B96,Posição!$U$5:$U$304,0)))</f>
        <v>0</v>
      </c>
      <c r="D96" s="23">
        <f>IF(B96="","",INDEX(Posição!$B$5:$B$304,MATCH(B96,Posição!$U$5:$U$304,0)))</f>
        <v>0</v>
      </c>
      <c r="E96" s="24">
        <f>IF(B96="","",ROUND(B96,2))</f>
        <v>0</v>
      </c>
      <c r="F96" s="35">
        <f>IF(E96="","",E96/SUM($E$5:$E$304))</f>
        <v>0</v>
      </c>
      <c r="G96" s="35">
        <f>IF(F96="","",SUM($F$5:F96))</f>
        <v>0</v>
      </c>
      <c r="H96" s="31">
        <f>IF(F96="","",IF(G96-F96&lt;CorteA,"A",IF(G96-F96&lt;CorteB,"B","C")))</f>
        <v>0</v>
      </c>
    </row>
    <row r="97" spans="1:8">
      <c r="A97" s="34">
        <v>93</v>
      </c>
      <c r="B97" s="23">
        <f>IFERROR(LARGE(Posição!$U$5:$U$304,A97),"")</f>
        <v>0</v>
      </c>
      <c r="C97" s="25">
        <f>IF(B97="","",INDEX(Posição!$A$5:$A$304,MATCH(B97,Posição!$U$5:$U$304,0)))</f>
        <v>0</v>
      </c>
      <c r="D97" s="23">
        <f>IF(B97="","",INDEX(Posição!$B$5:$B$304,MATCH(B97,Posição!$U$5:$U$304,0)))</f>
        <v>0</v>
      </c>
      <c r="E97" s="24">
        <f>IF(B97="","",ROUND(B97,2))</f>
        <v>0</v>
      </c>
      <c r="F97" s="35">
        <f>IF(E97="","",E97/SUM($E$5:$E$304))</f>
        <v>0</v>
      </c>
      <c r="G97" s="35">
        <f>IF(F97="","",SUM($F$5:F97))</f>
        <v>0</v>
      </c>
      <c r="H97" s="31">
        <f>IF(F97="","",IF(G97-F97&lt;CorteA,"A",IF(G97-F97&lt;CorteB,"B","C")))</f>
        <v>0</v>
      </c>
    </row>
    <row r="98" spans="1:8">
      <c r="A98" s="34">
        <v>94</v>
      </c>
      <c r="B98" s="23">
        <f>IFERROR(LARGE(Posição!$U$5:$U$304,A98),"")</f>
        <v>0</v>
      </c>
      <c r="C98" s="25">
        <f>IF(B98="","",INDEX(Posição!$A$5:$A$304,MATCH(B98,Posição!$U$5:$U$304,0)))</f>
        <v>0</v>
      </c>
      <c r="D98" s="23">
        <f>IF(B98="","",INDEX(Posição!$B$5:$B$304,MATCH(B98,Posição!$U$5:$U$304,0)))</f>
        <v>0</v>
      </c>
      <c r="E98" s="24">
        <f>IF(B98="","",ROUND(B98,2))</f>
        <v>0</v>
      </c>
      <c r="F98" s="35">
        <f>IF(E98="","",E98/SUM($E$5:$E$304))</f>
        <v>0</v>
      </c>
      <c r="G98" s="35">
        <f>IF(F98="","",SUM($F$5:F98))</f>
        <v>0</v>
      </c>
      <c r="H98" s="31">
        <f>IF(F98="","",IF(G98-F98&lt;CorteA,"A",IF(G98-F98&lt;CorteB,"B","C")))</f>
        <v>0</v>
      </c>
    </row>
    <row r="99" spans="1:8">
      <c r="A99" s="34">
        <v>95</v>
      </c>
      <c r="B99" s="23">
        <f>IFERROR(LARGE(Posição!$U$5:$U$304,A99),"")</f>
        <v>0</v>
      </c>
      <c r="C99" s="25">
        <f>IF(B99="","",INDEX(Posição!$A$5:$A$304,MATCH(B99,Posição!$U$5:$U$304,0)))</f>
        <v>0</v>
      </c>
      <c r="D99" s="23">
        <f>IF(B99="","",INDEX(Posição!$B$5:$B$304,MATCH(B99,Posição!$U$5:$U$304,0)))</f>
        <v>0</v>
      </c>
      <c r="E99" s="24">
        <f>IF(B99="","",ROUND(B99,2))</f>
        <v>0</v>
      </c>
      <c r="F99" s="35">
        <f>IF(E99="","",E99/SUM($E$5:$E$304))</f>
        <v>0</v>
      </c>
      <c r="G99" s="35">
        <f>IF(F99="","",SUM($F$5:F99))</f>
        <v>0</v>
      </c>
      <c r="H99" s="31">
        <f>IF(F99="","",IF(G99-F99&lt;CorteA,"A",IF(G99-F99&lt;CorteB,"B","C")))</f>
        <v>0</v>
      </c>
    </row>
    <row r="100" spans="1:8">
      <c r="A100" s="34">
        <v>96</v>
      </c>
      <c r="B100" s="23">
        <f>IFERROR(LARGE(Posição!$U$5:$U$304,A100),"")</f>
        <v>0</v>
      </c>
      <c r="C100" s="25">
        <f>IF(B100="","",INDEX(Posição!$A$5:$A$304,MATCH(B100,Posição!$U$5:$U$304,0)))</f>
        <v>0</v>
      </c>
      <c r="D100" s="23">
        <f>IF(B100="","",INDEX(Posição!$B$5:$B$304,MATCH(B100,Posição!$U$5:$U$304,0)))</f>
        <v>0</v>
      </c>
      <c r="E100" s="24">
        <f>IF(B100="","",ROUND(B100,2))</f>
        <v>0</v>
      </c>
      <c r="F100" s="35">
        <f>IF(E100="","",E100/SUM($E$5:$E$304))</f>
        <v>0</v>
      </c>
      <c r="G100" s="35">
        <f>IF(F100="","",SUM($F$5:F100))</f>
        <v>0</v>
      </c>
      <c r="H100" s="31">
        <f>IF(F100="","",IF(G100-F100&lt;CorteA,"A",IF(G100-F100&lt;CorteB,"B","C")))</f>
        <v>0</v>
      </c>
    </row>
    <row r="101" spans="1:8">
      <c r="A101" s="34">
        <v>97</v>
      </c>
      <c r="B101" s="23">
        <f>IFERROR(LARGE(Posição!$U$5:$U$304,A101),"")</f>
        <v>0</v>
      </c>
      <c r="C101" s="25">
        <f>IF(B101="","",INDEX(Posição!$A$5:$A$304,MATCH(B101,Posição!$U$5:$U$304,0)))</f>
        <v>0</v>
      </c>
      <c r="D101" s="23">
        <f>IF(B101="","",INDEX(Posição!$B$5:$B$304,MATCH(B101,Posição!$U$5:$U$304,0)))</f>
        <v>0</v>
      </c>
      <c r="E101" s="24">
        <f>IF(B101="","",ROUND(B101,2))</f>
        <v>0</v>
      </c>
      <c r="F101" s="35">
        <f>IF(E101="","",E101/SUM($E$5:$E$304))</f>
        <v>0</v>
      </c>
      <c r="G101" s="35">
        <f>IF(F101="","",SUM($F$5:F101))</f>
        <v>0</v>
      </c>
      <c r="H101" s="31">
        <f>IF(F101="","",IF(G101-F101&lt;CorteA,"A",IF(G101-F101&lt;CorteB,"B","C")))</f>
        <v>0</v>
      </c>
    </row>
    <row r="102" spans="1:8">
      <c r="A102" s="34">
        <v>98</v>
      </c>
      <c r="B102" s="23">
        <f>IFERROR(LARGE(Posição!$U$5:$U$304,A102),"")</f>
        <v>0</v>
      </c>
      <c r="C102" s="25">
        <f>IF(B102="","",INDEX(Posição!$A$5:$A$304,MATCH(B102,Posição!$U$5:$U$304,0)))</f>
        <v>0</v>
      </c>
      <c r="D102" s="23">
        <f>IF(B102="","",INDEX(Posição!$B$5:$B$304,MATCH(B102,Posição!$U$5:$U$304,0)))</f>
        <v>0</v>
      </c>
      <c r="E102" s="24">
        <f>IF(B102="","",ROUND(B102,2))</f>
        <v>0</v>
      </c>
      <c r="F102" s="35">
        <f>IF(E102="","",E102/SUM($E$5:$E$304))</f>
        <v>0</v>
      </c>
      <c r="G102" s="35">
        <f>IF(F102="","",SUM($F$5:F102))</f>
        <v>0</v>
      </c>
      <c r="H102" s="31">
        <f>IF(F102="","",IF(G102-F102&lt;CorteA,"A",IF(G102-F102&lt;CorteB,"B","C")))</f>
        <v>0</v>
      </c>
    </row>
    <row r="103" spans="1:8">
      <c r="A103" s="34">
        <v>99</v>
      </c>
      <c r="B103" s="23">
        <f>IFERROR(LARGE(Posição!$U$5:$U$304,A103),"")</f>
        <v>0</v>
      </c>
      <c r="C103" s="25">
        <f>IF(B103="","",INDEX(Posição!$A$5:$A$304,MATCH(B103,Posição!$U$5:$U$304,0)))</f>
        <v>0</v>
      </c>
      <c r="D103" s="23">
        <f>IF(B103="","",INDEX(Posição!$B$5:$B$304,MATCH(B103,Posição!$U$5:$U$304,0)))</f>
        <v>0</v>
      </c>
      <c r="E103" s="24">
        <f>IF(B103="","",ROUND(B103,2))</f>
        <v>0</v>
      </c>
      <c r="F103" s="35">
        <f>IF(E103="","",E103/SUM($E$5:$E$304))</f>
        <v>0</v>
      </c>
      <c r="G103" s="35">
        <f>IF(F103="","",SUM($F$5:F103))</f>
        <v>0</v>
      </c>
      <c r="H103" s="31">
        <f>IF(F103="","",IF(G103-F103&lt;CorteA,"A",IF(G103-F103&lt;CorteB,"B","C")))</f>
        <v>0</v>
      </c>
    </row>
    <row r="104" spans="1:8">
      <c r="A104" s="34">
        <v>100</v>
      </c>
      <c r="B104" s="23">
        <f>IFERROR(LARGE(Posição!$U$5:$U$304,A104),"")</f>
        <v>0</v>
      </c>
      <c r="C104" s="25">
        <f>IF(B104="","",INDEX(Posição!$A$5:$A$304,MATCH(B104,Posição!$U$5:$U$304,0)))</f>
        <v>0</v>
      </c>
      <c r="D104" s="23">
        <f>IF(B104="","",INDEX(Posição!$B$5:$B$304,MATCH(B104,Posição!$U$5:$U$304,0)))</f>
        <v>0</v>
      </c>
      <c r="E104" s="24">
        <f>IF(B104="","",ROUND(B104,2))</f>
        <v>0</v>
      </c>
      <c r="F104" s="35">
        <f>IF(E104="","",E104/SUM($E$5:$E$304))</f>
        <v>0</v>
      </c>
      <c r="G104" s="35">
        <f>IF(F104="","",SUM($F$5:F104))</f>
        <v>0</v>
      </c>
      <c r="H104" s="31">
        <f>IF(F104="","",IF(G104-F104&lt;CorteA,"A",IF(G104-F104&lt;CorteB,"B","C")))</f>
        <v>0</v>
      </c>
    </row>
    <row r="105" spans="1:8">
      <c r="A105" s="34">
        <v>101</v>
      </c>
      <c r="B105" s="23">
        <f>IFERROR(LARGE(Posição!$U$5:$U$304,A105),"")</f>
        <v>0</v>
      </c>
      <c r="C105" s="25">
        <f>IF(B105="","",INDEX(Posição!$A$5:$A$304,MATCH(B105,Posição!$U$5:$U$304,0)))</f>
        <v>0</v>
      </c>
      <c r="D105" s="23">
        <f>IF(B105="","",INDEX(Posição!$B$5:$B$304,MATCH(B105,Posição!$U$5:$U$304,0)))</f>
        <v>0</v>
      </c>
      <c r="E105" s="24">
        <f>IF(B105="","",ROUND(B105,2))</f>
        <v>0</v>
      </c>
      <c r="F105" s="35">
        <f>IF(E105="","",E105/SUM($E$5:$E$304))</f>
        <v>0</v>
      </c>
      <c r="G105" s="35">
        <f>IF(F105="","",SUM($F$5:F105))</f>
        <v>0</v>
      </c>
      <c r="H105" s="31">
        <f>IF(F105="","",IF(G105-F105&lt;CorteA,"A",IF(G105-F105&lt;CorteB,"B","C")))</f>
        <v>0</v>
      </c>
    </row>
    <row r="106" spans="1:8">
      <c r="A106" s="34">
        <v>102</v>
      </c>
      <c r="B106" s="23">
        <f>IFERROR(LARGE(Posição!$U$5:$U$304,A106),"")</f>
        <v>0</v>
      </c>
      <c r="C106" s="25">
        <f>IF(B106="","",INDEX(Posição!$A$5:$A$304,MATCH(B106,Posição!$U$5:$U$304,0)))</f>
        <v>0</v>
      </c>
      <c r="D106" s="23">
        <f>IF(B106="","",INDEX(Posição!$B$5:$B$304,MATCH(B106,Posição!$U$5:$U$304,0)))</f>
        <v>0</v>
      </c>
      <c r="E106" s="24">
        <f>IF(B106="","",ROUND(B106,2))</f>
        <v>0</v>
      </c>
      <c r="F106" s="35">
        <f>IF(E106="","",E106/SUM($E$5:$E$304))</f>
        <v>0</v>
      </c>
      <c r="G106" s="35">
        <f>IF(F106="","",SUM($F$5:F106))</f>
        <v>0</v>
      </c>
      <c r="H106" s="31">
        <f>IF(F106="","",IF(G106-F106&lt;CorteA,"A",IF(G106-F106&lt;CorteB,"B","C")))</f>
        <v>0</v>
      </c>
    </row>
    <row r="107" spans="1:8">
      <c r="A107" s="34">
        <v>103</v>
      </c>
      <c r="B107" s="23">
        <f>IFERROR(LARGE(Posição!$U$5:$U$304,A107),"")</f>
        <v>0</v>
      </c>
      <c r="C107" s="25">
        <f>IF(B107="","",INDEX(Posição!$A$5:$A$304,MATCH(B107,Posição!$U$5:$U$304,0)))</f>
        <v>0</v>
      </c>
      <c r="D107" s="23">
        <f>IF(B107="","",INDEX(Posição!$B$5:$B$304,MATCH(B107,Posição!$U$5:$U$304,0)))</f>
        <v>0</v>
      </c>
      <c r="E107" s="24">
        <f>IF(B107="","",ROUND(B107,2))</f>
        <v>0</v>
      </c>
      <c r="F107" s="35">
        <f>IF(E107="","",E107/SUM($E$5:$E$304))</f>
        <v>0</v>
      </c>
      <c r="G107" s="35">
        <f>IF(F107="","",SUM($F$5:F107))</f>
        <v>0</v>
      </c>
      <c r="H107" s="31">
        <f>IF(F107="","",IF(G107-F107&lt;CorteA,"A",IF(G107-F107&lt;CorteB,"B","C")))</f>
        <v>0</v>
      </c>
    </row>
    <row r="108" spans="1:8">
      <c r="A108" s="34">
        <v>104</v>
      </c>
      <c r="B108" s="23">
        <f>IFERROR(LARGE(Posição!$U$5:$U$304,A108),"")</f>
        <v>0</v>
      </c>
      <c r="C108" s="25">
        <f>IF(B108="","",INDEX(Posição!$A$5:$A$304,MATCH(B108,Posição!$U$5:$U$304,0)))</f>
        <v>0</v>
      </c>
      <c r="D108" s="23">
        <f>IF(B108="","",INDEX(Posição!$B$5:$B$304,MATCH(B108,Posição!$U$5:$U$304,0)))</f>
        <v>0</v>
      </c>
      <c r="E108" s="24">
        <f>IF(B108="","",ROUND(B108,2))</f>
        <v>0</v>
      </c>
      <c r="F108" s="35">
        <f>IF(E108="","",E108/SUM($E$5:$E$304))</f>
        <v>0</v>
      </c>
      <c r="G108" s="35">
        <f>IF(F108="","",SUM($F$5:F108))</f>
        <v>0</v>
      </c>
      <c r="H108" s="31">
        <f>IF(F108="","",IF(G108-F108&lt;CorteA,"A",IF(G108-F108&lt;CorteB,"B","C")))</f>
        <v>0</v>
      </c>
    </row>
    <row r="109" spans="1:8">
      <c r="A109" s="34">
        <v>105</v>
      </c>
      <c r="B109" s="23">
        <f>IFERROR(LARGE(Posição!$U$5:$U$304,A109),"")</f>
        <v>0</v>
      </c>
      <c r="C109" s="25">
        <f>IF(B109="","",INDEX(Posição!$A$5:$A$304,MATCH(B109,Posição!$U$5:$U$304,0)))</f>
        <v>0</v>
      </c>
      <c r="D109" s="23">
        <f>IF(B109="","",INDEX(Posição!$B$5:$B$304,MATCH(B109,Posição!$U$5:$U$304,0)))</f>
        <v>0</v>
      </c>
      <c r="E109" s="24">
        <f>IF(B109="","",ROUND(B109,2))</f>
        <v>0</v>
      </c>
      <c r="F109" s="35">
        <f>IF(E109="","",E109/SUM($E$5:$E$304))</f>
        <v>0</v>
      </c>
      <c r="G109" s="35">
        <f>IF(F109="","",SUM($F$5:F109))</f>
        <v>0</v>
      </c>
      <c r="H109" s="31">
        <f>IF(F109="","",IF(G109-F109&lt;CorteA,"A",IF(G109-F109&lt;CorteB,"B","C")))</f>
        <v>0</v>
      </c>
    </row>
    <row r="110" spans="1:8">
      <c r="A110" s="34">
        <v>106</v>
      </c>
      <c r="B110" s="23">
        <f>IFERROR(LARGE(Posição!$U$5:$U$304,A110),"")</f>
        <v>0</v>
      </c>
      <c r="C110" s="25">
        <f>IF(B110="","",INDEX(Posição!$A$5:$A$304,MATCH(B110,Posição!$U$5:$U$304,0)))</f>
        <v>0</v>
      </c>
      <c r="D110" s="23">
        <f>IF(B110="","",INDEX(Posição!$B$5:$B$304,MATCH(B110,Posição!$U$5:$U$304,0)))</f>
        <v>0</v>
      </c>
      <c r="E110" s="24">
        <f>IF(B110="","",ROUND(B110,2))</f>
        <v>0</v>
      </c>
      <c r="F110" s="35">
        <f>IF(E110="","",E110/SUM($E$5:$E$304))</f>
        <v>0</v>
      </c>
      <c r="G110" s="35">
        <f>IF(F110="","",SUM($F$5:F110))</f>
        <v>0</v>
      </c>
      <c r="H110" s="31">
        <f>IF(F110="","",IF(G110-F110&lt;CorteA,"A",IF(G110-F110&lt;CorteB,"B","C")))</f>
        <v>0</v>
      </c>
    </row>
    <row r="111" spans="1:8">
      <c r="A111" s="34">
        <v>107</v>
      </c>
      <c r="B111" s="23">
        <f>IFERROR(LARGE(Posição!$U$5:$U$304,A111),"")</f>
        <v>0</v>
      </c>
      <c r="C111" s="25">
        <f>IF(B111="","",INDEX(Posição!$A$5:$A$304,MATCH(B111,Posição!$U$5:$U$304,0)))</f>
        <v>0</v>
      </c>
      <c r="D111" s="23">
        <f>IF(B111="","",INDEX(Posição!$B$5:$B$304,MATCH(B111,Posição!$U$5:$U$304,0)))</f>
        <v>0</v>
      </c>
      <c r="E111" s="24">
        <f>IF(B111="","",ROUND(B111,2))</f>
        <v>0</v>
      </c>
      <c r="F111" s="35">
        <f>IF(E111="","",E111/SUM($E$5:$E$304))</f>
        <v>0</v>
      </c>
      <c r="G111" s="35">
        <f>IF(F111="","",SUM($F$5:F111))</f>
        <v>0</v>
      </c>
      <c r="H111" s="31">
        <f>IF(F111="","",IF(G111-F111&lt;CorteA,"A",IF(G111-F111&lt;CorteB,"B","C")))</f>
        <v>0</v>
      </c>
    </row>
    <row r="112" spans="1:8">
      <c r="A112" s="34">
        <v>108</v>
      </c>
      <c r="B112" s="23">
        <f>IFERROR(LARGE(Posição!$U$5:$U$304,A112),"")</f>
        <v>0</v>
      </c>
      <c r="C112" s="25">
        <f>IF(B112="","",INDEX(Posição!$A$5:$A$304,MATCH(B112,Posição!$U$5:$U$304,0)))</f>
        <v>0</v>
      </c>
      <c r="D112" s="23">
        <f>IF(B112="","",INDEX(Posição!$B$5:$B$304,MATCH(B112,Posição!$U$5:$U$304,0)))</f>
        <v>0</v>
      </c>
      <c r="E112" s="24">
        <f>IF(B112="","",ROUND(B112,2))</f>
        <v>0</v>
      </c>
      <c r="F112" s="35">
        <f>IF(E112="","",E112/SUM($E$5:$E$304))</f>
        <v>0</v>
      </c>
      <c r="G112" s="35">
        <f>IF(F112="","",SUM($F$5:F112))</f>
        <v>0</v>
      </c>
      <c r="H112" s="31">
        <f>IF(F112="","",IF(G112-F112&lt;CorteA,"A",IF(G112-F112&lt;CorteB,"B","C")))</f>
        <v>0</v>
      </c>
    </row>
    <row r="113" spans="1:8">
      <c r="A113" s="34">
        <v>109</v>
      </c>
      <c r="B113" s="23">
        <f>IFERROR(LARGE(Posição!$U$5:$U$304,A113),"")</f>
        <v>0</v>
      </c>
      <c r="C113" s="25">
        <f>IF(B113="","",INDEX(Posição!$A$5:$A$304,MATCH(B113,Posição!$U$5:$U$304,0)))</f>
        <v>0</v>
      </c>
      <c r="D113" s="23">
        <f>IF(B113="","",INDEX(Posição!$B$5:$B$304,MATCH(B113,Posição!$U$5:$U$304,0)))</f>
        <v>0</v>
      </c>
      <c r="E113" s="24">
        <f>IF(B113="","",ROUND(B113,2))</f>
        <v>0</v>
      </c>
      <c r="F113" s="35">
        <f>IF(E113="","",E113/SUM($E$5:$E$304))</f>
        <v>0</v>
      </c>
      <c r="G113" s="35">
        <f>IF(F113="","",SUM($F$5:F113))</f>
        <v>0</v>
      </c>
      <c r="H113" s="31">
        <f>IF(F113="","",IF(G113-F113&lt;CorteA,"A",IF(G113-F113&lt;CorteB,"B","C")))</f>
        <v>0</v>
      </c>
    </row>
    <row r="114" spans="1:8">
      <c r="A114" s="34">
        <v>110</v>
      </c>
      <c r="B114" s="23">
        <f>IFERROR(LARGE(Posição!$U$5:$U$304,A114),"")</f>
        <v>0</v>
      </c>
      <c r="C114" s="25">
        <f>IF(B114="","",INDEX(Posição!$A$5:$A$304,MATCH(B114,Posição!$U$5:$U$304,0)))</f>
        <v>0</v>
      </c>
      <c r="D114" s="23">
        <f>IF(B114="","",INDEX(Posição!$B$5:$B$304,MATCH(B114,Posição!$U$5:$U$304,0)))</f>
        <v>0</v>
      </c>
      <c r="E114" s="24">
        <f>IF(B114="","",ROUND(B114,2))</f>
        <v>0</v>
      </c>
      <c r="F114" s="35">
        <f>IF(E114="","",E114/SUM($E$5:$E$304))</f>
        <v>0</v>
      </c>
      <c r="G114" s="35">
        <f>IF(F114="","",SUM($F$5:F114))</f>
        <v>0</v>
      </c>
      <c r="H114" s="31">
        <f>IF(F114="","",IF(G114-F114&lt;CorteA,"A",IF(G114-F114&lt;CorteB,"B","C")))</f>
        <v>0</v>
      </c>
    </row>
    <row r="115" spans="1:8">
      <c r="A115" s="34">
        <v>111</v>
      </c>
      <c r="B115" s="23">
        <f>IFERROR(LARGE(Posição!$U$5:$U$304,A115),"")</f>
        <v>0</v>
      </c>
      <c r="C115" s="25">
        <f>IF(B115="","",INDEX(Posição!$A$5:$A$304,MATCH(B115,Posição!$U$5:$U$304,0)))</f>
        <v>0</v>
      </c>
      <c r="D115" s="23">
        <f>IF(B115="","",INDEX(Posição!$B$5:$B$304,MATCH(B115,Posição!$U$5:$U$304,0)))</f>
        <v>0</v>
      </c>
      <c r="E115" s="24">
        <f>IF(B115="","",ROUND(B115,2))</f>
        <v>0</v>
      </c>
      <c r="F115" s="35">
        <f>IF(E115="","",E115/SUM($E$5:$E$304))</f>
        <v>0</v>
      </c>
      <c r="G115" s="35">
        <f>IF(F115="","",SUM($F$5:F115))</f>
        <v>0</v>
      </c>
      <c r="H115" s="31">
        <f>IF(F115="","",IF(G115-F115&lt;CorteA,"A",IF(G115-F115&lt;CorteB,"B","C")))</f>
        <v>0</v>
      </c>
    </row>
    <row r="116" spans="1:8">
      <c r="A116" s="34">
        <v>112</v>
      </c>
      <c r="B116" s="23">
        <f>IFERROR(LARGE(Posição!$U$5:$U$304,A116),"")</f>
        <v>0</v>
      </c>
      <c r="C116" s="25">
        <f>IF(B116="","",INDEX(Posição!$A$5:$A$304,MATCH(B116,Posição!$U$5:$U$304,0)))</f>
        <v>0</v>
      </c>
      <c r="D116" s="23">
        <f>IF(B116="","",INDEX(Posição!$B$5:$B$304,MATCH(B116,Posição!$U$5:$U$304,0)))</f>
        <v>0</v>
      </c>
      <c r="E116" s="24">
        <f>IF(B116="","",ROUND(B116,2))</f>
        <v>0</v>
      </c>
      <c r="F116" s="35">
        <f>IF(E116="","",E116/SUM($E$5:$E$304))</f>
        <v>0</v>
      </c>
      <c r="G116" s="35">
        <f>IF(F116="","",SUM($F$5:F116))</f>
        <v>0</v>
      </c>
      <c r="H116" s="31">
        <f>IF(F116="","",IF(G116-F116&lt;CorteA,"A",IF(G116-F116&lt;CorteB,"B","C")))</f>
        <v>0</v>
      </c>
    </row>
    <row r="117" spans="1:8">
      <c r="A117" s="34">
        <v>113</v>
      </c>
      <c r="B117" s="23">
        <f>IFERROR(LARGE(Posição!$U$5:$U$304,A117),"")</f>
        <v>0</v>
      </c>
      <c r="C117" s="25">
        <f>IF(B117="","",INDEX(Posição!$A$5:$A$304,MATCH(B117,Posição!$U$5:$U$304,0)))</f>
        <v>0</v>
      </c>
      <c r="D117" s="23">
        <f>IF(B117="","",INDEX(Posição!$B$5:$B$304,MATCH(B117,Posição!$U$5:$U$304,0)))</f>
        <v>0</v>
      </c>
      <c r="E117" s="24">
        <f>IF(B117="","",ROUND(B117,2))</f>
        <v>0</v>
      </c>
      <c r="F117" s="35">
        <f>IF(E117="","",E117/SUM($E$5:$E$304))</f>
        <v>0</v>
      </c>
      <c r="G117" s="35">
        <f>IF(F117="","",SUM($F$5:F117))</f>
        <v>0</v>
      </c>
      <c r="H117" s="31">
        <f>IF(F117="","",IF(G117-F117&lt;CorteA,"A",IF(G117-F117&lt;CorteB,"B","C")))</f>
        <v>0</v>
      </c>
    </row>
    <row r="118" spans="1:8">
      <c r="A118" s="34">
        <v>114</v>
      </c>
      <c r="B118" s="23">
        <f>IFERROR(LARGE(Posição!$U$5:$U$304,A118),"")</f>
        <v>0</v>
      </c>
      <c r="C118" s="25">
        <f>IF(B118="","",INDEX(Posição!$A$5:$A$304,MATCH(B118,Posição!$U$5:$U$304,0)))</f>
        <v>0</v>
      </c>
      <c r="D118" s="23">
        <f>IF(B118="","",INDEX(Posição!$B$5:$B$304,MATCH(B118,Posição!$U$5:$U$304,0)))</f>
        <v>0</v>
      </c>
      <c r="E118" s="24">
        <f>IF(B118="","",ROUND(B118,2))</f>
        <v>0</v>
      </c>
      <c r="F118" s="35">
        <f>IF(E118="","",E118/SUM($E$5:$E$304))</f>
        <v>0</v>
      </c>
      <c r="G118" s="35">
        <f>IF(F118="","",SUM($F$5:F118))</f>
        <v>0</v>
      </c>
      <c r="H118" s="31">
        <f>IF(F118="","",IF(G118-F118&lt;CorteA,"A",IF(G118-F118&lt;CorteB,"B","C")))</f>
        <v>0</v>
      </c>
    </row>
    <row r="119" spans="1:8">
      <c r="A119" s="34">
        <v>115</v>
      </c>
      <c r="B119" s="23">
        <f>IFERROR(LARGE(Posição!$U$5:$U$304,A119),"")</f>
        <v>0</v>
      </c>
      <c r="C119" s="25">
        <f>IF(B119="","",INDEX(Posição!$A$5:$A$304,MATCH(B119,Posição!$U$5:$U$304,0)))</f>
        <v>0</v>
      </c>
      <c r="D119" s="23">
        <f>IF(B119="","",INDEX(Posição!$B$5:$B$304,MATCH(B119,Posição!$U$5:$U$304,0)))</f>
        <v>0</v>
      </c>
      <c r="E119" s="24">
        <f>IF(B119="","",ROUND(B119,2))</f>
        <v>0</v>
      </c>
      <c r="F119" s="35">
        <f>IF(E119="","",E119/SUM($E$5:$E$304))</f>
        <v>0</v>
      </c>
      <c r="G119" s="35">
        <f>IF(F119="","",SUM($F$5:F119))</f>
        <v>0</v>
      </c>
      <c r="H119" s="31">
        <f>IF(F119="","",IF(G119-F119&lt;CorteA,"A",IF(G119-F119&lt;CorteB,"B","C")))</f>
        <v>0</v>
      </c>
    </row>
    <row r="120" spans="1:8">
      <c r="A120" s="34">
        <v>116</v>
      </c>
      <c r="B120" s="23">
        <f>IFERROR(LARGE(Posição!$U$5:$U$304,A120),"")</f>
        <v>0</v>
      </c>
      <c r="C120" s="25">
        <f>IF(B120="","",INDEX(Posição!$A$5:$A$304,MATCH(B120,Posição!$U$5:$U$304,0)))</f>
        <v>0</v>
      </c>
      <c r="D120" s="23">
        <f>IF(B120="","",INDEX(Posição!$B$5:$B$304,MATCH(B120,Posição!$U$5:$U$304,0)))</f>
        <v>0</v>
      </c>
      <c r="E120" s="24">
        <f>IF(B120="","",ROUND(B120,2))</f>
        <v>0</v>
      </c>
      <c r="F120" s="35">
        <f>IF(E120="","",E120/SUM($E$5:$E$304))</f>
        <v>0</v>
      </c>
      <c r="G120" s="35">
        <f>IF(F120="","",SUM($F$5:F120))</f>
        <v>0</v>
      </c>
      <c r="H120" s="31">
        <f>IF(F120="","",IF(G120-F120&lt;CorteA,"A",IF(G120-F120&lt;CorteB,"B","C")))</f>
        <v>0</v>
      </c>
    </row>
    <row r="121" spans="1:8">
      <c r="A121" s="34">
        <v>117</v>
      </c>
      <c r="B121" s="23">
        <f>IFERROR(LARGE(Posição!$U$5:$U$304,A121),"")</f>
        <v>0</v>
      </c>
      <c r="C121" s="25">
        <f>IF(B121="","",INDEX(Posição!$A$5:$A$304,MATCH(B121,Posição!$U$5:$U$304,0)))</f>
        <v>0</v>
      </c>
      <c r="D121" s="23">
        <f>IF(B121="","",INDEX(Posição!$B$5:$B$304,MATCH(B121,Posição!$U$5:$U$304,0)))</f>
        <v>0</v>
      </c>
      <c r="E121" s="24">
        <f>IF(B121="","",ROUND(B121,2))</f>
        <v>0</v>
      </c>
      <c r="F121" s="35">
        <f>IF(E121="","",E121/SUM($E$5:$E$304))</f>
        <v>0</v>
      </c>
      <c r="G121" s="35">
        <f>IF(F121="","",SUM($F$5:F121))</f>
        <v>0</v>
      </c>
      <c r="H121" s="31">
        <f>IF(F121="","",IF(G121-F121&lt;CorteA,"A",IF(G121-F121&lt;CorteB,"B","C")))</f>
        <v>0</v>
      </c>
    </row>
    <row r="122" spans="1:8">
      <c r="A122" s="34">
        <v>118</v>
      </c>
      <c r="B122" s="23">
        <f>IFERROR(LARGE(Posição!$U$5:$U$304,A122),"")</f>
        <v>0</v>
      </c>
      <c r="C122" s="25">
        <f>IF(B122="","",INDEX(Posição!$A$5:$A$304,MATCH(B122,Posição!$U$5:$U$304,0)))</f>
        <v>0</v>
      </c>
      <c r="D122" s="23">
        <f>IF(B122="","",INDEX(Posição!$B$5:$B$304,MATCH(B122,Posição!$U$5:$U$304,0)))</f>
        <v>0</v>
      </c>
      <c r="E122" s="24">
        <f>IF(B122="","",ROUND(B122,2))</f>
        <v>0</v>
      </c>
      <c r="F122" s="35">
        <f>IF(E122="","",E122/SUM($E$5:$E$304))</f>
        <v>0</v>
      </c>
      <c r="G122" s="35">
        <f>IF(F122="","",SUM($F$5:F122))</f>
        <v>0</v>
      </c>
      <c r="H122" s="31">
        <f>IF(F122="","",IF(G122-F122&lt;CorteA,"A",IF(G122-F122&lt;CorteB,"B","C")))</f>
        <v>0</v>
      </c>
    </row>
    <row r="123" spans="1:8">
      <c r="A123" s="34">
        <v>119</v>
      </c>
      <c r="B123" s="23">
        <f>IFERROR(LARGE(Posição!$U$5:$U$304,A123),"")</f>
        <v>0</v>
      </c>
      <c r="C123" s="25">
        <f>IF(B123="","",INDEX(Posição!$A$5:$A$304,MATCH(B123,Posição!$U$5:$U$304,0)))</f>
        <v>0</v>
      </c>
      <c r="D123" s="23">
        <f>IF(B123="","",INDEX(Posição!$B$5:$B$304,MATCH(B123,Posição!$U$5:$U$304,0)))</f>
        <v>0</v>
      </c>
      <c r="E123" s="24">
        <f>IF(B123="","",ROUND(B123,2))</f>
        <v>0</v>
      </c>
      <c r="F123" s="35">
        <f>IF(E123="","",E123/SUM($E$5:$E$304))</f>
        <v>0</v>
      </c>
      <c r="G123" s="35">
        <f>IF(F123="","",SUM($F$5:F123))</f>
        <v>0</v>
      </c>
      <c r="H123" s="31">
        <f>IF(F123="","",IF(G123-F123&lt;CorteA,"A",IF(G123-F123&lt;CorteB,"B","C")))</f>
        <v>0</v>
      </c>
    </row>
    <row r="124" spans="1:8">
      <c r="A124" s="34">
        <v>120</v>
      </c>
      <c r="B124" s="23">
        <f>IFERROR(LARGE(Posição!$U$5:$U$304,A124),"")</f>
        <v>0</v>
      </c>
      <c r="C124" s="25">
        <f>IF(B124="","",INDEX(Posição!$A$5:$A$304,MATCH(B124,Posição!$U$5:$U$304,0)))</f>
        <v>0</v>
      </c>
      <c r="D124" s="23">
        <f>IF(B124="","",INDEX(Posição!$B$5:$B$304,MATCH(B124,Posição!$U$5:$U$304,0)))</f>
        <v>0</v>
      </c>
      <c r="E124" s="24">
        <f>IF(B124="","",ROUND(B124,2))</f>
        <v>0</v>
      </c>
      <c r="F124" s="35">
        <f>IF(E124="","",E124/SUM($E$5:$E$304))</f>
        <v>0</v>
      </c>
      <c r="G124" s="35">
        <f>IF(F124="","",SUM($F$5:F124))</f>
        <v>0</v>
      </c>
      <c r="H124" s="31">
        <f>IF(F124="","",IF(G124-F124&lt;CorteA,"A",IF(G124-F124&lt;CorteB,"B","C")))</f>
        <v>0</v>
      </c>
    </row>
    <row r="125" spans="1:8">
      <c r="A125" s="34">
        <v>121</v>
      </c>
      <c r="B125" s="23">
        <f>IFERROR(LARGE(Posição!$U$5:$U$304,A125),"")</f>
        <v>0</v>
      </c>
      <c r="C125" s="25">
        <f>IF(B125="","",INDEX(Posição!$A$5:$A$304,MATCH(B125,Posição!$U$5:$U$304,0)))</f>
        <v>0</v>
      </c>
      <c r="D125" s="23">
        <f>IF(B125="","",INDEX(Posição!$B$5:$B$304,MATCH(B125,Posição!$U$5:$U$304,0)))</f>
        <v>0</v>
      </c>
      <c r="E125" s="24">
        <f>IF(B125="","",ROUND(B125,2))</f>
        <v>0</v>
      </c>
      <c r="F125" s="35">
        <f>IF(E125="","",E125/SUM($E$5:$E$304))</f>
        <v>0</v>
      </c>
      <c r="G125" s="35">
        <f>IF(F125="","",SUM($F$5:F125))</f>
        <v>0</v>
      </c>
      <c r="H125" s="31">
        <f>IF(F125="","",IF(G125-F125&lt;CorteA,"A",IF(G125-F125&lt;CorteB,"B","C")))</f>
        <v>0</v>
      </c>
    </row>
    <row r="126" spans="1:8">
      <c r="A126" s="34">
        <v>122</v>
      </c>
      <c r="B126" s="23">
        <f>IFERROR(LARGE(Posição!$U$5:$U$304,A126),"")</f>
        <v>0</v>
      </c>
      <c r="C126" s="25">
        <f>IF(B126="","",INDEX(Posição!$A$5:$A$304,MATCH(B126,Posição!$U$5:$U$304,0)))</f>
        <v>0</v>
      </c>
      <c r="D126" s="23">
        <f>IF(B126="","",INDEX(Posição!$B$5:$B$304,MATCH(B126,Posição!$U$5:$U$304,0)))</f>
        <v>0</v>
      </c>
      <c r="E126" s="24">
        <f>IF(B126="","",ROUND(B126,2))</f>
        <v>0</v>
      </c>
      <c r="F126" s="35">
        <f>IF(E126="","",E126/SUM($E$5:$E$304))</f>
        <v>0</v>
      </c>
      <c r="G126" s="35">
        <f>IF(F126="","",SUM($F$5:F126))</f>
        <v>0</v>
      </c>
      <c r="H126" s="31">
        <f>IF(F126="","",IF(G126-F126&lt;CorteA,"A",IF(G126-F126&lt;CorteB,"B","C")))</f>
        <v>0</v>
      </c>
    </row>
    <row r="127" spans="1:8">
      <c r="A127" s="34">
        <v>123</v>
      </c>
      <c r="B127" s="23">
        <f>IFERROR(LARGE(Posição!$U$5:$U$304,A127),"")</f>
        <v>0</v>
      </c>
      <c r="C127" s="25">
        <f>IF(B127="","",INDEX(Posição!$A$5:$A$304,MATCH(B127,Posição!$U$5:$U$304,0)))</f>
        <v>0</v>
      </c>
      <c r="D127" s="23">
        <f>IF(B127="","",INDEX(Posição!$B$5:$B$304,MATCH(B127,Posição!$U$5:$U$304,0)))</f>
        <v>0</v>
      </c>
      <c r="E127" s="24">
        <f>IF(B127="","",ROUND(B127,2))</f>
        <v>0</v>
      </c>
      <c r="F127" s="35">
        <f>IF(E127="","",E127/SUM($E$5:$E$304))</f>
        <v>0</v>
      </c>
      <c r="G127" s="35">
        <f>IF(F127="","",SUM($F$5:F127))</f>
        <v>0</v>
      </c>
      <c r="H127" s="31">
        <f>IF(F127="","",IF(G127-F127&lt;CorteA,"A",IF(G127-F127&lt;CorteB,"B","C")))</f>
        <v>0</v>
      </c>
    </row>
    <row r="128" spans="1:8">
      <c r="A128" s="34">
        <v>124</v>
      </c>
      <c r="B128" s="23">
        <f>IFERROR(LARGE(Posição!$U$5:$U$304,A128),"")</f>
        <v>0</v>
      </c>
      <c r="C128" s="25">
        <f>IF(B128="","",INDEX(Posição!$A$5:$A$304,MATCH(B128,Posição!$U$5:$U$304,0)))</f>
        <v>0</v>
      </c>
      <c r="D128" s="23">
        <f>IF(B128="","",INDEX(Posição!$B$5:$B$304,MATCH(B128,Posição!$U$5:$U$304,0)))</f>
        <v>0</v>
      </c>
      <c r="E128" s="24">
        <f>IF(B128="","",ROUND(B128,2))</f>
        <v>0</v>
      </c>
      <c r="F128" s="35">
        <f>IF(E128="","",E128/SUM($E$5:$E$304))</f>
        <v>0</v>
      </c>
      <c r="G128" s="35">
        <f>IF(F128="","",SUM($F$5:F128))</f>
        <v>0</v>
      </c>
      <c r="H128" s="31">
        <f>IF(F128="","",IF(G128-F128&lt;CorteA,"A",IF(G128-F128&lt;CorteB,"B","C")))</f>
        <v>0</v>
      </c>
    </row>
    <row r="129" spans="1:8">
      <c r="A129" s="34">
        <v>125</v>
      </c>
      <c r="B129" s="23">
        <f>IFERROR(LARGE(Posição!$U$5:$U$304,A129),"")</f>
        <v>0</v>
      </c>
      <c r="C129" s="25">
        <f>IF(B129="","",INDEX(Posição!$A$5:$A$304,MATCH(B129,Posição!$U$5:$U$304,0)))</f>
        <v>0</v>
      </c>
      <c r="D129" s="23">
        <f>IF(B129="","",INDEX(Posição!$B$5:$B$304,MATCH(B129,Posição!$U$5:$U$304,0)))</f>
        <v>0</v>
      </c>
      <c r="E129" s="24">
        <f>IF(B129="","",ROUND(B129,2))</f>
        <v>0</v>
      </c>
      <c r="F129" s="35">
        <f>IF(E129="","",E129/SUM($E$5:$E$304))</f>
        <v>0</v>
      </c>
      <c r="G129" s="35">
        <f>IF(F129="","",SUM($F$5:F129))</f>
        <v>0</v>
      </c>
      <c r="H129" s="31">
        <f>IF(F129="","",IF(G129-F129&lt;CorteA,"A",IF(G129-F129&lt;CorteB,"B","C")))</f>
        <v>0</v>
      </c>
    </row>
    <row r="130" spans="1:8">
      <c r="A130" s="34">
        <v>126</v>
      </c>
      <c r="B130" s="23">
        <f>IFERROR(LARGE(Posição!$U$5:$U$304,A130),"")</f>
        <v>0</v>
      </c>
      <c r="C130" s="25">
        <f>IF(B130="","",INDEX(Posição!$A$5:$A$304,MATCH(B130,Posição!$U$5:$U$304,0)))</f>
        <v>0</v>
      </c>
      <c r="D130" s="23">
        <f>IF(B130="","",INDEX(Posição!$B$5:$B$304,MATCH(B130,Posição!$U$5:$U$304,0)))</f>
        <v>0</v>
      </c>
      <c r="E130" s="24">
        <f>IF(B130="","",ROUND(B130,2))</f>
        <v>0</v>
      </c>
      <c r="F130" s="35">
        <f>IF(E130="","",E130/SUM($E$5:$E$304))</f>
        <v>0</v>
      </c>
      <c r="G130" s="35">
        <f>IF(F130="","",SUM($F$5:F130))</f>
        <v>0</v>
      </c>
      <c r="H130" s="31">
        <f>IF(F130="","",IF(G130-F130&lt;CorteA,"A",IF(G130-F130&lt;CorteB,"B","C")))</f>
        <v>0</v>
      </c>
    </row>
    <row r="131" spans="1:8">
      <c r="A131" s="34">
        <v>127</v>
      </c>
      <c r="B131" s="23">
        <f>IFERROR(LARGE(Posição!$U$5:$U$304,A131),"")</f>
        <v>0</v>
      </c>
      <c r="C131" s="25">
        <f>IF(B131="","",INDEX(Posição!$A$5:$A$304,MATCH(B131,Posição!$U$5:$U$304,0)))</f>
        <v>0</v>
      </c>
      <c r="D131" s="23">
        <f>IF(B131="","",INDEX(Posição!$B$5:$B$304,MATCH(B131,Posição!$U$5:$U$304,0)))</f>
        <v>0</v>
      </c>
      <c r="E131" s="24">
        <f>IF(B131="","",ROUND(B131,2))</f>
        <v>0</v>
      </c>
      <c r="F131" s="35">
        <f>IF(E131="","",E131/SUM($E$5:$E$304))</f>
        <v>0</v>
      </c>
      <c r="G131" s="35">
        <f>IF(F131="","",SUM($F$5:F131))</f>
        <v>0</v>
      </c>
      <c r="H131" s="31">
        <f>IF(F131="","",IF(G131-F131&lt;CorteA,"A",IF(G131-F131&lt;CorteB,"B","C")))</f>
        <v>0</v>
      </c>
    </row>
    <row r="132" spans="1:8">
      <c r="A132" s="34">
        <v>128</v>
      </c>
      <c r="B132" s="23">
        <f>IFERROR(LARGE(Posição!$U$5:$U$304,A132),"")</f>
        <v>0</v>
      </c>
      <c r="C132" s="25">
        <f>IF(B132="","",INDEX(Posição!$A$5:$A$304,MATCH(B132,Posição!$U$5:$U$304,0)))</f>
        <v>0</v>
      </c>
      <c r="D132" s="23">
        <f>IF(B132="","",INDEX(Posição!$B$5:$B$304,MATCH(B132,Posição!$U$5:$U$304,0)))</f>
        <v>0</v>
      </c>
      <c r="E132" s="24">
        <f>IF(B132="","",ROUND(B132,2))</f>
        <v>0</v>
      </c>
      <c r="F132" s="35">
        <f>IF(E132="","",E132/SUM($E$5:$E$304))</f>
        <v>0</v>
      </c>
      <c r="G132" s="35">
        <f>IF(F132="","",SUM($F$5:F132))</f>
        <v>0</v>
      </c>
      <c r="H132" s="31">
        <f>IF(F132="","",IF(G132-F132&lt;CorteA,"A",IF(G132-F132&lt;CorteB,"B","C")))</f>
        <v>0</v>
      </c>
    </row>
    <row r="133" spans="1:8">
      <c r="A133" s="34">
        <v>129</v>
      </c>
      <c r="B133" s="23">
        <f>IFERROR(LARGE(Posição!$U$5:$U$304,A133),"")</f>
        <v>0</v>
      </c>
      <c r="C133" s="25">
        <f>IF(B133="","",INDEX(Posição!$A$5:$A$304,MATCH(B133,Posição!$U$5:$U$304,0)))</f>
        <v>0</v>
      </c>
      <c r="D133" s="23">
        <f>IF(B133="","",INDEX(Posição!$B$5:$B$304,MATCH(B133,Posição!$U$5:$U$304,0)))</f>
        <v>0</v>
      </c>
      <c r="E133" s="24">
        <f>IF(B133="","",ROUND(B133,2))</f>
        <v>0</v>
      </c>
      <c r="F133" s="35">
        <f>IF(E133="","",E133/SUM($E$5:$E$304))</f>
        <v>0</v>
      </c>
      <c r="G133" s="35">
        <f>IF(F133="","",SUM($F$5:F133))</f>
        <v>0</v>
      </c>
      <c r="H133" s="31">
        <f>IF(F133="","",IF(G133-F133&lt;CorteA,"A",IF(G133-F133&lt;CorteB,"B","C")))</f>
        <v>0</v>
      </c>
    </row>
    <row r="134" spans="1:8">
      <c r="A134" s="34">
        <v>130</v>
      </c>
      <c r="B134" s="23">
        <f>IFERROR(LARGE(Posição!$U$5:$U$304,A134),"")</f>
        <v>0</v>
      </c>
      <c r="C134" s="25">
        <f>IF(B134="","",INDEX(Posição!$A$5:$A$304,MATCH(B134,Posição!$U$5:$U$304,0)))</f>
        <v>0</v>
      </c>
      <c r="D134" s="23">
        <f>IF(B134="","",INDEX(Posição!$B$5:$B$304,MATCH(B134,Posição!$U$5:$U$304,0)))</f>
        <v>0</v>
      </c>
      <c r="E134" s="24">
        <f>IF(B134="","",ROUND(B134,2))</f>
        <v>0</v>
      </c>
      <c r="F134" s="35">
        <f>IF(E134="","",E134/SUM($E$5:$E$304))</f>
        <v>0</v>
      </c>
      <c r="G134" s="35">
        <f>IF(F134="","",SUM($F$5:F134))</f>
        <v>0</v>
      </c>
      <c r="H134" s="31">
        <f>IF(F134="","",IF(G134-F134&lt;CorteA,"A",IF(G134-F134&lt;CorteB,"B","C")))</f>
        <v>0</v>
      </c>
    </row>
    <row r="135" spans="1:8">
      <c r="A135" s="34">
        <v>131</v>
      </c>
      <c r="B135" s="23">
        <f>IFERROR(LARGE(Posição!$U$5:$U$304,A135),"")</f>
        <v>0</v>
      </c>
      <c r="C135" s="25">
        <f>IF(B135="","",INDEX(Posição!$A$5:$A$304,MATCH(B135,Posição!$U$5:$U$304,0)))</f>
        <v>0</v>
      </c>
      <c r="D135" s="23">
        <f>IF(B135="","",INDEX(Posição!$B$5:$B$304,MATCH(B135,Posição!$U$5:$U$304,0)))</f>
        <v>0</v>
      </c>
      <c r="E135" s="24">
        <f>IF(B135="","",ROUND(B135,2))</f>
        <v>0</v>
      </c>
      <c r="F135" s="35">
        <f>IF(E135="","",E135/SUM($E$5:$E$304))</f>
        <v>0</v>
      </c>
      <c r="G135" s="35">
        <f>IF(F135="","",SUM($F$5:F135))</f>
        <v>0</v>
      </c>
      <c r="H135" s="31">
        <f>IF(F135="","",IF(G135-F135&lt;CorteA,"A",IF(G135-F135&lt;CorteB,"B","C")))</f>
        <v>0</v>
      </c>
    </row>
    <row r="136" spans="1:8">
      <c r="A136" s="34">
        <v>132</v>
      </c>
      <c r="B136" s="23">
        <f>IFERROR(LARGE(Posição!$U$5:$U$304,A136),"")</f>
        <v>0</v>
      </c>
      <c r="C136" s="25">
        <f>IF(B136="","",INDEX(Posição!$A$5:$A$304,MATCH(B136,Posição!$U$5:$U$304,0)))</f>
        <v>0</v>
      </c>
      <c r="D136" s="23">
        <f>IF(B136="","",INDEX(Posição!$B$5:$B$304,MATCH(B136,Posição!$U$5:$U$304,0)))</f>
        <v>0</v>
      </c>
      <c r="E136" s="24">
        <f>IF(B136="","",ROUND(B136,2))</f>
        <v>0</v>
      </c>
      <c r="F136" s="35">
        <f>IF(E136="","",E136/SUM($E$5:$E$304))</f>
        <v>0</v>
      </c>
      <c r="G136" s="35">
        <f>IF(F136="","",SUM($F$5:F136))</f>
        <v>0</v>
      </c>
      <c r="H136" s="31">
        <f>IF(F136="","",IF(G136-F136&lt;CorteA,"A",IF(G136-F136&lt;CorteB,"B","C")))</f>
        <v>0</v>
      </c>
    </row>
    <row r="137" spans="1:8">
      <c r="A137" s="34">
        <v>133</v>
      </c>
      <c r="B137" s="23">
        <f>IFERROR(LARGE(Posição!$U$5:$U$304,A137),"")</f>
        <v>0</v>
      </c>
      <c r="C137" s="25">
        <f>IF(B137="","",INDEX(Posição!$A$5:$A$304,MATCH(B137,Posição!$U$5:$U$304,0)))</f>
        <v>0</v>
      </c>
      <c r="D137" s="23">
        <f>IF(B137="","",INDEX(Posição!$B$5:$B$304,MATCH(B137,Posição!$U$5:$U$304,0)))</f>
        <v>0</v>
      </c>
      <c r="E137" s="24">
        <f>IF(B137="","",ROUND(B137,2))</f>
        <v>0</v>
      </c>
      <c r="F137" s="35">
        <f>IF(E137="","",E137/SUM($E$5:$E$304))</f>
        <v>0</v>
      </c>
      <c r="G137" s="35">
        <f>IF(F137="","",SUM($F$5:F137))</f>
        <v>0</v>
      </c>
      <c r="H137" s="31">
        <f>IF(F137="","",IF(G137-F137&lt;CorteA,"A",IF(G137-F137&lt;CorteB,"B","C")))</f>
        <v>0</v>
      </c>
    </row>
    <row r="138" spans="1:8">
      <c r="A138" s="34">
        <v>134</v>
      </c>
      <c r="B138" s="23">
        <f>IFERROR(LARGE(Posição!$U$5:$U$304,A138),"")</f>
        <v>0</v>
      </c>
      <c r="C138" s="25">
        <f>IF(B138="","",INDEX(Posição!$A$5:$A$304,MATCH(B138,Posição!$U$5:$U$304,0)))</f>
        <v>0</v>
      </c>
      <c r="D138" s="23">
        <f>IF(B138="","",INDEX(Posição!$B$5:$B$304,MATCH(B138,Posição!$U$5:$U$304,0)))</f>
        <v>0</v>
      </c>
      <c r="E138" s="24">
        <f>IF(B138="","",ROUND(B138,2))</f>
        <v>0</v>
      </c>
      <c r="F138" s="35">
        <f>IF(E138="","",E138/SUM($E$5:$E$304))</f>
        <v>0</v>
      </c>
      <c r="G138" s="35">
        <f>IF(F138="","",SUM($F$5:F138))</f>
        <v>0</v>
      </c>
      <c r="H138" s="31">
        <f>IF(F138="","",IF(G138-F138&lt;CorteA,"A",IF(G138-F138&lt;CorteB,"B","C")))</f>
        <v>0</v>
      </c>
    </row>
    <row r="139" spans="1:8">
      <c r="A139" s="34">
        <v>135</v>
      </c>
      <c r="B139" s="23">
        <f>IFERROR(LARGE(Posição!$U$5:$U$304,A139),"")</f>
        <v>0</v>
      </c>
      <c r="C139" s="25">
        <f>IF(B139="","",INDEX(Posição!$A$5:$A$304,MATCH(B139,Posição!$U$5:$U$304,0)))</f>
        <v>0</v>
      </c>
      <c r="D139" s="23">
        <f>IF(B139="","",INDEX(Posição!$B$5:$B$304,MATCH(B139,Posição!$U$5:$U$304,0)))</f>
        <v>0</v>
      </c>
      <c r="E139" s="24">
        <f>IF(B139="","",ROUND(B139,2))</f>
        <v>0</v>
      </c>
      <c r="F139" s="35">
        <f>IF(E139="","",E139/SUM($E$5:$E$304))</f>
        <v>0</v>
      </c>
      <c r="G139" s="35">
        <f>IF(F139="","",SUM($F$5:F139))</f>
        <v>0</v>
      </c>
      <c r="H139" s="31">
        <f>IF(F139="","",IF(G139-F139&lt;CorteA,"A",IF(G139-F139&lt;CorteB,"B","C")))</f>
        <v>0</v>
      </c>
    </row>
    <row r="140" spans="1:8">
      <c r="A140" s="34">
        <v>136</v>
      </c>
      <c r="B140" s="23">
        <f>IFERROR(LARGE(Posição!$U$5:$U$304,A140),"")</f>
        <v>0</v>
      </c>
      <c r="C140" s="25">
        <f>IF(B140="","",INDEX(Posição!$A$5:$A$304,MATCH(B140,Posição!$U$5:$U$304,0)))</f>
        <v>0</v>
      </c>
      <c r="D140" s="23">
        <f>IF(B140="","",INDEX(Posição!$B$5:$B$304,MATCH(B140,Posição!$U$5:$U$304,0)))</f>
        <v>0</v>
      </c>
      <c r="E140" s="24">
        <f>IF(B140="","",ROUND(B140,2))</f>
        <v>0</v>
      </c>
      <c r="F140" s="35">
        <f>IF(E140="","",E140/SUM($E$5:$E$304))</f>
        <v>0</v>
      </c>
      <c r="G140" s="35">
        <f>IF(F140="","",SUM($F$5:F140))</f>
        <v>0</v>
      </c>
      <c r="H140" s="31">
        <f>IF(F140="","",IF(G140-F140&lt;CorteA,"A",IF(G140-F140&lt;CorteB,"B","C")))</f>
        <v>0</v>
      </c>
    </row>
    <row r="141" spans="1:8">
      <c r="A141" s="34">
        <v>137</v>
      </c>
      <c r="B141" s="23">
        <f>IFERROR(LARGE(Posição!$U$5:$U$304,A141),"")</f>
        <v>0</v>
      </c>
      <c r="C141" s="25">
        <f>IF(B141="","",INDEX(Posição!$A$5:$A$304,MATCH(B141,Posição!$U$5:$U$304,0)))</f>
        <v>0</v>
      </c>
      <c r="D141" s="23">
        <f>IF(B141="","",INDEX(Posição!$B$5:$B$304,MATCH(B141,Posição!$U$5:$U$304,0)))</f>
        <v>0</v>
      </c>
      <c r="E141" s="24">
        <f>IF(B141="","",ROUND(B141,2))</f>
        <v>0</v>
      </c>
      <c r="F141" s="35">
        <f>IF(E141="","",E141/SUM($E$5:$E$304))</f>
        <v>0</v>
      </c>
      <c r="G141" s="35">
        <f>IF(F141="","",SUM($F$5:F141))</f>
        <v>0</v>
      </c>
      <c r="H141" s="31">
        <f>IF(F141="","",IF(G141-F141&lt;CorteA,"A",IF(G141-F141&lt;CorteB,"B","C")))</f>
        <v>0</v>
      </c>
    </row>
    <row r="142" spans="1:8">
      <c r="A142" s="34">
        <v>138</v>
      </c>
      <c r="B142" s="23">
        <f>IFERROR(LARGE(Posição!$U$5:$U$304,A142),"")</f>
        <v>0</v>
      </c>
      <c r="C142" s="25">
        <f>IF(B142="","",INDEX(Posição!$A$5:$A$304,MATCH(B142,Posição!$U$5:$U$304,0)))</f>
        <v>0</v>
      </c>
      <c r="D142" s="23">
        <f>IF(B142="","",INDEX(Posição!$B$5:$B$304,MATCH(B142,Posição!$U$5:$U$304,0)))</f>
        <v>0</v>
      </c>
      <c r="E142" s="24">
        <f>IF(B142="","",ROUND(B142,2))</f>
        <v>0</v>
      </c>
      <c r="F142" s="35">
        <f>IF(E142="","",E142/SUM($E$5:$E$304))</f>
        <v>0</v>
      </c>
      <c r="G142" s="35">
        <f>IF(F142="","",SUM($F$5:F142))</f>
        <v>0</v>
      </c>
      <c r="H142" s="31">
        <f>IF(F142="","",IF(G142-F142&lt;CorteA,"A",IF(G142-F142&lt;CorteB,"B","C")))</f>
        <v>0</v>
      </c>
    </row>
    <row r="143" spans="1:8">
      <c r="A143" s="34">
        <v>139</v>
      </c>
      <c r="B143" s="23">
        <f>IFERROR(LARGE(Posição!$U$5:$U$304,A143),"")</f>
        <v>0</v>
      </c>
      <c r="C143" s="25">
        <f>IF(B143="","",INDEX(Posição!$A$5:$A$304,MATCH(B143,Posição!$U$5:$U$304,0)))</f>
        <v>0</v>
      </c>
      <c r="D143" s="23">
        <f>IF(B143="","",INDEX(Posição!$B$5:$B$304,MATCH(B143,Posição!$U$5:$U$304,0)))</f>
        <v>0</v>
      </c>
      <c r="E143" s="24">
        <f>IF(B143="","",ROUND(B143,2))</f>
        <v>0</v>
      </c>
      <c r="F143" s="35">
        <f>IF(E143="","",E143/SUM($E$5:$E$304))</f>
        <v>0</v>
      </c>
      <c r="G143" s="35">
        <f>IF(F143="","",SUM($F$5:F143))</f>
        <v>0</v>
      </c>
      <c r="H143" s="31">
        <f>IF(F143="","",IF(G143-F143&lt;CorteA,"A",IF(G143-F143&lt;CorteB,"B","C")))</f>
        <v>0</v>
      </c>
    </row>
    <row r="144" spans="1:8">
      <c r="A144" s="34">
        <v>140</v>
      </c>
      <c r="B144" s="23">
        <f>IFERROR(LARGE(Posição!$U$5:$U$304,A144),"")</f>
        <v>0</v>
      </c>
      <c r="C144" s="25">
        <f>IF(B144="","",INDEX(Posição!$A$5:$A$304,MATCH(B144,Posição!$U$5:$U$304,0)))</f>
        <v>0</v>
      </c>
      <c r="D144" s="23">
        <f>IF(B144="","",INDEX(Posição!$B$5:$B$304,MATCH(B144,Posição!$U$5:$U$304,0)))</f>
        <v>0</v>
      </c>
      <c r="E144" s="24">
        <f>IF(B144="","",ROUND(B144,2))</f>
        <v>0</v>
      </c>
      <c r="F144" s="35">
        <f>IF(E144="","",E144/SUM($E$5:$E$304))</f>
        <v>0</v>
      </c>
      <c r="G144" s="35">
        <f>IF(F144="","",SUM($F$5:F144))</f>
        <v>0</v>
      </c>
      <c r="H144" s="31">
        <f>IF(F144="","",IF(G144-F144&lt;CorteA,"A",IF(G144-F144&lt;CorteB,"B","C")))</f>
        <v>0</v>
      </c>
    </row>
    <row r="145" spans="1:8">
      <c r="A145" s="34">
        <v>141</v>
      </c>
      <c r="B145" s="23">
        <f>IFERROR(LARGE(Posição!$U$5:$U$304,A145),"")</f>
        <v>0</v>
      </c>
      <c r="C145" s="25">
        <f>IF(B145="","",INDEX(Posição!$A$5:$A$304,MATCH(B145,Posição!$U$5:$U$304,0)))</f>
        <v>0</v>
      </c>
      <c r="D145" s="23">
        <f>IF(B145="","",INDEX(Posição!$B$5:$B$304,MATCH(B145,Posição!$U$5:$U$304,0)))</f>
        <v>0</v>
      </c>
      <c r="E145" s="24">
        <f>IF(B145="","",ROUND(B145,2))</f>
        <v>0</v>
      </c>
      <c r="F145" s="35">
        <f>IF(E145="","",E145/SUM($E$5:$E$304))</f>
        <v>0</v>
      </c>
      <c r="G145" s="35">
        <f>IF(F145="","",SUM($F$5:F145))</f>
        <v>0</v>
      </c>
      <c r="H145" s="31">
        <f>IF(F145="","",IF(G145-F145&lt;CorteA,"A",IF(G145-F145&lt;CorteB,"B","C")))</f>
        <v>0</v>
      </c>
    </row>
    <row r="146" spans="1:8">
      <c r="A146" s="34">
        <v>142</v>
      </c>
      <c r="B146" s="23">
        <f>IFERROR(LARGE(Posição!$U$5:$U$304,A146),"")</f>
        <v>0</v>
      </c>
      <c r="C146" s="25">
        <f>IF(B146="","",INDEX(Posição!$A$5:$A$304,MATCH(B146,Posição!$U$5:$U$304,0)))</f>
        <v>0</v>
      </c>
      <c r="D146" s="23">
        <f>IF(B146="","",INDEX(Posição!$B$5:$B$304,MATCH(B146,Posição!$U$5:$U$304,0)))</f>
        <v>0</v>
      </c>
      <c r="E146" s="24">
        <f>IF(B146="","",ROUND(B146,2))</f>
        <v>0</v>
      </c>
      <c r="F146" s="35">
        <f>IF(E146="","",E146/SUM($E$5:$E$304))</f>
        <v>0</v>
      </c>
      <c r="G146" s="35">
        <f>IF(F146="","",SUM($F$5:F146))</f>
        <v>0</v>
      </c>
      <c r="H146" s="31">
        <f>IF(F146="","",IF(G146-F146&lt;CorteA,"A",IF(G146-F146&lt;CorteB,"B","C")))</f>
        <v>0</v>
      </c>
    </row>
    <row r="147" spans="1:8">
      <c r="A147" s="34">
        <v>143</v>
      </c>
      <c r="B147" s="23">
        <f>IFERROR(LARGE(Posição!$U$5:$U$304,A147),"")</f>
        <v>0</v>
      </c>
      <c r="C147" s="25">
        <f>IF(B147="","",INDEX(Posição!$A$5:$A$304,MATCH(B147,Posição!$U$5:$U$304,0)))</f>
        <v>0</v>
      </c>
      <c r="D147" s="23">
        <f>IF(B147="","",INDEX(Posição!$B$5:$B$304,MATCH(B147,Posição!$U$5:$U$304,0)))</f>
        <v>0</v>
      </c>
      <c r="E147" s="24">
        <f>IF(B147="","",ROUND(B147,2))</f>
        <v>0</v>
      </c>
      <c r="F147" s="35">
        <f>IF(E147="","",E147/SUM($E$5:$E$304))</f>
        <v>0</v>
      </c>
      <c r="G147" s="35">
        <f>IF(F147="","",SUM($F$5:F147))</f>
        <v>0</v>
      </c>
      <c r="H147" s="31">
        <f>IF(F147="","",IF(G147-F147&lt;CorteA,"A",IF(G147-F147&lt;CorteB,"B","C")))</f>
        <v>0</v>
      </c>
    </row>
    <row r="148" spans="1:8">
      <c r="A148" s="34">
        <v>144</v>
      </c>
      <c r="B148" s="23">
        <f>IFERROR(LARGE(Posição!$U$5:$U$304,A148),"")</f>
        <v>0</v>
      </c>
      <c r="C148" s="25">
        <f>IF(B148="","",INDEX(Posição!$A$5:$A$304,MATCH(B148,Posição!$U$5:$U$304,0)))</f>
        <v>0</v>
      </c>
      <c r="D148" s="23">
        <f>IF(B148="","",INDEX(Posição!$B$5:$B$304,MATCH(B148,Posição!$U$5:$U$304,0)))</f>
        <v>0</v>
      </c>
      <c r="E148" s="24">
        <f>IF(B148="","",ROUND(B148,2))</f>
        <v>0</v>
      </c>
      <c r="F148" s="35">
        <f>IF(E148="","",E148/SUM($E$5:$E$304))</f>
        <v>0</v>
      </c>
      <c r="G148" s="35">
        <f>IF(F148="","",SUM($F$5:F148))</f>
        <v>0</v>
      </c>
      <c r="H148" s="31">
        <f>IF(F148="","",IF(G148-F148&lt;CorteA,"A",IF(G148-F148&lt;CorteB,"B","C")))</f>
        <v>0</v>
      </c>
    </row>
    <row r="149" spans="1:8">
      <c r="A149" s="34">
        <v>145</v>
      </c>
      <c r="B149" s="23">
        <f>IFERROR(LARGE(Posição!$U$5:$U$304,A149),"")</f>
        <v>0</v>
      </c>
      <c r="C149" s="25">
        <f>IF(B149="","",INDEX(Posição!$A$5:$A$304,MATCH(B149,Posição!$U$5:$U$304,0)))</f>
        <v>0</v>
      </c>
      <c r="D149" s="23">
        <f>IF(B149="","",INDEX(Posição!$B$5:$B$304,MATCH(B149,Posição!$U$5:$U$304,0)))</f>
        <v>0</v>
      </c>
      <c r="E149" s="24">
        <f>IF(B149="","",ROUND(B149,2))</f>
        <v>0</v>
      </c>
      <c r="F149" s="35">
        <f>IF(E149="","",E149/SUM($E$5:$E$304))</f>
        <v>0</v>
      </c>
      <c r="G149" s="35">
        <f>IF(F149="","",SUM($F$5:F149))</f>
        <v>0</v>
      </c>
      <c r="H149" s="31">
        <f>IF(F149="","",IF(G149-F149&lt;CorteA,"A",IF(G149-F149&lt;CorteB,"B","C")))</f>
        <v>0</v>
      </c>
    </row>
    <row r="150" spans="1:8">
      <c r="A150" s="34">
        <v>146</v>
      </c>
      <c r="B150" s="23">
        <f>IFERROR(LARGE(Posição!$U$5:$U$304,A150),"")</f>
        <v>0</v>
      </c>
      <c r="C150" s="25">
        <f>IF(B150="","",INDEX(Posição!$A$5:$A$304,MATCH(B150,Posição!$U$5:$U$304,0)))</f>
        <v>0</v>
      </c>
      <c r="D150" s="23">
        <f>IF(B150="","",INDEX(Posição!$B$5:$B$304,MATCH(B150,Posição!$U$5:$U$304,0)))</f>
        <v>0</v>
      </c>
      <c r="E150" s="24">
        <f>IF(B150="","",ROUND(B150,2))</f>
        <v>0</v>
      </c>
      <c r="F150" s="35">
        <f>IF(E150="","",E150/SUM($E$5:$E$304))</f>
        <v>0</v>
      </c>
      <c r="G150" s="35">
        <f>IF(F150="","",SUM($F$5:F150))</f>
        <v>0</v>
      </c>
      <c r="H150" s="31">
        <f>IF(F150="","",IF(G150-F150&lt;CorteA,"A",IF(G150-F150&lt;CorteB,"B","C")))</f>
        <v>0</v>
      </c>
    </row>
    <row r="151" spans="1:8">
      <c r="A151" s="34">
        <v>147</v>
      </c>
      <c r="B151" s="23">
        <f>IFERROR(LARGE(Posição!$U$5:$U$304,A151),"")</f>
        <v>0</v>
      </c>
      <c r="C151" s="25">
        <f>IF(B151="","",INDEX(Posição!$A$5:$A$304,MATCH(B151,Posição!$U$5:$U$304,0)))</f>
        <v>0</v>
      </c>
      <c r="D151" s="23">
        <f>IF(B151="","",INDEX(Posição!$B$5:$B$304,MATCH(B151,Posição!$U$5:$U$304,0)))</f>
        <v>0</v>
      </c>
      <c r="E151" s="24">
        <f>IF(B151="","",ROUND(B151,2))</f>
        <v>0</v>
      </c>
      <c r="F151" s="35">
        <f>IF(E151="","",E151/SUM($E$5:$E$304))</f>
        <v>0</v>
      </c>
      <c r="G151" s="35">
        <f>IF(F151="","",SUM($F$5:F151))</f>
        <v>0</v>
      </c>
      <c r="H151" s="31">
        <f>IF(F151="","",IF(G151-F151&lt;CorteA,"A",IF(G151-F151&lt;CorteB,"B","C")))</f>
        <v>0</v>
      </c>
    </row>
    <row r="152" spans="1:8">
      <c r="A152" s="34">
        <v>148</v>
      </c>
      <c r="B152" s="23">
        <f>IFERROR(LARGE(Posição!$U$5:$U$304,A152),"")</f>
        <v>0</v>
      </c>
      <c r="C152" s="25">
        <f>IF(B152="","",INDEX(Posição!$A$5:$A$304,MATCH(B152,Posição!$U$5:$U$304,0)))</f>
        <v>0</v>
      </c>
      <c r="D152" s="23">
        <f>IF(B152="","",INDEX(Posição!$B$5:$B$304,MATCH(B152,Posição!$U$5:$U$304,0)))</f>
        <v>0</v>
      </c>
      <c r="E152" s="24">
        <f>IF(B152="","",ROUND(B152,2))</f>
        <v>0</v>
      </c>
      <c r="F152" s="35">
        <f>IF(E152="","",E152/SUM($E$5:$E$304))</f>
        <v>0</v>
      </c>
      <c r="G152" s="35">
        <f>IF(F152="","",SUM($F$5:F152))</f>
        <v>0</v>
      </c>
      <c r="H152" s="31">
        <f>IF(F152="","",IF(G152-F152&lt;CorteA,"A",IF(G152-F152&lt;CorteB,"B","C")))</f>
        <v>0</v>
      </c>
    </row>
    <row r="153" spans="1:8">
      <c r="A153" s="34">
        <v>149</v>
      </c>
      <c r="B153" s="23">
        <f>IFERROR(LARGE(Posição!$U$5:$U$304,A153),"")</f>
        <v>0</v>
      </c>
      <c r="C153" s="25">
        <f>IF(B153="","",INDEX(Posição!$A$5:$A$304,MATCH(B153,Posição!$U$5:$U$304,0)))</f>
        <v>0</v>
      </c>
      <c r="D153" s="23">
        <f>IF(B153="","",INDEX(Posição!$B$5:$B$304,MATCH(B153,Posição!$U$5:$U$304,0)))</f>
        <v>0</v>
      </c>
      <c r="E153" s="24">
        <f>IF(B153="","",ROUND(B153,2))</f>
        <v>0</v>
      </c>
      <c r="F153" s="35">
        <f>IF(E153="","",E153/SUM($E$5:$E$304))</f>
        <v>0</v>
      </c>
      <c r="G153" s="35">
        <f>IF(F153="","",SUM($F$5:F153))</f>
        <v>0</v>
      </c>
      <c r="H153" s="31">
        <f>IF(F153="","",IF(G153-F153&lt;CorteA,"A",IF(G153-F153&lt;CorteB,"B","C")))</f>
        <v>0</v>
      </c>
    </row>
    <row r="154" spans="1:8">
      <c r="A154" s="34">
        <v>150</v>
      </c>
      <c r="B154" s="23">
        <f>IFERROR(LARGE(Posição!$U$5:$U$304,A154),"")</f>
        <v>0</v>
      </c>
      <c r="C154" s="25">
        <f>IF(B154="","",INDEX(Posição!$A$5:$A$304,MATCH(B154,Posição!$U$5:$U$304,0)))</f>
        <v>0</v>
      </c>
      <c r="D154" s="23">
        <f>IF(B154="","",INDEX(Posição!$B$5:$B$304,MATCH(B154,Posição!$U$5:$U$304,0)))</f>
        <v>0</v>
      </c>
      <c r="E154" s="24">
        <f>IF(B154="","",ROUND(B154,2))</f>
        <v>0</v>
      </c>
      <c r="F154" s="35">
        <f>IF(E154="","",E154/SUM($E$5:$E$304))</f>
        <v>0</v>
      </c>
      <c r="G154" s="35">
        <f>IF(F154="","",SUM($F$5:F154))</f>
        <v>0</v>
      </c>
      <c r="H154" s="31">
        <f>IF(F154="","",IF(G154-F154&lt;CorteA,"A",IF(G154-F154&lt;CorteB,"B","C")))</f>
        <v>0</v>
      </c>
    </row>
    <row r="155" spans="1:8">
      <c r="A155" s="34">
        <v>151</v>
      </c>
      <c r="B155" s="23">
        <f>IFERROR(LARGE(Posição!$U$5:$U$304,A155),"")</f>
        <v>0</v>
      </c>
      <c r="C155" s="25">
        <f>IF(B155="","",INDEX(Posição!$A$5:$A$304,MATCH(B155,Posição!$U$5:$U$304,0)))</f>
        <v>0</v>
      </c>
      <c r="D155" s="23">
        <f>IF(B155="","",INDEX(Posição!$B$5:$B$304,MATCH(B155,Posição!$U$5:$U$304,0)))</f>
        <v>0</v>
      </c>
      <c r="E155" s="24">
        <f>IF(B155="","",ROUND(B155,2))</f>
        <v>0</v>
      </c>
      <c r="F155" s="35">
        <f>IF(E155="","",E155/SUM($E$5:$E$304))</f>
        <v>0</v>
      </c>
      <c r="G155" s="35">
        <f>IF(F155="","",SUM($F$5:F155))</f>
        <v>0</v>
      </c>
      <c r="H155" s="31">
        <f>IF(F155="","",IF(G155-F155&lt;CorteA,"A",IF(G155-F155&lt;CorteB,"B","C")))</f>
        <v>0</v>
      </c>
    </row>
    <row r="156" spans="1:8">
      <c r="A156" s="34">
        <v>152</v>
      </c>
      <c r="B156" s="23">
        <f>IFERROR(LARGE(Posição!$U$5:$U$304,A156),"")</f>
        <v>0</v>
      </c>
      <c r="C156" s="25">
        <f>IF(B156="","",INDEX(Posição!$A$5:$A$304,MATCH(B156,Posição!$U$5:$U$304,0)))</f>
        <v>0</v>
      </c>
      <c r="D156" s="23">
        <f>IF(B156="","",INDEX(Posição!$B$5:$B$304,MATCH(B156,Posição!$U$5:$U$304,0)))</f>
        <v>0</v>
      </c>
      <c r="E156" s="24">
        <f>IF(B156="","",ROUND(B156,2))</f>
        <v>0</v>
      </c>
      <c r="F156" s="35">
        <f>IF(E156="","",E156/SUM($E$5:$E$304))</f>
        <v>0</v>
      </c>
      <c r="G156" s="35">
        <f>IF(F156="","",SUM($F$5:F156))</f>
        <v>0</v>
      </c>
      <c r="H156" s="31">
        <f>IF(F156="","",IF(G156-F156&lt;CorteA,"A",IF(G156-F156&lt;CorteB,"B","C")))</f>
        <v>0</v>
      </c>
    </row>
    <row r="157" spans="1:8">
      <c r="A157" s="34">
        <v>153</v>
      </c>
      <c r="B157" s="23">
        <f>IFERROR(LARGE(Posição!$U$5:$U$304,A157),"")</f>
        <v>0</v>
      </c>
      <c r="C157" s="25">
        <f>IF(B157="","",INDEX(Posição!$A$5:$A$304,MATCH(B157,Posição!$U$5:$U$304,0)))</f>
        <v>0</v>
      </c>
      <c r="D157" s="23">
        <f>IF(B157="","",INDEX(Posição!$B$5:$B$304,MATCH(B157,Posição!$U$5:$U$304,0)))</f>
        <v>0</v>
      </c>
      <c r="E157" s="24">
        <f>IF(B157="","",ROUND(B157,2))</f>
        <v>0</v>
      </c>
      <c r="F157" s="35">
        <f>IF(E157="","",E157/SUM($E$5:$E$304))</f>
        <v>0</v>
      </c>
      <c r="G157" s="35">
        <f>IF(F157="","",SUM($F$5:F157))</f>
        <v>0</v>
      </c>
      <c r="H157" s="31">
        <f>IF(F157="","",IF(G157-F157&lt;CorteA,"A",IF(G157-F157&lt;CorteB,"B","C")))</f>
        <v>0</v>
      </c>
    </row>
    <row r="158" spans="1:8">
      <c r="A158" s="34">
        <v>154</v>
      </c>
      <c r="B158" s="23">
        <f>IFERROR(LARGE(Posição!$U$5:$U$304,A158),"")</f>
        <v>0</v>
      </c>
      <c r="C158" s="25">
        <f>IF(B158="","",INDEX(Posição!$A$5:$A$304,MATCH(B158,Posição!$U$5:$U$304,0)))</f>
        <v>0</v>
      </c>
      <c r="D158" s="23">
        <f>IF(B158="","",INDEX(Posição!$B$5:$B$304,MATCH(B158,Posição!$U$5:$U$304,0)))</f>
        <v>0</v>
      </c>
      <c r="E158" s="24">
        <f>IF(B158="","",ROUND(B158,2))</f>
        <v>0</v>
      </c>
      <c r="F158" s="35">
        <f>IF(E158="","",E158/SUM($E$5:$E$304))</f>
        <v>0</v>
      </c>
      <c r="G158" s="35">
        <f>IF(F158="","",SUM($F$5:F158))</f>
        <v>0</v>
      </c>
      <c r="H158" s="31">
        <f>IF(F158="","",IF(G158-F158&lt;CorteA,"A",IF(G158-F158&lt;CorteB,"B","C")))</f>
        <v>0</v>
      </c>
    </row>
    <row r="159" spans="1:8">
      <c r="A159" s="34">
        <v>155</v>
      </c>
      <c r="B159" s="23">
        <f>IFERROR(LARGE(Posição!$U$5:$U$304,A159),"")</f>
        <v>0</v>
      </c>
      <c r="C159" s="25">
        <f>IF(B159="","",INDEX(Posição!$A$5:$A$304,MATCH(B159,Posição!$U$5:$U$304,0)))</f>
        <v>0</v>
      </c>
      <c r="D159" s="23">
        <f>IF(B159="","",INDEX(Posição!$B$5:$B$304,MATCH(B159,Posição!$U$5:$U$304,0)))</f>
        <v>0</v>
      </c>
      <c r="E159" s="24">
        <f>IF(B159="","",ROUND(B159,2))</f>
        <v>0</v>
      </c>
      <c r="F159" s="35">
        <f>IF(E159="","",E159/SUM($E$5:$E$304))</f>
        <v>0</v>
      </c>
      <c r="G159" s="35">
        <f>IF(F159="","",SUM($F$5:F159))</f>
        <v>0</v>
      </c>
      <c r="H159" s="31">
        <f>IF(F159="","",IF(G159-F159&lt;CorteA,"A",IF(G159-F159&lt;CorteB,"B","C")))</f>
        <v>0</v>
      </c>
    </row>
    <row r="160" spans="1:8">
      <c r="A160" s="34">
        <v>156</v>
      </c>
      <c r="B160" s="23">
        <f>IFERROR(LARGE(Posição!$U$5:$U$304,A160),"")</f>
        <v>0</v>
      </c>
      <c r="C160" s="25">
        <f>IF(B160="","",INDEX(Posição!$A$5:$A$304,MATCH(B160,Posição!$U$5:$U$304,0)))</f>
        <v>0</v>
      </c>
      <c r="D160" s="23">
        <f>IF(B160="","",INDEX(Posição!$B$5:$B$304,MATCH(B160,Posição!$U$5:$U$304,0)))</f>
        <v>0</v>
      </c>
      <c r="E160" s="24">
        <f>IF(B160="","",ROUND(B160,2))</f>
        <v>0</v>
      </c>
      <c r="F160" s="35">
        <f>IF(E160="","",E160/SUM($E$5:$E$304))</f>
        <v>0</v>
      </c>
      <c r="G160" s="35">
        <f>IF(F160="","",SUM($F$5:F160))</f>
        <v>0</v>
      </c>
      <c r="H160" s="31">
        <f>IF(F160="","",IF(G160-F160&lt;CorteA,"A",IF(G160-F160&lt;CorteB,"B","C")))</f>
        <v>0</v>
      </c>
    </row>
    <row r="161" spans="1:8">
      <c r="A161" s="34">
        <v>157</v>
      </c>
      <c r="B161" s="23">
        <f>IFERROR(LARGE(Posição!$U$5:$U$304,A161),"")</f>
        <v>0</v>
      </c>
      <c r="C161" s="25">
        <f>IF(B161="","",INDEX(Posição!$A$5:$A$304,MATCH(B161,Posição!$U$5:$U$304,0)))</f>
        <v>0</v>
      </c>
      <c r="D161" s="23">
        <f>IF(B161="","",INDEX(Posição!$B$5:$B$304,MATCH(B161,Posição!$U$5:$U$304,0)))</f>
        <v>0</v>
      </c>
      <c r="E161" s="24">
        <f>IF(B161="","",ROUND(B161,2))</f>
        <v>0</v>
      </c>
      <c r="F161" s="35">
        <f>IF(E161="","",E161/SUM($E$5:$E$304))</f>
        <v>0</v>
      </c>
      <c r="G161" s="35">
        <f>IF(F161="","",SUM($F$5:F161))</f>
        <v>0</v>
      </c>
      <c r="H161" s="31">
        <f>IF(F161="","",IF(G161-F161&lt;CorteA,"A",IF(G161-F161&lt;CorteB,"B","C")))</f>
        <v>0</v>
      </c>
    </row>
    <row r="162" spans="1:8">
      <c r="A162" s="34">
        <v>158</v>
      </c>
      <c r="B162" s="23">
        <f>IFERROR(LARGE(Posição!$U$5:$U$304,A162),"")</f>
        <v>0</v>
      </c>
      <c r="C162" s="25">
        <f>IF(B162="","",INDEX(Posição!$A$5:$A$304,MATCH(B162,Posição!$U$5:$U$304,0)))</f>
        <v>0</v>
      </c>
      <c r="D162" s="23">
        <f>IF(B162="","",INDEX(Posição!$B$5:$B$304,MATCH(B162,Posição!$U$5:$U$304,0)))</f>
        <v>0</v>
      </c>
      <c r="E162" s="24">
        <f>IF(B162="","",ROUND(B162,2))</f>
        <v>0</v>
      </c>
      <c r="F162" s="35">
        <f>IF(E162="","",E162/SUM($E$5:$E$304))</f>
        <v>0</v>
      </c>
      <c r="G162" s="35">
        <f>IF(F162="","",SUM($F$5:F162))</f>
        <v>0</v>
      </c>
      <c r="H162" s="31">
        <f>IF(F162="","",IF(G162-F162&lt;CorteA,"A",IF(G162-F162&lt;CorteB,"B","C")))</f>
        <v>0</v>
      </c>
    </row>
    <row r="163" spans="1:8">
      <c r="A163" s="34">
        <v>159</v>
      </c>
      <c r="B163" s="23">
        <f>IFERROR(LARGE(Posição!$U$5:$U$304,A163),"")</f>
        <v>0</v>
      </c>
      <c r="C163" s="25">
        <f>IF(B163="","",INDEX(Posição!$A$5:$A$304,MATCH(B163,Posição!$U$5:$U$304,0)))</f>
        <v>0</v>
      </c>
      <c r="D163" s="23">
        <f>IF(B163="","",INDEX(Posição!$B$5:$B$304,MATCH(B163,Posição!$U$5:$U$304,0)))</f>
        <v>0</v>
      </c>
      <c r="E163" s="24">
        <f>IF(B163="","",ROUND(B163,2))</f>
        <v>0</v>
      </c>
      <c r="F163" s="35">
        <f>IF(E163="","",E163/SUM($E$5:$E$304))</f>
        <v>0</v>
      </c>
      <c r="G163" s="35">
        <f>IF(F163="","",SUM($F$5:F163))</f>
        <v>0</v>
      </c>
      <c r="H163" s="31">
        <f>IF(F163="","",IF(G163-F163&lt;CorteA,"A",IF(G163-F163&lt;CorteB,"B","C")))</f>
        <v>0</v>
      </c>
    </row>
    <row r="164" spans="1:8">
      <c r="A164" s="34">
        <v>160</v>
      </c>
      <c r="B164" s="23">
        <f>IFERROR(LARGE(Posição!$U$5:$U$304,A164),"")</f>
        <v>0</v>
      </c>
      <c r="C164" s="25">
        <f>IF(B164="","",INDEX(Posição!$A$5:$A$304,MATCH(B164,Posição!$U$5:$U$304,0)))</f>
        <v>0</v>
      </c>
      <c r="D164" s="23">
        <f>IF(B164="","",INDEX(Posição!$B$5:$B$304,MATCH(B164,Posição!$U$5:$U$304,0)))</f>
        <v>0</v>
      </c>
      <c r="E164" s="24">
        <f>IF(B164="","",ROUND(B164,2))</f>
        <v>0</v>
      </c>
      <c r="F164" s="35">
        <f>IF(E164="","",E164/SUM($E$5:$E$304))</f>
        <v>0</v>
      </c>
      <c r="G164" s="35">
        <f>IF(F164="","",SUM($F$5:F164))</f>
        <v>0</v>
      </c>
      <c r="H164" s="31">
        <f>IF(F164="","",IF(G164-F164&lt;CorteA,"A",IF(G164-F164&lt;CorteB,"B","C")))</f>
        <v>0</v>
      </c>
    </row>
    <row r="165" spans="1:8">
      <c r="A165" s="34">
        <v>161</v>
      </c>
      <c r="B165" s="23">
        <f>IFERROR(LARGE(Posição!$U$5:$U$304,A165),"")</f>
        <v>0</v>
      </c>
      <c r="C165" s="25">
        <f>IF(B165="","",INDEX(Posição!$A$5:$A$304,MATCH(B165,Posição!$U$5:$U$304,0)))</f>
        <v>0</v>
      </c>
      <c r="D165" s="23">
        <f>IF(B165="","",INDEX(Posição!$B$5:$B$304,MATCH(B165,Posição!$U$5:$U$304,0)))</f>
        <v>0</v>
      </c>
      <c r="E165" s="24">
        <f>IF(B165="","",ROUND(B165,2))</f>
        <v>0</v>
      </c>
      <c r="F165" s="35">
        <f>IF(E165="","",E165/SUM($E$5:$E$304))</f>
        <v>0</v>
      </c>
      <c r="G165" s="35">
        <f>IF(F165="","",SUM($F$5:F165))</f>
        <v>0</v>
      </c>
      <c r="H165" s="31">
        <f>IF(F165="","",IF(G165-F165&lt;CorteA,"A",IF(G165-F165&lt;CorteB,"B","C")))</f>
        <v>0</v>
      </c>
    </row>
    <row r="166" spans="1:8">
      <c r="A166" s="34">
        <v>162</v>
      </c>
      <c r="B166" s="23">
        <f>IFERROR(LARGE(Posição!$U$5:$U$304,A166),"")</f>
        <v>0</v>
      </c>
      <c r="C166" s="25">
        <f>IF(B166="","",INDEX(Posição!$A$5:$A$304,MATCH(B166,Posição!$U$5:$U$304,0)))</f>
        <v>0</v>
      </c>
      <c r="D166" s="23">
        <f>IF(B166="","",INDEX(Posição!$B$5:$B$304,MATCH(B166,Posição!$U$5:$U$304,0)))</f>
        <v>0</v>
      </c>
      <c r="E166" s="24">
        <f>IF(B166="","",ROUND(B166,2))</f>
        <v>0</v>
      </c>
      <c r="F166" s="35">
        <f>IF(E166="","",E166/SUM($E$5:$E$304))</f>
        <v>0</v>
      </c>
      <c r="G166" s="35">
        <f>IF(F166="","",SUM($F$5:F166))</f>
        <v>0</v>
      </c>
      <c r="H166" s="31">
        <f>IF(F166="","",IF(G166-F166&lt;CorteA,"A",IF(G166-F166&lt;CorteB,"B","C")))</f>
        <v>0</v>
      </c>
    </row>
    <row r="167" spans="1:8">
      <c r="A167" s="34">
        <v>163</v>
      </c>
      <c r="B167" s="23">
        <f>IFERROR(LARGE(Posição!$U$5:$U$304,A167),"")</f>
        <v>0</v>
      </c>
      <c r="C167" s="25">
        <f>IF(B167="","",INDEX(Posição!$A$5:$A$304,MATCH(B167,Posição!$U$5:$U$304,0)))</f>
        <v>0</v>
      </c>
      <c r="D167" s="23">
        <f>IF(B167="","",INDEX(Posição!$B$5:$B$304,MATCH(B167,Posição!$U$5:$U$304,0)))</f>
        <v>0</v>
      </c>
      <c r="E167" s="24">
        <f>IF(B167="","",ROUND(B167,2))</f>
        <v>0</v>
      </c>
      <c r="F167" s="35">
        <f>IF(E167="","",E167/SUM($E$5:$E$304))</f>
        <v>0</v>
      </c>
      <c r="G167" s="35">
        <f>IF(F167="","",SUM($F$5:F167))</f>
        <v>0</v>
      </c>
      <c r="H167" s="31">
        <f>IF(F167="","",IF(G167-F167&lt;CorteA,"A",IF(G167-F167&lt;CorteB,"B","C")))</f>
        <v>0</v>
      </c>
    </row>
    <row r="168" spans="1:8">
      <c r="A168" s="34">
        <v>164</v>
      </c>
      <c r="B168" s="23">
        <f>IFERROR(LARGE(Posição!$U$5:$U$304,A168),"")</f>
        <v>0</v>
      </c>
      <c r="C168" s="25">
        <f>IF(B168="","",INDEX(Posição!$A$5:$A$304,MATCH(B168,Posição!$U$5:$U$304,0)))</f>
        <v>0</v>
      </c>
      <c r="D168" s="23">
        <f>IF(B168="","",INDEX(Posição!$B$5:$B$304,MATCH(B168,Posição!$U$5:$U$304,0)))</f>
        <v>0</v>
      </c>
      <c r="E168" s="24">
        <f>IF(B168="","",ROUND(B168,2))</f>
        <v>0</v>
      </c>
      <c r="F168" s="35">
        <f>IF(E168="","",E168/SUM($E$5:$E$304))</f>
        <v>0</v>
      </c>
      <c r="G168" s="35">
        <f>IF(F168="","",SUM($F$5:F168))</f>
        <v>0</v>
      </c>
      <c r="H168" s="31">
        <f>IF(F168="","",IF(G168-F168&lt;CorteA,"A",IF(G168-F168&lt;CorteB,"B","C")))</f>
        <v>0</v>
      </c>
    </row>
    <row r="169" spans="1:8">
      <c r="A169" s="34">
        <v>165</v>
      </c>
      <c r="B169" s="23">
        <f>IFERROR(LARGE(Posição!$U$5:$U$304,A169),"")</f>
        <v>0</v>
      </c>
      <c r="C169" s="25">
        <f>IF(B169="","",INDEX(Posição!$A$5:$A$304,MATCH(B169,Posição!$U$5:$U$304,0)))</f>
        <v>0</v>
      </c>
      <c r="D169" s="23">
        <f>IF(B169="","",INDEX(Posição!$B$5:$B$304,MATCH(B169,Posição!$U$5:$U$304,0)))</f>
        <v>0</v>
      </c>
      <c r="E169" s="24">
        <f>IF(B169="","",ROUND(B169,2))</f>
        <v>0</v>
      </c>
      <c r="F169" s="35">
        <f>IF(E169="","",E169/SUM($E$5:$E$304))</f>
        <v>0</v>
      </c>
      <c r="G169" s="35">
        <f>IF(F169="","",SUM($F$5:F169))</f>
        <v>0</v>
      </c>
      <c r="H169" s="31">
        <f>IF(F169="","",IF(G169-F169&lt;CorteA,"A",IF(G169-F169&lt;CorteB,"B","C")))</f>
        <v>0</v>
      </c>
    </row>
    <row r="170" spans="1:8">
      <c r="A170" s="34">
        <v>166</v>
      </c>
      <c r="B170" s="23">
        <f>IFERROR(LARGE(Posição!$U$5:$U$304,A170),"")</f>
        <v>0</v>
      </c>
      <c r="C170" s="25">
        <f>IF(B170="","",INDEX(Posição!$A$5:$A$304,MATCH(B170,Posição!$U$5:$U$304,0)))</f>
        <v>0</v>
      </c>
      <c r="D170" s="23">
        <f>IF(B170="","",INDEX(Posição!$B$5:$B$304,MATCH(B170,Posição!$U$5:$U$304,0)))</f>
        <v>0</v>
      </c>
      <c r="E170" s="24">
        <f>IF(B170="","",ROUND(B170,2))</f>
        <v>0</v>
      </c>
      <c r="F170" s="35">
        <f>IF(E170="","",E170/SUM($E$5:$E$304))</f>
        <v>0</v>
      </c>
      <c r="G170" s="35">
        <f>IF(F170="","",SUM($F$5:F170))</f>
        <v>0</v>
      </c>
      <c r="H170" s="31">
        <f>IF(F170="","",IF(G170-F170&lt;CorteA,"A",IF(G170-F170&lt;CorteB,"B","C")))</f>
        <v>0</v>
      </c>
    </row>
    <row r="171" spans="1:8">
      <c r="A171" s="34">
        <v>167</v>
      </c>
      <c r="B171" s="23">
        <f>IFERROR(LARGE(Posição!$U$5:$U$304,A171),"")</f>
        <v>0</v>
      </c>
      <c r="C171" s="25">
        <f>IF(B171="","",INDEX(Posição!$A$5:$A$304,MATCH(B171,Posição!$U$5:$U$304,0)))</f>
        <v>0</v>
      </c>
      <c r="D171" s="23">
        <f>IF(B171="","",INDEX(Posição!$B$5:$B$304,MATCH(B171,Posição!$U$5:$U$304,0)))</f>
        <v>0</v>
      </c>
      <c r="E171" s="24">
        <f>IF(B171="","",ROUND(B171,2))</f>
        <v>0</v>
      </c>
      <c r="F171" s="35">
        <f>IF(E171="","",E171/SUM($E$5:$E$304))</f>
        <v>0</v>
      </c>
      <c r="G171" s="35">
        <f>IF(F171="","",SUM($F$5:F171))</f>
        <v>0</v>
      </c>
      <c r="H171" s="31">
        <f>IF(F171="","",IF(G171-F171&lt;CorteA,"A",IF(G171-F171&lt;CorteB,"B","C")))</f>
        <v>0</v>
      </c>
    </row>
    <row r="172" spans="1:8">
      <c r="A172" s="34">
        <v>168</v>
      </c>
      <c r="B172" s="23">
        <f>IFERROR(LARGE(Posição!$U$5:$U$304,A172),"")</f>
        <v>0</v>
      </c>
      <c r="C172" s="25">
        <f>IF(B172="","",INDEX(Posição!$A$5:$A$304,MATCH(B172,Posição!$U$5:$U$304,0)))</f>
        <v>0</v>
      </c>
      <c r="D172" s="23">
        <f>IF(B172="","",INDEX(Posição!$B$5:$B$304,MATCH(B172,Posição!$U$5:$U$304,0)))</f>
        <v>0</v>
      </c>
      <c r="E172" s="24">
        <f>IF(B172="","",ROUND(B172,2))</f>
        <v>0</v>
      </c>
      <c r="F172" s="35">
        <f>IF(E172="","",E172/SUM($E$5:$E$304))</f>
        <v>0</v>
      </c>
      <c r="G172" s="35">
        <f>IF(F172="","",SUM($F$5:F172))</f>
        <v>0</v>
      </c>
      <c r="H172" s="31">
        <f>IF(F172="","",IF(G172-F172&lt;CorteA,"A",IF(G172-F172&lt;CorteB,"B","C")))</f>
        <v>0</v>
      </c>
    </row>
    <row r="173" spans="1:8">
      <c r="A173" s="34">
        <v>169</v>
      </c>
      <c r="B173" s="23">
        <f>IFERROR(LARGE(Posição!$U$5:$U$304,A173),"")</f>
        <v>0</v>
      </c>
      <c r="C173" s="25">
        <f>IF(B173="","",INDEX(Posição!$A$5:$A$304,MATCH(B173,Posição!$U$5:$U$304,0)))</f>
        <v>0</v>
      </c>
      <c r="D173" s="23">
        <f>IF(B173="","",INDEX(Posição!$B$5:$B$304,MATCH(B173,Posição!$U$5:$U$304,0)))</f>
        <v>0</v>
      </c>
      <c r="E173" s="24">
        <f>IF(B173="","",ROUND(B173,2))</f>
        <v>0</v>
      </c>
      <c r="F173" s="35">
        <f>IF(E173="","",E173/SUM($E$5:$E$304))</f>
        <v>0</v>
      </c>
      <c r="G173" s="35">
        <f>IF(F173="","",SUM($F$5:F173))</f>
        <v>0</v>
      </c>
      <c r="H173" s="31">
        <f>IF(F173="","",IF(G173-F173&lt;CorteA,"A",IF(G173-F173&lt;CorteB,"B","C")))</f>
        <v>0</v>
      </c>
    </row>
    <row r="174" spans="1:8">
      <c r="A174" s="34">
        <v>170</v>
      </c>
      <c r="B174" s="23">
        <f>IFERROR(LARGE(Posição!$U$5:$U$304,A174),"")</f>
        <v>0</v>
      </c>
      <c r="C174" s="25">
        <f>IF(B174="","",INDEX(Posição!$A$5:$A$304,MATCH(B174,Posição!$U$5:$U$304,0)))</f>
        <v>0</v>
      </c>
      <c r="D174" s="23">
        <f>IF(B174="","",INDEX(Posição!$B$5:$B$304,MATCH(B174,Posição!$U$5:$U$304,0)))</f>
        <v>0</v>
      </c>
      <c r="E174" s="24">
        <f>IF(B174="","",ROUND(B174,2))</f>
        <v>0</v>
      </c>
      <c r="F174" s="35">
        <f>IF(E174="","",E174/SUM($E$5:$E$304))</f>
        <v>0</v>
      </c>
      <c r="G174" s="35">
        <f>IF(F174="","",SUM($F$5:F174))</f>
        <v>0</v>
      </c>
      <c r="H174" s="31">
        <f>IF(F174="","",IF(G174-F174&lt;CorteA,"A",IF(G174-F174&lt;CorteB,"B","C")))</f>
        <v>0</v>
      </c>
    </row>
    <row r="175" spans="1:8">
      <c r="A175" s="34">
        <v>171</v>
      </c>
      <c r="B175" s="23">
        <f>IFERROR(LARGE(Posição!$U$5:$U$304,A175),"")</f>
        <v>0</v>
      </c>
      <c r="C175" s="25">
        <f>IF(B175="","",INDEX(Posição!$A$5:$A$304,MATCH(B175,Posição!$U$5:$U$304,0)))</f>
        <v>0</v>
      </c>
      <c r="D175" s="23">
        <f>IF(B175="","",INDEX(Posição!$B$5:$B$304,MATCH(B175,Posição!$U$5:$U$304,0)))</f>
        <v>0</v>
      </c>
      <c r="E175" s="24">
        <f>IF(B175="","",ROUND(B175,2))</f>
        <v>0</v>
      </c>
      <c r="F175" s="35">
        <f>IF(E175="","",E175/SUM($E$5:$E$304))</f>
        <v>0</v>
      </c>
      <c r="G175" s="35">
        <f>IF(F175="","",SUM($F$5:F175))</f>
        <v>0</v>
      </c>
      <c r="H175" s="31">
        <f>IF(F175="","",IF(G175-F175&lt;CorteA,"A",IF(G175-F175&lt;CorteB,"B","C")))</f>
        <v>0</v>
      </c>
    </row>
    <row r="176" spans="1:8">
      <c r="A176" s="34">
        <v>172</v>
      </c>
      <c r="B176" s="23">
        <f>IFERROR(LARGE(Posição!$U$5:$U$304,A176),"")</f>
        <v>0</v>
      </c>
      <c r="C176" s="25">
        <f>IF(B176="","",INDEX(Posição!$A$5:$A$304,MATCH(B176,Posição!$U$5:$U$304,0)))</f>
        <v>0</v>
      </c>
      <c r="D176" s="23">
        <f>IF(B176="","",INDEX(Posição!$B$5:$B$304,MATCH(B176,Posição!$U$5:$U$304,0)))</f>
        <v>0</v>
      </c>
      <c r="E176" s="24">
        <f>IF(B176="","",ROUND(B176,2))</f>
        <v>0</v>
      </c>
      <c r="F176" s="35">
        <f>IF(E176="","",E176/SUM($E$5:$E$304))</f>
        <v>0</v>
      </c>
      <c r="G176" s="35">
        <f>IF(F176="","",SUM($F$5:F176))</f>
        <v>0</v>
      </c>
      <c r="H176" s="31">
        <f>IF(F176="","",IF(G176-F176&lt;CorteA,"A",IF(G176-F176&lt;CorteB,"B","C")))</f>
        <v>0</v>
      </c>
    </row>
    <row r="177" spans="1:8">
      <c r="A177" s="34">
        <v>173</v>
      </c>
      <c r="B177" s="23">
        <f>IFERROR(LARGE(Posição!$U$5:$U$304,A177),"")</f>
        <v>0</v>
      </c>
      <c r="C177" s="25">
        <f>IF(B177="","",INDEX(Posição!$A$5:$A$304,MATCH(B177,Posição!$U$5:$U$304,0)))</f>
        <v>0</v>
      </c>
      <c r="D177" s="23">
        <f>IF(B177="","",INDEX(Posição!$B$5:$B$304,MATCH(B177,Posição!$U$5:$U$304,0)))</f>
        <v>0</v>
      </c>
      <c r="E177" s="24">
        <f>IF(B177="","",ROUND(B177,2))</f>
        <v>0</v>
      </c>
      <c r="F177" s="35">
        <f>IF(E177="","",E177/SUM($E$5:$E$304))</f>
        <v>0</v>
      </c>
      <c r="G177" s="35">
        <f>IF(F177="","",SUM($F$5:F177))</f>
        <v>0</v>
      </c>
      <c r="H177" s="31">
        <f>IF(F177="","",IF(G177-F177&lt;CorteA,"A",IF(G177-F177&lt;CorteB,"B","C")))</f>
        <v>0</v>
      </c>
    </row>
    <row r="178" spans="1:8">
      <c r="A178" s="34">
        <v>174</v>
      </c>
      <c r="B178" s="23">
        <f>IFERROR(LARGE(Posição!$U$5:$U$304,A178),"")</f>
        <v>0</v>
      </c>
      <c r="C178" s="25">
        <f>IF(B178="","",INDEX(Posição!$A$5:$A$304,MATCH(B178,Posição!$U$5:$U$304,0)))</f>
        <v>0</v>
      </c>
      <c r="D178" s="23">
        <f>IF(B178="","",INDEX(Posição!$B$5:$B$304,MATCH(B178,Posição!$U$5:$U$304,0)))</f>
        <v>0</v>
      </c>
      <c r="E178" s="24">
        <f>IF(B178="","",ROUND(B178,2))</f>
        <v>0</v>
      </c>
      <c r="F178" s="35">
        <f>IF(E178="","",E178/SUM($E$5:$E$304))</f>
        <v>0</v>
      </c>
      <c r="G178" s="35">
        <f>IF(F178="","",SUM($F$5:F178))</f>
        <v>0</v>
      </c>
      <c r="H178" s="31">
        <f>IF(F178="","",IF(G178-F178&lt;CorteA,"A",IF(G178-F178&lt;CorteB,"B","C")))</f>
        <v>0</v>
      </c>
    </row>
    <row r="179" spans="1:8">
      <c r="A179" s="34">
        <v>175</v>
      </c>
      <c r="B179" s="23">
        <f>IFERROR(LARGE(Posição!$U$5:$U$304,A179),"")</f>
        <v>0</v>
      </c>
      <c r="C179" s="25">
        <f>IF(B179="","",INDEX(Posição!$A$5:$A$304,MATCH(B179,Posição!$U$5:$U$304,0)))</f>
        <v>0</v>
      </c>
      <c r="D179" s="23">
        <f>IF(B179="","",INDEX(Posição!$B$5:$B$304,MATCH(B179,Posição!$U$5:$U$304,0)))</f>
        <v>0</v>
      </c>
      <c r="E179" s="24">
        <f>IF(B179="","",ROUND(B179,2))</f>
        <v>0</v>
      </c>
      <c r="F179" s="35">
        <f>IF(E179="","",E179/SUM($E$5:$E$304))</f>
        <v>0</v>
      </c>
      <c r="G179" s="35">
        <f>IF(F179="","",SUM($F$5:F179))</f>
        <v>0</v>
      </c>
      <c r="H179" s="31">
        <f>IF(F179="","",IF(G179-F179&lt;CorteA,"A",IF(G179-F179&lt;CorteB,"B","C")))</f>
        <v>0</v>
      </c>
    </row>
    <row r="180" spans="1:8">
      <c r="A180" s="34">
        <v>176</v>
      </c>
      <c r="B180" s="23">
        <f>IFERROR(LARGE(Posição!$U$5:$U$304,A180),"")</f>
        <v>0</v>
      </c>
      <c r="C180" s="25">
        <f>IF(B180="","",INDEX(Posição!$A$5:$A$304,MATCH(B180,Posição!$U$5:$U$304,0)))</f>
        <v>0</v>
      </c>
      <c r="D180" s="23">
        <f>IF(B180="","",INDEX(Posição!$B$5:$B$304,MATCH(B180,Posição!$U$5:$U$304,0)))</f>
        <v>0</v>
      </c>
      <c r="E180" s="24">
        <f>IF(B180="","",ROUND(B180,2))</f>
        <v>0</v>
      </c>
      <c r="F180" s="35">
        <f>IF(E180="","",E180/SUM($E$5:$E$304))</f>
        <v>0</v>
      </c>
      <c r="G180" s="35">
        <f>IF(F180="","",SUM($F$5:F180))</f>
        <v>0</v>
      </c>
      <c r="H180" s="31">
        <f>IF(F180="","",IF(G180-F180&lt;CorteA,"A",IF(G180-F180&lt;CorteB,"B","C")))</f>
        <v>0</v>
      </c>
    </row>
    <row r="181" spans="1:8">
      <c r="A181" s="34">
        <v>177</v>
      </c>
      <c r="B181" s="23">
        <f>IFERROR(LARGE(Posição!$U$5:$U$304,A181),"")</f>
        <v>0</v>
      </c>
      <c r="C181" s="25">
        <f>IF(B181="","",INDEX(Posição!$A$5:$A$304,MATCH(B181,Posição!$U$5:$U$304,0)))</f>
        <v>0</v>
      </c>
      <c r="D181" s="23">
        <f>IF(B181="","",INDEX(Posição!$B$5:$B$304,MATCH(B181,Posição!$U$5:$U$304,0)))</f>
        <v>0</v>
      </c>
      <c r="E181" s="24">
        <f>IF(B181="","",ROUND(B181,2))</f>
        <v>0</v>
      </c>
      <c r="F181" s="35">
        <f>IF(E181="","",E181/SUM($E$5:$E$304))</f>
        <v>0</v>
      </c>
      <c r="G181" s="35">
        <f>IF(F181="","",SUM($F$5:F181))</f>
        <v>0</v>
      </c>
      <c r="H181" s="31">
        <f>IF(F181="","",IF(G181-F181&lt;CorteA,"A",IF(G181-F181&lt;CorteB,"B","C")))</f>
        <v>0</v>
      </c>
    </row>
    <row r="182" spans="1:8">
      <c r="A182" s="34">
        <v>178</v>
      </c>
      <c r="B182" s="23">
        <f>IFERROR(LARGE(Posição!$U$5:$U$304,A182),"")</f>
        <v>0</v>
      </c>
      <c r="C182" s="25">
        <f>IF(B182="","",INDEX(Posição!$A$5:$A$304,MATCH(B182,Posição!$U$5:$U$304,0)))</f>
        <v>0</v>
      </c>
      <c r="D182" s="23">
        <f>IF(B182="","",INDEX(Posição!$B$5:$B$304,MATCH(B182,Posição!$U$5:$U$304,0)))</f>
        <v>0</v>
      </c>
      <c r="E182" s="24">
        <f>IF(B182="","",ROUND(B182,2))</f>
        <v>0</v>
      </c>
      <c r="F182" s="35">
        <f>IF(E182="","",E182/SUM($E$5:$E$304))</f>
        <v>0</v>
      </c>
      <c r="G182" s="35">
        <f>IF(F182="","",SUM($F$5:F182))</f>
        <v>0</v>
      </c>
      <c r="H182" s="31">
        <f>IF(F182="","",IF(G182-F182&lt;CorteA,"A",IF(G182-F182&lt;CorteB,"B","C")))</f>
        <v>0</v>
      </c>
    </row>
    <row r="183" spans="1:8">
      <c r="A183" s="34">
        <v>179</v>
      </c>
      <c r="B183" s="23">
        <f>IFERROR(LARGE(Posição!$U$5:$U$304,A183),"")</f>
        <v>0</v>
      </c>
      <c r="C183" s="25">
        <f>IF(B183="","",INDEX(Posição!$A$5:$A$304,MATCH(B183,Posição!$U$5:$U$304,0)))</f>
        <v>0</v>
      </c>
      <c r="D183" s="23">
        <f>IF(B183="","",INDEX(Posição!$B$5:$B$304,MATCH(B183,Posição!$U$5:$U$304,0)))</f>
        <v>0</v>
      </c>
      <c r="E183" s="24">
        <f>IF(B183="","",ROUND(B183,2))</f>
        <v>0</v>
      </c>
      <c r="F183" s="35">
        <f>IF(E183="","",E183/SUM($E$5:$E$304))</f>
        <v>0</v>
      </c>
      <c r="G183" s="35">
        <f>IF(F183="","",SUM($F$5:F183))</f>
        <v>0</v>
      </c>
      <c r="H183" s="31">
        <f>IF(F183="","",IF(G183-F183&lt;CorteA,"A",IF(G183-F183&lt;CorteB,"B","C")))</f>
        <v>0</v>
      </c>
    </row>
    <row r="184" spans="1:8">
      <c r="A184" s="34">
        <v>180</v>
      </c>
      <c r="B184" s="23">
        <f>IFERROR(LARGE(Posição!$U$5:$U$304,A184),"")</f>
        <v>0</v>
      </c>
      <c r="C184" s="25">
        <f>IF(B184="","",INDEX(Posição!$A$5:$A$304,MATCH(B184,Posição!$U$5:$U$304,0)))</f>
        <v>0</v>
      </c>
      <c r="D184" s="23">
        <f>IF(B184="","",INDEX(Posição!$B$5:$B$304,MATCH(B184,Posição!$U$5:$U$304,0)))</f>
        <v>0</v>
      </c>
      <c r="E184" s="24">
        <f>IF(B184="","",ROUND(B184,2))</f>
        <v>0</v>
      </c>
      <c r="F184" s="35">
        <f>IF(E184="","",E184/SUM($E$5:$E$304))</f>
        <v>0</v>
      </c>
      <c r="G184" s="35">
        <f>IF(F184="","",SUM($F$5:F184))</f>
        <v>0</v>
      </c>
      <c r="H184" s="31">
        <f>IF(F184="","",IF(G184-F184&lt;CorteA,"A",IF(G184-F184&lt;CorteB,"B","C")))</f>
        <v>0</v>
      </c>
    </row>
    <row r="185" spans="1:8">
      <c r="A185" s="34">
        <v>181</v>
      </c>
      <c r="B185" s="23">
        <f>IFERROR(LARGE(Posição!$U$5:$U$304,A185),"")</f>
        <v>0</v>
      </c>
      <c r="C185" s="25">
        <f>IF(B185="","",INDEX(Posição!$A$5:$A$304,MATCH(B185,Posição!$U$5:$U$304,0)))</f>
        <v>0</v>
      </c>
      <c r="D185" s="23">
        <f>IF(B185="","",INDEX(Posição!$B$5:$B$304,MATCH(B185,Posição!$U$5:$U$304,0)))</f>
        <v>0</v>
      </c>
      <c r="E185" s="24">
        <f>IF(B185="","",ROUND(B185,2))</f>
        <v>0</v>
      </c>
      <c r="F185" s="35">
        <f>IF(E185="","",E185/SUM($E$5:$E$304))</f>
        <v>0</v>
      </c>
      <c r="G185" s="35">
        <f>IF(F185="","",SUM($F$5:F185))</f>
        <v>0</v>
      </c>
      <c r="H185" s="31">
        <f>IF(F185="","",IF(G185-F185&lt;CorteA,"A",IF(G185-F185&lt;CorteB,"B","C")))</f>
        <v>0</v>
      </c>
    </row>
    <row r="186" spans="1:8">
      <c r="A186" s="34">
        <v>182</v>
      </c>
      <c r="B186" s="23">
        <f>IFERROR(LARGE(Posição!$U$5:$U$304,A186),"")</f>
        <v>0</v>
      </c>
      <c r="C186" s="25">
        <f>IF(B186="","",INDEX(Posição!$A$5:$A$304,MATCH(B186,Posição!$U$5:$U$304,0)))</f>
        <v>0</v>
      </c>
      <c r="D186" s="23">
        <f>IF(B186="","",INDEX(Posição!$B$5:$B$304,MATCH(B186,Posição!$U$5:$U$304,0)))</f>
        <v>0</v>
      </c>
      <c r="E186" s="24">
        <f>IF(B186="","",ROUND(B186,2))</f>
        <v>0</v>
      </c>
      <c r="F186" s="35">
        <f>IF(E186="","",E186/SUM($E$5:$E$304))</f>
        <v>0</v>
      </c>
      <c r="G186" s="35">
        <f>IF(F186="","",SUM($F$5:F186))</f>
        <v>0</v>
      </c>
      <c r="H186" s="31">
        <f>IF(F186="","",IF(G186-F186&lt;CorteA,"A",IF(G186-F186&lt;CorteB,"B","C")))</f>
        <v>0</v>
      </c>
    </row>
    <row r="187" spans="1:8">
      <c r="A187" s="34">
        <v>183</v>
      </c>
      <c r="B187" s="23">
        <f>IFERROR(LARGE(Posição!$U$5:$U$304,A187),"")</f>
        <v>0</v>
      </c>
      <c r="C187" s="25">
        <f>IF(B187="","",INDEX(Posição!$A$5:$A$304,MATCH(B187,Posição!$U$5:$U$304,0)))</f>
        <v>0</v>
      </c>
      <c r="D187" s="23">
        <f>IF(B187="","",INDEX(Posição!$B$5:$B$304,MATCH(B187,Posição!$U$5:$U$304,0)))</f>
        <v>0</v>
      </c>
      <c r="E187" s="24">
        <f>IF(B187="","",ROUND(B187,2))</f>
        <v>0</v>
      </c>
      <c r="F187" s="35">
        <f>IF(E187="","",E187/SUM($E$5:$E$304))</f>
        <v>0</v>
      </c>
      <c r="G187" s="35">
        <f>IF(F187="","",SUM($F$5:F187))</f>
        <v>0</v>
      </c>
      <c r="H187" s="31">
        <f>IF(F187="","",IF(G187-F187&lt;CorteA,"A",IF(G187-F187&lt;CorteB,"B","C")))</f>
        <v>0</v>
      </c>
    </row>
    <row r="188" spans="1:8">
      <c r="A188" s="34">
        <v>184</v>
      </c>
      <c r="B188" s="23">
        <f>IFERROR(LARGE(Posição!$U$5:$U$304,A188),"")</f>
        <v>0</v>
      </c>
      <c r="C188" s="25">
        <f>IF(B188="","",INDEX(Posição!$A$5:$A$304,MATCH(B188,Posição!$U$5:$U$304,0)))</f>
        <v>0</v>
      </c>
      <c r="D188" s="23">
        <f>IF(B188="","",INDEX(Posição!$B$5:$B$304,MATCH(B188,Posição!$U$5:$U$304,0)))</f>
        <v>0</v>
      </c>
      <c r="E188" s="24">
        <f>IF(B188="","",ROUND(B188,2))</f>
        <v>0</v>
      </c>
      <c r="F188" s="35">
        <f>IF(E188="","",E188/SUM($E$5:$E$304))</f>
        <v>0</v>
      </c>
      <c r="G188" s="35">
        <f>IF(F188="","",SUM($F$5:F188))</f>
        <v>0</v>
      </c>
      <c r="H188" s="31">
        <f>IF(F188="","",IF(G188-F188&lt;CorteA,"A",IF(G188-F188&lt;CorteB,"B","C")))</f>
        <v>0</v>
      </c>
    </row>
    <row r="189" spans="1:8">
      <c r="A189" s="34">
        <v>185</v>
      </c>
      <c r="B189" s="23">
        <f>IFERROR(LARGE(Posição!$U$5:$U$304,A189),"")</f>
        <v>0</v>
      </c>
      <c r="C189" s="25">
        <f>IF(B189="","",INDEX(Posição!$A$5:$A$304,MATCH(B189,Posição!$U$5:$U$304,0)))</f>
        <v>0</v>
      </c>
      <c r="D189" s="23">
        <f>IF(B189="","",INDEX(Posição!$B$5:$B$304,MATCH(B189,Posição!$U$5:$U$304,0)))</f>
        <v>0</v>
      </c>
      <c r="E189" s="24">
        <f>IF(B189="","",ROUND(B189,2))</f>
        <v>0</v>
      </c>
      <c r="F189" s="35">
        <f>IF(E189="","",E189/SUM($E$5:$E$304))</f>
        <v>0</v>
      </c>
      <c r="G189" s="35">
        <f>IF(F189="","",SUM($F$5:F189))</f>
        <v>0</v>
      </c>
      <c r="H189" s="31">
        <f>IF(F189="","",IF(G189-F189&lt;CorteA,"A",IF(G189-F189&lt;CorteB,"B","C")))</f>
        <v>0</v>
      </c>
    </row>
    <row r="190" spans="1:8">
      <c r="A190" s="34">
        <v>186</v>
      </c>
      <c r="B190" s="23">
        <f>IFERROR(LARGE(Posição!$U$5:$U$304,A190),"")</f>
        <v>0</v>
      </c>
      <c r="C190" s="25">
        <f>IF(B190="","",INDEX(Posição!$A$5:$A$304,MATCH(B190,Posição!$U$5:$U$304,0)))</f>
        <v>0</v>
      </c>
      <c r="D190" s="23">
        <f>IF(B190="","",INDEX(Posição!$B$5:$B$304,MATCH(B190,Posição!$U$5:$U$304,0)))</f>
        <v>0</v>
      </c>
      <c r="E190" s="24">
        <f>IF(B190="","",ROUND(B190,2))</f>
        <v>0</v>
      </c>
      <c r="F190" s="35">
        <f>IF(E190="","",E190/SUM($E$5:$E$304))</f>
        <v>0</v>
      </c>
      <c r="G190" s="35">
        <f>IF(F190="","",SUM($F$5:F190))</f>
        <v>0</v>
      </c>
      <c r="H190" s="31">
        <f>IF(F190="","",IF(G190-F190&lt;CorteA,"A",IF(G190-F190&lt;CorteB,"B","C")))</f>
        <v>0</v>
      </c>
    </row>
    <row r="191" spans="1:8">
      <c r="A191" s="34">
        <v>187</v>
      </c>
      <c r="B191" s="23">
        <f>IFERROR(LARGE(Posição!$U$5:$U$304,A191),"")</f>
        <v>0</v>
      </c>
      <c r="C191" s="25">
        <f>IF(B191="","",INDEX(Posição!$A$5:$A$304,MATCH(B191,Posição!$U$5:$U$304,0)))</f>
        <v>0</v>
      </c>
      <c r="D191" s="23">
        <f>IF(B191="","",INDEX(Posição!$B$5:$B$304,MATCH(B191,Posição!$U$5:$U$304,0)))</f>
        <v>0</v>
      </c>
      <c r="E191" s="24">
        <f>IF(B191="","",ROUND(B191,2))</f>
        <v>0</v>
      </c>
      <c r="F191" s="35">
        <f>IF(E191="","",E191/SUM($E$5:$E$304))</f>
        <v>0</v>
      </c>
      <c r="G191" s="35">
        <f>IF(F191="","",SUM($F$5:F191))</f>
        <v>0</v>
      </c>
      <c r="H191" s="31">
        <f>IF(F191="","",IF(G191-F191&lt;CorteA,"A",IF(G191-F191&lt;CorteB,"B","C")))</f>
        <v>0</v>
      </c>
    </row>
    <row r="192" spans="1:8">
      <c r="A192" s="34">
        <v>188</v>
      </c>
      <c r="B192" s="23">
        <f>IFERROR(LARGE(Posição!$U$5:$U$304,A192),"")</f>
        <v>0</v>
      </c>
      <c r="C192" s="25">
        <f>IF(B192="","",INDEX(Posição!$A$5:$A$304,MATCH(B192,Posição!$U$5:$U$304,0)))</f>
        <v>0</v>
      </c>
      <c r="D192" s="23">
        <f>IF(B192="","",INDEX(Posição!$B$5:$B$304,MATCH(B192,Posição!$U$5:$U$304,0)))</f>
        <v>0</v>
      </c>
      <c r="E192" s="24">
        <f>IF(B192="","",ROUND(B192,2))</f>
        <v>0</v>
      </c>
      <c r="F192" s="35">
        <f>IF(E192="","",E192/SUM($E$5:$E$304))</f>
        <v>0</v>
      </c>
      <c r="G192" s="35">
        <f>IF(F192="","",SUM($F$5:F192))</f>
        <v>0</v>
      </c>
      <c r="H192" s="31">
        <f>IF(F192="","",IF(G192-F192&lt;CorteA,"A",IF(G192-F192&lt;CorteB,"B","C")))</f>
        <v>0</v>
      </c>
    </row>
    <row r="193" spans="1:8">
      <c r="A193" s="34">
        <v>189</v>
      </c>
      <c r="B193" s="23">
        <f>IFERROR(LARGE(Posição!$U$5:$U$304,A193),"")</f>
        <v>0</v>
      </c>
      <c r="C193" s="25">
        <f>IF(B193="","",INDEX(Posição!$A$5:$A$304,MATCH(B193,Posição!$U$5:$U$304,0)))</f>
        <v>0</v>
      </c>
      <c r="D193" s="23">
        <f>IF(B193="","",INDEX(Posição!$B$5:$B$304,MATCH(B193,Posição!$U$5:$U$304,0)))</f>
        <v>0</v>
      </c>
      <c r="E193" s="24">
        <f>IF(B193="","",ROUND(B193,2))</f>
        <v>0</v>
      </c>
      <c r="F193" s="35">
        <f>IF(E193="","",E193/SUM($E$5:$E$304))</f>
        <v>0</v>
      </c>
      <c r="G193" s="35">
        <f>IF(F193="","",SUM($F$5:F193))</f>
        <v>0</v>
      </c>
      <c r="H193" s="31">
        <f>IF(F193="","",IF(G193-F193&lt;CorteA,"A",IF(G193-F193&lt;CorteB,"B","C")))</f>
        <v>0</v>
      </c>
    </row>
    <row r="194" spans="1:8">
      <c r="A194" s="34">
        <v>190</v>
      </c>
      <c r="B194" s="23">
        <f>IFERROR(LARGE(Posição!$U$5:$U$304,A194),"")</f>
        <v>0</v>
      </c>
      <c r="C194" s="25">
        <f>IF(B194="","",INDEX(Posição!$A$5:$A$304,MATCH(B194,Posição!$U$5:$U$304,0)))</f>
        <v>0</v>
      </c>
      <c r="D194" s="23">
        <f>IF(B194="","",INDEX(Posição!$B$5:$B$304,MATCH(B194,Posição!$U$5:$U$304,0)))</f>
        <v>0</v>
      </c>
      <c r="E194" s="24">
        <f>IF(B194="","",ROUND(B194,2))</f>
        <v>0</v>
      </c>
      <c r="F194" s="35">
        <f>IF(E194="","",E194/SUM($E$5:$E$304))</f>
        <v>0</v>
      </c>
      <c r="G194" s="35">
        <f>IF(F194="","",SUM($F$5:F194))</f>
        <v>0</v>
      </c>
      <c r="H194" s="31">
        <f>IF(F194="","",IF(G194-F194&lt;CorteA,"A",IF(G194-F194&lt;CorteB,"B","C")))</f>
        <v>0</v>
      </c>
    </row>
    <row r="195" spans="1:8">
      <c r="A195" s="34">
        <v>191</v>
      </c>
      <c r="B195" s="23">
        <f>IFERROR(LARGE(Posição!$U$5:$U$304,A195),"")</f>
        <v>0</v>
      </c>
      <c r="C195" s="25">
        <f>IF(B195="","",INDEX(Posição!$A$5:$A$304,MATCH(B195,Posição!$U$5:$U$304,0)))</f>
        <v>0</v>
      </c>
      <c r="D195" s="23">
        <f>IF(B195="","",INDEX(Posição!$B$5:$B$304,MATCH(B195,Posição!$U$5:$U$304,0)))</f>
        <v>0</v>
      </c>
      <c r="E195" s="24">
        <f>IF(B195="","",ROUND(B195,2))</f>
        <v>0</v>
      </c>
      <c r="F195" s="35">
        <f>IF(E195="","",E195/SUM($E$5:$E$304))</f>
        <v>0</v>
      </c>
      <c r="G195" s="35">
        <f>IF(F195="","",SUM($F$5:F195))</f>
        <v>0</v>
      </c>
      <c r="H195" s="31">
        <f>IF(F195="","",IF(G195-F195&lt;CorteA,"A",IF(G195-F195&lt;CorteB,"B","C")))</f>
        <v>0</v>
      </c>
    </row>
    <row r="196" spans="1:8">
      <c r="A196" s="34">
        <v>192</v>
      </c>
      <c r="B196" s="23">
        <f>IFERROR(LARGE(Posição!$U$5:$U$304,A196),"")</f>
        <v>0</v>
      </c>
      <c r="C196" s="25">
        <f>IF(B196="","",INDEX(Posição!$A$5:$A$304,MATCH(B196,Posição!$U$5:$U$304,0)))</f>
        <v>0</v>
      </c>
      <c r="D196" s="23">
        <f>IF(B196="","",INDEX(Posição!$B$5:$B$304,MATCH(B196,Posição!$U$5:$U$304,0)))</f>
        <v>0</v>
      </c>
      <c r="E196" s="24">
        <f>IF(B196="","",ROUND(B196,2))</f>
        <v>0</v>
      </c>
      <c r="F196" s="35">
        <f>IF(E196="","",E196/SUM($E$5:$E$304))</f>
        <v>0</v>
      </c>
      <c r="G196" s="35">
        <f>IF(F196="","",SUM($F$5:F196))</f>
        <v>0</v>
      </c>
      <c r="H196" s="31">
        <f>IF(F196="","",IF(G196-F196&lt;CorteA,"A",IF(G196-F196&lt;CorteB,"B","C")))</f>
        <v>0</v>
      </c>
    </row>
    <row r="197" spans="1:8">
      <c r="A197" s="34">
        <v>193</v>
      </c>
      <c r="B197" s="23">
        <f>IFERROR(LARGE(Posição!$U$5:$U$304,A197),"")</f>
        <v>0</v>
      </c>
      <c r="C197" s="25">
        <f>IF(B197="","",INDEX(Posição!$A$5:$A$304,MATCH(B197,Posição!$U$5:$U$304,0)))</f>
        <v>0</v>
      </c>
      <c r="D197" s="23">
        <f>IF(B197="","",INDEX(Posição!$B$5:$B$304,MATCH(B197,Posição!$U$5:$U$304,0)))</f>
        <v>0</v>
      </c>
      <c r="E197" s="24">
        <f>IF(B197="","",ROUND(B197,2))</f>
        <v>0</v>
      </c>
      <c r="F197" s="35">
        <f>IF(E197="","",E197/SUM($E$5:$E$304))</f>
        <v>0</v>
      </c>
      <c r="G197" s="35">
        <f>IF(F197="","",SUM($F$5:F197))</f>
        <v>0</v>
      </c>
      <c r="H197" s="31">
        <f>IF(F197="","",IF(G197-F197&lt;CorteA,"A",IF(G197-F197&lt;CorteB,"B","C")))</f>
        <v>0</v>
      </c>
    </row>
    <row r="198" spans="1:8">
      <c r="A198" s="34">
        <v>194</v>
      </c>
      <c r="B198" s="23">
        <f>IFERROR(LARGE(Posição!$U$5:$U$304,A198),"")</f>
        <v>0</v>
      </c>
      <c r="C198" s="25">
        <f>IF(B198="","",INDEX(Posição!$A$5:$A$304,MATCH(B198,Posição!$U$5:$U$304,0)))</f>
        <v>0</v>
      </c>
      <c r="D198" s="23">
        <f>IF(B198="","",INDEX(Posição!$B$5:$B$304,MATCH(B198,Posição!$U$5:$U$304,0)))</f>
        <v>0</v>
      </c>
      <c r="E198" s="24">
        <f>IF(B198="","",ROUND(B198,2))</f>
        <v>0</v>
      </c>
      <c r="F198" s="35">
        <f>IF(E198="","",E198/SUM($E$5:$E$304))</f>
        <v>0</v>
      </c>
      <c r="G198" s="35">
        <f>IF(F198="","",SUM($F$5:F198))</f>
        <v>0</v>
      </c>
      <c r="H198" s="31">
        <f>IF(F198="","",IF(G198-F198&lt;CorteA,"A",IF(G198-F198&lt;CorteB,"B","C")))</f>
        <v>0</v>
      </c>
    </row>
    <row r="199" spans="1:8">
      <c r="A199" s="34">
        <v>195</v>
      </c>
      <c r="B199" s="23">
        <f>IFERROR(LARGE(Posição!$U$5:$U$304,A199),"")</f>
        <v>0</v>
      </c>
      <c r="C199" s="25">
        <f>IF(B199="","",INDEX(Posição!$A$5:$A$304,MATCH(B199,Posição!$U$5:$U$304,0)))</f>
        <v>0</v>
      </c>
      <c r="D199" s="23">
        <f>IF(B199="","",INDEX(Posição!$B$5:$B$304,MATCH(B199,Posição!$U$5:$U$304,0)))</f>
        <v>0</v>
      </c>
      <c r="E199" s="24">
        <f>IF(B199="","",ROUND(B199,2))</f>
        <v>0</v>
      </c>
      <c r="F199" s="35">
        <f>IF(E199="","",E199/SUM($E$5:$E$304))</f>
        <v>0</v>
      </c>
      <c r="G199" s="35">
        <f>IF(F199="","",SUM($F$5:F199))</f>
        <v>0</v>
      </c>
      <c r="H199" s="31">
        <f>IF(F199="","",IF(G199-F199&lt;CorteA,"A",IF(G199-F199&lt;CorteB,"B","C")))</f>
        <v>0</v>
      </c>
    </row>
    <row r="200" spans="1:8">
      <c r="A200" s="34">
        <v>196</v>
      </c>
      <c r="B200" s="23">
        <f>IFERROR(LARGE(Posição!$U$5:$U$304,A200),"")</f>
        <v>0</v>
      </c>
      <c r="C200" s="25">
        <f>IF(B200="","",INDEX(Posição!$A$5:$A$304,MATCH(B200,Posição!$U$5:$U$304,0)))</f>
        <v>0</v>
      </c>
      <c r="D200" s="23">
        <f>IF(B200="","",INDEX(Posição!$B$5:$B$304,MATCH(B200,Posição!$U$5:$U$304,0)))</f>
        <v>0</v>
      </c>
      <c r="E200" s="24">
        <f>IF(B200="","",ROUND(B200,2))</f>
        <v>0</v>
      </c>
      <c r="F200" s="35">
        <f>IF(E200="","",E200/SUM($E$5:$E$304))</f>
        <v>0</v>
      </c>
      <c r="G200" s="35">
        <f>IF(F200="","",SUM($F$5:F200))</f>
        <v>0</v>
      </c>
      <c r="H200" s="31">
        <f>IF(F200="","",IF(G200-F200&lt;CorteA,"A",IF(G200-F200&lt;CorteB,"B","C")))</f>
        <v>0</v>
      </c>
    </row>
    <row r="201" spans="1:8">
      <c r="A201" s="34">
        <v>197</v>
      </c>
      <c r="B201" s="23">
        <f>IFERROR(LARGE(Posição!$U$5:$U$304,A201),"")</f>
        <v>0</v>
      </c>
      <c r="C201" s="25">
        <f>IF(B201="","",INDEX(Posição!$A$5:$A$304,MATCH(B201,Posição!$U$5:$U$304,0)))</f>
        <v>0</v>
      </c>
      <c r="D201" s="23">
        <f>IF(B201="","",INDEX(Posição!$B$5:$B$304,MATCH(B201,Posição!$U$5:$U$304,0)))</f>
        <v>0</v>
      </c>
      <c r="E201" s="24">
        <f>IF(B201="","",ROUND(B201,2))</f>
        <v>0</v>
      </c>
      <c r="F201" s="35">
        <f>IF(E201="","",E201/SUM($E$5:$E$304))</f>
        <v>0</v>
      </c>
      <c r="G201" s="35">
        <f>IF(F201="","",SUM($F$5:F201))</f>
        <v>0</v>
      </c>
      <c r="H201" s="31">
        <f>IF(F201="","",IF(G201-F201&lt;CorteA,"A",IF(G201-F201&lt;CorteB,"B","C")))</f>
        <v>0</v>
      </c>
    </row>
    <row r="202" spans="1:8">
      <c r="A202" s="34">
        <v>198</v>
      </c>
      <c r="B202" s="23">
        <f>IFERROR(LARGE(Posição!$U$5:$U$304,A202),"")</f>
        <v>0</v>
      </c>
      <c r="C202" s="25">
        <f>IF(B202="","",INDEX(Posição!$A$5:$A$304,MATCH(B202,Posição!$U$5:$U$304,0)))</f>
        <v>0</v>
      </c>
      <c r="D202" s="23">
        <f>IF(B202="","",INDEX(Posição!$B$5:$B$304,MATCH(B202,Posição!$U$5:$U$304,0)))</f>
        <v>0</v>
      </c>
      <c r="E202" s="24">
        <f>IF(B202="","",ROUND(B202,2))</f>
        <v>0</v>
      </c>
      <c r="F202" s="35">
        <f>IF(E202="","",E202/SUM($E$5:$E$304))</f>
        <v>0</v>
      </c>
      <c r="G202" s="35">
        <f>IF(F202="","",SUM($F$5:F202))</f>
        <v>0</v>
      </c>
      <c r="H202" s="31">
        <f>IF(F202="","",IF(G202-F202&lt;CorteA,"A",IF(G202-F202&lt;CorteB,"B","C")))</f>
        <v>0</v>
      </c>
    </row>
    <row r="203" spans="1:8">
      <c r="A203" s="34">
        <v>199</v>
      </c>
      <c r="B203" s="23">
        <f>IFERROR(LARGE(Posição!$U$5:$U$304,A203),"")</f>
        <v>0</v>
      </c>
      <c r="C203" s="25">
        <f>IF(B203="","",INDEX(Posição!$A$5:$A$304,MATCH(B203,Posição!$U$5:$U$304,0)))</f>
        <v>0</v>
      </c>
      <c r="D203" s="23">
        <f>IF(B203="","",INDEX(Posição!$B$5:$B$304,MATCH(B203,Posição!$U$5:$U$304,0)))</f>
        <v>0</v>
      </c>
      <c r="E203" s="24">
        <f>IF(B203="","",ROUND(B203,2))</f>
        <v>0</v>
      </c>
      <c r="F203" s="35">
        <f>IF(E203="","",E203/SUM($E$5:$E$304))</f>
        <v>0</v>
      </c>
      <c r="G203" s="35">
        <f>IF(F203="","",SUM($F$5:F203))</f>
        <v>0</v>
      </c>
      <c r="H203" s="31">
        <f>IF(F203="","",IF(G203-F203&lt;CorteA,"A",IF(G203-F203&lt;CorteB,"B","C")))</f>
        <v>0</v>
      </c>
    </row>
    <row r="204" spans="1:8">
      <c r="A204" s="34">
        <v>200</v>
      </c>
      <c r="B204" s="23">
        <f>IFERROR(LARGE(Posição!$U$5:$U$304,A204),"")</f>
        <v>0</v>
      </c>
      <c r="C204" s="25">
        <f>IF(B204="","",INDEX(Posição!$A$5:$A$304,MATCH(B204,Posição!$U$5:$U$304,0)))</f>
        <v>0</v>
      </c>
      <c r="D204" s="23">
        <f>IF(B204="","",INDEX(Posição!$B$5:$B$304,MATCH(B204,Posição!$U$5:$U$304,0)))</f>
        <v>0</v>
      </c>
      <c r="E204" s="24">
        <f>IF(B204="","",ROUND(B204,2))</f>
        <v>0</v>
      </c>
      <c r="F204" s="35">
        <f>IF(E204="","",E204/SUM($E$5:$E$304))</f>
        <v>0</v>
      </c>
      <c r="G204" s="35">
        <f>IF(F204="","",SUM($F$5:F204))</f>
        <v>0</v>
      </c>
      <c r="H204" s="31">
        <f>IF(F204="","",IF(G204-F204&lt;CorteA,"A",IF(G204-F204&lt;CorteB,"B","C")))</f>
        <v>0</v>
      </c>
    </row>
    <row r="205" spans="1:8">
      <c r="A205" s="34">
        <v>201</v>
      </c>
      <c r="B205" s="23">
        <f>IFERROR(LARGE(Posição!$U$5:$U$304,A205),"")</f>
        <v>0</v>
      </c>
      <c r="C205" s="25">
        <f>IF(B205="","",INDEX(Posição!$A$5:$A$304,MATCH(B205,Posição!$U$5:$U$304,0)))</f>
        <v>0</v>
      </c>
      <c r="D205" s="23">
        <f>IF(B205="","",INDEX(Posição!$B$5:$B$304,MATCH(B205,Posição!$U$5:$U$304,0)))</f>
        <v>0</v>
      </c>
      <c r="E205" s="24">
        <f>IF(B205="","",ROUND(B205,2))</f>
        <v>0</v>
      </c>
      <c r="F205" s="35">
        <f>IF(E205="","",E205/SUM($E$5:$E$304))</f>
        <v>0</v>
      </c>
      <c r="G205" s="35">
        <f>IF(F205="","",SUM($F$5:F205))</f>
        <v>0</v>
      </c>
      <c r="H205" s="31">
        <f>IF(F205="","",IF(G205-F205&lt;CorteA,"A",IF(G205-F205&lt;CorteB,"B","C")))</f>
        <v>0</v>
      </c>
    </row>
    <row r="206" spans="1:8">
      <c r="A206" s="34">
        <v>202</v>
      </c>
      <c r="B206" s="23">
        <f>IFERROR(LARGE(Posição!$U$5:$U$304,A206),"")</f>
        <v>0</v>
      </c>
      <c r="C206" s="25">
        <f>IF(B206="","",INDEX(Posição!$A$5:$A$304,MATCH(B206,Posição!$U$5:$U$304,0)))</f>
        <v>0</v>
      </c>
      <c r="D206" s="23">
        <f>IF(B206="","",INDEX(Posição!$B$5:$B$304,MATCH(B206,Posição!$U$5:$U$304,0)))</f>
        <v>0</v>
      </c>
      <c r="E206" s="24">
        <f>IF(B206="","",ROUND(B206,2))</f>
        <v>0</v>
      </c>
      <c r="F206" s="35">
        <f>IF(E206="","",E206/SUM($E$5:$E$304))</f>
        <v>0</v>
      </c>
      <c r="G206" s="35">
        <f>IF(F206="","",SUM($F$5:F206))</f>
        <v>0</v>
      </c>
      <c r="H206" s="31">
        <f>IF(F206="","",IF(G206-F206&lt;CorteA,"A",IF(G206-F206&lt;CorteB,"B","C")))</f>
        <v>0</v>
      </c>
    </row>
    <row r="207" spans="1:8">
      <c r="A207" s="34">
        <v>203</v>
      </c>
      <c r="B207" s="23">
        <f>IFERROR(LARGE(Posição!$U$5:$U$304,A207),"")</f>
        <v>0</v>
      </c>
      <c r="C207" s="25">
        <f>IF(B207="","",INDEX(Posição!$A$5:$A$304,MATCH(B207,Posição!$U$5:$U$304,0)))</f>
        <v>0</v>
      </c>
      <c r="D207" s="23">
        <f>IF(B207="","",INDEX(Posição!$B$5:$B$304,MATCH(B207,Posição!$U$5:$U$304,0)))</f>
        <v>0</v>
      </c>
      <c r="E207" s="24">
        <f>IF(B207="","",ROUND(B207,2))</f>
        <v>0</v>
      </c>
      <c r="F207" s="35">
        <f>IF(E207="","",E207/SUM($E$5:$E$304))</f>
        <v>0</v>
      </c>
      <c r="G207" s="35">
        <f>IF(F207="","",SUM($F$5:F207))</f>
        <v>0</v>
      </c>
      <c r="H207" s="31">
        <f>IF(F207="","",IF(G207-F207&lt;CorteA,"A",IF(G207-F207&lt;CorteB,"B","C")))</f>
        <v>0</v>
      </c>
    </row>
    <row r="208" spans="1:8">
      <c r="A208" s="34">
        <v>204</v>
      </c>
      <c r="B208" s="23">
        <f>IFERROR(LARGE(Posição!$U$5:$U$304,A208),"")</f>
        <v>0</v>
      </c>
      <c r="C208" s="25">
        <f>IF(B208="","",INDEX(Posição!$A$5:$A$304,MATCH(B208,Posição!$U$5:$U$304,0)))</f>
        <v>0</v>
      </c>
      <c r="D208" s="23">
        <f>IF(B208="","",INDEX(Posição!$B$5:$B$304,MATCH(B208,Posição!$U$5:$U$304,0)))</f>
        <v>0</v>
      </c>
      <c r="E208" s="24">
        <f>IF(B208="","",ROUND(B208,2))</f>
        <v>0</v>
      </c>
      <c r="F208" s="35">
        <f>IF(E208="","",E208/SUM($E$5:$E$304))</f>
        <v>0</v>
      </c>
      <c r="G208" s="35">
        <f>IF(F208="","",SUM($F$5:F208))</f>
        <v>0</v>
      </c>
      <c r="H208" s="31">
        <f>IF(F208="","",IF(G208-F208&lt;CorteA,"A",IF(G208-F208&lt;CorteB,"B","C")))</f>
        <v>0</v>
      </c>
    </row>
    <row r="209" spans="1:8">
      <c r="A209" s="34">
        <v>205</v>
      </c>
      <c r="B209" s="23">
        <f>IFERROR(LARGE(Posição!$U$5:$U$304,A209),"")</f>
        <v>0</v>
      </c>
      <c r="C209" s="25">
        <f>IF(B209="","",INDEX(Posição!$A$5:$A$304,MATCH(B209,Posição!$U$5:$U$304,0)))</f>
        <v>0</v>
      </c>
      <c r="D209" s="23">
        <f>IF(B209="","",INDEX(Posição!$B$5:$B$304,MATCH(B209,Posição!$U$5:$U$304,0)))</f>
        <v>0</v>
      </c>
      <c r="E209" s="24">
        <f>IF(B209="","",ROUND(B209,2))</f>
        <v>0</v>
      </c>
      <c r="F209" s="35">
        <f>IF(E209="","",E209/SUM($E$5:$E$304))</f>
        <v>0</v>
      </c>
      <c r="G209" s="35">
        <f>IF(F209="","",SUM($F$5:F209))</f>
        <v>0</v>
      </c>
      <c r="H209" s="31">
        <f>IF(F209="","",IF(G209-F209&lt;CorteA,"A",IF(G209-F209&lt;CorteB,"B","C")))</f>
        <v>0</v>
      </c>
    </row>
    <row r="210" spans="1:8">
      <c r="A210" s="34">
        <v>206</v>
      </c>
      <c r="B210" s="23">
        <f>IFERROR(LARGE(Posição!$U$5:$U$304,A210),"")</f>
        <v>0</v>
      </c>
      <c r="C210" s="25">
        <f>IF(B210="","",INDEX(Posição!$A$5:$A$304,MATCH(B210,Posição!$U$5:$U$304,0)))</f>
        <v>0</v>
      </c>
      <c r="D210" s="23">
        <f>IF(B210="","",INDEX(Posição!$B$5:$B$304,MATCH(B210,Posição!$U$5:$U$304,0)))</f>
        <v>0</v>
      </c>
      <c r="E210" s="24">
        <f>IF(B210="","",ROUND(B210,2))</f>
        <v>0</v>
      </c>
      <c r="F210" s="35">
        <f>IF(E210="","",E210/SUM($E$5:$E$304))</f>
        <v>0</v>
      </c>
      <c r="G210" s="35">
        <f>IF(F210="","",SUM($F$5:F210))</f>
        <v>0</v>
      </c>
      <c r="H210" s="31">
        <f>IF(F210="","",IF(G210-F210&lt;CorteA,"A",IF(G210-F210&lt;CorteB,"B","C")))</f>
        <v>0</v>
      </c>
    </row>
    <row r="211" spans="1:8">
      <c r="A211" s="34">
        <v>207</v>
      </c>
      <c r="B211" s="23">
        <f>IFERROR(LARGE(Posição!$U$5:$U$304,A211),"")</f>
        <v>0</v>
      </c>
      <c r="C211" s="25">
        <f>IF(B211="","",INDEX(Posição!$A$5:$A$304,MATCH(B211,Posição!$U$5:$U$304,0)))</f>
        <v>0</v>
      </c>
      <c r="D211" s="23">
        <f>IF(B211="","",INDEX(Posição!$B$5:$B$304,MATCH(B211,Posição!$U$5:$U$304,0)))</f>
        <v>0</v>
      </c>
      <c r="E211" s="24">
        <f>IF(B211="","",ROUND(B211,2))</f>
        <v>0</v>
      </c>
      <c r="F211" s="35">
        <f>IF(E211="","",E211/SUM($E$5:$E$304))</f>
        <v>0</v>
      </c>
      <c r="G211" s="35">
        <f>IF(F211="","",SUM($F$5:F211))</f>
        <v>0</v>
      </c>
      <c r="H211" s="31">
        <f>IF(F211="","",IF(G211-F211&lt;CorteA,"A",IF(G211-F211&lt;CorteB,"B","C")))</f>
        <v>0</v>
      </c>
    </row>
    <row r="212" spans="1:8">
      <c r="A212" s="34">
        <v>208</v>
      </c>
      <c r="B212" s="23">
        <f>IFERROR(LARGE(Posição!$U$5:$U$304,A212),"")</f>
        <v>0</v>
      </c>
      <c r="C212" s="25">
        <f>IF(B212="","",INDEX(Posição!$A$5:$A$304,MATCH(B212,Posição!$U$5:$U$304,0)))</f>
        <v>0</v>
      </c>
      <c r="D212" s="23">
        <f>IF(B212="","",INDEX(Posição!$B$5:$B$304,MATCH(B212,Posição!$U$5:$U$304,0)))</f>
        <v>0</v>
      </c>
      <c r="E212" s="24">
        <f>IF(B212="","",ROUND(B212,2))</f>
        <v>0</v>
      </c>
      <c r="F212" s="35">
        <f>IF(E212="","",E212/SUM($E$5:$E$304))</f>
        <v>0</v>
      </c>
      <c r="G212" s="35">
        <f>IF(F212="","",SUM($F$5:F212))</f>
        <v>0</v>
      </c>
      <c r="H212" s="31">
        <f>IF(F212="","",IF(G212-F212&lt;CorteA,"A",IF(G212-F212&lt;CorteB,"B","C")))</f>
        <v>0</v>
      </c>
    </row>
    <row r="213" spans="1:8">
      <c r="A213" s="34">
        <v>209</v>
      </c>
      <c r="B213" s="23">
        <f>IFERROR(LARGE(Posição!$U$5:$U$304,A213),"")</f>
        <v>0</v>
      </c>
      <c r="C213" s="25">
        <f>IF(B213="","",INDEX(Posição!$A$5:$A$304,MATCH(B213,Posição!$U$5:$U$304,0)))</f>
        <v>0</v>
      </c>
      <c r="D213" s="23">
        <f>IF(B213="","",INDEX(Posição!$B$5:$B$304,MATCH(B213,Posição!$U$5:$U$304,0)))</f>
        <v>0</v>
      </c>
      <c r="E213" s="24">
        <f>IF(B213="","",ROUND(B213,2))</f>
        <v>0</v>
      </c>
      <c r="F213" s="35">
        <f>IF(E213="","",E213/SUM($E$5:$E$304))</f>
        <v>0</v>
      </c>
      <c r="G213" s="35">
        <f>IF(F213="","",SUM($F$5:F213))</f>
        <v>0</v>
      </c>
      <c r="H213" s="31">
        <f>IF(F213="","",IF(G213-F213&lt;CorteA,"A",IF(G213-F213&lt;CorteB,"B","C")))</f>
        <v>0</v>
      </c>
    </row>
    <row r="214" spans="1:8">
      <c r="A214" s="34">
        <v>210</v>
      </c>
      <c r="B214" s="23">
        <f>IFERROR(LARGE(Posição!$U$5:$U$304,A214),"")</f>
        <v>0</v>
      </c>
      <c r="C214" s="25">
        <f>IF(B214="","",INDEX(Posição!$A$5:$A$304,MATCH(B214,Posição!$U$5:$U$304,0)))</f>
        <v>0</v>
      </c>
      <c r="D214" s="23">
        <f>IF(B214="","",INDEX(Posição!$B$5:$B$304,MATCH(B214,Posição!$U$5:$U$304,0)))</f>
        <v>0</v>
      </c>
      <c r="E214" s="24">
        <f>IF(B214="","",ROUND(B214,2))</f>
        <v>0</v>
      </c>
      <c r="F214" s="35">
        <f>IF(E214="","",E214/SUM($E$5:$E$304))</f>
        <v>0</v>
      </c>
      <c r="G214" s="35">
        <f>IF(F214="","",SUM($F$5:F214))</f>
        <v>0</v>
      </c>
      <c r="H214" s="31">
        <f>IF(F214="","",IF(G214-F214&lt;CorteA,"A",IF(G214-F214&lt;CorteB,"B","C")))</f>
        <v>0</v>
      </c>
    </row>
    <row r="215" spans="1:8">
      <c r="A215" s="34">
        <v>211</v>
      </c>
      <c r="B215" s="23">
        <f>IFERROR(LARGE(Posição!$U$5:$U$304,A215),"")</f>
        <v>0</v>
      </c>
      <c r="C215" s="25">
        <f>IF(B215="","",INDEX(Posição!$A$5:$A$304,MATCH(B215,Posição!$U$5:$U$304,0)))</f>
        <v>0</v>
      </c>
      <c r="D215" s="23">
        <f>IF(B215="","",INDEX(Posição!$B$5:$B$304,MATCH(B215,Posição!$U$5:$U$304,0)))</f>
        <v>0</v>
      </c>
      <c r="E215" s="24">
        <f>IF(B215="","",ROUND(B215,2))</f>
        <v>0</v>
      </c>
      <c r="F215" s="35">
        <f>IF(E215="","",E215/SUM($E$5:$E$304))</f>
        <v>0</v>
      </c>
      <c r="G215" s="35">
        <f>IF(F215="","",SUM($F$5:F215))</f>
        <v>0</v>
      </c>
      <c r="H215" s="31">
        <f>IF(F215="","",IF(G215-F215&lt;CorteA,"A",IF(G215-F215&lt;CorteB,"B","C")))</f>
        <v>0</v>
      </c>
    </row>
    <row r="216" spans="1:8">
      <c r="A216" s="34">
        <v>212</v>
      </c>
      <c r="B216" s="23">
        <f>IFERROR(LARGE(Posição!$U$5:$U$304,A216),"")</f>
        <v>0</v>
      </c>
      <c r="C216" s="25">
        <f>IF(B216="","",INDEX(Posição!$A$5:$A$304,MATCH(B216,Posição!$U$5:$U$304,0)))</f>
        <v>0</v>
      </c>
      <c r="D216" s="23">
        <f>IF(B216="","",INDEX(Posição!$B$5:$B$304,MATCH(B216,Posição!$U$5:$U$304,0)))</f>
        <v>0</v>
      </c>
      <c r="E216" s="24">
        <f>IF(B216="","",ROUND(B216,2))</f>
        <v>0</v>
      </c>
      <c r="F216" s="35">
        <f>IF(E216="","",E216/SUM($E$5:$E$304))</f>
        <v>0</v>
      </c>
      <c r="G216" s="35">
        <f>IF(F216="","",SUM($F$5:F216))</f>
        <v>0</v>
      </c>
      <c r="H216" s="31">
        <f>IF(F216="","",IF(G216-F216&lt;CorteA,"A",IF(G216-F216&lt;CorteB,"B","C")))</f>
        <v>0</v>
      </c>
    </row>
    <row r="217" spans="1:8">
      <c r="A217" s="34">
        <v>213</v>
      </c>
      <c r="B217" s="23">
        <f>IFERROR(LARGE(Posição!$U$5:$U$304,A217),"")</f>
        <v>0</v>
      </c>
      <c r="C217" s="25">
        <f>IF(B217="","",INDEX(Posição!$A$5:$A$304,MATCH(B217,Posição!$U$5:$U$304,0)))</f>
        <v>0</v>
      </c>
      <c r="D217" s="23">
        <f>IF(B217="","",INDEX(Posição!$B$5:$B$304,MATCH(B217,Posição!$U$5:$U$304,0)))</f>
        <v>0</v>
      </c>
      <c r="E217" s="24">
        <f>IF(B217="","",ROUND(B217,2))</f>
        <v>0</v>
      </c>
      <c r="F217" s="35">
        <f>IF(E217="","",E217/SUM($E$5:$E$304))</f>
        <v>0</v>
      </c>
      <c r="G217" s="35">
        <f>IF(F217="","",SUM($F$5:F217))</f>
        <v>0</v>
      </c>
      <c r="H217" s="31">
        <f>IF(F217="","",IF(G217-F217&lt;CorteA,"A",IF(G217-F217&lt;CorteB,"B","C")))</f>
        <v>0</v>
      </c>
    </row>
    <row r="218" spans="1:8">
      <c r="A218" s="34">
        <v>214</v>
      </c>
      <c r="B218" s="23">
        <f>IFERROR(LARGE(Posição!$U$5:$U$304,A218),"")</f>
        <v>0</v>
      </c>
      <c r="C218" s="25">
        <f>IF(B218="","",INDEX(Posição!$A$5:$A$304,MATCH(B218,Posição!$U$5:$U$304,0)))</f>
        <v>0</v>
      </c>
      <c r="D218" s="23">
        <f>IF(B218="","",INDEX(Posição!$B$5:$B$304,MATCH(B218,Posição!$U$5:$U$304,0)))</f>
        <v>0</v>
      </c>
      <c r="E218" s="24">
        <f>IF(B218="","",ROUND(B218,2))</f>
        <v>0</v>
      </c>
      <c r="F218" s="35">
        <f>IF(E218="","",E218/SUM($E$5:$E$304))</f>
        <v>0</v>
      </c>
      <c r="G218" s="35">
        <f>IF(F218="","",SUM($F$5:F218))</f>
        <v>0</v>
      </c>
      <c r="H218" s="31">
        <f>IF(F218="","",IF(G218-F218&lt;CorteA,"A",IF(G218-F218&lt;CorteB,"B","C")))</f>
        <v>0</v>
      </c>
    </row>
    <row r="219" spans="1:8">
      <c r="A219" s="34">
        <v>215</v>
      </c>
      <c r="B219" s="23">
        <f>IFERROR(LARGE(Posição!$U$5:$U$304,A219),"")</f>
        <v>0</v>
      </c>
      <c r="C219" s="25">
        <f>IF(B219="","",INDEX(Posição!$A$5:$A$304,MATCH(B219,Posição!$U$5:$U$304,0)))</f>
        <v>0</v>
      </c>
      <c r="D219" s="23">
        <f>IF(B219="","",INDEX(Posição!$B$5:$B$304,MATCH(B219,Posição!$U$5:$U$304,0)))</f>
        <v>0</v>
      </c>
      <c r="E219" s="24">
        <f>IF(B219="","",ROUND(B219,2))</f>
        <v>0</v>
      </c>
      <c r="F219" s="35">
        <f>IF(E219="","",E219/SUM($E$5:$E$304))</f>
        <v>0</v>
      </c>
      <c r="G219" s="35">
        <f>IF(F219="","",SUM($F$5:F219))</f>
        <v>0</v>
      </c>
      <c r="H219" s="31">
        <f>IF(F219="","",IF(G219-F219&lt;CorteA,"A",IF(G219-F219&lt;CorteB,"B","C")))</f>
        <v>0</v>
      </c>
    </row>
    <row r="220" spans="1:8">
      <c r="A220" s="34">
        <v>216</v>
      </c>
      <c r="B220" s="23">
        <f>IFERROR(LARGE(Posição!$U$5:$U$304,A220),"")</f>
        <v>0</v>
      </c>
      <c r="C220" s="25">
        <f>IF(B220="","",INDEX(Posição!$A$5:$A$304,MATCH(B220,Posição!$U$5:$U$304,0)))</f>
        <v>0</v>
      </c>
      <c r="D220" s="23">
        <f>IF(B220="","",INDEX(Posição!$B$5:$B$304,MATCH(B220,Posição!$U$5:$U$304,0)))</f>
        <v>0</v>
      </c>
      <c r="E220" s="24">
        <f>IF(B220="","",ROUND(B220,2))</f>
        <v>0</v>
      </c>
      <c r="F220" s="35">
        <f>IF(E220="","",E220/SUM($E$5:$E$304))</f>
        <v>0</v>
      </c>
      <c r="G220" s="35">
        <f>IF(F220="","",SUM($F$5:F220))</f>
        <v>0</v>
      </c>
      <c r="H220" s="31">
        <f>IF(F220="","",IF(G220-F220&lt;CorteA,"A",IF(G220-F220&lt;CorteB,"B","C")))</f>
        <v>0</v>
      </c>
    </row>
    <row r="221" spans="1:8">
      <c r="A221" s="34">
        <v>217</v>
      </c>
      <c r="B221" s="23">
        <f>IFERROR(LARGE(Posição!$U$5:$U$304,A221),"")</f>
        <v>0</v>
      </c>
      <c r="C221" s="25">
        <f>IF(B221="","",INDEX(Posição!$A$5:$A$304,MATCH(B221,Posição!$U$5:$U$304,0)))</f>
        <v>0</v>
      </c>
      <c r="D221" s="23">
        <f>IF(B221="","",INDEX(Posição!$B$5:$B$304,MATCH(B221,Posição!$U$5:$U$304,0)))</f>
        <v>0</v>
      </c>
      <c r="E221" s="24">
        <f>IF(B221="","",ROUND(B221,2))</f>
        <v>0</v>
      </c>
      <c r="F221" s="35">
        <f>IF(E221="","",E221/SUM($E$5:$E$304))</f>
        <v>0</v>
      </c>
      <c r="G221" s="35">
        <f>IF(F221="","",SUM($F$5:F221))</f>
        <v>0</v>
      </c>
      <c r="H221" s="31">
        <f>IF(F221="","",IF(G221-F221&lt;CorteA,"A",IF(G221-F221&lt;CorteB,"B","C")))</f>
        <v>0</v>
      </c>
    </row>
    <row r="222" spans="1:8">
      <c r="A222" s="34">
        <v>218</v>
      </c>
      <c r="B222" s="23">
        <f>IFERROR(LARGE(Posição!$U$5:$U$304,A222),"")</f>
        <v>0</v>
      </c>
      <c r="C222" s="25">
        <f>IF(B222="","",INDEX(Posição!$A$5:$A$304,MATCH(B222,Posição!$U$5:$U$304,0)))</f>
        <v>0</v>
      </c>
      <c r="D222" s="23">
        <f>IF(B222="","",INDEX(Posição!$B$5:$B$304,MATCH(B222,Posição!$U$5:$U$304,0)))</f>
        <v>0</v>
      </c>
      <c r="E222" s="24">
        <f>IF(B222="","",ROUND(B222,2))</f>
        <v>0</v>
      </c>
      <c r="F222" s="35">
        <f>IF(E222="","",E222/SUM($E$5:$E$304))</f>
        <v>0</v>
      </c>
      <c r="G222" s="35">
        <f>IF(F222="","",SUM($F$5:F222))</f>
        <v>0</v>
      </c>
      <c r="H222" s="31">
        <f>IF(F222="","",IF(G222-F222&lt;CorteA,"A",IF(G222-F222&lt;CorteB,"B","C")))</f>
        <v>0</v>
      </c>
    </row>
    <row r="223" spans="1:8">
      <c r="A223" s="34">
        <v>219</v>
      </c>
      <c r="B223" s="23">
        <f>IFERROR(LARGE(Posição!$U$5:$U$304,A223),"")</f>
        <v>0</v>
      </c>
      <c r="C223" s="25">
        <f>IF(B223="","",INDEX(Posição!$A$5:$A$304,MATCH(B223,Posição!$U$5:$U$304,0)))</f>
        <v>0</v>
      </c>
      <c r="D223" s="23">
        <f>IF(B223="","",INDEX(Posição!$B$5:$B$304,MATCH(B223,Posição!$U$5:$U$304,0)))</f>
        <v>0</v>
      </c>
      <c r="E223" s="24">
        <f>IF(B223="","",ROUND(B223,2))</f>
        <v>0</v>
      </c>
      <c r="F223" s="35">
        <f>IF(E223="","",E223/SUM($E$5:$E$304))</f>
        <v>0</v>
      </c>
      <c r="G223" s="35">
        <f>IF(F223="","",SUM($F$5:F223))</f>
        <v>0</v>
      </c>
      <c r="H223" s="31">
        <f>IF(F223="","",IF(G223-F223&lt;CorteA,"A",IF(G223-F223&lt;CorteB,"B","C")))</f>
        <v>0</v>
      </c>
    </row>
    <row r="224" spans="1:8">
      <c r="A224" s="34">
        <v>220</v>
      </c>
      <c r="B224" s="23">
        <f>IFERROR(LARGE(Posição!$U$5:$U$304,A224),"")</f>
        <v>0</v>
      </c>
      <c r="C224" s="25">
        <f>IF(B224="","",INDEX(Posição!$A$5:$A$304,MATCH(B224,Posição!$U$5:$U$304,0)))</f>
        <v>0</v>
      </c>
      <c r="D224" s="23">
        <f>IF(B224="","",INDEX(Posição!$B$5:$B$304,MATCH(B224,Posição!$U$5:$U$304,0)))</f>
        <v>0</v>
      </c>
      <c r="E224" s="24">
        <f>IF(B224="","",ROUND(B224,2))</f>
        <v>0</v>
      </c>
      <c r="F224" s="35">
        <f>IF(E224="","",E224/SUM($E$5:$E$304))</f>
        <v>0</v>
      </c>
      <c r="G224" s="35">
        <f>IF(F224="","",SUM($F$5:F224))</f>
        <v>0</v>
      </c>
      <c r="H224" s="31">
        <f>IF(F224="","",IF(G224-F224&lt;CorteA,"A",IF(G224-F224&lt;CorteB,"B","C")))</f>
        <v>0</v>
      </c>
    </row>
    <row r="225" spans="1:8">
      <c r="A225" s="34">
        <v>221</v>
      </c>
      <c r="B225" s="23">
        <f>IFERROR(LARGE(Posição!$U$5:$U$304,A225),"")</f>
        <v>0</v>
      </c>
      <c r="C225" s="25">
        <f>IF(B225="","",INDEX(Posição!$A$5:$A$304,MATCH(B225,Posição!$U$5:$U$304,0)))</f>
        <v>0</v>
      </c>
      <c r="D225" s="23">
        <f>IF(B225="","",INDEX(Posição!$B$5:$B$304,MATCH(B225,Posição!$U$5:$U$304,0)))</f>
        <v>0</v>
      </c>
      <c r="E225" s="24">
        <f>IF(B225="","",ROUND(B225,2))</f>
        <v>0</v>
      </c>
      <c r="F225" s="35">
        <f>IF(E225="","",E225/SUM($E$5:$E$304))</f>
        <v>0</v>
      </c>
      <c r="G225" s="35">
        <f>IF(F225="","",SUM($F$5:F225))</f>
        <v>0</v>
      </c>
      <c r="H225" s="31">
        <f>IF(F225="","",IF(G225-F225&lt;CorteA,"A",IF(G225-F225&lt;CorteB,"B","C")))</f>
        <v>0</v>
      </c>
    </row>
    <row r="226" spans="1:8">
      <c r="A226" s="34">
        <v>222</v>
      </c>
      <c r="B226" s="23">
        <f>IFERROR(LARGE(Posição!$U$5:$U$304,A226),"")</f>
        <v>0</v>
      </c>
      <c r="C226" s="25">
        <f>IF(B226="","",INDEX(Posição!$A$5:$A$304,MATCH(B226,Posição!$U$5:$U$304,0)))</f>
        <v>0</v>
      </c>
      <c r="D226" s="23">
        <f>IF(B226="","",INDEX(Posição!$B$5:$B$304,MATCH(B226,Posição!$U$5:$U$304,0)))</f>
        <v>0</v>
      </c>
      <c r="E226" s="24">
        <f>IF(B226="","",ROUND(B226,2))</f>
        <v>0</v>
      </c>
      <c r="F226" s="35">
        <f>IF(E226="","",E226/SUM($E$5:$E$304))</f>
        <v>0</v>
      </c>
      <c r="G226" s="35">
        <f>IF(F226="","",SUM($F$5:F226))</f>
        <v>0</v>
      </c>
      <c r="H226" s="31">
        <f>IF(F226="","",IF(G226-F226&lt;CorteA,"A",IF(G226-F226&lt;CorteB,"B","C")))</f>
        <v>0</v>
      </c>
    </row>
    <row r="227" spans="1:8">
      <c r="A227" s="34">
        <v>223</v>
      </c>
      <c r="B227" s="23">
        <f>IFERROR(LARGE(Posição!$U$5:$U$304,A227),"")</f>
        <v>0</v>
      </c>
      <c r="C227" s="25">
        <f>IF(B227="","",INDEX(Posição!$A$5:$A$304,MATCH(B227,Posição!$U$5:$U$304,0)))</f>
        <v>0</v>
      </c>
      <c r="D227" s="23">
        <f>IF(B227="","",INDEX(Posição!$B$5:$B$304,MATCH(B227,Posição!$U$5:$U$304,0)))</f>
        <v>0</v>
      </c>
      <c r="E227" s="24">
        <f>IF(B227="","",ROUND(B227,2))</f>
        <v>0</v>
      </c>
      <c r="F227" s="35">
        <f>IF(E227="","",E227/SUM($E$5:$E$304))</f>
        <v>0</v>
      </c>
      <c r="G227" s="35">
        <f>IF(F227="","",SUM($F$5:F227))</f>
        <v>0</v>
      </c>
      <c r="H227" s="31">
        <f>IF(F227="","",IF(G227-F227&lt;CorteA,"A",IF(G227-F227&lt;CorteB,"B","C")))</f>
        <v>0</v>
      </c>
    </row>
    <row r="228" spans="1:8">
      <c r="A228" s="34">
        <v>224</v>
      </c>
      <c r="B228" s="23">
        <f>IFERROR(LARGE(Posição!$U$5:$U$304,A228),"")</f>
        <v>0</v>
      </c>
      <c r="C228" s="25">
        <f>IF(B228="","",INDEX(Posição!$A$5:$A$304,MATCH(B228,Posição!$U$5:$U$304,0)))</f>
        <v>0</v>
      </c>
      <c r="D228" s="23">
        <f>IF(B228="","",INDEX(Posição!$B$5:$B$304,MATCH(B228,Posição!$U$5:$U$304,0)))</f>
        <v>0</v>
      </c>
      <c r="E228" s="24">
        <f>IF(B228="","",ROUND(B228,2))</f>
        <v>0</v>
      </c>
      <c r="F228" s="35">
        <f>IF(E228="","",E228/SUM($E$5:$E$304))</f>
        <v>0</v>
      </c>
      <c r="G228" s="35">
        <f>IF(F228="","",SUM($F$5:F228))</f>
        <v>0</v>
      </c>
      <c r="H228" s="31">
        <f>IF(F228="","",IF(G228-F228&lt;CorteA,"A",IF(G228-F228&lt;CorteB,"B","C")))</f>
        <v>0</v>
      </c>
    </row>
    <row r="229" spans="1:8">
      <c r="A229" s="34">
        <v>225</v>
      </c>
      <c r="B229" s="23">
        <f>IFERROR(LARGE(Posição!$U$5:$U$304,A229),"")</f>
        <v>0</v>
      </c>
      <c r="C229" s="25">
        <f>IF(B229="","",INDEX(Posição!$A$5:$A$304,MATCH(B229,Posição!$U$5:$U$304,0)))</f>
        <v>0</v>
      </c>
      <c r="D229" s="23">
        <f>IF(B229="","",INDEX(Posição!$B$5:$B$304,MATCH(B229,Posição!$U$5:$U$304,0)))</f>
        <v>0</v>
      </c>
      <c r="E229" s="24">
        <f>IF(B229="","",ROUND(B229,2))</f>
        <v>0</v>
      </c>
      <c r="F229" s="35">
        <f>IF(E229="","",E229/SUM($E$5:$E$304))</f>
        <v>0</v>
      </c>
      <c r="G229" s="35">
        <f>IF(F229="","",SUM($F$5:F229))</f>
        <v>0</v>
      </c>
      <c r="H229" s="31">
        <f>IF(F229="","",IF(G229-F229&lt;CorteA,"A",IF(G229-F229&lt;CorteB,"B","C")))</f>
        <v>0</v>
      </c>
    </row>
    <row r="230" spans="1:8">
      <c r="A230" s="34">
        <v>226</v>
      </c>
      <c r="B230" s="23">
        <f>IFERROR(LARGE(Posição!$U$5:$U$304,A230),"")</f>
        <v>0</v>
      </c>
      <c r="C230" s="25">
        <f>IF(B230="","",INDEX(Posição!$A$5:$A$304,MATCH(B230,Posição!$U$5:$U$304,0)))</f>
        <v>0</v>
      </c>
      <c r="D230" s="23">
        <f>IF(B230="","",INDEX(Posição!$B$5:$B$304,MATCH(B230,Posição!$U$5:$U$304,0)))</f>
        <v>0</v>
      </c>
      <c r="E230" s="24">
        <f>IF(B230="","",ROUND(B230,2))</f>
        <v>0</v>
      </c>
      <c r="F230" s="35">
        <f>IF(E230="","",E230/SUM($E$5:$E$304))</f>
        <v>0</v>
      </c>
      <c r="G230" s="35">
        <f>IF(F230="","",SUM($F$5:F230))</f>
        <v>0</v>
      </c>
      <c r="H230" s="31">
        <f>IF(F230="","",IF(G230-F230&lt;CorteA,"A",IF(G230-F230&lt;CorteB,"B","C")))</f>
        <v>0</v>
      </c>
    </row>
    <row r="231" spans="1:8">
      <c r="A231" s="34">
        <v>227</v>
      </c>
      <c r="B231" s="23">
        <f>IFERROR(LARGE(Posição!$U$5:$U$304,A231),"")</f>
        <v>0</v>
      </c>
      <c r="C231" s="25">
        <f>IF(B231="","",INDEX(Posição!$A$5:$A$304,MATCH(B231,Posição!$U$5:$U$304,0)))</f>
        <v>0</v>
      </c>
      <c r="D231" s="23">
        <f>IF(B231="","",INDEX(Posição!$B$5:$B$304,MATCH(B231,Posição!$U$5:$U$304,0)))</f>
        <v>0</v>
      </c>
      <c r="E231" s="24">
        <f>IF(B231="","",ROUND(B231,2))</f>
        <v>0</v>
      </c>
      <c r="F231" s="35">
        <f>IF(E231="","",E231/SUM($E$5:$E$304))</f>
        <v>0</v>
      </c>
      <c r="G231" s="35">
        <f>IF(F231="","",SUM($F$5:F231))</f>
        <v>0</v>
      </c>
      <c r="H231" s="31">
        <f>IF(F231="","",IF(G231-F231&lt;CorteA,"A",IF(G231-F231&lt;CorteB,"B","C")))</f>
        <v>0</v>
      </c>
    </row>
    <row r="232" spans="1:8">
      <c r="A232" s="34">
        <v>228</v>
      </c>
      <c r="B232" s="23">
        <f>IFERROR(LARGE(Posição!$U$5:$U$304,A232),"")</f>
        <v>0</v>
      </c>
      <c r="C232" s="25">
        <f>IF(B232="","",INDEX(Posição!$A$5:$A$304,MATCH(B232,Posição!$U$5:$U$304,0)))</f>
        <v>0</v>
      </c>
      <c r="D232" s="23">
        <f>IF(B232="","",INDEX(Posição!$B$5:$B$304,MATCH(B232,Posição!$U$5:$U$304,0)))</f>
        <v>0</v>
      </c>
      <c r="E232" s="24">
        <f>IF(B232="","",ROUND(B232,2))</f>
        <v>0</v>
      </c>
      <c r="F232" s="35">
        <f>IF(E232="","",E232/SUM($E$5:$E$304))</f>
        <v>0</v>
      </c>
      <c r="G232" s="35">
        <f>IF(F232="","",SUM($F$5:F232))</f>
        <v>0</v>
      </c>
      <c r="H232" s="31">
        <f>IF(F232="","",IF(G232-F232&lt;CorteA,"A",IF(G232-F232&lt;CorteB,"B","C")))</f>
        <v>0</v>
      </c>
    </row>
    <row r="233" spans="1:8">
      <c r="A233" s="34">
        <v>229</v>
      </c>
      <c r="B233" s="23">
        <f>IFERROR(LARGE(Posição!$U$5:$U$304,A233),"")</f>
        <v>0</v>
      </c>
      <c r="C233" s="25">
        <f>IF(B233="","",INDEX(Posição!$A$5:$A$304,MATCH(B233,Posição!$U$5:$U$304,0)))</f>
        <v>0</v>
      </c>
      <c r="D233" s="23">
        <f>IF(B233="","",INDEX(Posição!$B$5:$B$304,MATCH(B233,Posição!$U$5:$U$304,0)))</f>
        <v>0</v>
      </c>
      <c r="E233" s="24">
        <f>IF(B233="","",ROUND(B233,2))</f>
        <v>0</v>
      </c>
      <c r="F233" s="35">
        <f>IF(E233="","",E233/SUM($E$5:$E$304))</f>
        <v>0</v>
      </c>
      <c r="G233" s="35">
        <f>IF(F233="","",SUM($F$5:F233))</f>
        <v>0</v>
      </c>
      <c r="H233" s="31">
        <f>IF(F233="","",IF(G233-F233&lt;CorteA,"A",IF(G233-F233&lt;CorteB,"B","C")))</f>
        <v>0</v>
      </c>
    </row>
    <row r="234" spans="1:8">
      <c r="A234" s="34">
        <v>230</v>
      </c>
      <c r="B234" s="23">
        <f>IFERROR(LARGE(Posição!$U$5:$U$304,A234),"")</f>
        <v>0</v>
      </c>
      <c r="C234" s="25">
        <f>IF(B234="","",INDEX(Posição!$A$5:$A$304,MATCH(B234,Posição!$U$5:$U$304,0)))</f>
        <v>0</v>
      </c>
      <c r="D234" s="23">
        <f>IF(B234="","",INDEX(Posição!$B$5:$B$304,MATCH(B234,Posição!$U$5:$U$304,0)))</f>
        <v>0</v>
      </c>
      <c r="E234" s="24">
        <f>IF(B234="","",ROUND(B234,2))</f>
        <v>0</v>
      </c>
      <c r="F234" s="35">
        <f>IF(E234="","",E234/SUM($E$5:$E$304))</f>
        <v>0</v>
      </c>
      <c r="G234" s="35">
        <f>IF(F234="","",SUM($F$5:F234))</f>
        <v>0</v>
      </c>
      <c r="H234" s="31">
        <f>IF(F234="","",IF(G234-F234&lt;CorteA,"A",IF(G234-F234&lt;CorteB,"B","C")))</f>
        <v>0</v>
      </c>
    </row>
    <row r="235" spans="1:8">
      <c r="A235" s="34">
        <v>231</v>
      </c>
      <c r="B235" s="23">
        <f>IFERROR(LARGE(Posição!$U$5:$U$304,A235),"")</f>
        <v>0</v>
      </c>
      <c r="C235" s="25">
        <f>IF(B235="","",INDEX(Posição!$A$5:$A$304,MATCH(B235,Posição!$U$5:$U$304,0)))</f>
        <v>0</v>
      </c>
      <c r="D235" s="23">
        <f>IF(B235="","",INDEX(Posição!$B$5:$B$304,MATCH(B235,Posição!$U$5:$U$304,0)))</f>
        <v>0</v>
      </c>
      <c r="E235" s="24">
        <f>IF(B235="","",ROUND(B235,2))</f>
        <v>0</v>
      </c>
      <c r="F235" s="35">
        <f>IF(E235="","",E235/SUM($E$5:$E$304))</f>
        <v>0</v>
      </c>
      <c r="G235" s="35">
        <f>IF(F235="","",SUM($F$5:F235))</f>
        <v>0</v>
      </c>
      <c r="H235" s="31">
        <f>IF(F235="","",IF(G235-F235&lt;CorteA,"A",IF(G235-F235&lt;CorteB,"B","C")))</f>
        <v>0</v>
      </c>
    </row>
    <row r="236" spans="1:8">
      <c r="A236" s="34">
        <v>232</v>
      </c>
      <c r="B236" s="23">
        <f>IFERROR(LARGE(Posição!$U$5:$U$304,A236),"")</f>
        <v>0</v>
      </c>
      <c r="C236" s="25">
        <f>IF(B236="","",INDEX(Posição!$A$5:$A$304,MATCH(B236,Posição!$U$5:$U$304,0)))</f>
        <v>0</v>
      </c>
      <c r="D236" s="23">
        <f>IF(B236="","",INDEX(Posição!$B$5:$B$304,MATCH(B236,Posição!$U$5:$U$304,0)))</f>
        <v>0</v>
      </c>
      <c r="E236" s="24">
        <f>IF(B236="","",ROUND(B236,2))</f>
        <v>0</v>
      </c>
      <c r="F236" s="35">
        <f>IF(E236="","",E236/SUM($E$5:$E$304))</f>
        <v>0</v>
      </c>
      <c r="G236" s="35">
        <f>IF(F236="","",SUM($F$5:F236))</f>
        <v>0</v>
      </c>
      <c r="H236" s="31">
        <f>IF(F236="","",IF(G236-F236&lt;CorteA,"A",IF(G236-F236&lt;CorteB,"B","C")))</f>
        <v>0</v>
      </c>
    </row>
    <row r="237" spans="1:8">
      <c r="A237" s="34">
        <v>233</v>
      </c>
      <c r="B237" s="23">
        <f>IFERROR(LARGE(Posição!$U$5:$U$304,A237),"")</f>
        <v>0</v>
      </c>
      <c r="C237" s="25">
        <f>IF(B237="","",INDEX(Posição!$A$5:$A$304,MATCH(B237,Posição!$U$5:$U$304,0)))</f>
        <v>0</v>
      </c>
      <c r="D237" s="23">
        <f>IF(B237="","",INDEX(Posição!$B$5:$B$304,MATCH(B237,Posição!$U$5:$U$304,0)))</f>
        <v>0</v>
      </c>
      <c r="E237" s="24">
        <f>IF(B237="","",ROUND(B237,2))</f>
        <v>0</v>
      </c>
      <c r="F237" s="35">
        <f>IF(E237="","",E237/SUM($E$5:$E$304))</f>
        <v>0</v>
      </c>
      <c r="G237" s="35">
        <f>IF(F237="","",SUM($F$5:F237))</f>
        <v>0</v>
      </c>
      <c r="H237" s="31">
        <f>IF(F237="","",IF(G237-F237&lt;CorteA,"A",IF(G237-F237&lt;CorteB,"B","C")))</f>
        <v>0</v>
      </c>
    </row>
    <row r="238" spans="1:8">
      <c r="A238" s="34">
        <v>234</v>
      </c>
      <c r="B238" s="23">
        <f>IFERROR(LARGE(Posição!$U$5:$U$304,A238),"")</f>
        <v>0</v>
      </c>
      <c r="C238" s="25">
        <f>IF(B238="","",INDEX(Posição!$A$5:$A$304,MATCH(B238,Posição!$U$5:$U$304,0)))</f>
        <v>0</v>
      </c>
      <c r="D238" s="23">
        <f>IF(B238="","",INDEX(Posição!$B$5:$B$304,MATCH(B238,Posição!$U$5:$U$304,0)))</f>
        <v>0</v>
      </c>
      <c r="E238" s="24">
        <f>IF(B238="","",ROUND(B238,2))</f>
        <v>0</v>
      </c>
      <c r="F238" s="35">
        <f>IF(E238="","",E238/SUM($E$5:$E$304))</f>
        <v>0</v>
      </c>
      <c r="G238" s="35">
        <f>IF(F238="","",SUM($F$5:F238))</f>
        <v>0</v>
      </c>
      <c r="H238" s="31">
        <f>IF(F238="","",IF(G238-F238&lt;CorteA,"A",IF(G238-F238&lt;CorteB,"B","C")))</f>
        <v>0</v>
      </c>
    </row>
    <row r="239" spans="1:8">
      <c r="A239" s="34">
        <v>235</v>
      </c>
      <c r="B239" s="23">
        <f>IFERROR(LARGE(Posição!$U$5:$U$304,A239),"")</f>
        <v>0</v>
      </c>
      <c r="C239" s="25">
        <f>IF(B239="","",INDEX(Posição!$A$5:$A$304,MATCH(B239,Posição!$U$5:$U$304,0)))</f>
        <v>0</v>
      </c>
      <c r="D239" s="23">
        <f>IF(B239="","",INDEX(Posição!$B$5:$B$304,MATCH(B239,Posição!$U$5:$U$304,0)))</f>
        <v>0</v>
      </c>
      <c r="E239" s="24">
        <f>IF(B239="","",ROUND(B239,2))</f>
        <v>0</v>
      </c>
      <c r="F239" s="35">
        <f>IF(E239="","",E239/SUM($E$5:$E$304))</f>
        <v>0</v>
      </c>
      <c r="G239" s="35">
        <f>IF(F239="","",SUM($F$5:F239))</f>
        <v>0</v>
      </c>
      <c r="H239" s="31">
        <f>IF(F239="","",IF(G239-F239&lt;CorteA,"A",IF(G239-F239&lt;CorteB,"B","C")))</f>
        <v>0</v>
      </c>
    </row>
    <row r="240" spans="1:8">
      <c r="A240" s="34">
        <v>236</v>
      </c>
      <c r="B240" s="23">
        <f>IFERROR(LARGE(Posição!$U$5:$U$304,A240),"")</f>
        <v>0</v>
      </c>
      <c r="C240" s="25">
        <f>IF(B240="","",INDEX(Posição!$A$5:$A$304,MATCH(B240,Posição!$U$5:$U$304,0)))</f>
        <v>0</v>
      </c>
      <c r="D240" s="23">
        <f>IF(B240="","",INDEX(Posição!$B$5:$B$304,MATCH(B240,Posição!$U$5:$U$304,0)))</f>
        <v>0</v>
      </c>
      <c r="E240" s="24">
        <f>IF(B240="","",ROUND(B240,2))</f>
        <v>0</v>
      </c>
      <c r="F240" s="35">
        <f>IF(E240="","",E240/SUM($E$5:$E$304))</f>
        <v>0</v>
      </c>
      <c r="G240" s="35">
        <f>IF(F240="","",SUM($F$5:F240))</f>
        <v>0</v>
      </c>
      <c r="H240" s="31">
        <f>IF(F240="","",IF(G240-F240&lt;CorteA,"A",IF(G240-F240&lt;CorteB,"B","C")))</f>
        <v>0</v>
      </c>
    </row>
    <row r="241" spans="1:8">
      <c r="A241" s="34">
        <v>237</v>
      </c>
      <c r="B241" s="23">
        <f>IFERROR(LARGE(Posição!$U$5:$U$304,A241),"")</f>
        <v>0</v>
      </c>
      <c r="C241" s="25">
        <f>IF(B241="","",INDEX(Posição!$A$5:$A$304,MATCH(B241,Posição!$U$5:$U$304,0)))</f>
        <v>0</v>
      </c>
      <c r="D241" s="23">
        <f>IF(B241="","",INDEX(Posição!$B$5:$B$304,MATCH(B241,Posição!$U$5:$U$304,0)))</f>
        <v>0</v>
      </c>
      <c r="E241" s="24">
        <f>IF(B241="","",ROUND(B241,2))</f>
        <v>0</v>
      </c>
      <c r="F241" s="35">
        <f>IF(E241="","",E241/SUM($E$5:$E$304))</f>
        <v>0</v>
      </c>
      <c r="G241" s="35">
        <f>IF(F241="","",SUM($F$5:F241))</f>
        <v>0</v>
      </c>
      <c r="H241" s="31">
        <f>IF(F241="","",IF(G241-F241&lt;CorteA,"A",IF(G241-F241&lt;CorteB,"B","C")))</f>
        <v>0</v>
      </c>
    </row>
    <row r="242" spans="1:8">
      <c r="A242" s="34">
        <v>238</v>
      </c>
      <c r="B242" s="23">
        <f>IFERROR(LARGE(Posição!$U$5:$U$304,A242),"")</f>
        <v>0</v>
      </c>
      <c r="C242" s="25">
        <f>IF(B242="","",INDEX(Posição!$A$5:$A$304,MATCH(B242,Posição!$U$5:$U$304,0)))</f>
        <v>0</v>
      </c>
      <c r="D242" s="23">
        <f>IF(B242="","",INDEX(Posição!$B$5:$B$304,MATCH(B242,Posição!$U$5:$U$304,0)))</f>
        <v>0</v>
      </c>
      <c r="E242" s="24">
        <f>IF(B242="","",ROUND(B242,2))</f>
        <v>0</v>
      </c>
      <c r="F242" s="35">
        <f>IF(E242="","",E242/SUM($E$5:$E$304))</f>
        <v>0</v>
      </c>
      <c r="G242" s="35">
        <f>IF(F242="","",SUM($F$5:F242))</f>
        <v>0</v>
      </c>
      <c r="H242" s="31">
        <f>IF(F242="","",IF(G242-F242&lt;CorteA,"A",IF(G242-F242&lt;CorteB,"B","C")))</f>
        <v>0</v>
      </c>
    </row>
    <row r="243" spans="1:8">
      <c r="A243" s="34">
        <v>239</v>
      </c>
      <c r="B243" s="23">
        <f>IFERROR(LARGE(Posição!$U$5:$U$304,A243),"")</f>
        <v>0</v>
      </c>
      <c r="C243" s="25">
        <f>IF(B243="","",INDEX(Posição!$A$5:$A$304,MATCH(B243,Posição!$U$5:$U$304,0)))</f>
        <v>0</v>
      </c>
      <c r="D243" s="23">
        <f>IF(B243="","",INDEX(Posição!$B$5:$B$304,MATCH(B243,Posição!$U$5:$U$304,0)))</f>
        <v>0</v>
      </c>
      <c r="E243" s="24">
        <f>IF(B243="","",ROUND(B243,2))</f>
        <v>0</v>
      </c>
      <c r="F243" s="35">
        <f>IF(E243="","",E243/SUM($E$5:$E$304))</f>
        <v>0</v>
      </c>
      <c r="G243" s="35">
        <f>IF(F243="","",SUM($F$5:F243))</f>
        <v>0</v>
      </c>
      <c r="H243" s="31">
        <f>IF(F243="","",IF(G243-F243&lt;CorteA,"A",IF(G243-F243&lt;CorteB,"B","C")))</f>
        <v>0</v>
      </c>
    </row>
    <row r="244" spans="1:8">
      <c r="A244" s="34">
        <v>240</v>
      </c>
      <c r="B244" s="23">
        <f>IFERROR(LARGE(Posição!$U$5:$U$304,A244),"")</f>
        <v>0</v>
      </c>
      <c r="C244" s="25">
        <f>IF(B244="","",INDEX(Posição!$A$5:$A$304,MATCH(B244,Posição!$U$5:$U$304,0)))</f>
        <v>0</v>
      </c>
      <c r="D244" s="23">
        <f>IF(B244="","",INDEX(Posição!$B$5:$B$304,MATCH(B244,Posição!$U$5:$U$304,0)))</f>
        <v>0</v>
      </c>
      <c r="E244" s="24">
        <f>IF(B244="","",ROUND(B244,2))</f>
        <v>0</v>
      </c>
      <c r="F244" s="35">
        <f>IF(E244="","",E244/SUM($E$5:$E$304))</f>
        <v>0</v>
      </c>
      <c r="G244" s="35">
        <f>IF(F244="","",SUM($F$5:F244))</f>
        <v>0</v>
      </c>
      <c r="H244" s="31">
        <f>IF(F244="","",IF(G244-F244&lt;CorteA,"A",IF(G244-F244&lt;CorteB,"B","C")))</f>
        <v>0</v>
      </c>
    </row>
    <row r="245" spans="1:8">
      <c r="A245" s="34">
        <v>241</v>
      </c>
      <c r="B245" s="23">
        <f>IFERROR(LARGE(Posição!$U$5:$U$304,A245),"")</f>
        <v>0</v>
      </c>
      <c r="C245" s="25">
        <f>IF(B245="","",INDEX(Posição!$A$5:$A$304,MATCH(B245,Posição!$U$5:$U$304,0)))</f>
        <v>0</v>
      </c>
      <c r="D245" s="23">
        <f>IF(B245="","",INDEX(Posição!$B$5:$B$304,MATCH(B245,Posição!$U$5:$U$304,0)))</f>
        <v>0</v>
      </c>
      <c r="E245" s="24">
        <f>IF(B245="","",ROUND(B245,2))</f>
        <v>0</v>
      </c>
      <c r="F245" s="35">
        <f>IF(E245="","",E245/SUM($E$5:$E$304))</f>
        <v>0</v>
      </c>
      <c r="G245" s="35">
        <f>IF(F245="","",SUM($F$5:F245))</f>
        <v>0</v>
      </c>
      <c r="H245" s="31">
        <f>IF(F245="","",IF(G245-F245&lt;CorteA,"A",IF(G245-F245&lt;CorteB,"B","C")))</f>
        <v>0</v>
      </c>
    </row>
    <row r="246" spans="1:8">
      <c r="A246" s="34">
        <v>242</v>
      </c>
      <c r="B246" s="23">
        <f>IFERROR(LARGE(Posição!$U$5:$U$304,A246),"")</f>
        <v>0</v>
      </c>
      <c r="C246" s="25">
        <f>IF(B246="","",INDEX(Posição!$A$5:$A$304,MATCH(B246,Posição!$U$5:$U$304,0)))</f>
        <v>0</v>
      </c>
      <c r="D246" s="23">
        <f>IF(B246="","",INDEX(Posição!$B$5:$B$304,MATCH(B246,Posição!$U$5:$U$304,0)))</f>
        <v>0</v>
      </c>
      <c r="E246" s="24">
        <f>IF(B246="","",ROUND(B246,2))</f>
        <v>0</v>
      </c>
      <c r="F246" s="35">
        <f>IF(E246="","",E246/SUM($E$5:$E$304))</f>
        <v>0</v>
      </c>
      <c r="G246" s="35">
        <f>IF(F246="","",SUM($F$5:F246))</f>
        <v>0</v>
      </c>
      <c r="H246" s="31">
        <f>IF(F246="","",IF(G246-F246&lt;CorteA,"A",IF(G246-F246&lt;CorteB,"B","C")))</f>
        <v>0</v>
      </c>
    </row>
    <row r="247" spans="1:8">
      <c r="A247" s="34">
        <v>243</v>
      </c>
      <c r="B247" s="23">
        <f>IFERROR(LARGE(Posição!$U$5:$U$304,A247),"")</f>
        <v>0</v>
      </c>
      <c r="C247" s="25">
        <f>IF(B247="","",INDEX(Posição!$A$5:$A$304,MATCH(B247,Posição!$U$5:$U$304,0)))</f>
        <v>0</v>
      </c>
      <c r="D247" s="23">
        <f>IF(B247="","",INDEX(Posição!$B$5:$B$304,MATCH(B247,Posição!$U$5:$U$304,0)))</f>
        <v>0</v>
      </c>
      <c r="E247" s="24">
        <f>IF(B247="","",ROUND(B247,2))</f>
        <v>0</v>
      </c>
      <c r="F247" s="35">
        <f>IF(E247="","",E247/SUM($E$5:$E$304))</f>
        <v>0</v>
      </c>
      <c r="G247" s="35">
        <f>IF(F247="","",SUM($F$5:F247))</f>
        <v>0</v>
      </c>
      <c r="H247" s="31">
        <f>IF(F247="","",IF(G247-F247&lt;CorteA,"A",IF(G247-F247&lt;CorteB,"B","C")))</f>
        <v>0</v>
      </c>
    </row>
    <row r="248" spans="1:8">
      <c r="A248" s="34">
        <v>244</v>
      </c>
      <c r="B248" s="23">
        <f>IFERROR(LARGE(Posição!$U$5:$U$304,A248),"")</f>
        <v>0</v>
      </c>
      <c r="C248" s="25">
        <f>IF(B248="","",INDEX(Posição!$A$5:$A$304,MATCH(B248,Posição!$U$5:$U$304,0)))</f>
        <v>0</v>
      </c>
      <c r="D248" s="23">
        <f>IF(B248="","",INDEX(Posição!$B$5:$B$304,MATCH(B248,Posição!$U$5:$U$304,0)))</f>
        <v>0</v>
      </c>
      <c r="E248" s="24">
        <f>IF(B248="","",ROUND(B248,2))</f>
        <v>0</v>
      </c>
      <c r="F248" s="35">
        <f>IF(E248="","",E248/SUM($E$5:$E$304))</f>
        <v>0</v>
      </c>
      <c r="G248" s="35">
        <f>IF(F248="","",SUM($F$5:F248))</f>
        <v>0</v>
      </c>
      <c r="H248" s="31">
        <f>IF(F248="","",IF(G248-F248&lt;CorteA,"A",IF(G248-F248&lt;CorteB,"B","C")))</f>
        <v>0</v>
      </c>
    </row>
    <row r="249" spans="1:8">
      <c r="A249" s="34">
        <v>245</v>
      </c>
      <c r="B249" s="23">
        <f>IFERROR(LARGE(Posição!$U$5:$U$304,A249),"")</f>
        <v>0</v>
      </c>
      <c r="C249" s="25">
        <f>IF(B249="","",INDEX(Posição!$A$5:$A$304,MATCH(B249,Posição!$U$5:$U$304,0)))</f>
        <v>0</v>
      </c>
      <c r="D249" s="23">
        <f>IF(B249="","",INDEX(Posição!$B$5:$B$304,MATCH(B249,Posição!$U$5:$U$304,0)))</f>
        <v>0</v>
      </c>
      <c r="E249" s="24">
        <f>IF(B249="","",ROUND(B249,2))</f>
        <v>0</v>
      </c>
      <c r="F249" s="35">
        <f>IF(E249="","",E249/SUM($E$5:$E$304))</f>
        <v>0</v>
      </c>
      <c r="G249" s="35">
        <f>IF(F249="","",SUM($F$5:F249))</f>
        <v>0</v>
      </c>
      <c r="H249" s="31">
        <f>IF(F249="","",IF(G249-F249&lt;CorteA,"A",IF(G249-F249&lt;CorteB,"B","C")))</f>
        <v>0</v>
      </c>
    </row>
    <row r="250" spans="1:8">
      <c r="A250" s="34">
        <v>246</v>
      </c>
      <c r="B250" s="23">
        <f>IFERROR(LARGE(Posição!$U$5:$U$304,A250),"")</f>
        <v>0</v>
      </c>
      <c r="C250" s="25">
        <f>IF(B250="","",INDEX(Posição!$A$5:$A$304,MATCH(B250,Posição!$U$5:$U$304,0)))</f>
        <v>0</v>
      </c>
      <c r="D250" s="23">
        <f>IF(B250="","",INDEX(Posição!$B$5:$B$304,MATCH(B250,Posição!$U$5:$U$304,0)))</f>
        <v>0</v>
      </c>
      <c r="E250" s="24">
        <f>IF(B250="","",ROUND(B250,2))</f>
        <v>0</v>
      </c>
      <c r="F250" s="35">
        <f>IF(E250="","",E250/SUM($E$5:$E$304))</f>
        <v>0</v>
      </c>
      <c r="G250" s="35">
        <f>IF(F250="","",SUM($F$5:F250))</f>
        <v>0</v>
      </c>
      <c r="H250" s="31">
        <f>IF(F250="","",IF(G250-F250&lt;CorteA,"A",IF(G250-F250&lt;CorteB,"B","C")))</f>
        <v>0</v>
      </c>
    </row>
    <row r="251" spans="1:8">
      <c r="A251" s="34">
        <v>247</v>
      </c>
      <c r="B251" s="23">
        <f>IFERROR(LARGE(Posição!$U$5:$U$304,A251),"")</f>
        <v>0</v>
      </c>
      <c r="C251" s="25">
        <f>IF(B251="","",INDEX(Posição!$A$5:$A$304,MATCH(B251,Posição!$U$5:$U$304,0)))</f>
        <v>0</v>
      </c>
      <c r="D251" s="23">
        <f>IF(B251="","",INDEX(Posição!$B$5:$B$304,MATCH(B251,Posição!$U$5:$U$304,0)))</f>
        <v>0</v>
      </c>
      <c r="E251" s="24">
        <f>IF(B251="","",ROUND(B251,2))</f>
        <v>0</v>
      </c>
      <c r="F251" s="35">
        <f>IF(E251="","",E251/SUM($E$5:$E$304))</f>
        <v>0</v>
      </c>
      <c r="G251" s="35">
        <f>IF(F251="","",SUM($F$5:F251))</f>
        <v>0</v>
      </c>
      <c r="H251" s="31">
        <f>IF(F251="","",IF(G251-F251&lt;CorteA,"A",IF(G251-F251&lt;CorteB,"B","C")))</f>
        <v>0</v>
      </c>
    </row>
    <row r="252" spans="1:8">
      <c r="A252" s="34">
        <v>248</v>
      </c>
      <c r="B252" s="23">
        <f>IFERROR(LARGE(Posição!$U$5:$U$304,A252),"")</f>
        <v>0</v>
      </c>
      <c r="C252" s="25">
        <f>IF(B252="","",INDEX(Posição!$A$5:$A$304,MATCH(B252,Posição!$U$5:$U$304,0)))</f>
        <v>0</v>
      </c>
      <c r="D252" s="23">
        <f>IF(B252="","",INDEX(Posição!$B$5:$B$304,MATCH(B252,Posição!$U$5:$U$304,0)))</f>
        <v>0</v>
      </c>
      <c r="E252" s="24">
        <f>IF(B252="","",ROUND(B252,2))</f>
        <v>0</v>
      </c>
      <c r="F252" s="35">
        <f>IF(E252="","",E252/SUM($E$5:$E$304))</f>
        <v>0</v>
      </c>
      <c r="G252" s="35">
        <f>IF(F252="","",SUM($F$5:F252))</f>
        <v>0</v>
      </c>
      <c r="H252" s="31">
        <f>IF(F252="","",IF(G252-F252&lt;CorteA,"A",IF(G252-F252&lt;CorteB,"B","C")))</f>
        <v>0</v>
      </c>
    </row>
    <row r="253" spans="1:8">
      <c r="A253" s="34">
        <v>249</v>
      </c>
      <c r="B253" s="23">
        <f>IFERROR(LARGE(Posição!$U$5:$U$304,A253),"")</f>
        <v>0</v>
      </c>
      <c r="C253" s="25">
        <f>IF(B253="","",INDEX(Posição!$A$5:$A$304,MATCH(B253,Posição!$U$5:$U$304,0)))</f>
        <v>0</v>
      </c>
      <c r="D253" s="23">
        <f>IF(B253="","",INDEX(Posição!$B$5:$B$304,MATCH(B253,Posição!$U$5:$U$304,0)))</f>
        <v>0</v>
      </c>
      <c r="E253" s="24">
        <f>IF(B253="","",ROUND(B253,2))</f>
        <v>0</v>
      </c>
      <c r="F253" s="35">
        <f>IF(E253="","",E253/SUM($E$5:$E$304))</f>
        <v>0</v>
      </c>
      <c r="G253" s="35">
        <f>IF(F253="","",SUM($F$5:F253))</f>
        <v>0</v>
      </c>
      <c r="H253" s="31">
        <f>IF(F253="","",IF(G253-F253&lt;CorteA,"A",IF(G253-F253&lt;CorteB,"B","C")))</f>
        <v>0</v>
      </c>
    </row>
    <row r="254" spans="1:8">
      <c r="A254" s="34">
        <v>250</v>
      </c>
      <c r="B254" s="23">
        <f>IFERROR(LARGE(Posição!$U$5:$U$304,A254),"")</f>
        <v>0</v>
      </c>
      <c r="C254" s="25">
        <f>IF(B254="","",INDEX(Posição!$A$5:$A$304,MATCH(B254,Posição!$U$5:$U$304,0)))</f>
        <v>0</v>
      </c>
      <c r="D254" s="23">
        <f>IF(B254="","",INDEX(Posição!$B$5:$B$304,MATCH(B254,Posição!$U$5:$U$304,0)))</f>
        <v>0</v>
      </c>
      <c r="E254" s="24">
        <f>IF(B254="","",ROUND(B254,2))</f>
        <v>0</v>
      </c>
      <c r="F254" s="35">
        <f>IF(E254="","",E254/SUM($E$5:$E$304))</f>
        <v>0</v>
      </c>
      <c r="G254" s="35">
        <f>IF(F254="","",SUM($F$5:F254))</f>
        <v>0</v>
      </c>
      <c r="H254" s="31">
        <f>IF(F254="","",IF(G254-F254&lt;CorteA,"A",IF(G254-F254&lt;CorteB,"B","C")))</f>
        <v>0</v>
      </c>
    </row>
    <row r="255" spans="1:8">
      <c r="A255" s="34">
        <v>251</v>
      </c>
      <c r="B255" s="23">
        <f>IFERROR(LARGE(Posição!$U$5:$U$304,A255),"")</f>
        <v>0</v>
      </c>
      <c r="C255" s="25">
        <f>IF(B255="","",INDEX(Posição!$A$5:$A$304,MATCH(B255,Posição!$U$5:$U$304,0)))</f>
        <v>0</v>
      </c>
      <c r="D255" s="23">
        <f>IF(B255="","",INDEX(Posição!$B$5:$B$304,MATCH(B255,Posição!$U$5:$U$304,0)))</f>
        <v>0</v>
      </c>
      <c r="E255" s="24">
        <f>IF(B255="","",ROUND(B255,2))</f>
        <v>0</v>
      </c>
      <c r="F255" s="35">
        <f>IF(E255="","",E255/SUM($E$5:$E$304))</f>
        <v>0</v>
      </c>
      <c r="G255" s="35">
        <f>IF(F255="","",SUM($F$5:F255))</f>
        <v>0</v>
      </c>
      <c r="H255" s="31">
        <f>IF(F255="","",IF(G255-F255&lt;CorteA,"A",IF(G255-F255&lt;CorteB,"B","C")))</f>
        <v>0</v>
      </c>
    </row>
    <row r="256" spans="1:8">
      <c r="A256" s="34">
        <v>252</v>
      </c>
      <c r="B256" s="23">
        <f>IFERROR(LARGE(Posição!$U$5:$U$304,A256),"")</f>
        <v>0</v>
      </c>
      <c r="C256" s="25">
        <f>IF(B256="","",INDEX(Posição!$A$5:$A$304,MATCH(B256,Posição!$U$5:$U$304,0)))</f>
        <v>0</v>
      </c>
      <c r="D256" s="23">
        <f>IF(B256="","",INDEX(Posição!$B$5:$B$304,MATCH(B256,Posição!$U$5:$U$304,0)))</f>
        <v>0</v>
      </c>
      <c r="E256" s="24">
        <f>IF(B256="","",ROUND(B256,2))</f>
        <v>0</v>
      </c>
      <c r="F256" s="35">
        <f>IF(E256="","",E256/SUM($E$5:$E$304))</f>
        <v>0</v>
      </c>
      <c r="G256" s="35">
        <f>IF(F256="","",SUM($F$5:F256))</f>
        <v>0</v>
      </c>
      <c r="H256" s="31">
        <f>IF(F256="","",IF(G256-F256&lt;CorteA,"A",IF(G256-F256&lt;CorteB,"B","C")))</f>
        <v>0</v>
      </c>
    </row>
    <row r="257" spans="1:8">
      <c r="A257" s="34">
        <v>253</v>
      </c>
      <c r="B257" s="23">
        <f>IFERROR(LARGE(Posição!$U$5:$U$304,A257),"")</f>
        <v>0</v>
      </c>
      <c r="C257" s="25">
        <f>IF(B257="","",INDEX(Posição!$A$5:$A$304,MATCH(B257,Posição!$U$5:$U$304,0)))</f>
        <v>0</v>
      </c>
      <c r="D257" s="23">
        <f>IF(B257="","",INDEX(Posição!$B$5:$B$304,MATCH(B257,Posição!$U$5:$U$304,0)))</f>
        <v>0</v>
      </c>
      <c r="E257" s="24">
        <f>IF(B257="","",ROUND(B257,2))</f>
        <v>0</v>
      </c>
      <c r="F257" s="35">
        <f>IF(E257="","",E257/SUM($E$5:$E$304))</f>
        <v>0</v>
      </c>
      <c r="G257" s="35">
        <f>IF(F257="","",SUM($F$5:F257))</f>
        <v>0</v>
      </c>
      <c r="H257" s="31">
        <f>IF(F257="","",IF(G257-F257&lt;CorteA,"A",IF(G257-F257&lt;CorteB,"B","C")))</f>
        <v>0</v>
      </c>
    </row>
    <row r="258" spans="1:8">
      <c r="A258" s="34">
        <v>254</v>
      </c>
      <c r="B258" s="23">
        <f>IFERROR(LARGE(Posição!$U$5:$U$304,A258),"")</f>
        <v>0</v>
      </c>
      <c r="C258" s="25">
        <f>IF(B258="","",INDEX(Posição!$A$5:$A$304,MATCH(B258,Posição!$U$5:$U$304,0)))</f>
        <v>0</v>
      </c>
      <c r="D258" s="23">
        <f>IF(B258="","",INDEX(Posição!$B$5:$B$304,MATCH(B258,Posição!$U$5:$U$304,0)))</f>
        <v>0</v>
      </c>
      <c r="E258" s="24">
        <f>IF(B258="","",ROUND(B258,2))</f>
        <v>0</v>
      </c>
      <c r="F258" s="35">
        <f>IF(E258="","",E258/SUM($E$5:$E$304))</f>
        <v>0</v>
      </c>
      <c r="G258" s="35">
        <f>IF(F258="","",SUM($F$5:F258))</f>
        <v>0</v>
      </c>
      <c r="H258" s="31">
        <f>IF(F258="","",IF(G258-F258&lt;CorteA,"A",IF(G258-F258&lt;CorteB,"B","C")))</f>
        <v>0</v>
      </c>
    </row>
    <row r="259" spans="1:8">
      <c r="A259" s="34">
        <v>255</v>
      </c>
      <c r="B259" s="23">
        <f>IFERROR(LARGE(Posição!$U$5:$U$304,A259),"")</f>
        <v>0</v>
      </c>
      <c r="C259" s="25">
        <f>IF(B259="","",INDEX(Posição!$A$5:$A$304,MATCH(B259,Posição!$U$5:$U$304,0)))</f>
        <v>0</v>
      </c>
      <c r="D259" s="23">
        <f>IF(B259="","",INDEX(Posição!$B$5:$B$304,MATCH(B259,Posição!$U$5:$U$304,0)))</f>
        <v>0</v>
      </c>
      <c r="E259" s="24">
        <f>IF(B259="","",ROUND(B259,2))</f>
        <v>0</v>
      </c>
      <c r="F259" s="35">
        <f>IF(E259="","",E259/SUM($E$5:$E$304))</f>
        <v>0</v>
      </c>
      <c r="G259" s="35">
        <f>IF(F259="","",SUM($F$5:F259))</f>
        <v>0</v>
      </c>
      <c r="H259" s="31">
        <f>IF(F259="","",IF(G259-F259&lt;CorteA,"A",IF(G259-F259&lt;CorteB,"B","C")))</f>
        <v>0</v>
      </c>
    </row>
    <row r="260" spans="1:8">
      <c r="A260" s="34">
        <v>256</v>
      </c>
      <c r="B260" s="23">
        <f>IFERROR(LARGE(Posição!$U$5:$U$304,A260),"")</f>
        <v>0</v>
      </c>
      <c r="C260" s="25">
        <f>IF(B260="","",INDEX(Posição!$A$5:$A$304,MATCH(B260,Posição!$U$5:$U$304,0)))</f>
        <v>0</v>
      </c>
      <c r="D260" s="23">
        <f>IF(B260="","",INDEX(Posição!$B$5:$B$304,MATCH(B260,Posição!$U$5:$U$304,0)))</f>
        <v>0</v>
      </c>
      <c r="E260" s="24">
        <f>IF(B260="","",ROUND(B260,2))</f>
        <v>0</v>
      </c>
      <c r="F260" s="35">
        <f>IF(E260="","",E260/SUM($E$5:$E$304))</f>
        <v>0</v>
      </c>
      <c r="G260" s="35">
        <f>IF(F260="","",SUM($F$5:F260))</f>
        <v>0</v>
      </c>
      <c r="H260" s="31">
        <f>IF(F260="","",IF(G260-F260&lt;CorteA,"A",IF(G260-F260&lt;CorteB,"B","C")))</f>
        <v>0</v>
      </c>
    </row>
    <row r="261" spans="1:8">
      <c r="A261" s="34">
        <v>257</v>
      </c>
      <c r="B261" s="23">
        <f>IFERROR(LARGE(Posição!$U$5:$U$304,A261),"")</f>
        <v>0</v>
      </c>
      <c r="C261" s="25">
        <f>IF(B261="","",INDEX(Posição!$A$5:$A$304,MATCH(B261,Posição!$U$5:$U$304,0)))</f>
        <v>0</v>
      </c>
      <c r="D261" s="23">
        <f>IF(B261="","",INDEX(Posição!$B$5:$B$304,MATCH(B261,Posição!$U$5:$U$304,0)))</f>
        <v>0</v>
      </c>
      <c r="E261" s="24">
        <f>IF(B261="","",ROUND(B261,2))</f>
        <v>0</v>
      </c>
      <c r="F261" s="35">
        <f>IF(E261="","",E261/SUM($E$5:$E$304))</f>
        <v>0</v>
      </c>
      <c r="G261" s="35">
        <f>IF(F261="","",SUM($F$5:F261))</f>
        <v>0</v>
      </c>
      <c r="H261" s="31">
        <f>IF(F261="","",IF(G261-F261&lt;CorteA,"A",IF(G261-F261&lt;CorteB,"B","C")))</f>
        <v>0</v>
      </c>
    </row>
    <row r="262" spans="1:8">
      <c r="A262" s="34">
        <v>258</v>
      </c>
      <c r="B262" s="23">
        <f>IFERROR(LARGE(Posição!$U$5:$U$304,A262),"")</f>
        <v>0</v>
      </c>
      <c r="C262" s="25">
        <f>IF(B262="","",INDEX(Posição!$A$5:$A$304,MATCH(B262,Posição!$U$5:$U$304,0)))</f>
        <v>0</v>
      </c>
      <c r="D262" s="23">
        <f>IF(B262="","",INDEX(Posição!$B$5:$B$304,MATCH(B262,Posição!$U$5:$U$304,0)))</f>
        <v>0</v>
      </c>
      <c r="E262" s="24">
        <f>IF(B262="","",ROUND(B262,2))</f>
        <v>0</v>
      </c>
      <c r="F262" s="35">
        <f>IF(E262="","",E262/SUM($E$5:$E$304))</f>
        <v>0</v>
      </c>
      <c r="G262" s="35">
        <f>IF(F262="","",SUM($F$5:F262))</f>
        <v>0</v>
      </c>
      <c r="H262" s="31">
        <f>IF(F262="","",IF(G262-F262&lt;CorteA,"A",IF(G262-F262&lt;CorteB,"B","C")))</f>
        <v>0</v>
      </c>
    </row>
    <row r="263" spans="1:8">
      <c r="A263" s="34">
        <v>259</v>
      </c>
      <c r="B263" s="23">
        <f>IFERROR(LARGE(Posição!$U$5:$U$304,A263),"")</f>
        <v>0</v>
      </c>
      <c r="C263" s="25">
        <f>IF(B263="","",INDEX(Posição!$A$5:$A$304,MATCH(B263,Posição!$U$5:$U$304,0)))</f>
        <v>0</v>
      </c>
      <c r="D263" s="23">
        <f>IF(B263="","",INDEX(Posição!$B$5:$B$304,MATCH(B263,Posição!$U$5:$U$304,0)))</f>
        <v>0</v>
      </c>
      <c r="E263" s="24">
        <f>IF(B263="","",ROUND(B263,2))</f>
        <v>0</v>
      </c>
      <c r="F263" s="35">
        <f>IF(E263="","",E263/SUM($E$5:$E$304))</f>
        <v>0</v>
      </c>
      <c r="G263" s="35">
        <f>IF(F263="","",SUM($F$5:F263))</f>
        <v>0</v>
      </c>
      <c r="H263" s="31">
        <f>IF(F263="","",IF(G263-F263&lt;CorteA,"A",IF(G263-F263&lt;CorteB,"B","C")))</f>
        <v>0</v>
      </c>
    </row>
    <row r="264" spans="1:8">
      <c r="A264" s="34">
        <v>260</v>
      </c>
      <c r="B264" s="23">
        <f>IFERROR(LARGE(Posição!$U$5:$U$304,A264),"")</f>
        <v>0</v>
      </c>
      <c r="C264" s="25">
        <f>IF(B264="","",INDEX(Posição!$A$5:$A$304,MATCH(B264,Posição!$U$5:$U$304,0)))</f>
        <v>0</v>
      </c>
      <c r="D264" s="23">
        <f>IF(B264="","",INDEX(Posição!$B$5:$B$304,MATCH(B264,Posição!$U$5:$U$304,0)))</f>
        <v>0</v>
      </c>
      <c r="E264" s="24">
        <f>IF(B264="","",ROUND(B264,2))</f>
        <v>0</v>
      </c>
      <c r="F264" s="35">
        <f>IF(E264="","",E264/SUM($E$5:$E$304))</f>
        <v>0</v>
      </c>
      <c r="G264" s="35">
        <f>IF(F264="","",SUM($F$5:F264))</f>
        <v>0</v>
      </c>
      <c r="H264" s="31">
        <f>IF(F264="","",IF(G264-F264&lt;CorteA,"A",IF(G264-F264&lt;CorteB,"B","C")))</f>
        <v>0</v>
      </c>
    </row>
    <row r="265" spans="1:8">
      <c r="A265" s="34">
        <v>261</v>
      </c>
      <c r="B265" s="23">
        <f>IFERROR(LARGE(Posição!$U$5:$U$304,A265),"")</f>
        <v>0</v>
      </c>
      <c r="C265" s="25">
        <f>IF(B265="","",INDEX(Posição!$A$5:$A$304,MATCH(B265,Posição!$U$5:$U$304,0)))</f>
        <v>0</v>
      </c>
      <c r="D265" s="23">
        <f>IF(B265="","",INDEX(Posição!$B$5:$B$304,MATCH(B265,Posição!$U$5:$U$304,0)))</f>
        <v>0</v>
      </c>
      <c r="E265" s="24">
        <f>IF(B265="","",ROUND(B265,2))</f>
        <v>0</v>
      </c>
      <c r="F265" s="35">
        <f>IF(E265="","",E265/SUM($E$5:$E$304))</f>
        <v>0</v>
      </c>
      <c r="G265" s="35">
        <f>IF(F265="","",SUM($F$5:F265))</f>
        <v>0</v>
      </c>
      <c r="H265" s="31">
        <f>IF(F265="","",IF(G265-F265&lt;CorteA,"A",IF(G265-F265&lt;CorteB,"B","C")))</f>
        <v>0</v>
      </c>
    </row>
    <row r="266" spans="1:8">
      <c r="A266" s="34">
        <v>262</v>
      </c>
      <c r="B266" s="23">
        <f>IFERROR(LARGE(Posição!$U$5:$U$304,A266),"")</f>
        <v>0</v>
      </c>
      <c r="C266" s="25">
        <f>IF(B266="","",INDEX(Posição!$A$5:$A$304,MATCH(B266,Posição!$U$5:$U$304,0)))</f>
        <v>0</v>
      </c>
      <c r="D266" s="23">
        <f>IF(B266="","",INDEX(Posição!$B$5:$B$304,MATCH(B266,Posição!$U$5:$U$304,0)))</f>
        <v>0</v>
      </c>
      <c r="E266" s="24">
        <f>IF(B266="","",ROUND(B266,2))</f>
        <v>0</v>
      </c>
      <c r="F266" s="35">
        <f>IF(E266="","",E266/SUM($E$5:$E$304))</f>
        <v>0</v>
      </c>
      <c r="G266" s="35">
        <f>IF(F266="","",SUM($F$5:F266))</f>
        <v>0</v>
      </c>
      <c r="H266" s="31">
        <f>IF(F266="","",IF(G266-F266&lt;CorteA,"A",IF(G266-F266&lt;CorteB,"B","C")))</f>
        <v>0</v>
      </c>
    </row>
    <row r="267" spans="1:8">
      <c r="A267" s="34">
        <v>263</v>
      </c>
      <c r="B267" s="23">
        <f>IFERROR(LARGE(Posição!$U$5:$U$304,A267),"")</f>
        <v>0</v>
      </c>
      <c r="C267" s="25">
        <f>IF(B267="","",INDEX(Posição!$A$5:$A$304,MATCH(B267,Posição!$U$5:$U$304,0)))</f>
        <v>0</v>
      </c>
      <c r="D267" s="23">
        <f>IF(B267="","",INDEX(Posição!$B$5:$B$304,MATCH(B267,Posição!$U$5:$U$304,0)))</f>
        <v>0</v>
      </c>
      <c r="E267" s="24">
        <f>IF(B267="","",ROUND(B267,2))</f>
        <v>0</v>
      </c>
      <c r="F267" s="35">
        <f>IF(E267="","",E267/SUM($E$5:$E$304))</f>
        <v>0</v>
      </c>
      <c r="G267" s="35">
        <f>IF(F267="","",SUM($F$5:F267))</f>
        <v>0</v>
      </c>
      <c r="H267" s="31">
        <f>IF(F267="","",IF(G267-F267&lt;CorteA,"A",IF(G267-F267&lt;CorteB,"B","C")))</f>
        <v>0</v>
      </c>
    </row>
    <row r="268" spans="1:8">
      <c r="A268" s="34">
        <v>264</v>
      </c>
      <c r="B268" s="23">
        <f>IFERROR(LARGE(Posição!$U$5:$U$304,A268),"")</f>
        <v>0</v>
      </c>
      <c r="C268" s="25">
        <f>IF(B268="","",INDEX(Posição!$A$5:$A$304,MATCH(B268,Posição!$U$5:$U$304,0)))</f>
        <v>0</v>
      </c>
      <c r="D268" s="23">
        <f>IF(B268="","",INDEX(Posição!$B$5:$B$304,MATCH(B268,Posição!$U$5:$U$304,0)))</f>
        <v>0</v>
      </c>
      <c r="E268" s="24">
        <f>IF(B268="","",ROUND(B268,2))</f>
        <v>0</v>
      </c>
      <c r="F268" s="35">
        <f>IF(E268="","",E268/SUM($E$5:$E$304))</f>
        <v>0</v>
      </c>
      <c r="G268" s="35">
        <f>IF(F268="","",SUM($F$5:F268))</f>
        <v>0</v>
      </c>
      <c r="H268" s="31">
        <f>IF(F268="","",IF(G268-F268&lt;CorteA,"A",IF(G268-F268&lt;CorteB,"B","C")))</f>
        <v>0</v>
      </c>
    </row>
    <row r="269" spans="1:8">
      <c r="A269" s="34">
        <v>265</v>
      </c>
      <c r="B269" s="23">
        <f>IFERROR(LARGE(Posição!$U$5:$U$304,A269),"")</f>
        <v>0</v>
      </c>
      <c r="C269" s="25">
        <f>IF(B269="","",INDEX(Posição!$A$5:$A$304,MATCH(B269,Posição!$U$5:$U$304,0)))</f>
        <v>0</v>
      </c>
      <c r="D269" s="23">
        <f>IF(B269="","",INDEX(Posição!$B$5:$B$304,MATCH(B269,Posição!$U$5:$U$304,0)))</f>
        <v>0</v>
      </c>
      <c r="E269" s="24">
        <f>IF(B269="","",ROUND(B269,2))</f>
        <v>0</v>
      </c>
      <c r="F269" s="35">
        <f>IF(E269="","",E269/SUM($E$5:$E$304))</f>
        <v>0</v>
      </c>
      <c r="G269" s="35">
        <f>IF(F269="","",SUM($F$5:F269))</f>
        <v>0</v>
      </c>
      <c r="H269" s="31">
        <f>IF(F269="","",IF(G269-F269&lt;CorteA,"A",IF(G269-F269&lt;CorteB,"B","C")))</f>
        <v>0</v>
      </c>
    </row>
    <row r="270" spans="1:8">
      <c r="A270" s="34">
        <v>266</v>
      </c>
      <c r="B270" s="23">
        <f>IFERROR(LARGE(Posição!$U$5:$U$304,A270),"")</f>
        <v>0</v>
      </c>
      <c r="C270" s="25">
        <f>IF(B270="","",INDEX(Posição!$A$5:$A$304,MATCH(B270,Posição!$U$5:$U$304,0)))</f>
        <v>0</v>
      </c>
      <c r="D270" s="23">
        <f>IF(B270="","",INDEX(Posição!$B$5:$B$304,MATCH(B270,Posição!$U$5:$U$304,0)))</f>
        <v>0</v>
      </c>
      <c r="E270" s="24">
        <f>IF(B270="","",ROUND(B270,2))</f>
        <v>0</v>
      </c>
      <c r="F270" s="35">
        <f>IF(E270="","",E270/SUM($E$5:$E$304))</f>
        <v>0</v>
      </c>
      <c r="G270" s="35">
        <f>IF(F270="","",SUM($F$5:F270))</f>
        <v>0</v>
      </c>
      <c r="H270" s="31">
        <f>IF(F270="","",IF(G270-F270&lt;CorteA,"A",IF(G270-F270&lt;CorteB,"B","C")))</f>
        <v>0</v>
      </c>
    </row>
    <row r="271" spans="1:8">
      <c r="A271" s="34">
        <v>267</v>
      </c>
      <c r="B271" s="23">
        <f>IFERROR(LARGE(Posição!$U$5:$U$304,A271),"")</f>
        <v>0</v>
      </c>
      <c r="C271" s="25">
        <f>IF(B271="","",INDEX(Posição!$A$5:$A$304,MATCH(B271,Posição!$U$5:$U$304,0)))</f>
        <v>0</v>
      </c>
      <c r="D271" s="23">
        <f>IF(B271="","",INDEX(Posição!$B$5:$B$304,MATCH(B271,Posição!$U$5:$U$304,0)))</f>
        <v>0</v>
      </c>
      <c r="E271" s="24">
        <f>IF(B271="","",ROUND(B271,2))</f>
        <v>0</v>
      </c>
      <c r="F271" s="35">
        <f>IF(E271="","",E271/SUM($E$5:$E$304))</f>
        <v>0</v>
      </c>
      <c r="G271" s="35">
        <f>IF(F271="","",SUM($F$5:F271))</f>
        <v>0</v>
      </c>
      <c r="H271" s="31">
        <f>IF(F271="","",IF(G271-F271&lt;CorteA,"A",IF(G271-F271&lt;CorteB,"B","C")))</f>
        <v>0</v>
      </c>
    </row>
    <row r="272" spans="1:8">
      <c r="A272" s="34">
        <v>268</v>
      </c>
      <c r="B272" s="23">
        <f>IFERROR(LARGE(Posição!$U$5:$U$304,A272),"")</f>
        <v>0</v>
      </c>
      <c r="C272" s="25">
        <f>IF(B272="","",INDEX(Posição!$A$5:$A$304,MATCH(B272,Posição!$U$5:$U$304,0)))</f>
        <v>0</v>
      </c>
      <c r="D272" s="23">
        <f>IF(B272="","",INDEX(Posição!$B$5:$B$304,MATCH(B272,Posição!$U$5:$U$304,0)))</f>
        <v>0</v>
      </c>
      <c r="E272" s="24">
        <f>IF(B272="","",ROUND(B272,2))</f>
        <v>0</v>
      </c>
      <c r="F272" s="35">
        <f>IF(E272="","",E272/SUM($E$5:$E$304))</f>
        <v>0</v>
      </c>
      <c r="G272" s="35">
        <f>IF(F272="","",SUM($F$5:F272))</f>
        <v>0</v>
      </c>
      <c r="H272" s="31">
        <f>IF(F272="","",IF(G272-F272&lt;CorteA,"A",IF(G272-F272&lt;CorteB,"B","C")))</f>
        <v>0</v>
      </c>
    </row>
    <row r="273" spans="1:8">
      <c r="A273" s="34">
        <v>269</v>
      </c>
      <c r="B273" s="23">
        <f>IFERROR(LARGE(Posição!$U$5:$U$304,A273),"")</f>
        <v>0</v>
      </c>
      <c r="C273" s="25">
        <f>IF(B273="","",INDEX(Posição!$A$5:$A$304,MATCH(B273,Posição!$U$5:$U$304,0)))</f>
        <v>0</v>
      </c>
      <c r="D273" s="23">
        <f>IF(B273="","",INDEX(Posição!$B$5:$B$304,MATCH(B273,Posição!$U$5:$U$304,0)))</f>
        <v>0</v>
      </c>
      <c r="E273" s="24">
        <f>IF(B273="","",ROUND(B273,2))</f>
        <v>0</v>
      </c>
      <c r="F273" s="35">
        <f>IF(E273="","",E273/SUM($E$5:$E$304))</f>
        <v>0</v>
      </c>
      <c r="G273" s="35">
        <f>IF(F273="","",SUM($F$5:F273))</f>
        <v>0</v>
      </c>
      <c r="H273" s="31">
        <f>IF(F273="","",IF(G273-F273&lt;CorteA,"A",IF(G273-F273&lt;CorteB,"B","C")))</f>
        <v>0</v>
      </c>
    </row>
    <row r="274" spans="1:8">
      <c r="A274" s="34">
        <v>270</v>
      </c>
      <c r="B274" s="23">
        <f>IFERROR(LARGE(Posição!$U$5:$U$304,A274),"")</f>
        <v>0</v>
      </c>
      <c r="C274" s="25">
        <f>IF(B274="","",INDEX(Posição!$A$5:$A$304,MATCH(B274,Posição!$U$5:$U$304,0)))</f>
        <v>0</v>
      </c>
      <c r="D274" s="23">
        <f>IF(B274="","",INDEX(Posição!$B$5:$B$304,MATCH(B274,Posição!$U$5:$U$304,0)))</f>
        <v>0</v>
      </c>
      <c r="E274" s="24">
        <f>IF(B274="","",ROUND(B274,2))</f>
        <v>0</v>
      </c>
      <c r="F274" s="35">
        <f>IF(E274="","",E274/SUM($E$5:$E$304))</f>
        <v>0</v>
      </c>
      <c r="G274" s="35">
        <f>IF(F274="","",SUM($F$5:F274))</f>
        <v>0</v>
      </c>
      <c r="H274" s="31">
        <f>IF(F274="","",IF(G274-F274&lt;CorteA,"A",IF(G274-F274&lt;CorteB,"B","C")))</f>
        <v>0</v>
      </c>
    </row>
    <row r="275" spans="1:8">
      <c r="A275" s="34">
        <v>271</v>
      </c>
      <c r="B275" s="23">
        <f>IFERROR(LARGE(Posição!$U$5:$U$304,A275),"")</f>
        <v>0</v>
      </c>
      <c r="C275" s="25">
        <f>IF(B275="","",INDEX(Posição!$A$5:$A$304,MATCH(B275,Posição!$U$5:$U$304,0)))</f>
        <v>0</v>
      </c>
      <c r="D275" s="23">
        <f>IF(B275="","",INDEX(Posição!$B$5:$B$304,MATCH(B275,Posição!$U$5:$U$304,0)))</f>
        <v>0</v>
      </c>
      <c r="E275" s="24">
        <f>IF(B275="","",ROUND(B275,2))</f>
        <v>0</v>
      </c>
      <c r="F275" s="35">
        <f>IF(E275="","",E275/SUM($E$5:$E$304))</f>
        <v>0</v>
      </c>
      <c r="G275" s="35">
        <f>IF(F275="","",SUM($F$5:F275))</f>
        <v>0</v>
      </c>
      <c r="H275" s="31">
        <f>IF(F275="","",IF(G275-F275&lt;CorteA,"A",IF(G275-F275&lt;CorteB,"B","C")))</f>
        <v>0</v>
      </c>
    </row>
    <row r="276" spans="1:8">
      <c r="A276" s="34">
        <v>272</v>
      </c>
      <c r="B276" s="23">
        <f>IFERROR(LARGE(Posição!$U$5:$U$304,A276),"")</f>
        <v>0</v>
      </c>
      <c r="C276" s="25">
        <f>IF(B276="","",INDEX(Posição!$A$5:$A$304,MATCH(B276,Posição!$U$5:$U$304,0)))</f>
        <v>0</v>
      </c>
      <c r="D276" s="23">
        <f>IF(B276="","",INDEX(Posição!$B$5:$B$304,MATCH(B276,Posição!$U$5:$U$304,0)))</f>
        <v>0</v>
      </c>
      <c r="E276" s="24">
        <f>IF(B276="","",ROUND(B276,2))</f>
        <v>0</v>
      </c>
      <c r="F276" s="35">
        <f>IF(E276="","",E276/SUM($E$5:$E$304))</f>
        <v>0</v>
      </c>
      <c r="G276" s="35">
        <f>IF(F276="","",SUM($F$5:F276))</f>
        <v>0</v>
      </c>
      <c r="H276" s="31">
        <f>IF(F276="","",IF(G276-F276&lt;CorteA,"A",IF(G276-F276&lt;CorteB,"B","C")))</f>
        <v>0</v>
      </c>
    </row>
    <row r="277" spans="1:8">
      <c r="A277" s="34">
        <v>273</v>
      </c>
      <c r="B277" s="23">
        <f>IFERROR(LARGE(Posição!$U$5:$U$304,A277),"")</f>
        <v>0</v>
      </c>
      <c r="C277" s="25">
        <f>IF(B277="","",INDEX(Posição!$A$5:$A$304,MATCH(B277,Posição!$U$5:$U$304,0)))</f>
        <v>0</v>
      </c>
      <c r="D277" s="23">
        <f>IF(B277="","",INDEX(Posição!$B$5:$B$304,MATCH(B277,Posição!$U$5:$U$304,0)))</f>
        <v>0</v>
      </c>
      <c r="E277" s="24">
        <f>IF(B277="","",ROUND(B277,2))</f>
        <v>0</v>
      </c>
      <c r="F277" s="35">
        <f>IF(E277="","",E277/SUM($E$5:$E$304))</f>
        <v>0</v>
      </c>
      <c r="G277" s="35">
        <f>IF(F277="","",SUM($F$5:F277))</f>
        <v>0</v>
      </c>
      <c r="H277" s="31">
        <f>IF(F277="","",IF(G277-F277&lt;CorteA,"A",IF(G277-F277&lt;CorteB,"B","C")))</f>
        <v>0</v>
      </c>
    </row>
    <row r="278" spans="1:8">
      <c r="A278" s="34">
        <v>274</v>
      </c>
      <c r="B278" s="23">
        <f>IFERROR(LARGE(Posição!$U$5:$U$304,A278),"")</f>
        <v>0</v>
      </c>
      <c r="C278" s="25">
        <f>IF(B278="","",INDEX(Posição!$A$5:$A$304,MATCH(B278,Posição!$U$5:$U$304,0)))</f>
        <v>0</v>
      </c>
      <c r="D278" s="23">
        <f>IF(B278="","",INDEX(Posição!$B$5:$B$304,MATCH(B278,Posição!$U$5:$U$304,0)))</f>
        <v>0</v>
      </c>
      <c r="E278" s="24">
        <f>IF(B278="","",ROUND(B278,2))</f>
        <v>0</v>
      </c>
      <c r="F278" s="35">
        <f>IF(E278="","",E278/SUM($E$5:$E$304))</f>
        <v>0</v>
      </c>
      <c r="G278" s="35">
        <f>IF(F278="","",SUM($F$5:F278))</f>
        <v>0</v>
      </c>
      <c r="H278" s="31">
        <f>IF(F278="","",IF(G278-F278&lt;CorteA,"A",IF(G278-F278&lt;CorteB,"B","C")))</f>
        <v>0</v>
      </c>
    </row>
    <row r="279" spans="1:8">
      <c r="A279" s="34">
        <v>275</v>
      </c>
      <c r="B279" s="23">
        <f>IFERROR(LARGE(Posição!$U$5:$U$304,A279),"")</f>
        <v>0</v>
      </c>
      <c r="C279" s="25">
        <f>IF(B279="","",INDEX(Posição!$A$5:$A$304,MATCH(B279,Posição!$U$5:$U$304,0)))</f>
        <v>0</v>
      </c>
      <c r="D279" s="23">
        <f>IF(B279="","",INDEX(Posição!$B$5:$B$304,MATCH(B279,Posição!$U$5:$U$304,0)))</f>
        <v>0</v>
      </c>
      <c r="E279" s="24">
        <f>IF(B279="","",ROUND(B279,2))</f>
        <v>0</v>
      </c>
      <c r="F279" s="35">
        <f>IF(E279="","",E279/SUM($E$5:$E$304))</f>
        <v>0</v>
      </c>
      <c r="G279" s="35">
        <f>IF(F279="","",SUM($F$5:F279))</f>
        <v>0</v>
      </c>
      <c r="H279" s="31">
        <f>IF(F279="","",IF(G279-F279&lt;CorteA,"A",IF(G279-F279&lt;CorteB,"B","C")))</f>
        <v>0</v>
      </c>
    </row>
    <row r="280" spans="1:8">
      <c r="A280" s="34">
        <v>276</v>
      </c>
      <c r="B280" s="23">
        <f>IFERROR(LARGE(Posição!$U$5:$U$304,A280),"")</f>
        <v>0</v>
      </c>
      <c r="C280" s="25">
        <f>IF(B280="","",INDEX(Posição!$A$5:$A$304,MATCH(B280,Posição!$U$5:$U$304,0)))</f>
        <v>0</v>
      </c>
      <c r="D280" s="23">
        <f>IF(B280="","",INDEX(Posição!$B$5:$B$304,MATCH(B280,Posição!$U$5:$U$304,0)))</f>
        <v>0</v>
      </c>
      <c r="E280" s="24">
        <f>IF(B280="","",ROUND(B280,2))</f>
        <v>0</v>
      </c>
      <c r="F280" s="35">
        <f>IF(E280="","",E280/SUM($E$5:$E$304))</f>
        <v>0</v>
      </c>
      <c r="G280" s="35">
        <f>IF(F280="","",SUM($F$5:F280))</f>
        <v>0</v>
      </c>
      <c r="H280" s="31">
        <f>IF(F280="","",IF(G280-F280&lt;CorteA,"A",IF(G280-F280&lt;CorteB,"B","C")))</f>
        <v>0</v>
      </c>
    </row>
    <row r="281" spans="1:8">
      <c r="A281" s="34">
        <v>277</v>
      </c>
      <c r="B281" s="23">
        <f>IFERROR(LARGE(Posição!$U$5:$U$304,A281),"")</f>
        <v>0</v>
      </c>
      <c r="C281" s="25">
        <f>IF(B281="","",INDEX(Posição!$A$5:$A$304,MATCH(B281,Posição!$U$5:$U$304,0)))</f>
        <v>0</v>
      </c>
      <c r="D281" s="23">
        <f>IF(B281="","",INDEX(Posição!$B$5:$B$304,MATCH(B281,Posição!$U$5:$U$304,0)))</f>
        <v>0</v>
      </c>
      <c r="E281" s="24">
        <f>IF(B281="","",ROUND(B281,2))</f>
        <v>0</v>
      </c>
      <c r="F281" s="35">
        <f>IF(E281="","",E281/SUM($E$5:$E$304))</f>
        <v>0</v>
      </c>
      <c r="G281" s="35">
        <f>IF(F281="","",SUM($F$5:F281))</f>
        <v>0</v>
      </c>
      <c r="H281" s="31">
        <f>IF(F281="","",IF(G281-F281&lt;CorteA,"A",IF(G281-F281&lt;CorteB,"B","C")))</f>
        <v>0</v>
      </c>
    </row>
    <row r="282" spans="1:8">
      <c r="A282" s="34">
        <v>278</v>
      </c>
      <c r="B282" s="23">
        <f>IFERROR(LARGE(Posição!$U$5:$U$304,A282),"")</f>
        <v>0</v>
      </c>
      <c r="C282" s="25">
        <f>IF(B282="","",INDEX(Posição!$A$5:$A$304,MATCH(B282,Posição!$U$5:$U$304,0)))</f>
        <v>0</v>
      </c>
      <c r="D282" s="23">
        <f>IF(B282="","",INDEX(Posição!$B$5:$B$304,MATCH(B282,Posição!$U$5:$U$304,0)))</f>
        <v>0</v>
      </c>
      <c r="E282" s="24">
        <f>IF(B282="","",ROUND(B282,2))</f>
        <v>0</v>
      </c>
      <c r="F282" s="35">
        <f>IF(E282="","",E282/SUM($E$5:$E$304))</f>
        <v>0</v>
      </c>
      <c r="G282" s="35">
        <f>IF(F282="","",SUM($F$5:F282))</f>
        <v>0</v>
      </c>
      <c r="H282" s="31">
        <f>IF(F282="","",IF(G282-F282&lt;CorteA,"A",IF(G282-F282&lt;CorteB,"B","C")))</f>
        <v>0</v>
      </c>
    </row>
    <row r="283" spans="1:8">
      <c r="A283" s="34">
        <v>279</v>
      </c>
      <c r="B283" s="23">
        <f>IFERROR(LARGE(Posição!$U$5:$U$304,A283),"")</f>
        <v>0</v>
      </c>
      <c r="C283" s="25">
        <f>IF(B283="","",INDEX(Posição!$A$5:$A$304,MATCH(B283,Posição!$U$5:$U$304,0)))</f>
        <v>0</v>
      </c>
      <c r="D283" s="23">
        <f>IF(B283="","",INDEX(Posição!$B$5:$B$304,MATCH(B283,Posição!$U$5:$U$304,0)))</f>
        <v>0</v>
      </c>
      <c r="E283" s="24">
        <f>IF(B283="","",ROUND(B283,2))</f>
        <v>0</v>
      </c>
      <c r="F283" s="35">
        <f>IF(E283="","",E283/SUM($E$5:$E$304))</f>
        <v>0</v>
      </c>
      <c r="G283" s="35">
        <f>IF(F283="","",SUM($F$5:F283))</f>
        <v>0</v>
      </c>
      <c r="H283" s="31">
        <f>IF(F283="","",IF(G283-F283&lt;CorteA,"A",IF(G283-F283&lt;CorteB,"B","C")))</f>
        <v>0</v>
      </c>
    </row>
    <row r="284" spans="1:8">
      <c r="A284" s="34">
        <v>280</v>
      </c>
      <c r="B284" s="23">
        <f>IFERROR(LARGE(Posição!$U$5:$U$304,A284),"")</f>
        <v>0</v>
      </c>
      <c r="C284" s="25">
        <f>IF(B284="","",INDEX(Posição!$A$5:$A$304,MATCH(B284,Posição!$U$5:$U$304,0)))</f>
        <v>0</v>
      </c>
      <c r="D284" s="23">
        <f>IF(B284="","",INDEX(Posição!$B$5:$B$304,MATCH(B284,Posição!$U$5:$U$304,0)))</f>
        <v>0</v>
      </c>
      <c r="E284" s="24">
        <f>IF(B284="","",ROUND(B284,2))</f>
        <v>0</v>
      </c>
      <c r="F284" s="35">
        <f>IF(E284="","",E284/SUM($E$5:$E$304))</f>
        <v>0</v>
      </c>
      <c r="G284" s="35">
        <f>IF(F284="","",SUM($F$5:F284))</f>
        <v>0</v>
      </c>
      <c r="H284" s="31">
        <f>IF(F284="","",IF(G284-F284&lt;CorteA,"A",IF(G284-F284&lt;CorteB,"B","C")))</f>
        <v>0</v>
      </c>
    </row>
    <row r="285" spans="1:8">
      <c r="A285" s="34">
        <v>281</v>
      </c>
      <c r="B285" s="23">
        <f>IFERROR(LARGE(Posição!$U$5:$U$304,A285),"")</f>
        <v>0</v>
      </c>
      <c r="C285" s="25">
        <f>IF(B285="","",INDEX(Posição!$A$5:$A$304,MATCH(B285,Posição!$U$5:$U$304,0)))</f>
        <v>0</v>
      </c>
      <c r="D285" s="23">
        <f>IF(B285="","",INDEX(Posição!$B$5:$B$304,MATCH(B285,Posição!$U$5:$U$304,0)))</f>
        <v>0</v>
      </c>
      <c r="E285" s="24">
        <f>IF(B285="","",ROUND(B285,2))</f>
        <v>0</v>
      </c>
      <c r="F285" s="35">
        <f>IF(E285="","",E285/SUM($E$5:$E$304))</f>
        <v>0</v>
      </c>
      <c r="G285" s="35">
        <f>IF(F285="","",SUM($F$5:F285))</f>
        <v>0</v>
      </c>
      <c r="H285" s="31">
        <f>IF(F285="","",IF(G285-F285&lt;CorteA,"A",IF(G285-F285&lt;CorteB,"B","C")))</f>
        <v>0</v>
      </c>
    </row>
    <row r="286" spans="1:8">
      <c r="A286" s="34">
        <v>282</v>
      </c>
      <c r="B286" s="23">
        <f>IFERROR(LARGE(Posição!$U$5:$U$304,A286),"")</f>
        <v>0</v>
      </c>
      <c r="C286" s="25">
        <f>IF(B286="","",INDEX(Posição!$A$5:$A$304,MATCH(B286,Posição!$U$5:$U$304,0)))</f>
        <v>0</v>
      </c>
      <c r="D286" s="23">
        <f>IF(B286="","",INDEX(Posição!$B$5:$B$304,MATCH(B286,Posição!$U$5:$U$304,0)))</f>
        <v>0</v>
      </c>
      <c r="E286" s="24">
        <f>IF(B286="","",ROUND(B286,2))</f>
        <v>0</v>
      </c>
      <c r="F286" s="35">
        <f>IF(E286="","",E286/SUM($E$5:$E$304))</f>
        <v>0</v>
      </c>
      <c r="G286" s="35">
        <f>IF(F286="","",SUM($F$5:F286))</f>
        <v>0</v>
      </c>
      <c r="H286" s="31">
        <f>IF(F286="","",IF(G286-F286&lt;CorteA,"A",IF(G286-F286&lt;CorteB,"B","C")))</f>
        <v>0</v>
      </c>
    </row>
    <row r="287" spans="1:8">
      <c r="A287" s="34">
        <v>283</v>
      </c>
      <c r="B287" s="23">
        <f>IFERROR(LARGE(Posição!$U$5:$U$304,A287),"")</f>
        <v>0</v>
      </c>
      <c r="C287" s="25">
        <f>IF(B287="","",INDEX(Posição!$A$5:$A$304,MATCH(B287,Posição!$U$5:$U$304,0)))</f>
        <v>0</v>
      </c>
      <c r="D287" s="23">
        <f>IF(B287="","",INDEX(Posição!$B$5:$B$304,MATCH(B287,Posição!$U$5:$U$304,0)))</f>
        <v>0</v>
      </c>
      <c r="E287" s="24">
        <f>IF(B287="","",ROUND(B287,2))</f>
        <v>0</v>
      </c>
      <c r="F287" s="35">
        <f>IF(E287="","",E287/SUM($E$5:$E$304))</f>
        <v>0</v>
      </c>
      <c r="G287" s="35">
        <f>IF(F287="","",SUM($F$5:F287))</f>
        <v>0</v>
      </c>
      <c r="H287" s="31">
        <f>IF(F287="","",IF(G287-F287&lt;CorteA,"A",IF(G287-F287&lt;CorteB,"B","C")))</f>
        <v>0</v>
      </c>
    </row>
    <row r="288" spans="1:8">
      <c r="A288" s="34">
        <v>284</v>
      </c>
      <c r="B288" s="23">
        <f>IFERROR(LARGE(Posição!$U$5:$U$304,A288),"")</f>
        <v>0</v>
      </c>
      <c r="C288" s="25">
        <f>IF(B288="","",INDEX(Posição!$A$5:$A$304,MATCH(B288,Posição!$U$5:$U$304,0)))</f>
        <v>0</v>
      </c>
      <c r="D288" s="23">
        <f>IF(B288="","",INDEX(Posição!$B$5:$B$304,MATCH(B288,Posição!$U$5:$U$304,0)))</f>
        <v>0</v>
      </c>
      <c r="E288" s="24">
        <f>IF(B288="","",ROUND(B288,2))</f>
        <v>0</v>
      </c>
      <c r="F288" s="35">
        <f>IF(E288="","",E288/SUM($E$5:$E$304))</f>
        <v>0</v>
      </c>
      <c r="G288" s="35">
        <f>IF(F288="","",SUM($F$5:F288))</f>
        <v>0</v>
      </c>
      <c r="H288" s="31">
        <f>IF(F288="","",IF(G288-F288&lt;CorteA,"A",IF(G288-F288&lt;CorteB,"B","C")))</f>
        <v>0</v>
      </c>
    </row>
    <row r="289" spans="1:8">
      <c r="A289" s="34">
        <v>285</v>
      </c>
      <c r="B289" s="23">
        <f>IFERROR(LARGE(Posição!$U$5:$U$304,A289),"")</f>
        <v>0</v>
      </c>
      <c r="C289" s="25">
        <f>IF(B289="","",INDEX(Posição!$A$5:$A$304,MATCH(B289,Posição!$U$5:$U$304,0)))</f>
        <v>0</v>
      </c>
      <c r="D289" s="23">
        <f>IF(B289="","",INDEX(Posição!$B$5:$B$304,MATCH(B289,Posição!$U$5:$U$304,0)))</f>
        <v>0</v>
      </c>
      <c r="E289" s="24">
        <f>IF(B289="","",ROUND(B289,2))</f>
        <v>0</v>
      </c>
      <c r="F289" s="35">
        <f>IF(E289="","",E289/SUM($E$5:$E$304))</f>
        <v>0</v>
      </c>
      <c r="G289" s="35">
        <f>IF(F289="","",SUM($F$5:F289))</f>
        <v>0</v>
      </c>
      <c r="H289" s="31">
        <f>IF(F289="","",IF(G289-F289&lt;CorteA,"A",IF(G289-F289&lt;CorteB,"B","C")))</f>
        <v>0</v>
      </c>
    </row>
    <row r="290" spans="1:8">
      <c r="A290" s="34">
        <v>286</v>
      </c>
      <c r="B290" s="23">
        <f>IFERROR(LARGE(Posição!$U$5:$U$304,A290),"")</f>
        <v>0</v>
      </c>
      <c r="C290" s="25">
        <f>IF(B290="","",INDEX(Posição!$A$5:$A$304,MATCH(B290,Posição!$U$5:$U$304,0)))</f>
        <v>0</v>
      </c>
      <c r="D290" s="23">
        <f>IF(B290="","",INDEX(Posição!$B$5:$B$304,MATCH(B290,Posição!$U$5:$U$304,0)))</f>
        <v>0</v>
      </c>
      <c r="E290" s="24">
        <f>IF(B290="","",ROUND(B290,2))</f>
        <v>0</v>
      </c>
      <c r="F290" s="35">
        <f>IF(E290="","",E290/SUM($E$5:$E$304))</f>
        <v>0</v>
      </c>
      <c r="G290" s="35">
        <f>IF(F290="","",SUM($F$5:F290))</f>
        <v>0</v>
      </c>
      <c r="H290" s="31">
        <f>IF(F290="","",IF(G290-F290&lt;CorteA,"A",IF(G290-F290&lt;CorteB,"B","C")))</f>
        <v>0</v>
      </c>
    </row>
    <row r="291" spans="1:8">
      <c r="A291" s="34">
        <v>287</v>
      </c>
      <c r="B291" s="23">
        <f>IFERROR(LARGE(Posição!$U$5:$U$304,A291),"")</f>
        <v>0</v>
      </c>
      <c r="C291" s="25">
        <f>IF(B291="","",INDEX(Posição!$A$5:$A$304,MATCH(B291,Posição!$U$5:$U$304,0)))</f>
        <v>0</v>
      </c>
      <c r="D291" s="23">
        <f>IF(B291="","",INDEX(Posição!$B$5:$B$304,MATCH(B291,Posição!$U$5:$U$304,0)))</f>
        <v>0</v>
      </c>
      <c r="E291" s="24">
        <f>IF(B291="","",ROUND(B291,2))</f>
        <v>0</v>
      </c>
      <c r="F291" s="35">
        <f>IF(E291="","",E291/SUM($E$5:$E$304))</f>
        <v>0</v>
      </c>
      <c r="G291" s="35">
        <f>IF(F291="","",SUM($F$5:F291))</f>
        <v>0</v>
      </c>
      <c r="H291" s="31">
        <f>IF(F291="","",IF(G291-F291&lt;CorteA,"A",IF(G291-F291&lt;CorteB,"B","C")))</f>
        <v>0</v>
      </c>
    </row>
    <row r="292" spans="1:8">
      <c r="A292" s="34">
        <v>288</v>
      </c>
      <c r="B292" s="23">
        <f>IFERROR(LARGE(Posição!$U$5:$U$304,A292),"")</f>
        <v>0</v>
      </c>
      <c r="C292" s="25">
        <f>IF(B292="","",INDEX(Posição!$A$5:$A$304,MATCH(B292,Posição!$U$5:$U$304,0)))</f>
        <v>0</v>
      </c>
      <c r="D292" s="23">
        <f>IF(B292="","",INDEX(Posição!$B$5:$B$304,MATCH(B292,Posição!$U$5:$U$304,0)))</f>
        <v>0</v>
      </c>
      <c r="E292" s="24">
        <f>IF(B292="","",ROUND(B292,2))</f>
        <v>0</v>
      </c>
      <c r="F292" s="35">
        <f>IF(E292="","",E292/SUM($E$5:$E$304))</f>
        <v>0</v>
      </c>
      <c r="G292" s="35">
        <f>IF(F292="","",SUM($F$5:F292))</f>
        <v>0</v>
      </c>
      <c r="H292" s="31">
        <f>IF(F292="","",IF(G292-F292&lt;CorteA,"A",IF(G292-F292&lt;CorteB,"B","C")))</f>
        <v>0</v>
      </c>
    </row>
    <row r="293" spans="1:8">
      <c r="A293" s="34">
        <v>289</v>
      </c>
      <c r="B293" s="23">
        <f>IFERROR(LARGE(Posição!$U$5:$U$304,A293),"")</f>
        <v>0</v>
      </c>
      <c r="C293" s="25">
        <f>IF(B293="","",INDEX(Posição!$A$5:$A$304,MATCH(B293,Posição!$U$5:$U$304,0)))</f>
        <v>0</v>
      </c>
      <c r="D293" s="23">
        <f>IF(B293="","",INDEX(Posição!$B$5:$B$304,MATCH(B293,Posição!$U$5:$U$304,0)))</f>
        <v>0</v>
      </c>
      <c r="E293" s="24">
        <f>IF(B293="","",ROUND(B293,2))</f>
        <v>0</v>
      </c>
      <c r="F293" s="35">
        <f>IF(E293="","",E293/SUM($E$5:$E$304))</f>
        <v>0</v>
      </c>
      <c r="G293" s="35">
        <f>IF(F293="","",SUM($F$5:F293))</f>
        <v>0</v>
      </c>
      <c r="H293" s="31">
        <f>IF(F293="","",IF(G293-F293&lt;CorteA,"A",IF(G293-F293&lt;CorteB,"B","C")))</f>
        <v>0</v>
      </c>
    </row>
    <row r="294" spans="1:8">
      <c r="A294" s="34">
        <v>290</v>
      </c>
      <c r="B294" s="23">
        <f>IFERROR(LARGE(Posição!$U$5:$U$304,A294),"")</f>
        <v>0</v>
      </c>
      <c r="C294" s="25">
        <f>IF(B294="","",INDEX(Posição!$A$5:$A$304,MATCH(B294,Posição!$U$5:$U$304,0)))</f>
        <v>0</v>
      </c>
      <c r="D294" s="23">
        <f>IF(B294="","",INDEX(Posição!$B$5:$B$304,MATCH(B294,Posição!$U$5:$U$304,0)))</f>
        <v>0</v>
      </c>
      <c r="E294" s="24">
        <f>IF(B294="","",ROUND(B294,2))</f>
        <v>0</v>
      </c>
      <c r="F294" s="35">
        <f>IF(E294="","",E294/SUM($E$5:$E$304))</f>
        <v>0</v>
      </c>
      <c r="G294" s="35">
        <f>IF(F294="","",SUM($F$5:F294))</f>
        <v>0</v>
      </c>
      <c r="H294" s="31">
        <f>IF(F294="","",IF(G294-F294&lt;CorteA,"A",IF(G294-F294&lt;CorteB,"B","C")))</f>
        <v>0</v>
      </c>
    </row>
    <row r="295" spans="1:8">
      <c r="A295" s="34">
        <v>291</v>
      </c>
      <c r="B295" s="23">
        <f>IFERROR(LARGE(Posição!$U$5:$U$304,A295),"")</f>
        <v>0</v>
      </c>
      <c r="C295" s="25">
        <f>IF(B295="","",INDEX(Posição!$A$5:$A$304,MATCH(B295,Posição!$U$5:$U$304,0)))</f>
        <v>0</v>
      </c>
      <c r="D295" s="23">
        <f>IF(B295="","",INDEX(Posição!$B$5:$B$304,MATCH(B295,Posição!$U$5:$U$304,0)))</f>
        <v>0</v>
      </c>
      <c r="E295" s="24">
        <f>IF(B295="","",ROUND(B295,2))</f>
        <v>0</v>
      </c>
      <c r="F295" s="35">
        <f>IF(E295="","",E295/SUM($E$5:$E$304))</f>
        <v>0</v>
      </c>
      <c r="G295" s="35">
        <f>IF(F295="","",SUM($F$5:F295))</f>
        <v>0</v>
      </c>
      <c r="H295" s="31">
        <f>IF(F295="","",IF(G295-F295&lt;CorteA,"A",IF(G295-F295&lt;CorteB,"B","C")))</f>
        <v>0</v>
      </c>
    </row>
    <row r="296" spans="1:8">
      <c r="A296" s="34">
        <v>292</v>
      </c>
      <c r="B296" s="23">
        <f>IFERROR(LARGE(Posição!$U$5:$U$304,A296),"")</f>
        <v>0</v>
      </c>
      <c r="C296" s="25">
        <f>IF(B296="","",INDEX(Posição!$A$5:$A$304,MATCH(B296,Posição!$U$5:$U$304,0)))</f>
        <v>0</v>
      </c>
      <c r="D296" s="23">
        <f>IF(B296="","",INDEX(Posição!$B$5:$B$304,MATCH(B296,Posição!$U$5:$U$304,0)))</f>
        <v>0</v>
      </c>
      <c r="E296" s="24">
        <f>IF(B296="","",ROUND(B296,2))</f>
        <v>0</v>
      </c>
      <c r="F296" s="35">
        <f>IF(E296="","",E296/SUM($E$5:$E$304))</f>
        <v>0</v>
      </c>
      <c r="G296" s="35">
        <f>IF(F296="","",SUM($F$5:F296))</f>
        <v>0</v>
      </c>
      <c r="H296" s="31">
        <f>IF(F296="","",IF(G296-F296&lt;CorteA,"A",IF(G296-F296&lt;CorteB,"B","C")))</f>
        <v>0</v>
      </c>
    </row>
    <row r="297" spans="1:8">
      <c r="A297" s="34">
        <v>293</v>
      </c>
      <c r="B297" s="23">
        <f>IFERROR(LARGE(Posição!$U$5:$U$304,A297),"")</f>
        <v>0</v>
      </c>
      <c r="C297" s="25">
        <f>IF(B297="","",INDEX(Posição!$A$5:$A$304,MATCH(B297,Posição!$U$5:$U$304,0)))</f>
        <v>0</v>
      </c>
      <c r="D297" s="23">
        <f>IF(B297="","",INDEX(Posição!$B$5:$B$304,MATCH(B297,Posição!$U$5:$U$304,0)))</f>
        <v>0</v>
      </c>
      <c r="E297" s="24">
        <f>IF(B297="","",ROUND(B297,2))</f>
        <v>0</v>
      </c>
      <c r="F297" s="35">
        <f>IF(E297="","",E297/SUM($E$5:$E$304))</f>
        <v>0</v>
      </c>
      <c r="G297" s="35">
        <f>IF(F297="","",SUM($F$5:F297))</f>
        <v>0</v>
      </c>
      <c r="H297" s="31">
        <f>IF(F297="","",IF(G297-F297&lt;CorteA,"A",IF(G297-F297&lt;CorteB,"B","C")))</f>
        <v>0</v>
      </c>
    </row>
    <row r="298" spans="1:8">
      <c r="A298" s="34">
        <v>294</v>
      </c>
      <c r="B298" s="23">
        <f>IFERROR(LARGE(Posição!$U$5:$U$304,A298),"")</f>
        <v>0</v>
      </c>
      <c r="C298" s="25">
        <f>IF(B298="","",INDEX(Posição!$A$5:$A$304,MATCH(B298,Posição!$U$5:$U$304,0)))</f>
        <v>0</v>
      </c>
      <c r="D298" s="23">
        <f>IF(B298="","",INDEX(Posição!$B$5:$B$304,MATCH(B298,Posição!$U$5:$U$304,0)))</f>
        <v>0</v>
      </c>
      <c r="E298" s="24">
        <f>IF(B298="","",ROUND(B298,2))</f>
        <v>0</v>
      </c>
      <c r="F298" s="35">
        <f>IF(E298="","",E298/SUM($E$5:$E$304))</f>
        <v>0</v>
      </c>
      <c r="G298" s="35">
        <f>IF(F298="","",SUM($F$5:F298))</f>
        <v>0</v>
      </c>
      <c r="H298" s="31">
        <f>IF(F298="","",IF(G298-F298&lt;CorteA,"A",IF(G298-F298&lt;CorteB,"B","C")))</f>
        <v>0</v>
      </c>
    </row>
    <row r="299" spans="1:8">
      <c r="A299" s="34">
        <v>295</v>
      </c>
      <c r="B299" s="23">
        <f>IFERROR(LARGE(Posição!$U$5:$U$304,A299),"")</f>
        <v>0</v>
      </c>
      <c r="C299" s="25">
        <f>IF(B299="","",INDEX(Posição!$A$5:$A$304,MATCH(B299,Posição!$U$5:$U$304,0)))</f>
        <v>0</v>
      </c>
      <c r="D299" s="23">
        <f>IF(B299="","",INDEX(Posição!$B$5:$B$304,MATCH(B299,Posição!$U$5:$U$304,0)))</f>
        <v>0</v>
      </c>
      <c r="E299" s="24">
        <f>IF(B299="","",ROUND(B299,2))</f>
        <v>0</v>
      </c>
      <c r="F299" s="35">
        <f>IF(E299="","",E299/SUM($E$5:$E$304))</f>
        <v>0</v>
      </c>
      <c r="G299" s="35">
        <f>IF(F299="","",SUM($F$5:F299))</f>
        <v>0</v>
      </c>
      <c r="H299" s="31">
        <f>IF(F299="","",IF(G299-F299&lt;CorteA,"A",IF(G299-F299&lt;CorteB,"B","C")))</f>
        <v>0</v>
      </c>
    </row>
    <row r="300" spans="1:8">
      <c r="A300" s="34">
        <v>296</v>
      </c>
      <c r="B300" s="23">
        <f>IFERROR(LARGE(Posição!$U$5:$U$304,A300),"")</f>
        <v>0</v>
      </c>
      <c r="C300" s="25">
        <f>IF(B300="","",INDEX(Posição!$A$5:$A$304,MATCH(B300,Posição!$U$5:$U$304,0)))</f>
        <v>0</v>
      </c>
      <c r="D300" s="23">
        <f>IF(B300="","",INDEX(Posição!$B$5:$B$304,MATCH(B300,Posição!$U$5:$U$304,0)))</f>
        <v>0</v>
      </c>
      <c r="E300" s="24">
        <f>IF(B300="","",ROUND(B300,2))</f>
        <v>0</v>
      </c>
      <c r="F300" s="35">
        <f>IF(E300="","",E300/SUM($E$5:$E$304))</f>
        <v>0</v>
      </c>
      <c r="G300" s="35">
        <f>IF(F300="","",SUM($F$5:F300))</f>
        <v>0</v>
      </c>
      <c r="H300" s="31">
        <f>IF(F300="","",IF(G300-F300&lt;CorteA,"A",IF(G300-F300&lt;CorteB,"B","C")))</f>
        <v>0</v>
      </c>
    </row>
    <row r="301" spans="1:8">
      <c r="A301" s="34">
        <v>297</v>
      </c>
      <c r="B301" s="23">
        <f>IFERROR(LARGE(Posição!$U$5:$U$304,A301),"")</f>
        <v>0</v>
      </c>
      <c r="C301" s="25">
        <f>IF(B301="","",INDEX(Posição!$A$5:$A$304,MATCH(B301,Posição!$U$5:$U$304,0)))</f>
        <v>0</v>
      </c>
      <c r="D301" s="23">
        <f>IF(B301="","",INDEX(Posição!$B$5:$B$304,MATCH(B301,Posição!$U$5:$U$304,0)))</f>
        <v>0</v>
      </c>
      <c r="E301" s="24">
        <f>IF(B301="","",ROUND(B301,2))</f>
        <v>0</v>
      </c>
      <c r="F301" s="35">
        <f>IF(E301="","",E301/SUM($E$5:$E$304))</f>
        <v>0</v>
      </c>
      <c r="G301" s="35">
        <f>IF(F301="","",SUM($F$5:F301))</f>
        <v>0</v>
      </c>
      <c r="H301" s="31">
        <f>IF(F301="","",IF(G301-F301&lt;CorteA,"A",IF(G301-F301&lt;CorteB,"B","C")))</f>
        <v>0</v>
      </c>
    </row>
    <row r="302" spans="1:8">
      <c r="A302" s="34">
        <v>298</v>
      </c>
      <c r="B302" s="23">
        <f>IFERROR(LARGE(Posição!$U$5:$U$304,A302),"")</f>
        <v>0</v>
      </c>
      <c r="C302" s="25">
        <f>IF(B302="","",INDEX(Posição!$A$5:$A$304,MATCH(B302,Posição!$U$5:$U$304,0)))</f>
        <v>0</v>
      </c>
      <c r="D302" s="23">
        <f>IF(B302="","",INDEX(Posição!$B$5:$B$304,MATCH(B302,Posição!$U$5:$U$304,0)))</f>
        <v>0</v>
      </c>
      <c r="E302" s="24">
        <f>IF(B302="","",ROUND(B302,2))</f>
        <v>0</v>
      </c>
      <c r="F302" s="35">
        <f>IF(E302="","",E302/SUM($E$5:$E$304))</f>
        <v>0</v>
      </c>
      <c r="G302" s="35">
        <f>IF(F302="","",SUM($F$5:F302))</f>
        <v>0</v>
      </c>
      <c r="H302" s="31">
        <f>IF(F302="","",IF(G302-F302&lt;CorteA,"A",IF(G302-F302&lt;CorteB,"B","C")))</f>
        <v>0</v>
      </c>
    </row>
    <row r="303" spans="1:8">
      <c r="A303" s="34">
        <v>299</v>
      </c>
      <c r="B303" s="23">
        <f>IFERROR(LARGE(Posição!$U$5:$U$304,A303),"")</f>
        <v>0</v>
      </c>
      <c r="C303" s="25">
        <f>IF(B303="","",INDEX(Posição!$A$5:$A$304,MATCH(B303,Posição!$U$5:$U$304,0)))</f>
        <v>0</v>
      </c>
      <c r="D303" s="23">
        <f>IF(B303="","",INDEX(Posição!$B$5:$B$304,MATCH(B303,Posição!$U$5:$U$304,0)))</f>
        <v>0</v>
      </c>
      <c r="E303" s="24">
        <f>IF(B303="","",ROUND(B303,2))</f>
        <v>0</v>
      </c>
      <c r="F303" s="35">
        <f>IF(E303="","",E303/SUM($E$5:$E$304))</f>
        <v>0</v>
      </c>
      <c r="G303" s="35">
        <f>IF(F303="","",SUM($F$5:F303))</f>
        <v>0</v>
      </c>
      <c r="H303" s="31">
        <f>IF(F303="","",IF(G303-F303&lt;CorteA,"A",IF(G303-F303&lt;CorteB,"B","C")))</f>
        <v>0</v>
      </c>
    </row>
    <row r="304" spans="1:8">
      <c r="A304" s="34">
        <v>300</v>
      </c>
      <c r="B304" s="23">
        <f>IFERROR(LARGE(Posição!$U$5:$U$304,A304),"")</f>
        <v>0</v>
      </c>
      <c r="C304" s="25">
        <f>IF(B304="","",INDEX(Posição!$A$5:$A$304,MATCH(B304,Posição!$U$5:$U$304,0)))</f>
        <v>0</v>
      </c>
      <c r="D304" s="23">
        <f>IF(B304="","",INDEX(Posição!$B$5:$B$304,MATCH(B304,Posição!$U$5:$U$304,0)))</f>
        <v>0</v>
      </c>
      <c r="E304" s="24">
        <f>IF(B304="","",ROUND(B304,2))</f>
        <v>0</v>
      </c>
      <c r="F304" s="35">
        <f>IF(E304="","",E304/SUM($E$5:$E$304))</f>
        <v>0</v>
      </c>
      <c r="G304" s="35">
        <f>IF(F304="","",SUM($F$5:F304))</f>
        <v>0</v>
      </c>
      <c r="H304" s="31">
        <f>IF(F304="","",IF(G304-F304&lt;CorteA,"A",IF(G304-F304&lt;CorteB,"B","C")))</f>
        <v>0</v>
      </c>
    </row>
  </sheetData>
  <mergeCells count="4">
    <mergeCell ref="A1:N1"/>
    <mergeCell ref="A2:N2"/>
    <mergeCell ref="J4:M4"/>
    <mergeCell ref="J10:M13"/>
  </mergeCells>
  <conditionalFormatting sqref="H5:H304">
    <cfRule type="cellIs" dxfId="9" priority="1" operator="equal">
      <formula>"A"</formula>
    </cfRule>
    <cfRule type="cellIs" dxfId="10" priority="2" operator="equal">
      <formula>"B"</formula>
    </cfRule>
    <cfRule type="cellIs" dxfId="7" priority="3" operator="equal">
      <formula>"C"</formula>
    </cfRule>
  </conditionalFormatting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8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36.7109375" customWidth="1"/>
    <col min="4" max="4" width="22.7109375" customWidth="1"/>
    <col min="5" max="5" width="11.7109375" customWidth="1"/>
    <col min="6" max="6" width="10.7109375" customWidth="1"/>
    <col min="7" max="7" width="9.7109375" customWidth="1"/>
    <col min="8" max="9" width="11.7109375" customWidth="1"/>
    <col min="10" max="10" width="14.7109375" customWidth="1"/>
    <col min="11" max="11" width="9.7109375" customWidth="1"/>
  </cols>
  <sheetData>
    <row r="1" spans="1:11" ht="36" customHeight="1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418</v>
      </c>
      <c r="B2" s="2"/>
      <c r="C2" s="2"/>
      <c r="D2" s="2"/>
      <c r="E2" s="2"/>
      <c r="F2" s="2"/>
      <c r="G2" s="2"/>
      <c r="H2" s="2"/>
      <c r="I2" s="2"/>
      <c r="J2" s="2"/>
      <c r="K2" s="13" t="s">
        <v>45</v>
      </c>
    </row>
    <row r="3" spans="1:11">
      <c r="I3" s="38" t="s">
        <v>426</v>
      </c>
      <c r="J3" s="39">
        <f>SUM(J5:J84)</f>
        <v>811.2</v>
      </c>
    </row>
    <row r="4" spans="1:11" ht="32" customHeight="1">
      <c r="A4" s="11" t="s">
        <v>419</v>
      </c>
      <c r="B4" s="11" t="s">
        <v>79</v>
      </c>
      <c r="C4" s="11" t="s">
        <v>80</v>
      </c>
      <c r="D4" s="11" t="s">
        <v>420</v>
      </c>
      <c r="E4" s="11" t="s">
        <v>421</v>
      </c>
      <c r="F4" s="11" t="s">
        <v>422</v>
      </c>
      <c r="G4" s="11" t="s">
        <v>386</v>
      </c>
      <c r="H4" s="11" t="s">
        <v>423</v>
      </c>
      <c r="I4" s="11" t="s">
        <v>388</v>
      </c>
      <c r="J4" s="11" t="s">
        <v>424</v>
      </c>
      <c r="K4" s="11" t="s">
        <v>425</v>
      </c>
    </row>
    <row r="5" spans="1:11">
      <c r="A5" s="34">
        <v>1</v>
      </c>
      <c r="B5" s="25" t="str">
        <f>IFERROR(INDEX(Posição!$A$5:$A$304,MATCH($A5,Posição!$X$5:$X$304,0)),"")</f>
        <v>E005</v>
      </c>
      <c r="C5" s="23" t="str">
        <f>IFERROR(INDEX(Posição!$B$5:$B$304,MATCH($A5,Posição!$X$5:$X$304,0)),"")</f>
        <v>Grampeador médio</v>
      </c>
      <c r="D5" s="23" t="str">
        <f>IFERROR(INDEX(Produtos!$E$5:$E$304,MATCH($A5,Posição!$X$5:$X$304,0))&amp;"","")</f>
        <v>Fábrica Delta</v>
      </c>
      <c r="E5" s="25" t="str">
        <f>IFERROR(INDEX(Posição!$Q$5:$Q$304,MATCH($A5,Posição!$X$5:$X$304,0)),"")</f>
        <v>RUPTURA</v>
      </c>
      <c r="F5" s="26">
        <f>IFERROR(INDEX(Posição!$H$5:$H$304,MATCH($A5,Posição!$X$5:$X$304,0)),"")</f>
        <v>0</v>
      </c>
      <c r="G5" s="26">
        <f>IFERROR(INDEX(Posição!$I$5:$I$304,MATCH($A5,Posição!$X$5:$X$304,0)),"")</f>
        <v>3</v>
      </c>
      <c r="H5" s="27">
        <f>IFERROR(INDEX(Posição!$S$5:$S$304,MATCH($A5,Posição!$X$5:$X$304,0)),"")</f>
        <v>6</v>
      </c>
      <c r="I5" s="24">
        <f>IFERROR(INDEX(Posição!$K$5:$K$304,MATCH($A5,Posição!$X$5:$X$304,0)),"")</f>
        <v>14</v>
      </c>
      <c r="J5" s="24">
        <f>IF(OR(H5="",I5=""),"",H5*I5)</f>
        <v>84</v>
      </c>
      <c r="K5" s="26">
        <f>IFERROR(N(INDEX(Produtos!$J$5:$J$304,MATCH($A5,Posição!$X$5:$X$304,0))),"")</f>
        <v>5</v>
      </c>
    </row>
    <row r="6" spans="1:11">
      <c r="A6" s="34">
        <v>2</v>
      </c>
      <c r="B6" s="25" t="str">
        <f>IFERROR(INDEX(Posição!$A$5:$A$304,MATCH($A6,Posição!$X$5:$X$304,0)),"")</f>
        <v>E008</v>
      </c>
      <c r="C6" s="23" t="str">
        <f>IFERROR(INDEX(Posição!$B$5:$B$304,MATCH($A6,Posição!$X$5:$X$304,0)),"")</f>
        <v>Cabo USB-C 1m</v>
      </c>
      <c r="D6" s="23" t="str">
        <f>IFERROR(INDEX(Produtos!$E$5:$E$304,MATCH($A6,Posição!$X$5:$X$304,0))&amp;"","")</f>
        <v>Importadora Gama</v>
      </c>
      <c r="E6" s="25" t="str">
        <f>IFERROR(INDEX(Posição!$Q$5:$Q$304,MATCH($A6,Posição!$X$5:$X$304,0)),"")</f>
        <v>RUPTURA</v>
      </c>
      <c r="F6" s="26">
        <f>IFERROR(INDEX(Posição!$H$5:$H$304,MATCH($A6,Posição!$X$5:$X$304,0)),"")</f>
        <v>0</v>
      </c>
      <c r="G6" s="26">
        <f>IFERROR(INDEX(Posição!$I$5:$I$304,MATCH($A6,Posição!$X$5:$X$304,0)),"")</f>
        <v>16</v>
      </c>
      <c r="H6" s="27">
        <f>IFERROR(INDEX(Posição!$S$5:$S$304,MATCH($A6,Posição!$X$5:$X$304,0)),"")</f>
        <v>32</v>
      </c>
      <c r="I6" s="24">
        <f>IFERROR(INDEX(Posição!$K$5:$K$304,MATCH($A6,Posição!$X$5:$X$304,0)),"")</f>
        <v>6.5</v>
      </c>
      <c r="J6" s="24">
        <f>IF(OR(H6="",I6=""),"",H6*I6)</f>
        <v>208</v>
      </c>
      <c r="K6" s="26">
        <f>IFERROR(N(INDEX(Produtos!$J$5:$J$304,MATCH($A6,Posição!$X$5:$X$304,0))),"")</f>
        <v>5</v>
      </c>
    </row>
    <row r="7" spans="1:11">
      <c r="A7" s="34">
        <v>3</v>
      </c>
      <c r="B7" s="25" t="str">
        <f>IFERROR(INDEX(Posição!$A$5:$A$304,MATCH($A7,Posição!$X$5:$X$304,0)),"")</f>
        <v>E011</v>
      </c>
      <c r="C7" s="23" t="str">
        <f>IFERROR(INDEX(Posição!$B$5:$B$304,MATCH($A7,Posição!$X$5:$X$304,0)),"")</f>
        <v>Lápis de cor (cx 24)</v>
      </c>
      <c r="D7" s="23" t="str">
        <f>IFERROR(INDEX(Produtos!$E$5:$E$304,MATCH($A7,Posição!$X$5:$X$304,0))&amp;"","")</f>
        <v>Papelaria Central</v>
      </c>
      <c r="E7" s="25" t="str">
        <f>IFERROR(INDEX(Posição!$Q$5:$Q$304,MATCH($A7,Posição!$X$5:$X$304,0)),"")</f>
        <v>RUPTURA</v>
      </c>
      <c r="F7" s="26">
        <f>IFERROR(INDEX(Posição!$H$5:$H$304,MATCH($A7,Posição!$X$5:$X$304,0)),"")</f>
        <v>0</v>
      </c>
      <c r="G7" s="26">
        <f>IFERROR(INDEX(Posição!$I$5:$I$304,MATCH($A7,Posição!$X$5:$X$304,0)),"")</f>
        <v>5</v>
      </c>
      <c r="H7" s="27">
        <f>IFERROR(INDEX(Posição!$S$5:$S$304,MATCH($A7,Posição!$X$5:$X$304,0)),"")</f>
        <v>10</v>
      </c>
      <c r="I7" s="24">
        <f>IFERROR(INDEX(Posição!$K$5:$K$304,MATCH($A7,Posição!$X$5:$X$304,0)),"")</f>
        <v>7.9</v>
      </c>
      <c r="J7" s="24">
        <f>IF(OR(H7="",I7=""),"",H7*I7)</f>
        <v>79</v>
      </c>
      <c r="K7" s="26">
        <f>IFERROR(N(INDEX(Produtos!$J$5:$J$304,MATCH($A7,Posição!$X$5:$X$304,0))),"")</f>
        <v>7</v>
      </c>
    </row>
    <row r="8" spans="1:11">
      <c r="A8" s="34">
        <v>4</v>
      </c>
      <c r="B8" s="25" t="str">
        <f>IFERROR(INDEX(Posição!$A$5:$A$304,MATCH($A8,Posição!$X$5:$X$304,0)),"")</f>
        <v>E014</v>
      </c>
      <c r="C8" s="23" t="str">
        <f>IFERROR(INDEX(Posição!$B$5:$B$304,MATCH($A8,Posição!$X$5:$X$304,0)),"")</f>
        <v>Fita adesiva transparente</v>
      </c>
      <c r="D8" s="23" t="str">
        <f>IFERROR(INDEX(Produtos!$E$5:$E$304,MATCH($A8,Posição!$X$5:$X$304,0))&amp;"","")</f>
        <v>Distribuidora Alfa</v>
      </c>
      <c r="E8" s="25" t="str">
        <f>IFERROR(INDEX(Posição!$Q$5:$Q$304,MATCH($A8,Posição!$X$5:$X$304,0)),"")</f>
        <v>REPOR</v>
      </c>
      <c r="F8" s="26">
        <f>IFERROR(INDEX(Posição!$H$5:$H$304,MATCH($A8,Posição!$X$5:$X$304,0)),"")</f>
        <v>7</v>
      </c>
      <c r="G8" s="26">
        <f>IFERROR(INDEX(Posição!$I$5:$I$304,MATCH($A8,Posição!$X$5:$X$304,0)),"")</f>
        <v>15</v>
      </c>
      <c r="H8" s="27">
        <f>IFERROR(INDEX(Posição!$S$5:$S$304,MATCH($A8,Posição!$X$5:$X$304,0)),"")</f>
        <v>23</v>
      </c>
      <c r="I8" s="24">
        <f>IFERROR(INDEX(Posição!$K$5:$K$304,MATCH($A8,Posição!$X$5:$X$304,0)),"")</f>
        <v>1.6</v>
      </c>
      <c r="J8" s="24">
        <f>IF(OR(H8="",I8=""),"",H8*I8)</f>
        <v>36.8</v>
      </c>
      <c r="K8" s="26">
        <f>IFERROR(N(INDEX(Produtos!$J$5:$J$304,MATCH($A8,Posição!$X$5:$X$304,0))),"")</f>
        <v>3</v>
      </c>
    </row>
    <row r="9" spans="1:11">
      <c r="A9" s="34">
        <v>5</v>
      </c>
      <c r="B9" s="25" t="str">
        <f>IFERROR(INDEX(Posição!$A$5:$A$304,MATCH($A9,Posição!$X$5:$X$304,0)),"")</f>
        <v>E018</v>
      </c>
      <c r="C9" s="23" t="str">
        <f>IFERROR(INDEX(Posição!$B$5:$B$304,MATCH($A9,Posição!$X$5:$X$304,0)),"")</f>
        <v>Álcool 70% 1L</v>
      </c>
      <c r="D9" s="23" t="str">
        <f>IFERROR(INDEX(Produtos!$E$5:$E$304,MATCH($A9,Posição!$X$5:$X$304,0))&amp;"","")</f>
        <v>Distribuidora Alfa</v>
      </c>
      <c r="E9" s="25" t="str">
        <f>IFERROR(INDEX(Posição!$Q$5:$Q$304,MATCH($A9,Posição!$X$5:$X$304,0)),"")</f>
        <v>RUPTURA</v>
      </c>
      <c r="F9" s="26">
        <f>IFERROR(INDEX(Posição!$H$5:$H$304,MATCH($A9,Posição!$X$5:$X$304,0)),"")</f>
        <v>0</v>
      </c>
      <c r="G9" s="26">
        <f>IFERROR(INDEX(Posição!$I$5:$I$304,MATCH($A9,Posição!$X$5:$X$304,0)),"")</f>
        <v>5</v>
      </c>
      <c r="H9" s="27">
        <f>IFERROR(INDEX(Posição!$S$5:$S$304,MATCH($A9,Posição!$X$5:$X$304,0)),"")</f>
        <v>10</v>
      </c>
      <c r="I9" s="24">
        <f>IFERROR(INDEX(Posição!$K$5:$K$304,MATCH($A9,Posição!$X$5:$X$304,0)),"")</f>
        <v>6.2</v>
      </c>
      <c r="J9" s="24">
        <f>IF(OR(H9="",I9=""),"",H9*I9)</f>
        <v>62</v>
      </c>
      <c r="K9" s="26">
        <f>IFERROR(N(INDEX(Produtos!$J$5:$J$304,MATCH($A9,Posição!$X$5:$X$304,0))),"")</f>
        <v>7</v>
      </c>
    </row>
    <row r="10" spans="1:11">
      <c r="A10" s="34">
        <v>6</v>
      </c>
      <c r="B10" s="25" t="str">
        <f>IFERROR(INDEX(Posição!$A$5:$A$304,MATCH($A10,Posição!$X$5:$X$304,0)),"")</f>
        <v>E019</v>
      </c>
      <c r="C10" s="23" t="str">
        <f>IFERROR(INDEX(Posição!$B$5:$B$304,MATCH($A10,Posição!$X$5:$X$304,0)),"")</f>
        <v>Papel toalha (pct 2)</v>
      </c>
      <c r="D10" s="23" t="str">
        <f>IFERROR(INDEX(Produtos!$E$5:$E$304,MATCH($A10,Posição!$X$5:$X$304,0))&amp;"","")</f>
        <v>Distribuidora Alfa</v>
      </c>
      <c r="E10" s="25" t="str">
        <f>IFERROR(INDEX(Posição!$Q$5:$Q$304,MATCH($A10,Posição!$X$5:$X$304,0)),"")</f>
        <v>REPOR</v>
      </c>
      <c r="F10" s="26">
        <f>IFERROR(INDEX(Posição!$H$5:$H$304,MATCH($A10,Posição!$X$5:$X$304,0)),"")</f>
        <v>5</v>
      </c>
      <c r="G10" s="26">
        <f>IFERROR(INDEX(Posição!$I$5:$I$304,MATCH($A10,Posição!$X$5:$X$304,0)),"")</f>
        <v>6</v>
      </c>
      <c r="H10" s="27">
        <f>IFERROR(INDEX(Posição!$S$5:$S$304,MATCH($A10,Posição!$X$5:$X$304,0)),"")</f>
        <v>7</v>
      </c>
      <c r="I10" s="24">
        <f>IFERROR(INDEX(Posição!$K$5:$K$304,MATCH($A10,Posição!$X$5:$X$304,0)),"")</f>
        <v>5.9</v>
      </c>
      <c r="J10" s="24">
        <f>IF(OR(H10="",I10=""),"",H10*I10)</f>
        <v>41.3</v>
      </c>
      <c r="K10" s="26">
        <f>IFERROR(N(INDEX(Produtos!$J$5:$J$304,MATCH($A10,Posição!$X$5:$X$304,0))),"")</f>
        <v>7</v>
      </c>
    </row>
    <row r="11" spans="1:11">
      <c r="A11" s="34">
        <v>7</v>
      </c>
      <c r="B11" s="25" t="str">
        <f>IFERROR(INDEX(Posição!$A$5:$A$304,MATCH($A11,Posição!$X$5:$X$304,0)),"")</f>
        <v>E020</v>
      </c>
      <c r="C11" s="23" t="str">
        <f>IFERROR(INDEX(Posição!$B$5:$B$304,MATCH($A11,Posição!$X$5:$X$304,0)),"")</f>
        <v>Pilha AA (cartela 4)</v>
      </c>
      <c r="D11" s="23" t="str">
        <f>IFERROR(INDEX(Produtos!$E$5:$E$304,MATCH($A11,Posição!$X$5:$X$304,0))&amp;"","")</f>
        <v>Importadora Gama</v>
      </c>
      <c r="E11" s="25" t="str">
        <f>IFERROR(INDEX(Posição!$Q$5:$Q$304,MATCH($A11,Posição!$X$5:$X$304,0)),"")</f>
        <v>RUPTURA</v>
      </c>
      <c r="F11" s="26">
        <f>IFERROR(INDEX(Posição!$H$5:$H$304,MATCH($A11,Posição!$X$5:$X$304,0)),"")</f>
        <v>0</v>
      </c>
      <c r="G11" s="26">
        <f>IFERROR(INDEX(Posição!$I$5:$I$304,MATCH($A11,Posição!$X$5:$X$304,0)),"")</f>
        <v>4</v>
      </c>
      <c r="H11" s="27">
        <f>IFERROR(INDEX(Posição!$S$5:$S$304,MATCH($A11,Posição!$X$5:$X$304,0)),"")</f>
        <v>8</v>
      </c>
      <c r="I11" s="24">
        <f>IFERROR(INDEX(Posição!$K$5:$K$304,MATCH($A11,Posição!$X$5:$X$304,0)),"")</f>
        <v>7.5</v>
      </c>
      <c r="J11" s="24">
        <f>IF(OR(H11="",I11=""),"",H11*I11)</f>
        <v>60</v>
      </c>
      <c r="K11" s="26">
        <f>IFERROR(N(INDEX(Produtos!$J$5:$J$304,MATCH($A11,Posição!$X$5:$X$304,0))),"")</f>
        <v>10</v>
      </c>
    </row>
    <row r="12" spans="1:11">
      <c r="A12" s="34">
        <v>8</v>
      </c>
      <c r="B12" s="25" t="str">
        <f>IFERROR(INDEX(Posição!$A$5:$A$304,MATCH($A12,Posição!$X$5:$X$304,0)),"")</f>
        <v>E023</v>
      </c>
      <c r="C12" s="23" t="str">
        <f>IFERROR(INDEX(Posição!$B$5:$B$304,MATCH($A12,Posição!$X$5:$X$304,0)),"")</f>
        <v>Agenda 2027</v>
      </c>
      <c r="D12" s="23" t="str">
        <f>IFERROR(INDEX(Produtos!$E$5:$E$304,MATCH($A12,Posição!$X$5:$X$304,0))&amp;"","")</f>
        <v>Papelaria Central</v>
      </c>
      <c r="E12" s="25" t="str">
        <f>IFERROR(INDEX(Posição!$Q$5:$Q$304,MATCH($A12,Posição!$X$5:$X$304,0)),"")</f>
        <v>REPOR</v>
      </c>
      <c r="F12" s="26">
        <f>IFERROR(INDEX(Posição!$H$5:$H$304,MATCH($A12,Posição!$X$5:$X$304,0)),"")</f>
        <v>3</v>
      </c>
      <c r="G12" s="26">
        <f>IFERROR(INDEX(Posição!$I$5:$I$304,MATCH($A12,Posição!$X$5:$X$304,0)),"")</f>
        <v>3</v>
      </c>
      <c r="H12" s="27">
        <f>IFERROR(INDEX(Posição!$S$5:$S$304,MATCH($A12,Posição!$X$5:$X$304,0)),"")</f>
        <v>3</v>
      </c>
      <c r="I12" s="24">
        <f>IFERROR(INDEX(Posição!$K$5:$K$304,MATCH($A12,Posição!$X$5:$X$304,0)),"")</f>
        <v>14</v>
      </c>
      <c r="J12" s="24">
        <f>IF(OR(H12="",I12=""),"",H12*I12)</f>
        <v>42</v>
      </c>
      <c r="K12" s="26">
        <f>IFERROR(N(INDEX(Produtos!$J$5:$J$304,MATCH($A12,Posição!$X$5:$X$304,0))),"")</f>
        <v>7</v>
      </c>
    </row>
    <row r="13" spans="1:11">
      <c r="A13" s="34">
        <v>9</v>
      </c>
      <c r="B13" s="25" t="str">
        <f>IFERROR(INDEX(Posição!$A$5:$A$304,MATCH($A13,Posição!$X$5:$X$304,0)),"")</f>
        <v>E025</v>
      </c>
      <c r="C13" s="23" t="str">
        <f>IFERROR(INDEX(Posição!$B$5:$B$304,MATCH($A13,Posição!$X$5:$X$304,0)),"")</f>
        <v>Bloco de notas adesivas</v>
      </c>
      <c r="D13" s="23" t="str">
        <f>IFERROR(INDEX(Produtos!$E$5:$E$304,MATCH($A13,Posição!$X$5:$X$304,0))&amp;"","")</f>
        <v>Atacado Beta</v>
      </c>
      <c r="E13" s="25" t="str">
        <f>IFERROR(INDEX(Posição!$Q$5:$Q$304,MATCH($A13,Posição!$X$5:$X$304,0)),"")</f>
        <v>RUPTURA</v>
      </c>
      <c r="F13" s="26">
        <f>IFERROR(INDEX(Posição!$H$5:$H$304,MATCH($A13,Posição!$X$5:$X$304,0)),"")</f>
        <v>0</v>
      </c>
      <c r="G13" s="26">
        <f>IFERROR(INDEX(Posição!$I$5:$I$304,MATCH($A13,Posição!$X$5:$X$304,0)),"")</f>
        <v>8</v>
      </c>
      <c r="H13" s="27">
        <f>IFERROR(INDEX(Posição!$S$5:$S$304,MATCH($A13,Posição!$X$5:$X$304,0)),"")</f>
        <v>16</v>
      </c>
      <c r="I13" s="24">
        <f>IFERROR(INDEX(Posição!$K$5:$K$304,MATCH($A13,Posição!$X$5:$X$304,0)),"")</f>
        <v>3.4</v>
      </c>
      <c r="J13" s="24">
        <f>IF(OR(H13="",I13=""),"",H13*I13)</f>
        <v>54.4</v>
      </c>
      <c r="K13" s="26">
        <f>IFERROR(N(INDEX(Produtos!$J$5:$J$304,MATCH($A13,Posição!$X$5:$X$304,0))),"")</f>
        <v>10</v>
      </c>
    </row>
    <row r="14" spans="1:11">
      <c r="A14" s="34">
        <v>10</v>
      </c>
      <c r="B14" s="25" t="str">
        <f>IFERROR(INDEX(Posição!$A$5:$A$304,MATCH($A14,Posição!$X$5:$X$304,0)),"")</f>
        <v>E034</v>
      </c>
      <c r="C14" s="23" t="str">
        <f>IFERROR(INDEX(Posição!$B$5:$B$304,MATCH($A14,Posição!$X$5:$X$304,0)),"")</f>
        <v>Tinta guache (kit 6)</v>
      </c>
      <c r="D14" s="23" t="str">
        <f>IFERROR(INDEX(Produtos!$E$5:$E$304,MATCH($A14,Posição!$X$5:$X$304,0))&amp;"","")</f>
        <v>Papelaria Central</v>
      </c>
      <c r="E14" s="25" t="str">
        <f>IFERROR(INDEX(Posição!$Q$5:$Q$304,MATCH($A14,Posição!$X$5:$X$304,0)),"")</f>
        <v>RUPTURA</v>
      </c>
      <c r="F14" s="26">
        <f>IFERROR(INDEX(Posição!$H$5:$H$304,MATCH($A14,Posição!$X$5:$X$304,0)),"")</f>
        <v>0</v>
      </c>
      <c r="G14" s="26">
        <f>IFERROR(INDEX(Posição!$I$5:$I$304,MATCH($A14,Posição!$X$5:$X$304,0)),"")</f>
        <v>3</v>
      </c>
      <c r="H14" s="27">
        <f>IFERROR(INDEX(Posição!$S$5:$S$304,MATCH($A14,Posição!$X$5:$X$304,0)),"")</f>
        <v>6</v>
      </c>
      <c r="I14" s="24">
        <f>IFERROR(INDEX(Posição!$K$5:$K$304,MATCH($A14,Posição!$X$5:$X$304,0)),"")</f>
        <v>8.7</v>
      </c>
      <c r="J14" s="24">
        <f>IF(OR(H14="",I14=""),"",H14*I14)</f>
        <v>52.2</v>
      </c>
      <c r="K14" s="26">
        <f>IFERROR(N(INDEX(Produtos!$J$5:$J$304,MATCH($A14,Posição!$X$5:$X$304,0))),"")</f>
        <v>7</v>
      </c>
    </row>
    <row r="15" spans="1:11">
      <c r="A15" s="34">
        <v>11</v>
      </c>
      <c r="B15" s="25" t="str">
        <f>IFERROR(INDEX(Posição!$A$5:$A$304,MATCH($A15,Posição!$X$5:$X$304,0)),"")</f>
        <v>E035</v>
      </c>
      <c r="C15" s="23" t="str">
        <f>IFERROR(INDEX(Posição!$B$5:$B$304,MATCH($A15,Posição!$X$5:$X$304,0)),"")</f>
        <v>Papel fotográfico A4 (pct 20)</v>
      </c>
      <c r="D15" s="23" t="str">
        <f>IFERROR(INDEX(Produtos!$E$5:$E$304,MATCH($A15,Posição!$X$5:$X$304,0))&amp;"","")</f>
        <v>Importadora Gama</v>
      </c>
      <c r="E15" s="25" t="str">
        <f>IFERROR(INDEX(Posição!$Q$5:$Q$304,MATCH($A15,Posição!$X$5:$X$304,0)),"")</f>
        <v>REPOR</v>
      </c>
      <c r="F15" s="26">
        <f>IFERROR(INDEX(Posição!$H$5:$H$304,MATCH($A15,Posição!$X$5:$X$304,0)),"")</f>
        <v>3</v>
      </c>
      <c r="G15" s="26">
        <f>IFERROR(INDEX(Posição!$I$5:$I$304,MATCH($A15,Posição!$X$5:$X$304,0)),"")</f>
        <v>3</v>
      </c>
      <c r="H15" s="27">
        <f>IFERROR(INDEX(Posição!$S$5:$S$304,MATCH($A15,Posição!$X$5:$X$304,0)),"")</f>
        <v>3</v>
      </c>
      <c r="I15" s="24">
        <f>IFERROR(INDEX(Posição!$K$5:$K$304,MATCH($A15,Posição!$X$5:$X$304,0)),"")</f>
        <v>12.5</v>
      </c>
      <c r="J15" s="24">
        <f>IF(OR(H15="",I15=""),"",H15*I15)</f>
        <v>37.5</v>
      </c>
      <c r="K15" s="26">
        <f>IFERROR(N(INDEX(Produtos!$J$5:$J$304,MATCH($A15,Posição!$X$5:$X$304,0))),"")</f>
        <v>5</v>
      </c>
    </row>
    <row r="16" spans="1:11">
      <c r="A16" s="34">
        <v>12</v>
      </c>
      <c r="B16" s="25" t="str">
        <f>IFERROR(INDEX(Posição!$A$5:$A$304,MATCH($A16,Posição!$X$5:$X$304,0)),"")</f>
        <v>E038</v>
      </c>
      <c r="C16" s="23" t="str">
        <f>IFERROR(INDEX(Posição!$B$5:$B$304,MATCH($A16,Posição!$X$5:$X$304,0)),"")</f>
        <v>Caixa organizadora</v>
      </c>
      <c r="D16" s="23" t="str">
        <f>IFERROR(INDEX(Produtos!$E$5:$E$304,MATCH($A16,Posição!$X$5:$X$304,0))&amp;"","")</f>
        <v>Fábrica Delta</v>
      </c>
      <c r="E16" s="25" t="str">
        <f>IFERROR(INDEX(Posição!$Q$5:$Q$304,MATCH($A16,Posição!$X$5:$X$304,0)),"")</f>
        <v>REPOR</v>
      </c>
      <c r="F16" s="26">
        <f>IFERROR(INDEX(Posição!$H$5:$H$304,MATCH($A16,Posição!$X$5:$X$304,0)),"")</f>
        <v>3</v>
      </c>
      <c r="G16" s="26">
        <f>IFERROR(INDEX(Posição!$I$5:$I$304,MATCH($A16,Posição!$X$5:$X$304,0)),"")</f>
        <v>3</v>
      </c>
      <c r="H16" s="27">
        <f>IFERROR(INDEX(Posição!$S$5:$S$304,MATCH($A16,Posição!$X$5:$X$304,0)),"")</f>
        <v>3</v>
      </c>
      <c r="I16" s="24">
        <f>IFERROR(INDEX(Posição!$K$5:$K$304,MATCH($A16,Posição!$X$5:$X$304,0)),"")</f>
        <v>18</v>
      </c>
      <c r="J16" s="24">
        <f>IF(OR(H16="",I16=""),"",H16*I16)</f>
        <v>54</v>
      </c>
      <c r="K16" s="26">
        <f>IFERROR(N(INDEX(Produtos!$J$5:$J$304,MATCH($A16,Posição!$X$5:$X$304,0))),"")</f>
        <v>7</v>
      </c>
    </row>
    <row r="17" spans="1:11">
      <c r="A17" s="34">
        <v>13</v>
      </c>
      <c r="B17" s="25">
        <f>IFERROR(INDEX(Posição!$A$5:$A$304,MATCH($A17,Posição!$X$5:$X$304,0)),"")</f>
        <v>0</v>
      </c>
      <c r="C17" s="23">
        <f>IFERROR(INDEX(Posição!$B$5:$B$304,MATCH($A17,Posição!$X$5:$X$304,0)),"")</f>
        <v>0</v>
      </c>
      <c r="D17" s="23">
        <f>IFERROR(INDEX(Produtos!$E$5:$E$304,MATCH($A17,Posição!$X$5:$X$304,0))&amp;"","")</f>
        <v>0</v>
      </c>
      <c r="E17" s="25">
        <f>IFERROR(INDEX(Posição!$Q$5:$Q$304,MATCH($A17,Posição!$X$5:$X$304,0)),"")</f>
        <v>0</v>
      </c>
      <c r="F17" s="26">
        <f>IFERROR(INDEX(Posição!$H$5:$H$304,MATCH($A17,Posição!$X$5:$X$304,0)),"")</f>
        <v>0</v>
      </c>
      <c r="G17" s="26">
        <f>IFERROR(INDEX(Posição!$I$5:$I$304,MATCH($A17,Posição!$X$5:$X$304,0)),"")</f>
        <v>0</v>
      </c>
      <c r="H17" s="27">
        <f>IFERROR(INDEX(Posição!$S$5:$S$304,MATCH($A17,Posição!$X$5:$X$304,0)),"")</f>
        <v>0</v>
      </c>
      <c r="I17" s="24">
        <f>IFERROR(INDEX(Posição!$K$5:$K$304,MATCH($A17,Posição!$X$5:$X$304,0)),"")</f>
        <v>0</v>
      </c>
      <c r="J17" s="24">
        <f>IF(OR(H17="",I17=""),"",H17*I17)</f>
        <v>0</v>
      </c>
      <c r="K17" s="26">
        <f>IFERROR(N(INDEX(Produtos!$J$5:$J$304,MATCH($A17,Posição!$X$5:$X$304,0))),"")</f>
        <v>0</v>
      </c>
    </row>
    <row r="18" spans="1:11">
      <c r="A18" s="34">
        <v>14</v>
      </c>
      <c r="B18" s="25">
        <f>IFERROR(INDEX(Posição!$A$5:$A$304,MATCH($A18,Posição!$X$5:$X$304,0)),"")</f>
        <v>0</v>
      </c>
      <c r="C18" s="23">
        <f>IFERROR(INDEX(Posição!$B$5:$B$304,MATCH($A18,Posição!$X$5:$X$304,0)),"")</f>
        <v>0</v>
      </c>
      <c r="D18" s="23">
        <f>IFERROR(INDEX(Produtos!$E$5:$E$304,MATCH($A18,Posição!$X$5:$X$304,0))&amp;"","")</f>
        <v>0</v>
      </c>
      <c r="E18" s="25">
        <f>IFERROR(INDEX(Posição!$Q$5:$Q$304,MATCH($A18,Posição!$X$5:$X$304,0)),"")</f>
        <v>0</v>
      </c>
      <c r="F18" s="26">
        <f>IFERROR(INDEX(Posição!$H$5:$H$304,MATCH($A18,Posição!$X$5:$X$304,0)),"")</f>
        <v>0</v>
      </c>
      <c r="G18" s="26">
        <f>IFERROR(INDEX(Posição!$I$5:$I$304,MATCH($A18,Posição!$X$5:$X$304,0)),"")</f>
        <v>0</v>
      </c>
      <c r="H18" s="27">
        <f>IFERROR(INDEX(Posição!$S$5:$S$304,MATCH($A18,Posição!$X$5:$X$304,0)),"")</f>
        <v>0</v>
      </c>
      <c r="I18" s="24">
        <f>IFERROR(INDEX(Posição!$K$5:$K$304,MATCH($A18,Posição!$X$5:$X$304,0)),"")</f>
        <v>0</v>
      </c>
      <c r="J18" s="24">
        <f>IF(OR(H18="",I18=""),"",H18*I18)</f>
        <v>0</v>
      </c>
      <c r="K18" s="26">
        <f>IFERROR(N(INDEX(Produtos!$J$5:$J$304,MATCH($A18,Posição!$X$5:$X$304,0))),"")</f>
        <v>0</v>
      </c>
    </row>
    <row r="19" spans="1:11">
      <c r="A19" s="34">
        <v>15</v>
      </c>
      <c r="B19" s="25">
        <f>IFERROR(INDEX(Posição!$A$5:$A$304,MATCH($A19,Posição!$X$5:$X$304,0)),"")</f>
        <v>0</v>
      </c>
      <c r="C19" s="23">
        <f>IFERROR(INDEX(Posição!$B$5:$B$304,MATCH($A19,Posição!$X$5:$X$304,0)),"")</f>
        <v>0</v>
      </c>
      <c r="D19" s="23">
        <f>IFERROR(INDEX(Produtos!$E$5:$E$304,MATCH($A19,Posição!$X$5:$X$304,0))&amp;"","")</f>
        <v>0</v>
      </c>
      <c r="E19" s="25">
        <f>IFERROR(INDEX(Posição!$Q$5:$Q$304,MATCH($A19,Posição!$X$5:$X$304,0)),"")</f>
        <v>0</v>
      </c>
      <c r="F19" s="26">
        <f>IFERROR(INDEX(Posição!$H$5:$H$304,MATCH($A19,Posição!$X$5:$X$304,0)),"")</f>
        <v>0</v>
      </c>
      <c r="G19" s="26">
        <f>IFERROR(INDEX(Posição!$I$5:$I$304,MATCH($A19,Posição!$X$5:$X$304,0)),"")</f>
        <v>0</v>
      </c>
      <c r="H19" s="27">
        <f>IFERROR(INDEX(Posição!$S$5:$S$304,MATCH($A19,Posição!$X$5:$X$304,0)),"")</f>
        <v>0</v>
      </c>
      <c r="I19" s="24">
        <f>IFERROR(INDEX(Posição!$K$5:$K$304,MATCH($A19,Posição!$X$5:$X$304,0)),"")</f>
        <v>0</v>
      </c>
      <c r="J19" s="24">
        <f>IF(OR(H19="",I19=""),"",H19*I19)</f>
        <v>0</v>
      </c>
      <c r="K19" s="26">
        <f>IFERROR(N(INDEX(Produtos!$J$5:$J$304,MATCH($A19,Posição!$X$5:$X$304,0))),"")</f>
        <v>0</v>
      </c>
    </row>
    <row r="20" spans="1:11">
      <c r="A20" s="34">
        <v>16</v>
      </c>
      <c r="B20" s="25">
        <f>IFERROR(INDEX(Posição!$A$5:$A$304,MATCH($A20,Posição!$X$5:$X$304,0)),"")</f>
        <v>0</v>
      </c>
      <c r="C20" s="23">
        <f>IFERROR(INDEX(Posição!$B$5:$B$304,MATCH($A20,Posição!$X$5:$X$304,0)),"")</f>
        <v>0</v>
      </c>
      <c r="D20" s="23">
        <f>IFERROR(INDEX(Produtos!$E$5:$E$304,MATCH($A20,Posição!$X$5:$X$304,0))&amp;"","")</f>
        <v>0</v>
      </c>
      <c r="E20" s="25">
        <f>IFERROR(INDEX(Posição!$Q$5:$Q$304,MATCH($A20,Posição!$X$5:$X$304,0)),"")</f>
        <v>0</v>
      </c>
      <c r="F20" s="26">
        <f>IFERROR(INDEX(Posição!$H$5:$H$304,MATCH($A20,Posição!$X$5:$X$304,0)),"")</f>
        <v>0</v>
      </c>
      <c r="G20" s="26">
        <f>IFERROR(INDEX(Posição!$I$5:$I$304,MATCH($A20,Posição!$X$5:$X$304,0)),"")</f>
        <v>0</v>
      </c>
      <c r="H20" s="27">
        <f>IFERROR(INDEX(Posição!$S$5:$S$304,MATCH($A20,Posição!$X$5:$X$304,0)),"")</f>
        <v>0</v>
      </c>
      <c r="I20" s="24">
        <f>IFERROR(INDEX(Posição!$K$5:$K$304,MATCH($A20,Posição!$X$5:$X$304,0)),"")</f>
        <v>0</v>
      </c>
      <c r="J20" s="24">
        <f>IF(OR(H20="",I20=""),"",H20*I20)</f>
        <v>0</v>
      </c>
      <c r="K20" s="26">
        <f>IFERROR(N(INDEX(Produtos!$J$5:$J$304,MATCH($A20,Posição!$X$5:$X$304,0))),"")</f>
        <v>0</v>
      </c>
    </row>
    <row r="21" spans="1:11">
      <c r="A21" s="34">
        <v>17</v>
      </c>
      <c r="B21" s="25">
        <f>IFERROR(INDEX(Posição!$A$5:$A$304,MATCH($A21,Posição!$X$5:$X$304,0)),"")</f>
        <v>0</v>
      </c>
      <c r="C21" s="23">
        <f>IFERROR(INDEX(Posição!$B$5:$B$304,MATCH($A21,Posição!$X$5:$X$304,0)),"")</f>
        <v>0</v>
      </c>
      <c r="D21" s="23">
        <f>IFERROR(INDEX(Produtos!$E$5:$E$304,MATCH($A21,Posição!$X$5:$X$304,0))&amp;"","")</f>
        <v>0</v>
      </c>
      <c r="E21" s="25">
        <f>IFERROR(INDEX(Posição!$Q$5:$Q$304,MATCH($A21,Posição!$X$5:$X$304,0)),"")</f>
        <v>0</v>
      </c>
      <c r="F21" s="26">
        <f>IFERROR(INDEX(Posição!$H$5:$H$304,MATCH($A21,Posição!$X$5:$X$304,0)),"")</f>
        <v>0</v>
      </c>
      <c r="G21" s="26">
        <f>IFERROR(INDEX(Posição!$I$5:$I$304,MATCH($A21,Posição!$X$5:$X$304,0)),"")</f>
        <v>0</v>
      </c>
      <c r="H21" s="27">
        <f>IFERROR(INDEX(Posição!$S$5:$S$304,MATCH($A21,Posição!$X$5:$X$304,0)),"")</f>
        <v>0</v>
      </c>
      <c r="I21" s="24">
        <f>IFERROR(INDEX(Posição!$K$5:$K$304,MATCH($A21,Posição!$X$5:$X$304,0)),"")</f>
        <v>0</v>
      </c>
      <c r="J21" s="24">
        <f>IF(OR(H21="",I21=""),"",H21*I21)</f>
        <v>0</v>
      </c>
      <c r="K21" s="26">
        <f>IFERROR(N(INDEX(Produtos!$J$5:$J$304,MATCH($A21,Posição!$X$5:$X$304,0))),"")</f>
        <v>0</v>
      </c>
    </row>
    <row r="22" spans="1:11">
      <c r="A22" s="34">
        <v>18</v>
      </c>
      <c r="B22" s="25">
        <f>IFERROR(INDEX(Posição!$A$5:$A$304,MATCH($A22,Posição!$X$5:$X$304,0)),"")</f>
        <v>0</v>
      </c>
      <c r="C22" s="23">
        <f>IFERROR(INDEX(Posição!$B$5:$B$304,MATCH($A22,Posição!$X$5:$X$304,0)),"")</f>
        <v>0</v>
      </c>
      <c r="D22" s="23">
        <f>IFERROR(INDEX(Produtos!$E$5:$E$304,MATCH($A22,Posição!$X$5:$X$304,0))&amp;"","")</f>
        <v>0</v>
      </c>
      <c r="E22" s="25">
        <f>IFERROR(INDEX(Posição!$Q$5:$Q$304,MATCH($A22,Posição!$X$5:$X$304,0)),"")</f>
        <v>0</v>
      </c>
      <c r="F22" s="26">
        <f>IFERROR(INDEX(Posição!$H$5:$H$304,MATCH($A22,Posição!$X$5:$X$304,0)),"")</f>
        <v>0</v>
      </c>
      <c r="G22" s="26">
        <f>IFERROR(INDEX(Posição!$I$5:$I$304,MATCH($A22,Posição!$X$5:$X$304,0)),"")</f>
        <v>0</v>
      </c>
      <c r="H22" s="27">
        <f>IFERROR(INDEX(Posição!$S$5:$S$304,MATCH($A22,Posição!$X$5:$X$304,0)),"")</f>
        <v>0</v>
      </c>
      <c r="I22" s="24">
        <f>IFERROR(INDEX(Posição!$K$5:$K$304,MATCH($A22,Posição!$X$5:$X$304,0)),"")</f>
        <v>0</v>
      </c>
      <c r="J22" s="24">
        <f>IF(OR(H22="",I22=""),"",H22*I22)</f>
        <v>0</v>
      </c>
      <c r="K22" s="26">
        <f>IFERROR(N(INDEX(Produtos!$J$5:$J$304,MATCH($A22,Posição!$X$5:$X$304,0))),"")</f>
        <v>0</v>
      </c>
    </row>
    <row r="23" spans="1:11">
      <c r="A23" s="34">
        <v>19</v>
      </c>
      <c r="B23" s="25">
        <f>IFERROR(INDEX(Posição!$A$5:$A$304,MATCH($A23,Posição!$X$5:$X$304,0)),"")</f>
        <v>0</v>
      </c>
      <c r="C23" s="23">
        <f>IFERROR(INDEX(Posição!$B$5:$B$304,MATCH($A23,Posição!$X$5:$X$304,0)),"")</f>
        <v>0</v>
      </c>
      <c r="D23" s="23">
        <f>IFERROR(INDEX(Produtos!$E$5:$E$304,MATCH($A23,Posição!$X$5:$X$304,0))&amp;"","")</f>
        <v>0</v>
      </c>
      <c r="E23" s="25">
        <f>IFERROR(INDEX(Posição!$Q$5:$Q$304,MATCH($A23,Posição!$X$5:$X$304,0)),"")</f>
        <v>0</v>
      </c>
      <c r="F23" s="26">
        <f>IFERROR(INDEX(Posição!$H$5:$H$304,MATCH($A23,Posição!$X$5:$X$304,0)),"")</f>
        <v>0</v>
      </c>
      <c r="G23" s="26">
        <f>IFERROR(INDEX(Posição!$I$5:$I$304,MATCH($A23,Posição!$X$5:$X$304,0)),"")</f>
        <v>0</v>
      </c>
      <c r="H23" s="27">
        <f>IFERROR(INDEX(Posição!$S$5:$S$304,MATCH($A23,Posição!$X$5:$X$304,0)),"")</f>
        <v>0</v>
      </c>
      <c r="I23" s="24">
        <f>IFERROR(INDEX(Posição!$K$5:$K$304,MATCH($A23,Posição!$X$5:$X$304,0)),"")</f>
        <v>0</v>
      </c>
      <c r="J23" s="24">
        <f>IF(OR(H23="",I23=""),"",H23*I23)</f>
        <v>0</v>
      </c>
      <c r="K23" s="26">
        <f>IFERROR(N(INDEX(Produtos!$J$5:$J$304,MATCH($A23,Posição!$X$5:$X$304,0))),"")</f>
        <v>0</v>
      </c>
    </row>
    <row r="24" spans="1:11">
      <c r="A24" s="34">
        <v>20</v>
      </c>
      <c r="B24" s="25">
        <f>IFERROR(INDEX(Posição!$A$5:$A$304,MATCH($A24,Posição!$X$5:$X$304,0)),"")</f>
        <v>0</v>
      </c>
      <c r="C24" s="23">
        <f>IFERROR(INDEX(Posição!$B$5:$B$304,MATCH($A24,Posição!$X$5:$X$304,0)),"")</f>
        <v>0</v>
      </c>
      <c r="D24" s="23">
        <f>IFERROR(INDEX(Produtos!$E$5:$E$304,MATCH($A24,Posição!$X$5:$X$304,0))&amp;"","")</f>
        <v>0</v>
      </c>
      <c r="E24" s="25">
        <f>IFERROR(INDEX(Posição!$Q$5:$Q$304,MATCH($A24,Posição!$X$5:$X$304,0)),"")</f>
        <v>0</v>
      </c>
      <c r="F24" s="26">
        <f>IFERROR(INDEX(Posição!$H$5:$H$304,MATCH($A24,Posição!$X$5:$X$304,0)),"")</f>
        <v>0</v>
      </c>
      <c r="G24" s="26">
        <f>IFERROR(INDEX(Posição!$I$5:$I$304,MATCH($A24,Posição!$X$5:$X$304,0)),"")</f>
        <v>0</v>
      </c>
      <c r="H24" s="27">
        <f>IFERROR(INDEX(Posição!$S$5:$S$304,MATCH($A24,Posição!$X$5:$X$304,0)),"")</f>
        <v>0</v>
      </c>
      <c r="I24" s="24">
        <f>IFERROR(INDEX(Posição!$K$5:$K$304,MATCH($A24,Posição!$X$5:$X$304,0)),"")</f>
        <v>0</v>
      </c>
      <c r="J24" s="24">
        <f>IF(OR(H24="",I24=""),"",H24*I24)</f>
        <v>0</v>
      </c>
      <c r="K24" s="26">
        <f>IFERROR(N(INDEX(Produtos!$J$5:$J$304,MATCH($A24,Posição!$X$5:$X$304,0))),"")</f>
        <v>0</v>
      </c>
    </row>
    <row r="25" spans="1:11">
      <c r="A25" s="34">
        <v>21</v>
      </c>
      <c r="B25" s="25">
        <f>IFERROR(INDEX(Posição!$A$5:$A$304,MATCH($A25,Posição!$X$5:$X$304,0)),"")</f>
        <v>0</v>
      </c>
      <c r="C25" s="23">
        <f>IFERROR(INDEX(Posição!$B$5:$B$304,MATCH($A25,Posição!$X$5:$X$304,0)),"")</f>
        <v>0</v>
      </c>
      <c r="D25" s="23">
        <f>IFERROR(INDEX(Produtos!$E$5:$E$304,MATCH($A25,Posição!$X$5:$X$304,0))&amp;"","")</f>
        <v>0</v>
      </c>
      <c r="E25" s="25">
        <f>IFERROR(INDEX(Posição!$Q$5:$Q$304,MATCH($A25,Posição!$X$5:$X$304,0)),"")</f>
        <v>0</v>
      </c>
      <c r="F25" s="26">
        <f>IFERROR(INDEX(Posição!$H$5:$H$304,MATCH($A25,Posição!$X$5:$X$304,0)),"")</f>
        <v>0</v>
      </c>
      <c r="G25" s="26">
        <f>IFERROR(INDEX(Posição!$I$5:$I$304,MATCH($A25,Posição!$X$5:$X$304,0)),"")</f>
        <v>0</v>
      </c>
      <c r="H25" s="27">
        <f>IFERROR(INDEX(Posição!$S$5:$S$304,MATCH($A25,Posição!$X$5:$X$304,0)),"")</f>
        <v>0</v>
      </c>
      <c r="I25" s="24">
        <f>IFERROR(INDEX(Posição!$K$5:$K$304,MATCH($A25,Posição!$X$5:$X$304,0)),"")</f>
        <v>0</v>
      </c>
      <c r="J25" s="24">
        <f>IF(OR(H25="",I25=""),"",H25*I25)</f>
        <v>0</v>
      </c>
      <c r="K25" s="26">
        <f>IFERROR(N(INDEX(Produtos!$J$5:$J$304,MATCH($A25,Posição!$X$5:$X$304,0))),"")</f>
        <v>0</v>
      </c>
    </row>
    <row r="26" spans="1:11">
      <c r="A26" s="34">
        <v>22</v>
      </c>
      <c r="B26" s="25">
        <f>IFERROR(INDEX(Posição!$A$5:$A$304,MATCH($A26,Posição!$X$5:$X$304,0)),"")</f>
        <v>0</v>
      </c>
      <c r="C26" s="23">
        <f>IFERROR(INDEX(Posição!$B$5:$B$304,MATCH($A26,Posição!$X$5:$X$304,0)),"")</f>
        <v>0</v>
      </c>
      <c r="D26" s="23">
        <f>IFERROR(INDEX(Produtos!$E$5:$E$304,MATCH($A26,Posição!$X$5:$X$304,0))&amp;"","")</f>
        <v>0</v>
      </c>
      <c r="E26" s="25">
        <f>IFERROR(INDEX(Posição!$Q$5:$Q$304,MATCH($A26,Posição!$X$5:$X$304,0)),"")</f>
        <v>0</v>
      </c>
      <c r="F26" s="26">
        <f>IFERROR(INDEX(Posição!$H$5:$H$304,MATCH($A26,Posição!$X$5:$X$304,0)),"")</f>
        <v>0</v>
      </c>
      <c r="G26" s="26">
        <f>IFERROR(INDEX(Posição!$I$5:$I$304,MATCH($A26,Posição!$X$5:$X$304,0)),"")</f>
        <v>0</v>
      </c>
      <c r="H26" s="27">
        <f>IFERROR(INDEX(Posição!$S$5:$S$304,MATCH($A26,Posição!$X$5:$X$304,0)),"")</f>
        <v>0</v>
      </c>
      <c r="I26" s="24">
        <f>IFERROR(INDEX(Posição!$K$5:$K$304,MATCH($A26,Posição!$X$5:$X$304,0)),"")</f>
        <v>0</v>
      </c>
      <c r="J26" s="24">
        <f>IF(OR(H26="",I26=""),"",H26*I26)</f>
        <v>0</v>
      </c>
      <c r="K26" s="26">
        <f>IFERROR(N(INDEX(Produtos!$J$5:$J$304,MATCH($A26,Posição!$X$5:$X$304,0))),"")</f>
        <v>0</v>
      </c>
    </row>
    <row r="27" spans="1:11">
      <c r="A27" s="34">
        <v>23</v>
      </c>
      <c r="B27" s="25">
        <f>IFERROR(INDEX(Posição!$A$5:$A$304,MATCH($A27,Posição!$X$5:$X$304,0)),"")</f>
        <v>0</v>
      </c>
      <c r="C27" s="23">
        <f>IFERROR(INDEX(Posição!$B$5:$B$304,MATCH($A27,Posição!$X$5:$X$304,0)),"")</f>
        <v>0</v>
      </c>
      <c r="D27" s="23">
        <f>IFERROR(INDEX(Produtos!$E$5:$E$304,MATCH($A27,Posição!$X$5:$X$304,0))&amp;"","")</f>
        <v>0</v>
      </c>
      <c r="E27" s="25">
        <f>IFERROR(INDEX(Posição!$Q$5:$Q$304,MATCH($A27,Posição!$X$5:$X$304,0)),"")</f>
        <v>0</v>
      </c>
      <c r="F27" s="26">
        <f>IFERROR(INDEX(Posição!$H$5:$H$304,MATCH($A27,Posição!$X$5:$X$304,0)),"")</f>
        <v>0</v>
      </c>
      <c r="G27" s="26">
        <f>IFERROR(INDEX(Posição!$I$5:$I$304,MATCH($A27,Posição!$X$5:$X$304,0)),"")</f>
        <v>0</v>
      </c>
      <c r="H27" s="27">
        <f>IFERROR(INDEX(Posição!$S$5:$S$304,MATCH($A27,Posição!$X$5:$X$304,0)),"")</f>
        <v>0</v>
      </c>
      <c r="I27" s="24">
        <f>IFERROR(INDEX(Posição!$K$5:$K$304,MATCH($A27,Posição!$X$5:$X$304,0)),"")</f>
        <v>0</v>
      </c>
      <c r="J27" s="24">
        <f>IF(OR(H27="",I27=""),"",H27*I27)</f>
        <v>0</v>
      </c>
      <c r="K27" s="26">
        <f>IFERROR(N(INDEX(Produtos!$J$5:$J$304,MATCH($A27,Posição!$X$5:$X$304,0))),"")</f>
        <v>0</v>
      </c>
    </row>
    <row r="28" spans="1:11">
      <c r="A28" s="34">
        <v>24</v>
      </c>
      <c r="B28" s="25">
        <f>IFERROR(INDEX(Posição!$A$5:$A$304,MATCH($A28,Posição!$X$5:$X$304,0)),"")</f>
        <v>0</v>
      </c>
      <c r="C28" s="23">
        <f>IFERROR(INDEX(Posição!$B$5:$B$304,MATCH($A28,Posição!$X$5:$X$304,0)),"")</f>
        <v>0</v>
      </c>
      <c r="D28" s="23">
        <f>IFERROR(INDEX(Produtos!$E$5:$E$304,MATCH($A28,Posição!$X$5:$X$304,0))&amp;"","")</f>
        <v>0</v>
      </c>
      <c r="E28" s="25">
        <f>IFERROR(INDEX(Posição!$Q$5:$Q$304,MATCH($A28,Posição!$X$5:$X$304,0)),"")</f>
        <v>0</v>
      </c>
      <c r="F28" s="26">
        <f>IFERROR(INDEX(Posição!$H$5:$H$304,MATCH($A28,Posição!$X$5:$X$304,0)),"")</f>
        <v>0</v>
      </c>
      <c r="G28" s="26">
        <f>IFERROR(INDEX(Posição!$I$5:$I$304,MATCH($A28,Posição!$X$5:$X$304,0)),"")</f>
        <v>0</v>
      </c>
      <c r="H28" s="27">
        <f>IFERROR(INDEX(Posição!$S$5:$S$304,MATCH($A28,Posição!$X$5:$X$304,0)),"")</f>
        <v>0</v>
      </c>
      <c r="I28" s="24">
        <f>IFERROR(INDEX(Posição!$K$5:$K$304,MATCH($A28,Posição!$X$5:$X$304,0)),"")</f>
        <v>0</v>
      </c>
      <c r="J28" s="24">
        <f>IF(OR(H28="",I28=""),"",H28*I28)</f>
        <v>0</v>
      </c>
      <c r="K28" s="26">
        <f>IFERROR(N(INDEX(Produtos!$J$5:$J$304,MATCH($A28,Posição!$X$5:$X$304,0))),"")</f>
        <v>0</v>
      </c>
    </row>
    <row r="29" spans="1:11">
      <c r="A29" s="34">
        <v>25</v>
      </c>
      <c r="B29" s="25">
        <f>IFERROR(INDEX(Posição!$A$5:$A$304,MATCH($A29,Posição!$X$5:$X$304,0)),"")</f>
        <v>0</v>
      </c>
      <c r="C29" s="23">
        <f>IFERROR(INDEX(Posição!$B$5:$B$304,MATCH($A29,Posição!$X$5:$X$304,0)),"")</f>
        <v>0</v>
      </c>
      <c r="D29" s="23">
        <f>IFERROR(INDEX(Produtos!$E$5:$E$304,MATCH($A29,Posição!$X$5:$X$304,0))&amp;"","")</f>
        <v>0</v>
      </c>
      <c r="E29" s="25">
        <f>IFERROR(INDEX(Posição!$Q$5:$Q$304,MATCH($A29,Posição!$X$5:$X$304,0)),"")</f>
        <v>0</v>
      </c>
      <c r="F29" s="26">
        <f>IFERROR(INDEX(Posição!$H$5:$H$304,MATCH($A29,Posição!$X$5:$X$304,0)),"")</f>
        <v>0</v>
      </c>
      <c r="G29" s="26">
        <f>IFERROR(INDEX(Posição!$I$5:$I$304,MATCH($A29,Posição!$X$5:$X$304,0)),"")</f>
        <v>0</v>
      </c>
      <c r="H29" s="27">
        <f>IFERROR(INDEX(Posição!$S$5:$S$304,MATCH($A29,Posição!$X$5:$X$304,0)),"")</f>
        <v>0</v>
      </c>
      <c r="I29" s="24">
        <f>IFERROR(INDEX(Posição!$K$5:$K$304,MATCH($A29,Posição!$X$5:$X$304,0)),"")</f>
        <v>0</v>
      </c>
      <c r="J29" s="24">
        <f>IF(OR(H29="",I29=""),"",H29*I29)</f>
        <v>0</v>
      </c>
      <c r="K29" s="26">
        <f>IFERROR(N(INDEX(Produtos!$J$5:$J$304,MATCH($A29,Posição!$X$5:$X$304,0))),"")</f>
        <v>0</v>
      </c>
    </row>
    <row r="30" spans="1:11">
      <c r="A30" s="34">
        <v>26</v>
      </c>
      <c r="B30" s="25">
        <f>IFERROR(INDEX(Posição!$A$5:$A$304,MATCH($A30,Posição!$X$5:$X$304,0)),"")</f>
        <v>0</v>
      </c>
      <c r="C30" s="23">
        <f>IFERROR(INDEX(Posição!$B$5:$B$304,MATCH($A30,Posição!$X$5:$X$304,0)),"")</f>
        <v>0</v>
      </c>
      <c r="D30" s="23">
        <f>IFERROR(INDEX(Produtos!$E$5:$E$304,MATCH($A30,Posição!$X$5:$X$304,0))&amp;"","")</f>
        <v>0</v>
      </c>
      <c r="E30" s="25">
        <f>IFERROR(INDEX(Posição!$Q$5:$Q$304,MATCH($A30,Posição!$X$5:$X$304,0)),"")</f>
        <v>0</v>
      </c>
      <c r="F30" s="26">
        <f>IFERROR(INDEX(Posição!$H$5:$H$304,MATCH($A30,Posição!$X$5:$X$304,0)),"")</f>
        <v>0</v>
      </c>
      <c r="G30" s="26">
        <f>IFERROR(INDEX(Posição!$I$5:$I$304,MATCH($A30,Posição!$X$5:$X$304,0)),"")</f>
        <v>0</v>
      </c>
      <c r="H30" s="27">
        <f>IFERROR(INDEX(Posição!$S$5:$S$304,MATCH($A30,Posição!$X$5:$X$304,0)),"")</f>
        <v>0</v>
      </c>
      <c r="I30" s="24">
        <f>IFERROR(INDEX(Posição!$K$5:$K$304,MATCH($A30,Posição!$X$5:$X$304,0)),"")</f>
        <v>0</v>
      </c>
      <c r="J30" s="24">
        <f>IF(OR(H30="",I30=""),"",H30*I30)</f>
        <v>0</v>
      </c>
      <c r="K30" s="26">
        <f>IFERROR(N(INDEX(Produtos!$J$5:$J$304,MATCH($A30,Posição!$X$5:$X$304,0))),"")</f>
        <v>0</v>
      </c>
    </row>
    <row r="31" spans="1:11">
      <c r="A31" s="34">
        <v>27</v>
      </c>
      <c r="B31" s="25">
        <f>IFERROR(INDEX(Posição!$A$5:$A$304,MATCH($A31,Posição!$X$5:$X$304,0)),"")</f>
        <v>0</v>
      </c>
      <c r="C31" s="23">
        <f>IFERROR(INDEX(Posição!$B$5:$B$304,MATCH($A31,Posição!$X$5:$X$304,0)),"")</f>
        <v>0</v>
      </c>
      <c r="D31" s="23">
        <f>IFERROR(INDEX(Produtos!$E$5:$E$304,MATCH($A31,Posição!$X$5:$X$304,0))&amp;"","")</f>
        <v>0</v>
      </c>
      <c r="E31" s="25">
        <f>IFERROR(INDEX(Posição!$Q$5:$Q$304,MATCH($A31,Posição!$X$5:$X$304,0)),"")</f>
        <v>0</v>
      </c>
      <c r="F31" s="26">
        <f>IFERROR(INDEX(Posição!$H$5:$H$304,MATCH($A31,Posição!$X$5:$X$304,0)),"")</f>
        <v>0</v>
      </c>
      <c r="G31" s="26">
        <f>IFERROR(INDEX(Posição!$I$5:$I$304,MATCH($A31,Posição!$X$5:$X$304,0)),"")</f>
        <v>0</v>
      </c>
      <c r="H31" s="27">
        <f>IFERROR(INDEX(Posição!$S$5:$S$304,MATCH($A31,Posição!$X$5:$X$304,0)),"")</f>
        <v>0</v>
      </c>
      <c r="I31" s="24">
        <f>IFERROR(INDEX(Posição!$K$5:$K$304,MATCH($A31,Posição!$X$5:$X$304,0)),"")</f>
        <v>0</v>
      </c>
      <c r="J31" s="24">
        <f>IF(OR(H31="",I31=""),"",H31*I31)</f>
        <v>0</v>
      </c>
      <c r="K31" s="26">
        <f>IFERROR(N(INDEX(Produtos!$J$5:$J$304,MATCH($A31,Posição!$X$5:$X$304,0))),"")</f>
        <v>0</v>
      </c>
    </row>
    <row r="32" spans="1:11">
      <c r="A32" s="34">
        <v>28</v>
      </c>
      <c r="B32" s="25">
        <f>IFERROR(INDEX(Posição!$A$5:$A$304,MATCH($A32,Posição!$X$5:$X$304,0)),"")</f>
        <v>0</v>
      </c>
      <c r="C32" s="23">
        <f>IFERROR(INDEX(Posição!$B$5:$B$304,MATCH($A32,Posição!$X$5:$X$304,0)),"")</f>
        <v>0</v>
      </c>
      <c r="D32" s="23">
        <f>IFERROR(INDEX(Produtos!$E$5:$E$304,MATCH($A32,Posição!$X$5:$X$304,0))&amp;"","")</f>
        <v>0</v>
      </c>
      <c r="E32" s="25">
        <f>IFERROR(INDEX(Posição!$Q$5:$Q$304,MATCH($A32,Posição!$X$5:$X$304,0)),"")</f>
        <v>0</v>
      </c>
      <c r="F32" s="26">
        <f>IFERROR(INDEX(Posição!$H$5:$H$304,MATCH($A32,Posição!$X$5:$X$304,0)),"")</f>
        <v>0</v>
      </c>
      <c r="G32" s="26">
        <f>IFERROR(INDEX(Posição!$I$5:$I$304,MATCH($A32,Posição!$X$5:$X$304,0)),"")</f>
        <v>0</v>
      </c>
      <c r="H32" s="27">
        <f>IFERROR(INDEX(Posição!$S$5:$S$304,MATCH($A32,Posição!$X$5:$X$304,0)),"")</f>
        <v>0</v>
      </c>
      <c r="I32" s="24">
        <f>IFERROR(INDEX(Posição!$K$5:$K$304,MATCH($A32,Posição!$X$5:$X$304,0)),"")</f>
        <v>0</v>
      </c>
      <c r="J32" s="24">
        <f>IF(OR(H32="",I32=""),"",H32*I32)</f>
        <v>0</v>
      </c>
      <c r="K32" s="26">
        <f>IFERROR(N(INDEX(Produtos!$J$5:$J$304,MATCH($A32,Posição!$X$5:$X$304,0))),"")</f>
        <v>0</v>
      </c>
    </row>
    <row r="33" spans="1:11">
      <c r="A33" s="34">
        <v>29</v>
      </c>
      <c r="B33" s="25">
        <f>IFERROR(INDEX(Posição!$A$5:$A$304,MATCH($A33,Posição!$X$5:$X$304,0)),"")</f>
        <v>0</v>
      </c>
      <c r="C33" s="23">
        <f>IFERROR(INDEX(Posição!$B$5:$B$304,MATCH($A33,Posição!$X$5:$X$304,0)),"")</f>
        <v>0</v>
      </c>
      <c r="D33" s="23">
        <f>IFERROR(INDEX(Produtos!$E$5:$E$304,MATCH($A33,Posição!$X$5:$X$304,0))&amp;"","")</f>
        <v>0</v>
      </c>
      <c r="E33" s="25">
        <f>IFERROR(INDEX(Posição!$Q$5:$Q$304,MATCH($A33,Posição!$X$5:$X$304,0)),"")</f>
        <v>0</v>
      </c>
      <c r="F33" s="26">
        <f>IFERROR(INDEX(Posição!$H$5:$H$304,MATCH($A33,Posição!$X$5:$X$304,0)),"")</f>
        <v>0</v>
      </c>
      <c r="G33" s="26">
        <f>IFERROR(INDEX(Posição!$I$5:$I$304,MATCH($A33,Posição!$X$5:$X$304,0)),"")</f>
        <v>0</v>
      </c>
      <c r="H33" s="27">
        <f>IFERROR(INDEX(Posição!$S$5:$S$304,MATCH($A33,Posição!$X$5:$X$304,0)),"")</f>
        <v>0</v>
      </c>
      <c r="I33" s="24">
        <f>IFERROR(INDEX(Posição!$K$5:$K$304,MATCH($A33,Posição!$X$5:$X$304,0)),"")</f>
        <v>0</v>
      </c>
      <c r="J33" s="24">
        <f>IF(OR(H33="",I33=""),"",H33*I33)</f>
        <v>0</v>
      </c>
      <c r="K33" s="26">
        <f>IFERROR(N(INDEX(Produtos!$J$5:$J$304,MATCH($A33,Posição!$X$5:$X$304,0))),"")</f>
        <v>0</v>
      </c>
    </row>
    <row r="34" spans="1:11">
      <c r="A34" s="34">
        <v>30</v>
      </c>
      <c r="B34" s="25">
        <f>IFERROR(INDEX(Posição!$A$5:$A$304,MATCH($A34,Posição!$X$5:$X$304,0)),"")</f>
        <v>0</v>
      </c>
      <c r="C34" s="23">
        <f>IFERROR(INDEX(Posição!$B$5:$B$304,MATCH($A34,Posição!$X$5:$X$304,0)),"")</f>
        <v>0</v>
      </c>
      <c r="D34" s="23">
        <f>IFERROR(INDEX(Produtos!$E$5:$E$304,MATCH($A34,Posição!$X$5:$X$304,0))&amp;"","")</f>
        <v>0</v>
      </c>
      <c r="E34" s="25">
        <f>IFERROR(INDEX(Posição!$Q$5:$Q$304,MATCH($A34,Posição!$X$5:$X$304,0)),"")</f>
        <v>0</v>
      </c>
      <c r="F34" s="26">
        <f>IFERROR(INDEX(Posição!$H$5:$H$304,MATCH($A34,Posição!$X$5:$X$304,0)),"")</f>
        <v>0</v>
      </c>
      <c r="G34" s="26">
        <f>IFERROR(INDEX(Posição!$I$5:$I$304,MATCH($A34,Posição!$X$5:$X$304,0)),"")</f>
        <v>0</v>
      </c>
      <c r="H34" s="27">
        <f>IFERROR(INDEX(Posição!$S$5:$S$304,MATCH($A34,Posição!$X$5:$X$304,0)),"")</f>
        <v>0</v>
      </c>
      <c r="I34" s="24">
        <f>IFERROR(INDEX(Posição!$K$5:$K$304,MATCH($A34,Posição!$X$5:$X$304,0)),"")</f>
        <v>0</v>
      </c>
      <c r="J34" s="24">
        <f>IF(OR(H34="",I34=""),"",H34*I34)</f>
        <v>0</v>
      </c>
      <c r="K34" s="26">
        <f>IFERROR(N(INDEX(Produtos!$J$5:$J$304,MATCH($A34,Posição!$X$5:$X$304,0))),"")</f>
        <v>0</v>
      </c>
    </row>
    <row r="35" spans="1:11">
      <c r="A35" s="34">
        <v>31</v>
      </c>
      <c r="B35" s="25">
        <f>IFERROR(INDEX(Posição!$A$5:$A$304,MATCH($A35,Posição!$X$5:$X$304,0)),"")</f>
        <v>0</v>
      </c>
      <c r="C35" s="23">
        <f>IFERROR(INDEX(Posição!$B$5:$B$304,MATCH($A35,Posição!$X$5:$X$304,0)),"")</f>
        <v>0</v>
      </c>
      <c r="D35" s="23">
        <f>IFERROR(INDEX(Produtos!$E$5:$E$304,MATCH($A35,Posição!$X$5:$X$304,0))&amp;"","")</f>
        <v>0</v>
      </c>
      <c r="E35" s="25">
        <f>IFERROR(INDEX(Posição!$Q$5:$Q$304,MATCH($A35,Posição!$X$5:$X$304,0)),"")</f>
        <v>0</v>
      </c>
      <c r="F35" s="26">
        <f>IFERROR(INDEX(Posição!$H$5:$H$304,MATCH($A35,Posição!$X$5:$X$304,0)),"")</f>
        <v>0</v>
      </c>
      <c r="G35" s="26">
        <f>IFERROR(INDEX(Posição!$I$5:$I$304,MATCH($A35,Posição!$X$5:$X$304,0)),"")</f>
        <v>0</v>
      </c>
      <c r="H35" s="27">
        <f>IFERROR(INDEX(Posição!$S$5:$S$304,MATCH($A35,Posição!$X$5:$X$304,0)),"")</f>
        <v>0</v>
      </c>
      <c r="I35" s="24">
        <f>IFERROR(INDEX(Posição!$K$5:$K$304,MATCH($A35,Posição!$X$5:$X$304,0)),"")</f>
        <v>0</v>
      </c>
      <c r="J35" s="24">
        <f>IF(OR(H35="",I35=""),"",H35*I35)</f>
        <v>0</v>
      </c>
      <c r="K35" s="26">
        <f>IFERROR(N(INDEX(Produtos!$J$5:$J$304,MATCH($A35,Posição!$X$5:$X$304,0))),"")</f>
        <v>0</v>
      </c>
    </row>
    <row r="36" spans="1:11">
      <c r="A36" s="34">
        <v>32</v>
      </c>
      <c r="B36" s="25">
        <f>IFERROR(INDEX(Posição!$A$5:$A$304,MATCH($A36,Posição!$X$5:$X$304,0)),"")</f>
        <v>0</v>
      </c>
      <c r="C36" s="23">
        <f>IFERROR(INDEX(Posição!$B$5:$B$304,MATCH($A36,Posição!$X$5:$X$304,0)),"")</f>
        <v>0</v>
      </c>
      <c r="D36" s="23">
        <f>IFERROR(INDEX(Produtos!$E$5:$E$304,MATCH($A36,Posição!$X$5:$X$304,0))&amp;"","")</f>
        <v>0</v>
      </c>
      <c r="E36" s="25">
        <f>IFERROR(INDEX(Posição!$Q$5:$Q$304,MATCH($A36,Posição!$X$5:$X$304,0)),"")</f>
        <v>0</v>
      </c>
      <c r="F36" s="26">
        <f>IFERROR(INDEX(Posição!$H$5:$H$304,MATCH($A36,Posição!$X$5:$X$304,0)),"")</f>
        <v>0</v>
      </c>
      <c r="G36" s="26">
        <f>IFERROR(INDEX(Posição!$I$5:$I$304,MATCH($A36,Posição!$X$5:$X$304,0)),"")</f>
        <v>0</v>
      </c>
      <c r="H36" s="27">
        <f>IFERROR(INDEX(Posição!$S$5:$S$304,MATCH($A36,Posição!$X$5:$X$304,0)),"")</f>
        <v>0</v>
      </c>
      <c r="I36" s="24">
        <f>IFERROR(INDEX(Posição!$K$5:$K$304,MATCH($A36,Posição!$X$5:$X$304,0)),"")</f>
        <v>0</v>
      </c>
      <c r="J36" s="24">
        <f>IF(OR(H36="",I36=""),"",H36*I36)</f>
        <v>0</v>
      </c>
      <c r="K36" s="26">
        <f>IFERROR(N(INDEX(Produtos!$J$5:$J$304,MATCH($A36,Posição!$X$5:$X$304,0))),"")</f>
        <v>0</v>
      </c>
    </row>
    <row r="37" spans="1:11">
      <c r="A37" s="34">
        <v>33</v>
      </c>
      <c r="B37" s="25">
        <f>IFERROR(INDEX(Posição!$A$5:$A$304,MATCH($A37,Posição!$X$5:$X$304,0)),"")</f>
        <v>0</v>
      </c>
      <c r="C37" s="23">
        <f>IFERROR(INDEX(Posição!$B$5:$B$304,MATCH($A37,Posição!$X$5:$X$304,0)),"")</f>
        <v>0</v>
      </c>
      <c r="D37" s="23">
        <f>IFERROR(INDEX(Produtos!$E$5:$E$304,MATCH($A37,Posição!$X$5:$X$304,0))&amp;"","")</f>
        <v>0</v>
      </c>
      <c r="E37" s="25">
        <f>IFERROR(INDEX(Posição!$Q$5:$Q$304,MATCH($A37,Posição!$X$5:$X$304,0)),"")</f>
        <v>0</v>
      </c>
      <c r="F37" s="26">
        <f>IFERROR(INDEX(Posição!$H$5:$H$304,MATCH($A37,Posição!$X$5:$X$304,0)),"")</f>
        <v>0</v>
      </c>
      <c r="G37" s="26">
        <f>IFERROR(INDEX(Posição!$I$5:$I$304,MATCH($A37,Posição!$X$5:$X$304,0)),"")</f>
        <v>0</v>
      </c>
      <c r="H37" s="27">
        <f>IFERROR(INDEX(Posição!$S$5:$S$304,MATCH($A37,Posição!$X$5:$X$304,0)),"")</f>
        <v>0</v>
      </c>
      <c r="I37" s="24">
        <f>IFERROR(INDEX(Posição!$K$5:$K$304,MATCH($A37,Posição!$X$5:$X$304,0)),"")</f>
        <v>0</v>
      </c>
      <c r="J37" s="24">
        <f>IF(OR(H37="",I37=""),"",H37*I37)</f>
        <v>0</v>
      </c>
      <c r="K37" s="26">
        <f>IFERROR(N(INDEX(Produtos!$J$5:$J$304,MATCH($A37,Posição!$X$5:$X$304,0))),"")</f>
        <v>0</v>
      </c>
    </row>
    <row r="38" spans="1:11">
      <c r="A38" s="34">
        <v>34</v>
      </c>
      <c r="B38" s="25">
        <f>IFERROR(INDEX(Posição!$A$5:$A$304,MATCH($A38,Posição!$X$5:$X$304,0)),"")</f>
        <v>0</v>
      </c>
      <c r="C38" s="23">
        <f>IFERROR(INDEX(Posição!$B$5:$B$304,MATCH($A38,Posição!$X$5:$X$304,0)),"")</f>
        <v>0</v>
      </c>
      <c r="D38" s="23">
        <f>IFERROR(INDEX(Produtos!$E$5:$E$304,MATCH($A38,Posição!$X$5:$X$304,0))&amp;"","")</f>
        <v>0</v>
      </c>
      <c r="E38" s="25">
        <f>IFERROR(INDEX(Posição!$Q$5:$Q$304,MATCH($A38,Posição!$X$5:$X$304,0)),"")</f>
        <v>0</v>
      </c>
      <c r="F38" s="26">
        <f>IFERROR(INDEX(Posição!$H$5:$H$304,MATCH($A38,Posição!$X$5:$X$304,0)),"")</f>
        <v>0</v>
      </c>
      <c r="G38" s="26">
        <f>IFERROR(INDEX(Posição!$I$5:$I$304,MATCH($A38,Posição!$X$5:$X$304,0)),"")</f>
        <v>0</v>
      </c>
      <c r="H38" s="27">
        <f>IFERROR(INDEX(Posição!$S$5:$S$304,MATCH($A38,Posição!$X$5:$X$304,0)),"")</f>
        <v>0</v>
      </c>
      <c r="I38" s="24">
        <f>IFERROR(INDEX(Posição!$K$5:$K$304,MATCH($A38,Posição!$X$5:$X$304,0)),"")</f>
        <v>0</v>
      </c>
      <c r="J38" s="24">
        <f>IF(OR(H38="",I38=""),"",H38*I38)</f>
        <v>0</v>
      </c>
      <c r="K38" s="26">
        <f>IFERROR(N(INDEX(Produtos!$J$5:$J$304,MATCH($A38,Posição!$X$5:$X$304,0))),"")</f>
        <v>0</v>
      </c>
    </row>
    <row r="39" spans="1:11">
      <c r="A39" s="34">
        <v>35</v>
      </c>
      <c r="B39" s="25">
        <f>IFERROR(INDEX(Posição!$A$5:$A$304,MATCH($A39,Posição!$X$5:$X$304,0)),"")</f>
        <v>0</v>
      </c>
      <c r="C39" s="23">
        <f>IFERROR(INDEX(Posição!$B$5:$B$304,MATCH($A39,Posição!$X$5:$X$304,0)),"")</f>
        <v>0</v>
      </c>
      <c r="D39" s="23">
        <f>IFERROR(INDEX(Produtos!$E$5:$E$304,MATCH($A39,Posição!$X$5:$X$304,0))&amp;"","")</f>
        <v>0</v>
      </c>
      <c r="E39" s="25">
        <f>IFERROR(INDEX(Posição!$Q$5:$Q$304,MATCH($A39,Posição!$X$5:$X$304,0)),"")</f>
        <v>0</v>
      </c>
      <c r="F39" s="26">
        <f>IFERROR(INDEX(Posição!$H$5:$H$304,MATCH($A39,Posição!$X$5:$X$304,0)),"")</f>
        <v>0</v>
      </c>
      <c r="G39" s="26">
        <f>IFERROR(INDEX(Posição!$I$5:$I$304,MATCH($A39,Posição!$X$5:$X$304,0)),"")</f>
        <v>0</v>
      </c>
      <c r="H39" s="27">
        <f>IFERROR(INDEX(Posição!$S$5:$S$304,MATCH($A39,Posição!$X$5:$X$304,0)),"")</f>
        <v>0</v>
      </c>
      <c r="I39" s="24">
        <f>IFERROR(INDEX(Posição!$K$5:$K$304,MATCH($A39,Posição!$X$5:$X$304,0)),"")</f>
        <v>0</v>
      </c>
      <c r="J39" s="24">
        <f>IF(OR(H39="",I39=""),"",H39*I39)</f>
        <v>0</v>
      </c>
      <c r="K39" s="26">
        <f>IFERROR(N(INDEX(Produtos!$J$5:$J$304,MATCH($A39,Posição!$X$5:$X$304,0))),"")</f>
        <v>0</v>
      </c>
    </row>
    <row r="40" spans="1:11">
      <c r="A40" s="34">
        <v>36</v>
      </c>
      <c r="B40" s="25">
        <f>IFERROR(INDEX(Posição!$A$5:$A$304,MATCH($A40,Posição!$X$5:$X$304,0)),"")</f>
        <v>0</v>
      </c>
      <c r="C40" s="23">
        <f>IFERROR(INDEX(Posição!$B$5:$B$304,MATCH($A40,Posição!$X$5:$X$304,0)),"")</f>
        <v>0</v>
      </c>
      <c r="D40" s="23">
        <f>IFERROR(INDEX(Produtos!$E$5:$E$304,MATCH($A40,Posição!$X$5:$X$304,0))&amp;"","")</f>
        <v>0</v>
      </c>
      <c r="E40" s="25">
        <f>IFERROR(INDEX(Posição!$Q$5:$Q$304,MATCH($A40,Posição!$X$5:$X$304,0)),"")</f>
        <v>0</v>
      </c>
      <c r="F40" s="26">
        <f>IFERROR(INDEX(Posição!$H$5:$H$304,MATCH($A40,Posição!$X$5:$X$304,0)),"")</f>
        <v>0</v>
      </c>
      <c r="G40" s="26">
        <f>IFERROR(INDEX(Posição!$I$5:$I$304,MATCH($A40,Posição!$X$5:$X$304,0)),"")</f>
        <v>0</v>
      </c>
      <c r="H40" s="27">
        <f>IFERROR(INDEX(Posição!$S$5:$S$304,MATCH($A40,Posição!$X$5:$X$304,0)),"")</f>
        <v>0</v>
      </c>
      <c r="I40" s="24">
        <f>IFERROR(INDEX(Posição!$K$5:$K$304,MATCH($A40,Posição!$X$5:$X$304,0)),"")</f>
        <v>0</v>
      </c>
      <c r="J40" s="24">
        <f>IF(OR(H40="",I40=""),"",H40*I40)</f>
        <v>0</v>
      </c>
      <c r="K40" s="26">
        <f>IFERROR(N(INDEX(Produtos!$J$5:$J$304,MATCH($A40,Posição!$X$5:$X$304,0))),"")</f>
        <v>0</v>
      </c>
    </row>
    <row r="41" spans="1:11">
      <c r="A41" s="34">
        <v>37</v>
      </c>
      <c r="B41" s="25">
        <f>IFERROR(INDEX(Posição!$A$5:$A$304,MATCH($A41,Posição!$X$5:$X$304,0)),"")</f>
        <v>0</v>
      </c>
      <c r="C41" s="23">
        <f>IFERROR(INDEX(Posição!$B$5:$B$304,MATCH($A41,Posição!$X$5:$X$304,0)),"")</f>
        <v>0</v>
      </c>
      <c r="D41" s="23">
        <f>IFERROR(INDEX(Produtos!$E$5:$E$304,MATCH($A41,Posição!$X$5:$X$304,0))&amp;"","")</f>
        <v>0</v>
      </c>
      <c r="E41" s="25">
        <f>IFERROR(INDEX(Posição!$Q$5:$Q$304,MATCH($A41,Posição!$X$5:$X$304,0)),"")</f>
        <v>0</v>
      </c>
      <c r="F41" s="26">
        <f>IFERROR(INDEX(Posição!$H$5:$H$304,MATCH($A41,Posição!$X$5:$X$304,0)),"")</f>
        <v>0</v>
      </c>
      <c r="G41" s="26">
        <f>IFERROR(INDEX(Posição!$I$5:$I$304,MATCH($A41,Posição!$X$5:$X$304,0)),"")</f>
        <v>0</v>
      </c>
      <c r="H41" s="27">
        <f>IFERROR(INDEX(Posição!$S$5:$S$304,MATCH($A41,Posição!$X$5:$X$304,0)),"")</f>
        <v>0</v>
      </c>
      <c r="I41" s="24">
        <f>IFERROR(INDEX(Posição!$K$5:$K$304,MATCH($A41,Posição!$X$5:$X$304,0)),"")</f>
        <v>0</v>
      </c>
      <c r="J41" s="24">
        <f>IF(OR(H41="",I41=""),"",H41*I41)</f>
        <v>0</v>
      </c>
      <c r="K41" s="26">
        <f>IFERROR(N(INDEX(Produtos!$J$5:$J$304,MATCH($A41,Posição!$X$5:$X$304,0))),"")</f>
        <v>0</v>
      </c>
    </row>
    <row r="42" spans="1:11">
      <c r="A42" s="34">
        <v>38</v>
      </c>
      <c r="B42" s="25">
        <f>IFERROR(INDEX(Posição!$A$5:$A$304,MATCH($A42,Posição!$X$5:$X$304,0)),"")</f>
        <v>0</v>
      </c>
      <c r="C42" s="23">
        <f>IFERROR(INDEX(Posição!$B$5:$B$304,MATCH($A42,Posição!$X$5:$X$304,0)),"")</f>
        <v>0</v>
      </c>
      <c r="D42" s="23">
        <f>IFERROR(INDEX(Produtos!$E$5:$E$304,MATCH($A42,Posição!$X$5:$X$304,0))&amp;"","")</f>
        <v>0</v>
      </c>
      <c r="E42" s="25">
        <f>IFERROR(INDEX(Posição!$Q$5:$Q$304,MATCH($A42,Posição!$X$5:$X$304,0)),"")</f>
        <v>0</v>
      </c>
      <c r="F42" s="26">
        <f>IFERROR(INDEX(Posição!$H$5:$H$304,MATCH($A42,Posição!$X$5:$X$304,0)),"")</f>
        <v>0</v>
      </c>
      <c r="G42" s="26">
        <f>IFERROR(INDEX(Posição!$I$5:$I$304,MATCH($A42,Posição!$X$5:$X$304,0)),"")</f>
        <v>0</v>
      </c>
      <c r="H42" s="27">
        <f>IFERROR(INDEX(Posição!$S$5:$S$304,MATCH($A42,Posição!$X$5:$X$304,0)),"")</f>
        <v>0</v>
      </c>
      <c r="I42" s="24">
        <f>IFERROR(INDEX(Posição!$K$5:$K$304,MATCH($A42,Posição!$X$5:$X$304,0)),"")</f>
        <v>0</v>
      </c>
      <c r="J42" s="24">
        <f>IF(OR(H42="",I42=""),"",H42*I42)</f>
        <v>0</v>
      </c>
      <c r="K42" s="26">
        <f>IFERROR(N(INDEX(Produtos!$J$5:$J$304,MATCH($A42,Posição!$X$5:$X$304,0))),"")</f>
        <v>0</v>
      </c>
    </row>
    <row r="43" spans="1:11">
      <c r="A43" s="34">
        <v>39</v>
      </c>
      <c r="B43" s="25">
        <f>IFERROR(INDEX(Posição!$A$5:$A$304,MATCH($A43,Posição!$X$5:$X$304,0)),"")</f>
        <v>0</v>
      </c>
      <c r="C43" s="23">
        <f>IFERROR(INDEX(Posição!$B$5:$B$304,MATCH($A43,Posição!$X$5:$X$304,0)),"")</f>
        <v>0</v>
      </c>
      <c r="D43" s="23">
        <f>IFERROR(INDEX(Produtos!$E$5:$E$304,MATCH($A43,Posição!$X$5:$X$304,0))&amp;"","")</f>
        <v>0</v>
      </c>
      <c r="E43" s="25">
        <f>IFERROR(INDEX(Posição!$Q$5:$Q$304,MATCH($A43,Posição!$X$5:$X$304,0)),"")</f>
        <v>0</v>
      </c>
      <c r="F43" s="26">
        <f>IFERROR(INDEX(Posição!$H$5:$H$304,MATCH($A43,Posição!$X$5:$X$304,0)),"")</f>
        <v>0</v>
      </c>
      <c r="G43" s="26">
        <f>IFERROR(INDEX(Posição!$I$5:$I$304,MATCH($A43,Posição!$X$5:$X$304,0)),"")</f>
        <v>0</v>
      </c>
      <c r="H43" s="27">
        <f>IFERROR(INDEX(Posição!$S$5:$S$304,MATCH($A43,Posição!$X$5:$X$304,0)),"")</f>
        <v>0</v>
      </c>
      <c r="I43" s="24">
        <f>IFERROR(INDEX(Posição!$K$5:$K$304,MATCH($A43,Posição!$X$5:$X$304,0)),"")</f>
        <v>0</v>
      </c>
      <c r="J43" s="24">
        <f>IF(OR(H43="",I43=""),"",H43*I43)</f>
        <v>0</v>
      </c>
      <c r="K43" s="26">
        <f>IFERROR(N(INDEX(Produtos!$J$5:$J$304,MATCH($A43,Posição!$X$5:$X$304,0))),"")</f>
        <v>0</v>
      </c>
    </row>
    <row r="44" spans="1:11">
      <c r="A44" s="34">
        <v>40</v>
      </c>
      <c r="B44" s="25">
        <f>IFERROR(INDEX(Posição!$A$5:$A$304,MATCH($A44,Posição!$X$5:$X$304,0)),"")</f>
        <v>0</v>
      </c>
      <c r="C44" s="23">
        <f>IFERROR(INDEX(Posição!$B$5:$B$304,MATCH($A44,Posição!$X$5:$X$304,0)),"")</f>
        <v>0</v>
      </c>
      <c r="D44" s="23">
        <f>IFERROR(INDEX(Produtos!$E$5:$E$304,MATCH($A44,Posição!$X$5:$X$304,0))&amp;"","")</f>
        <v>0</v>
      </c>
      <c r="E44" s="25">
        <f>IFERROR(INDEX(Posição!$Q$5:$Q$304,MATCH($A44,Posição!$X$5:$X$304,0)),"")</f>
        <v>0</v>
      </c>
      <c r="F44" s="26">
        <f>IFERROR(INDEX(Posição!$H$5:$H$304,MATCH($A44,Posição!$X$5:$X$304,0)),"")</f>
        <v>0</v>
      </c>
      <c r="G44" s="26">
        <f>IFERROR(INDEX(Posição!$I$5:$I$304,MATCH($A44,Posição!$X$5:$X$304,0)),"")</f>
        <v>0</v>
      </c>
      <c r="H44" s="27">
        <f>IFERROR(INDEX(Posição!$S$5:$S$304,MATCH($A44,Posição!$X$5:$X$304,0)),"")</f>
        <v>0</v>
      </c>
      <c r="I44" s="24">
        <f>IFERROR(INDEX(Posição!$K$5:$K$304,MATCH($A44,Posição!$X$5:$X$304,0)),"")</f>
        <v>0</v>
      </c>
      <c r="J44" s="24">
        <f>IF(OR(H44="",I44=""),"",H44*I44)</f>
        <v>0</v>
      </c>
      <c r="K44" s="26">
        <f>IFERROR(N(INDEX(Produtos!$J$5:$J$304,MATCH($A44,Posição!$X$5:$X$304,0))),"")</f>
        <v>0</v>
      </c>
    </row>
    <row r="45" spans="1:11">
      <c r="A45" s="34">
        <v>41</v>
      </c>
      <c r="B45" s="25">
        <f>IFERROR(INDEX(Posição!$A$5:$A$304,MATCH($A45,Posição!$X$5:$X$304,0)),"")</f>
        <v>0</v>
      </c>
      <c r="C45" s="23">
        <f>IFERROR(INDEX(Posição!$B$5:$B$304,MATCH($A45,Posição!$X$5:$X$304,0)),"")</f>
        <v>0</v>
      </c>
      <c r="D45" s="23">
        <f>IFERROR(INDEX(Produtos!$E$5:$E$304,MATCH($A45,Posição!$X$5:$X$304,0))&amp;"","")</f>
        <v>0</v>
      </c>
      <c r="E45" s="25">
        <f>IFERROR(INDEX(Posição!$Q$5:$Q$304,MATCH($A45,Posição!$X$5:$X$304,0)),"")</f>
        <v>0</v>
      </c>
      <c r="F45" s="26">
        <f>IFERROR(INDEX(Posição!$H$5:$H$304,MATCH($A45,Posição!$X$5:$X$304,0)),"")</f>
        <v>0</v>
      </c>
      <c r="G45" s="26">
        <f>IFERROR(INDEX(Posição!$I$5:$I$304,MATCH($A45,Posição!$X$5:$X$304,0)),"")</f>
        <v>0</v>
      </c>
      <c r="H45" s="27">
        <f>IFERROR(INDEX(Posição!$S$5:$S$304,MATCH($A45,Posição!$X$5:$X$304,0)),"")</f>
        <v>0</v>
      </c>
      <c r="I45" s="24">
        <f>IFERROR(INDEX(Posição!$K$5:$K$304,MATCH($A45,Posição!$X$5:$X$304,0)),"")</f>
        <v>0</v>
      </c>
      <c r="J45" s="24">
        <f>IF(OR(H45="",I45=""),"",H45*I45)</f>
        <v>0</v>
      </c>
      <c r="K45" s="26">
        <f>IFERROR(N(INDEX(Produtos!$J$5:$J$304,MATCH($A45,Posição!$X$5:$X$304,0))),"")</f>
        <v>0</v>
      </c>
    </row>
    <row r="46" spans="1:11">
      <c r="A46" s="34">
        <v>42</v>
      </c>
      <c r="B46" s="25">
        <f>IFERROR(INDEX(Posição!$A$5:$A$304,MATCH($A46,Posição!$X$5:$X$304,0)),"")</f>
        <v>0</v>
      </c>
      <c r="C46" s="23">
        <f>IFERROR(INDEX(Posição!$B$5:$B$304,MATCH($A46,Posição!$X$5:$X$304,0)),"")</f>
        <v>0</v>
      </c>
      <c r="D46" s="23">
        <f>IFERROR(INDEX(Produtos!$E$5:$E$304,MATCH($A46,Posição!$X$5:$X$304,0))&amp;"","")</f>
        <v>0</v>
      </c>
      <c r="E46" s="25">
        <f>IFERROR(INDEX(Posição!$Q$5:$Q$304,MATCH($A46,Posição!$X$5:$X$304,0)),"")</f>
        <v>0</v>
      </c>
      <c r="F46" s="26">
        <f>IFERROR(INDEX(Posição!$H$5:$H$304,MATCH($A46,Posição!$X$5:$X$304,0)),"")</f>
        <v>0</v>
      </c>
      <c r="G46" s="26">
        <f>IFERROR(INDEX(Posição!$I$5:$I$304,MATCH($A46,Posição!$X$5:$X$304,0)),"")</f>
        <v>0</v>
      </c>
      <c r="H46" s="27">
        <f>IFERROR(INDEX(Posição!$S$5:$S$304,MATCH($A46,Posição!$X$5:$X$304,0)),"")</f>
        <v>0</v>
      </c>
      <c r="I46" s="24">
        <f>IFERROR(INDEX(Posição!$K$5:$K$304,MATCH($A46,Posição!$X$5:$X$304,0)),"")</f>
        <v>0</v>
      </c>
      <c r="J46" s="24">
        <f>IF(OR(H46="",I46=""),"",H46*I46)</f>
        <v>0</v>
      </c>
      <c r="K46" s="26">
        <f>IFERROR(N(INDEX(Produtos!$J$5:$J$304,MATCH($A46,Posição!$X$5:$X$304,0))),"")</f>
        <v>0</v>
      </c>
    </row>
    <row r="47" spans="1:11">
      <c r="A47" s="34">
        <v>43</v>
      </c>
      <c r="B47" s="25">
        <f>IFERROR(INDEX(Posição!$A$5:$A$304,MATCH($A47,Posição!$X$5:$X$304,0)),"")</f>
        <v>0</v>
      </c>
      <c r="C47" s="23">
        <f>IFERROR(INDEX(Posição!$B$5:$B$304,MATCH($A47,Posição!$X$5:$X$304,0)),"")</f>
        <v>0</v>
      </c>
      <c r="D47" s="23">
        <f>IFERROR(INDEX(Produtos!$E$5:$E$304,MATCH($A47,Posição!$X$5:$X$304,0))&amp;"","")</f>
        <v>0</v>
      </c>
      <c r="E47" s="25">
        <f>IFERROR(INDEX(Posição!$Q$5:$Q$304,MATCH($A47,Posição!$X$5:$X$304,0)),"")</f>
        <v>0</v>
      </c>
      <c r="F47" s="26">
        <f>IFERROR(INDEX(Posição!$H$5:$H$304,MATCH($A47,Posição!$X$5:$X$304,0)),"")</f>
        <v>0</v>
      </c>
      <c r="G47" s="26">
        <f>IFERROR(INDEX(Posição!$I$5:$I$304,MATCH($A47,Posição!$X$5:$X$304,0)),"")</f>
        <v>0</v>
      </c>
      <c r="H47" s="27">
        <f>IFERROR(INDEX(Posição!$S$5:$S$304,MATCH($A47,Posição!$X$5:$X$304,0)),"")</f>
        <v>0</v>
      </c>
      <c r="I47" s="24">
        <f>IFERROR(INDEX(Posição!$K$5:$K$304,MATCH($A47,Posição!$X$5:$X$304,0)),"")</f>
        <v>0</v>
      </c>
      <c r="J47" s="24">
        <f>IF(OR(H47="",I47=""),"",H47*I47)</f>
        <v>0</v>
      </c>
      <c r="K47" s="26">
        <f>IFERROR(N(INDEX(Produtos!$J$5:$J$304,MATCH($A47,Posição!$X$5:$X$304,0))),"")</f>
        <v>0</v>
      </c>
    </row>
    <row r="48" spans="1:11">
      <c r="A48" s="34">
        <v>44</v>
      </c>
      <c r="B48" s="25">
        <f>IFERROR(INDEX(Posição!$A$5:$A$304,MATCH($A48,Posição!$X$5:$X$304,0)),"")</f>
        <v>0</v>
      </c>
      <c r="C48" s="23">
        <f>IFERROR(INDEX(Posição!$B$5:$B$304,MATCH($A48,Posição!$X$5:$X$304,0)),"")</f>
        <v>0</v>
      </c>
      <c r="D48" s="23">
        <f>IFERROR(INDEX(Produtos!$E$5:$E$304,MATCH($A48,Posição!$X$5:$X$304,0))&amp;"","")</f>
        <v>0</v>
      </c>
      <c r="E48" s="25">
        <f>IFERROR(INDEX(Posição!$Q$5:$Q$304,MATCH($A48,Posição!$X$5:$X$304,0)),"")</f>
        <v>0</v>
      </c>
      <c r="F48" s="26">
        <f>IFERROR(INDEX(Posição!$H$5:$H$304,MATCH($A48,Posição!$X$5:$X$304,0)),"")</f>
        <v>0</v>
      </c>
      <c r="G48" s="26">
        <f>IFERROR(INDEX(Posição!$I$5:$I$304,MATCH($A48,Posição!$X$5:$X$304,0)),"")</f>
        <v>0</v>
      </c>
      <c r="H48" s="27">
        <f>IFERROR(INDEX(Posição!$S$5:$S$304,MATCH($A48,Posição!$X$5:$X$304,0)),"")</f>
        <v>0</v>
      </c>
      <c r="I48" s="24">
        <f>IFERROR(INDEX(Posição!$K$5:$K$304,MATCH($A48,Posição!$X$5:$X$304,0)),"")</f>
        <v>0</v>
      </c>
      <c r="J48" s="24">
        <f>IF(OR(H48="",I48=""),"",H48*I48)</f>
        <v>0</v>
      </c>
      <c r="K48" s="26">
        <f>IFERROR(N(INDEX(Produtos!$J$5:$J$304,MATCH($A48,Posição!$X$5:$X$304,0))),"")</f>
        <v>0</v>
      </c>
    </row>
    <row r="49" spans="1:11">
      <c r="A49" s="34">
        <v>45</v>
      </c>
      <c r="B49" s="25">
        <f>IFERROR(INDEX(Posição!$A$5:$A$304,MATCH($A49,Posição!$X$5:$X$304,0)),"")</f>
        <v>0</v>
      </c>
      <c r="C49" s="23">
        <f>IFERROR(INDEX(Posição!$B$5:$B$304,MATCH($A49,Posição!$X$5:$X$304,0)),"")</f>
        <v>0</v>
      </c>
      <c r="D49" s="23">
        <f>IFERROR(INDEX(Produtos!$E$5:$E$304,MATCH($A49,Posição!$X$5:$X$304,0))&amp;"","")</f>
        <v>0</v>
      </c>
      <c r="E49" s="25">
        <f>IFERROR(INDEX(Posição!$Q$5:$Q$304,MATCH($A49,Posição!$X$5:$X$304,0)),"")</f>
        <v>0</v>
      </c>
      <c r="F49" s="26">
        <f>IFERROR(INDEX(Posição!$H$5:$H$304,MATCH($A49,Posição!$X$5:$X$304,0)),"")</f>
        <v>0</v>
      </c>
      <c r="G49" s="26">
        <f>IFERROR(INDEX(Posição!$I$5:$I$304,MATCH($A49,Posição!$X$5:$X$304,0)),"")</f>
        <v>0</v>
      </c>
      <c r="H49" s="27">
        <f>IFERROR(INDEX(Posição!$S$5:$S$304,MATCH($A49,Posição!$X$5:$X$304,0)),"")</f>
        <v>0</v>
      </c>
      <c r="I49" s="24">
        <f>IFERROR(INDEX(Posição!$K$5:$K$304,MATCH($A49,Posição!$X$5:$X$304,0)),"")</f>
        <v>0</v>
      </c>
      <c r="J49" s="24">
        <f>IF(OR(H49="",I49=""),"",H49*I49)</f>
        <v>0</v>
      </c>
      <c r="K49" s="26">
        <f>IFERROR(N(INDEX(Produtos!$J$5:$J$304,MATCH($A49,Posição!$X$5:$X$304,0))),"")</f>
        <v>0</v>
      </c>
    </row>
    <row r="50" spans="1:11">
      <c r="A50" s="34">
        <v>46</v>
      </c>
      <c r="B50" s="25">
        <f>IFERROR(INDEX(Posição!$A$5:$A$304,MATCH($A50,Posição!$X$5:$X$304,0)),"")</f>
        <v>0</v>
      </c>
      <c r="C50" s="23">
        <f>IFERROR(INDEX(Posição!$B$5:$B$304,MATCH($A50,Posição!$X$5:$X$304,0)),"")</f>
        <v>0</v>
      </c>
      <c r="D50" s="23">
        <f>IFERROR(INDEX(Produtos!$E$5:$E$304,MATCH($A50,Posição!$X$5:$X$304,0))&amp;"","")</f>
        <v>0</v>
      </c>
      <c r="E50" s="25">
        <f>IFERROR(INDEX(Posição!$Q$5:$Q$304,MATCH($A50,Posição!$X$5:$X$304,0)),"")</f>
        <v>0</v>
      </c>
      <c r="F50" s="26">
        <f>IFERROR(INDEX(Posição!$H$5:$H$304,MATCH($A50,Posição!$X$5:$X$304,0)),"")</f>
        <v>0</v>
      </c>
      <c r="G50" s="26">
        <f>IFERROR(INDEX(Posição!$I$5:$I$304,MATCH($A50,Posição!$X$5:$X$304,0)),"")</f>
        <v>0</v>
      </c>
      <c r="H50" s="27">
        <f>IFERROR(INDEX(Posição!$S$5:$S$304,MATCH($A50,Posição!$X$5:$X$304,0)),"")</f>
        <v>0</v>
      </c>
      <c r="I50" s="24">
        <f>IFERROR(INDEX(Posição!$K$5:$K$304,MATCH($A50,Posição!$X$5:$X$304,0)),"")</f>
        <v>0</v>
      </c>
      <c r="J50" s="24">
        <f>IF(OR(H50="",I50=""),"",H50*I50)</f>
        <v>0</v>
      </c>
      <c r="K50" s="26">
        <f>IFERROR(N(INDEX(Produtos!$J$5:$J$304,MATCH($A50,Posição!$X$5:$X$304,0))),"")</f>
        <v>0</v>
      </c>
    </row>
    <row r="51" spans="1:11">
      <c r="A51" s="34">
        <v>47</v>
      </c>
      <c r="B51" s="25">
        <f>IFERROR(INDEX(Posição!$A$5:$A$304,MATCH($A51,Posição!$X$5:$X$304,0)),"")</f>
        <v>0</v>
      </c>
      <c r="C51" s="23">
        <f>IFERROR(INDEX(Posição!$B$5:$B$304,MATCH($A51,Posição!$X$5:$X$304,0)),"")</f>
        <v>0</v>
      </c>
      <c r="D51" s="23">
        <f>IFERROR(INDEX(Produtos!$E$5:$E$304,MATCH($A51,Posição!$X$5:$X$304,0))&amp;"","")</f>
        <v>0</v>
      </c>
      <c r="E51" s="25">
        <f>IFERROR(INDEX(Posição!$Q$5:$Q$304,MATCH($A51,Posição!$X$5:$X$304,0)),"")</f>
        <v>0</v>
      </c>
      <c r="F51" s="26">
        <f>IFERROR(INDEX(Posição!$H$5:$H$304,MATCH($A51,Posição!$X$5:$X$304,0)),"")</f>
        <v>0</v>
      </c>
      <c r="G51" s="26">
        <f>IFERROR(INDEX(Posição!$I$5:$I$304,MATCH($A51,Posição!$X$5:$X$304,0)),"")</f>
        <v>0</v>
      </c>
      <c r="H51" s="27">
        <f>IFERROR(INDEX(Posição!$S$5:$S$304,MATCH($A51,Posição!$X$5:$X$304,0)),"")</f>
        <v>0</v>
      </c>
      <c r="I51" s="24">
        <f>IFERROR(INDEX(Posição!$K$5:$K$304,MATCH($A51,Posição!$X$5:$X$304,0)),"")</f>
        <v>0</v>
      </c>
      <c r="J51" s="24">
        <f>IF(OR(H51="",I51=""),"",H51*I51)</f>
        <v>0</v>
      </c>
      <c r="K51" s="26">
        <f>IFERROR(N(INDEX(Produtos!$J$5:$J$304,MATCH($A51,Posição!$X$5:$X$304,0))),"")</f>
        <v>0</v>
      </c>
    </row>
    <row r="52" spans="1:11">
      <c r="A52" s="34">
        <v>48</v>
      </c>
      <c r="B52" s="25">
        <f>IFERROR(INDEX(Posição!$A$5:$A$304,MATCH($A52,Posição!$X$5:$X$304,0)),"")</f>
        <v>0</v>
      </c>
      <c r="C52" s="23">
        <f>IFERROR(INDEX(Posição!$B$5:$B$304,MATCH($A52,Posição!$X$5:$X$304,0)),"")</f>
        <v>0</v>
      </c>
      <c r="D52" s="23">
        <f>IFERROR(INDEX(Produtos!$E$5:$E$304,MATCH($A52,Posição!$X$5:$X$304,0))&amp;"","")</f>
        <v>0</v>
      </c>
      <c r="E52" s="25">
        <f>IFERROR(INDEX(Posição!$Q$5:$Q$304,MATCH($A52,Posição!$X$5:$X$304,0)),"")</f>
        <v>0</v>
      </c>
      <c r="F52" s="26">
        <f>IFERROR(INDEX(Posição!$H$5:$H$304,MATCH($A52,Posição!$X$5:$X$304,0)),"")</f>
        <v>0</v>
      </c>
      <c r="G52" s="26">
        <f>IFERROR(INDEX(Posição!$I$5:$I$304,MATCH($A52,Posição!$X$5:$X$304,0)),"")</f>
        <v>0</v>
      </c>
      <c r="H52" s="27">
        <f>IFERROR(INDEX(Posição!$S$5:$S$304,MATCH($A52,Posição!$X$5:$X$304,0)),"")</f>
        <v>0</v>
      </c>
      <c r="I52" s="24">
        <f>IFERROR(INDEX(Posição!$K$5:$K$304,MATCH($A52,Posição!$X$5:$X$304,0)),"")</f>
        <v>0</v>
      </c>
      <c r="J52" s="24">
        <f>IF(OR(H52="",I52=""),"",H52*I52)</f>
        <v>0</v>
      </c>
      <c r="K52" s="26">
        <f>IFERROR(N(INDEX(Produtos!$J$5:$J$304,MATCH($A52,Posição!$X$5:$X$304,0))),"")</f>
        <v>0</v>
      </c>
    </row>
    <row r="53" spans="1:11">
      <c r="A53" s="34">
        <v>49</v>
      </c>
      <c r="B53" s="25">
        <f>IFERROR(INDEX(Posição!$A$5:$A$304,MATCH($A53,Posição!$X$5:$X$304,0)),"")</f>
        <v>0</v>
      </c>
      <c r="C53" s="23">
        <f>IFERROR(INDEX(Posição!$B$5:$B$304,MATCH($A53,Posição!$X$5:$X$304,0)),"")</f>
        <v>0</v>
      </c>
      <c r="D53" s="23">
        <f>IFERROR(INDEX(Produtos!$E$5:$E$304,MATCH($A53,Posição!$X$5:$X$304,0))&amp;"","")</f>
        <v>0</v>
      </c>
      <c r="E53" s="25">
        <f>IFERROR(INDEX(Posição!$Q$5:$Q$304,MATCH($A53,Posição!$X$5:$X$304,0)),"")</f>
        <v>0</v>
      </c>
      <c r="F53" s="26">
        <f>IFERROR(INDEX(Posição!$H$5:$H$304,MATCH($A53,Posição!$X$5:$X$304,0)),"")</f>
        <v>0</v>
      </c>
      <c r="G53" s="26">
        <f>IFERROR(INDEX(Posição!$I$5:$I$304,MATCH($A53,Posição!$X$5:$X$304,0)),"")</f>
        <v>0</v>
      </c>
      <c r="H53" s="27">
        <f>IFERROR(INDEX(Posição!$S$5:$S$304,MATCH($A53,Posição!$X$5:$X$304,0)),"")</f>
        <v>0</v>
      </c>
      <c r="I53" s="24">
        <f>IFERROR(INDEX(Posição!$K$5:$K$304,MATCH($A53,Posição!$X$5:$X$304,0)),"")</f>
        <v>0</v>
      </c>
      <c r="J53" s="24">
        <f>IF(OR(H53="",I53=""),"",H53*I53)</f>
        <v>0</v>
      </c>
      <c r="K53" s="26">
        <f>IFERROR(N(INDEX(Produtos!$J$5:$J$304,MATCH($A53,Posição!$X$5:$X$304,0))),"")</f>
        <v>0</v>
      </c>
    </row>
    <row r="54" spans="1:11">
      <c r="A54" s="34">
        <v>50</v>
      </c>
      <c r="B54" s="25">
        <f>IFERROR(INDEX(Posição!$A$5:$A$304,MATCH($A54,Posição!$X$5:$X$304,0)),"")</f>
        <v>0</v>
      </c>
      <c r="C54" s="23">
        <f>IFERROR(INDEX(Posição!$B$5:$B$304,MATCH($A54,Posição!$X$5:$X$304,0)),"")</f>
        <v>0</v>
      </c>
      <c r="D54" s="23">
        <f>IFERROR(INDEX(Produtos!$E$5:$E$304,MATCH($A54,Posição!$X$5:$X$304,0))&amp;"","")</f>
        <v>0</v>
      </c>
      <c r="E54" s="25">
        <f>IFERROR(INDEX(Posição!$Q$5:$Q$304,MATCH($A54,Posição!$X$5:$X$304,0)),"")</f>
        <v>0</v>
      </c>
      <c r="F54" s="26">
        <f>IFERROR(INDEX(Posição!$H$5:$H$304,MATCH($A54,Posição!$X$5:$X$304,0)),"")</f>
        <v>0</v>
      </c>
      <c r="G54" s="26">
        <f>IFERROR(INDEX(Posição!$I$5:$I$304,MATCH($A54,Posição!$X$5:$X$304,0)),"")</f>
        <v>0</v>
      </c>
      <c r="H54" s="27">
        <f>IFERROR(INDEX(Posição!$S$5:$S$304,MATCH($A54,Posição!$X$5:$X$304,0)),"")</f>
        <v>0</v>
      </c>
      <c r="I54" s="24">
        <f>IFERROR(INDEX(Posição!$K$5:$K$304,MATCH($A54,Posição!$X$5:$X$304,0)),"")</f>
        <v>0</v>
      </c>
      <c r="J54" s="24">
        <f>IF(OR(H54="",I54=""),"",H54*I54)</f>
        <v>0</v>
      </c>
      <c r="K54" s="26">
        <f>IFERROR(N(INDEX(Produtos!$J$5:$J$304,MATCH($A54,Posição!$X$5:$X$304,0))),"")</f>
        <v>0</v>
      </c>
    </row>
    <row r="55" spans="1:11">
      <c r="A55" s="34">
        <v>51</v>
      </c>
      <c r="B55" s="25">
        <f>IFERROR(INDEX(Posição!$A$5:$A$304,MATCH($A55,Posição!$X$5:$X$304,0)),"")</f>
        <v>0</v>
      </c>
      <c r="C55" s="23">
        <f>IFERROR(INDEX(Posição!$B$5:$B$304,MATCH($A55,Posição!$X$5:$X$304,0)),"")</f>
        <v>0</v>
      </c>
      <c r="D55" s="23">
        <f>IFERROR(INDEX(Produtos!$E$5:$E$304,MATCH($A55,Posição!$X$5:$X$304,0))&amp;"","")</f>
        <v>0</v>
      </c>
      <c r="E55" s="25">
        <f>IFERROR(INDEX(Posição!$Q$5:$Q$304,MATCH($A55,Posição!$X$5:$X$304,0)),"")</f>
        <v>0</v>
      </c>
      <c r="F55" s="26">
        <f>IFERROR(INDEX(Posição!$H$5:$H$304,MATCH($A55,Posição!$X$5:$X$304,0)),"")</f>
        <v>0</v>
      </c>
      <c r="G55" s="26">
        <f>IFERROR(INDEX(Posição!$I$5:$I$304,MATCH($A55,Posição!$X$5:$X$304,0)),"")</f>
        <v>0</v>
      </c>
      <c r="H55" s="27">
        <f>IFERROR(INDEX(Posição!$S$5:$S$304,MATCH($A55,Posição!$X$5:$X$304,0)),"")</f>
        <v>0</v>
      </c>
      <c r="I55" s="24">
        <f>IFERROR(INDEX(Posição!$K$5:$K$304,MATCH($A55,Posição!$X$5:$X$304,0)),"")</f>
        <v>0</v>
      </c>
      <c r="J55" s="24">
        <f>IF(OR(H55="",I55=""),"",H55*I55)</f>
        <v>0</v>
      </c>
      <c r="K55" s="26">
        <f>IFERROR(N(INDEX(Produtos!$J$5:$J$304,MATCH($A55,Posição!$X$5:$X$304,0))),"")</f>
        <v>0</v>
      </c>
    </row>
    <row r="56" spans="1:11">
      <c r="A56" s="34">
        <v>52</v>
      </c>
      <c r="B56" s="25">
        <f>IFERROR(INDEX(Posição!$A$5:$A$304,MATCH($A56,Posição!$X$5:$X$304,0)),"")</f>
        <v>0</v>
      </c>
      <c r="C56" s="23">
        <f>IFERROR(INDEX(Posição!$B$5:$B$304,MATCH($A56,Posição!$X$5:$X$304,0)),"")</f>
        <v>0</v>
      </c>
      <c r="D56" s="23">
        <f>IFERROR(INDEX(Produtos!$E$5:$E$304,MATCH($A56,Posição!$X$5:$X$304,0))&amp;"","")</f>
        <v>0</v>
      </c>
      <c r="E56" s="25">
        <f>IFERROR(INDEX(Posição!$Q$5:$Q$304,MATCH($A56,Posição!$X$5:$X$304,0)),"")</f>
        <v>0</v>
      </c>
      <c r="F56" s="26">
        <f>IFERROR(INDEX(Posição!$H$5:$H$304,MATCH($A56,Posição!$X$5:$X$304,0)),"")</f>
        <v>0</v>
      </c>
      <c r="G56" s="26">
        <f>IFERROR(INDEX(Posição!$I$5:$I$304,MATCH($A56,Posição!$X$5:$X$304,0)),"")</f>
        <v>0</v>
      </c>
      <c r="H56" s="27">
        <f>IFERROR(INDEX(Posição!$S$5:$S$304,MATCH($A56,Posição!$X$5:$X$304,0)),"")</f>
        <v>0</v>
      </c>
      <c r="I56" s="24">
        <f>IFERROR(INDEX(Posição!$K$5:$K$304,MATCH($A56,Posição!$X$5:$X$304,0)),"")</f>
        <v>0</v>
      </c>
      <c r="J56" s="24">
        <f>IF(OR(H56="",I56=""),"",H56*I56)</f>
        <v>0</v>
      </c>
      <c r="K56" s="26">
        <f>IFERROR(N(INDEX(Produtos!$J$5:$J$304,MATCH($A56,Posição!$X$5:$X$304,0))),"")</f>
        <v>0</v>
      </c>
    </row>
    <row r="57" spans="1:11">
      <c r="A57" s="34">
        <v>53</v>
      </c>
      <c r="B57" s="25">
        <f>IFERROR(INDEX(Posição!$A$5:$A$304,MATCH($A57,Posição!$X$5:$X$304,0)),"")</f>
        <v>0</v>
      </c>
      <c r="C57" s="23">
        <f>IFERROR(INDEX(Posição!$B$5:$B$304,MATCH($A57,Posição!$X$5:$X$304,0)),"")</f>
        <v>0</v>
      </c>
      <c r="D57" s="23">
        <f>IFERROR(INDEX(Produtos!$E$5:$E$304,MATCH($A57,Posição!$X$5:$X$304,0))&amp;"","")</f>
        <v>0</v>
      </c>
      <c r="E57" s="25">
        <f>IFERROR(INDEX(Posição!$Q$5:$Q$304,MATCH($A57,Posição!$X$5:$X$304,0)),"")</f>
        <v>0</v>
      </c>
      <c r="F57" s="26">
        <f>IFERROR(INDEX(Posição!$H$5:$H$304,MATCH($A57,Posição!$X$5:$X$304,0)),"")</f>
        <v>0</v>
      </c>
      <c r="G57" s="26">
        <f>IFERROR(INDEX(Posição!$I$5:$I$304,MATCH($A57,Posição!$X$5:$X$304,0)),"")</f>
        <v>0</v>
      </c>
      <c r="H57" s="27">
        <f>IFERROR(INDEX(Posição!$S$5:$S$304,MATCH($A57,Posição!$X$5:$X$304,0)),"")</f>
        <v>0</v>
      </c>
      <c r="I57" s="24">
        <f>IFERROR(INDEX(Posição!$K$5:$K$304,MATCH($A57,Posição!$X$5:$X$304,0)),"")</f>
        <v>0</v>
      </c>
      <c r="J57" s="24">
        <f>IF(OR(H57="",I57=""),"",H57*I57)</f>
        <v>0</v>
      </c>
      <c r="K57" s="26">
        <f>IFERROR(N(INDEX(Produtos!$J$5:$J$304,MATCH($A57,Posição!$X$5:$X$304,0))),"")</f>
        <v>0</v>
      </c>
    </row>
    <row r="58" spans="1:11">
      <c r="A58" s="34">
        <v>54</v>
      </c>
      <c r="B58" s="25">
        <f>IFERROR(INDEX(Posição!$A$5:$A$304,MATCH($A58,Posição!$X$5:$X$304,0)),"")</f>
        <v>0</v>
      </c>
      <c r="C58" s="23">
        <f>IFERROR(INDEX(Posição!$B$5:$B$304,MATCH($A58,Posição!$X$5:$X$304,0)),"")</f>
        <v>0</v>
      </c>
      <c r="D58" s="23">
        <f>IFERROR(INDEX(Produtos!$E$5:$E$304,MATCH($A58,Posição!$X$5:$X$304,0))&amp;"","")</f>
        <v>0</v>
      </c>
      <c r="E58" s="25">
        <f>IFERROR(INDEX(Posição!$Q$5:$Q$304,MATCH($A58,Posição!$X$5:$X$304,0)),"")</f>
        <v>0</v>
      </c>
      <c r="F58" s="26">
        <f>IFERROR(INDEX(Posição!$H$5:$H$304,MATCH($A58,Posição!$X$5:$X$304,0)),"")</f>
        <v>0</v>
      </c>
      <c r="G58" s="26">
        <f>IFERROR(INDEX(Posição!$I$5:$I$304,MATCH($A58,Posição!$X$5:$X$304,0)),"")</f>
        <v>0</v>
      </c>
      <c r="H58" s="27">
        <f>IFERROR(INDEX(Posição!$S$5:$S$304,MATCH($A58,Posição!$X$5:$X$304,0)),"")</f>
        <v>0</v>
      </c>
      <c r="I58" s="24">
        <f>IFERROR(INDEX(Posição!$K$5:$K$304,MATCH($A58,Posição!$X$5:$X$304,0)),"")</f>
        <v>0</v>
      </c>
      <c r="J58" s="24">
        <f>IF(OR(H58="",I58=""),"",H58*I58)</f>
        <v>0</v>
      </c>
      <c r="K58" s="26">
        <f>IFERROR(N(INDEX(Produtos!$J$5:$J$304,MATCH($A58,Posição!$X$5:$X$304,0))),"")</f>
        <v>0</v>
      </c>
    </row>
    <row r="59" spans="1:11">
      <c r="A59" s="34">
        <v>55</v>
      </c>
      <c r="B59" s="25">
        <f>IFERROR(INDEX(Posição!$A$5:$A$304,MATCH($A59,Posição!$X$5:$X$304,0)),"")</f>
        <v>0</v>
      </c>
      <c r="C59" s="23">
        <f>IFERROR(INDEX(Posição!$B$5:$B$304,MATCH($A59,Posição!$X$5:$X$304,0)),"")</f>
        <v>0</v>
      </c>
      <c r="D59" s="23">
        <f>IFERROR(INDEX(Produtos!$E$5:$E$304,MATCH($A59,Posição!$X$5:$X$304,0))&amp;"","")</f>
        <v>0</v>
      </c>
      <c r="E59" s="25">
        <f>IFERROR(INDEX(Posição!$Q$5:$Q$304,MATCH($A59,Posição!$X$5:$X$304,0)),"")</f>
        <v>0</v>
      </c>
      <c r="F59" s="26">
        <f>IFERROR(INDEX(Posição!$H$5:$H$304,MATCH($A59,Posição!$X$5:$X$304,0)),"")</f>
        <v>0</v>
      </c>
      <c r="G59" s="26">
        <f>IFERROR(INDEX(Posição!$I$5:$I$304,MATCH($A59,Posição!$X$5:$X$304,0)),"")</f>
        <v>0</v>
      </c>
      <c r="H59" s="27">
        <f>IFERROR(INDEX(Posição!$S$5:$S$304,MATCH($A59,Posição!$X$5:$X$304,0)),"")</f>
        <v>0</v>
      </c>
      <c r="I59" s="24">
        <f>IFERROR(INDEX(Posição!$K$5:$K$304,MATCH($A59,Posição!$X$5:$X$304,0)),"")</f>
        <v>0</v>
      </c>
      <c r="J59" s="24">
        <f>IF(OR(H59="",I59=""),"",H59*I59)</f>
        <v>0</v>
      </c>
      <c r="K59" s="26">
        <f>IFERROR(N(INDEX(Produtos!$J$5:$J$304,MATCH($A59,Posição!$X$5:$X$304,0))),"")</f>
        <v>0</v>
      </c>
    </row>
    <row r="60" spans="1:11">
      <c r="A60" s="34">
        <v>56</v>
      </c>
      <c r="B60" s="25">
        <f>IFERROR(INDEX(Posição!$A$5:$A$304,MATCH($A60,Posição!$X$5:$X$304,0)),"")</f>
        <v>0</v>
      </c>
      <c r="C60" s="23">
        <f>IFERROR(INDEX(Posição!$B$5:$B$304,MATCH($A60,Posição!$X$5:$X$304,0)),"")</f>
        <v>0</v>
      </c>
      <c r="D60" s="23">
        <f>IFERROR(INDEX(Produtos!$E$5:$E$304,MATCH($A60,Posição!$X$5:$X$304,0))&amp;"","")</f>
        <v>0</v>
      </c>
      <c r="E60" s="25">
        <f>IFERROR(INDEX(Posição!$Q$5:$Q$304,MATCH($A60,Posição!$X$5:$X$304,0)),"")</f>
        <v>0</v>
      </c>
      <c r="F60" s="26">
        <f>IFERROR(INDEX(Posição!$H$5:$H$304,MATCH($A60,Posição!$X$5:$X$304,0)),"")</f>
        <v>0</v>
      </c>
      <c r="G60" s="26">
        <f>IFERROR(INDEX(Posição!$I$5:$I$304,MATCH($A60,Posição!$X$5:$X$304,0)),"")</f>
        <v>0</v>
      </c>
      <c r="H60" s="27">
        <f>IFERROR(INDEX(Posição!$S$5:$S$304,MATCH($A60,Posição!$X$5:$X$304,0)),"")</f>
        <v>0</v>
      </c>
      <c r="I60" s="24">
        <f>IFERROR(INDEX(Posição!$K$5:$K$304,MATCH($A60,Posição!$X$5:$X$304,0)),"")</f>
        <v>0</v>
      </c>
      <c r="J60" s="24">
        <f>IF(OR(H60="",I60=""),"",H60*I60)</f>
        <v>0</v>
      </c>
      <c r="K60" s="26">
        <f>IFERROR(N(INDEX(Produtos!$J$5:$J$304,MATCH($A60,Posição!$X$5:$X$304,0))),"")</f>
        <v>0</v>
      </c>
    </row>
    <row r="61" spans="1:11">
      <c r="A61" s="34">
        <v>57</v>
      </c>
      <c r="B61" s="25">
        <f>IFERROR(INDEX(Posição!$A$5:$A$304,MATCH($A61,Posição!$X$5:$X$304,0)),"")</f>
        <v>0</v>
      </c>
      <c r="C61" s="23">
        <f>IFERROR(INDEX(Posição!$B$5:$B$304,MATCH($A61,Posição!$X$5:$X$304,0)),"")</f>
        <v>0</v>
      </c>
      <c r="D61" s="23">
        <f>IFERROR(INDEX(Produtos!$E$5:$E$304,MATCH($A61,Posição!$X$5:$X$304,0))&amp;"","")</f>
        <v>0</v>
      </c>
      <c r="E61" s="25">
        <f>IFERROR(INDEX(Posição!$Q$5:$Q$304,MATCH($A61,Posição!$X$5:$X$304,0)),"")</f>
        <v>0</v>
      </c>
      <c r="F61" s="26">
        <f>IFERROR(INDEX(Posição!$H$5:$H$304,MATCH($A61,Posição!$X$5:$X$304,0)),"")</f>
        <v>0</v>
      </c>
      <c r="G61" s="26">
        <f>IFERROR(INDEX(Posição!$I$5:$I$304,MATCH($A61,Posição!$X$5:$X$304,0)),"")</f>
        <v>0</v>
      </c>
      <c r="H61" s="27">
        <f>IFERROR(INDEX(Posição!$S$5:$S$304,MATCH($A61,Posição!$X$5:$X$304,0)),"")</f>
        <v>0</v>
      </c>
      <c r="I61" s="24">
        <f>IFERROR(INDEX(Posição!$K$5:$K$304,MATCH($A61,Posição!$X$5:$X$304,0)),"")</f>
        <v>0</v>
      </c>
      <c r="J61" s="24">
        <f>IF(OR(H61="",I61=""),"",H61*I61)</f>
        <v>0</v>
      </c>
      <c r="K61" s="26">
        <f>IFERROR(N(INDEX(Produtos!$J$5:$J$304,MATCH($A61,Posição!$X$5:$X$304,0))),"")</f>
        <v>0</v>
      </c>
    </row>
    <row r="62" spans="1:11">
      <c r="A62" s="34">
        <v>58</v>
      </c>
      <c r="B62" s="25">
        <f>IFERROR(INDEX(Posição!$A$5:$A$304,MATCH($A62,Posição!$X$5:$X$304,0)),"")</f>
        <v>0</v>
      </c>
      <c r="C62" s="23">
        <f>IFERROR(INDEX(Posição!$B$5:$B$304,MATCH($A62,Posição!$X$5:$X$304,0)),"")</f>
        <v>0</v>
      </c>
      <c r="D62" s="23">
        <f>IFERROR(INDEX(Produtos!$E$5:$E$304,MATCH($A62,Posição!$X$5:$X$304,0))&amp;"","")</f>
        <v>0</v>
      </c>
      <c r="E62" s="25">
        <f>IFERROR(INDEX(Posição!$Q$5:$Q$304,MATCH($A62,Posição!$X$5:$X$304,0)),"")</f>
        <v>0</v>
      </c>
      <c r="F62" s="26">
        <f>IFERROR(INDEX(Posição!$H$5:$H$304,MATCH($A62,Posição!$X$5:$X$304,0)),"")</f>
        <v>0</v>
      </c>
      <c r="G62" s="26">
        <f>IFERROR(INDEX(Posição!$I$5:$I$304,MATCH($A62,Posição!$X$5:$X$304,0)),"")</f>
        <v>0</v>
      </c>
      <c r="H62" s="27">
        <f>IFERROR(INDEX(Posição!$S$5:$S$304,MATCH($A62,Posição!$X$5:$X$304,0)),"")</f>
        <v>0</v>
      </c>
      <c r="I62" s="24">
        <f>IFERROR(INDEX(Posição!$K$5:$K$304,MATCH($A62,Posição!$X$5:$X$304,0)),"")</f>
        <v>0</v>
      </c>
      <c r="J62" s="24">
        <f>IF(OR(H62="",I62=""),"",H62*I62)</f>
        <v>0</v>
      </c>
      <c r="K62" s="26">
        <f>IFERROR(N(INDEX(Produtos!$J$5:$J$304,MATCH($A62,Posição!$X$5:$X$304,0))),"")</f>
        <v>0</v>
      </c>
    </row>
    <row r="63" spans="1:11">
      <c r="A63" s="34">
        <v>59</v>
      </c>
      <c r="B63" s="25">
        <f>IFERROR(INDEX(Posição!$A$5:$A$304,MATCH($A63,Posição!$X$5:$X$304,0)),"")</f>
        <v>0</v>
      </c>
      <c r="C63" s="23">
        <f>IFERROR(INDEX(Posição!$B$5:$B$304,MATCH($A63,Posição!$X$5:$X$304,0)),"")</f>
        <v>0</v>
      </c>
      <c r="D63" s="23">
        <f>IFERROR(INDEX(Produtos!$E$5:$E$304,MATCH($A63,Posição!$X$5:$X$304,0))&amp;"","")</f>
        <v>0</v>
      </c>
      <c r="E63" s="25">
        <f>IFERROR(INDEX(Posição!$Q$5:$Q$304,MATCH($A63,Posição!$X$5:$X$304,0)),"")</f>
        <v>0</v>
      </c>
      <c r="F63" s="26">
        <f>IFERROR(INDEX(Posição!$H$5:$H$304,MATCH($A63,Posição!$X$5:$X$304,0)),"")</f>
        <v>0</v>
      </c>
      <c r="G63" s="26">
        <f>IFERROR(INDEX(Posição!$I$5:$I$304,MATCH($A63,Posição!$X$5:$X$304,0)),"")</f>
        <v>0</v>
      </c>
      <c r="H63" s="27">
        <f>IFERROR(INDEX(Posição!$S$5:$S$304,MATCH($A63,Posição!$X$5:$X$304,0)),"")</f>
        <v>0</v>
      </c>
      <c r="I63" s="24">
        <f>IFERROR(INDEX(Posição!$K$5:$K$304,MATCH($A63,Posição!$X$5:$X$304,0)),"")</f>
        <v>0</v>
      </c>
      <c r="J63" s="24">
        <f>IF(OR(H63="",I63=""),"",H63*I63)</f>
        <v>0</v>
      </c>
      <c r="K63" s="26">
        <f>IFERROR(N(INDEX(Produtos!$J$5:$J$304,MATCH($A63,Posição!$X$5:$X$304,0))),"")</f>
        <v>0</v>
      </c>
    </row>
    <row r="64" spans="1:11">
      <c r="A64" s="34">
        <v>60</v>
      </c>
      <c r="B64" s="25">
        <f>IFERROR(INDEX(Posição!$A$5:$A$304,MATCH($A64,Posição!$X$5:$X$304,0)),"")</f>
        <v>0</v>
      </c>
      <c r="C64" s="23">
        <f>IFERROR(INDEX(Posição!$B$5:$B$304,MATCH($A64,Posição!$X$5:$X$304,0)),"")</f>
        <v>0</v>
      </c>
      <c r="D64" s="23">
        <f>IFERROR(INDEX(Produtos!$E$5:$E$304,MATCH($A64,Posição!$X$5:$X$304,0))&amp;"","")</f>
        <v>0</v>
      </c>
      <c r="E64" s="25">
        <f>IFERROR(INDEX(Posição!$Q$5:$Q$304,MATCH($A64,Posição!$X$5:$X$304,0)),"")</f>
        <v>0</v>
      </c>
      <c r="F64" s="26">
        <f>IFERROR(INDEX(Posição!$H$5:$H$304,MATCH($A64,Posição!$X$5:$X$304,0)),"")</f>
        <v>0</v>
      </c>
      <c r="G64" s="26">
        <f>IFERROR(INDEX(Posição!$I$5:$I$304,MATCH($A64,Posição!$X$5:$X$304,0)),"")</f>
        <v>0</v>
      </c>
      <c r="H64" s="27">
        <f>IFERROR(INDEX(Posição!$S$5:$S$304,MATCH($A64,Posição!$X$5:$X$304,0)),"")</f>
        <v>0</v>
      </c>
      <c r="I64" s="24">
        <f>IFERROR(INDEX(Posição!$K$5:$K$304,MATCH($A64,Posição!$X$5:$X$304,0)),"")</f>
        <v>0</v>
      </c>
      <c r="J64" s="24">
        <f>IF(OR(H64="",I64=""),"",H64*I64)</f>
        <v>0</v>
      </c>
      <c r="K64" s="26">
        <f>IFERROR(N(INDEX(Produtos!$J$5:$J$304,MATCH($A64,Posição!$X$5:$X$304,0))),"")</f>
        <v>0</v>
      </c>
    </row>
    <row r="65" spans="1:11">
      <c r="A65" s="34">
        <v>61</v>
      </c>
      <c r="B65" s="25">
        <f>IFERROR(INDEX(Posição!$A$5:$A$304,MATCH($A65,Posição!$X$5:$X$304,0)),"")</f>
        <v>0</v>
      </c>
      <c r="C65" s="23">
        <f>IFERROR(INDEX(Posição!$B$5:$B$304,MATCH($A65,Posição!$X$5:$X$304,0)),"")</f>
        <v>0</v>
      </c>
      <c r="D65" s="23">
        <f>IFERROR(INDEX(Produtos!$E$5:$E$304,MATCH($A65,Posição!$X$5:$X$304,0))&amp;"","")</f>
        <v>0</v>
      </c>
      <c r="E65" s="25">
        <f>IFERROR(INDEX(Posição!$Q$5:$Q$304,MATCH($A65,Posição!$X$5:$X$304,0)),"")</f>
        <v>0</v>
      </c>
      <c r="F65" s="26">
        <f>IFERROR(INDEX(Posição!$H$5:$H$304,MATCH($A65,Posição!$X$5:$X$304,0)),"")</f>
        <v>0</v>
      </c>
      <c r="G65" s="26">
        <f>IFERROR(INDEX(Posição!$I$5:$I$304,MATCH($A65,Posição!$X$5:$X$304,0)),"")</f>
        <v>0</v>
      </c>
      <c r="H65" s="27">
        <f>IFERROR(INDEX(Posição!$S$5:$S$304,MATCH($A65,Posição!$X$5:$X$304,0)),"")</f>
        <v>0</v>
      </c>
      <c r="I65" s="24">
        <f>IFERROR(INDEX(Posição!$K$5:$K$304,MATCH($A65,Posição!$X$5:$X$304,0)),"")</f>
        <v>0</v>
      </c>
      <c r="J65" s="24">
        <f>IF(OR(H65="",I65=""),"",H65*I65)</f>
        <v>0</v>
      </c>
      <c r="K65" s="26">
        <f>IFERROR(N(INDEX(Produtos!$J$5:$J$304,MATCH($A65,Posição!$X$5:$X$304,0))),"")</f>
        <v>0</v>
      </c>
    </row>
    <row r="66" spans="1:11">
      <c r="A66" s="34">
        <v>62</v>
      </c>
      <c r="B66" s="25">
        <f>IFERROR(INDEX(Posição!$A$5:$A$304,MATCH($A66,Posição!$X$5:$X$304,0)),"")</f>
        <v>0</v>
      </c>
      <c r="C66" s="23">
        <f>IFERROR(INDEX(Posição!$B$5:$B$304,MATCH($A66,Posição!$X$5:$X$304,0)),"")</f>
        <v>0</v>
      </c>
      <c r="D66" s="23">
        <f>IFERROR(INDEX(Produtos!$E$5:$E$304,MATCH($A66,Posição!$X$5:$X$304,0))&amp;"","")</f>
        <v>0</v>
      </c>
      <c r="E66" s="25">
        <f>IFERROR(INDEX(Posição!$Q$5:$Q$304,MATCH($A66,Posição!$X$5:$X$304,0)),"")</f>
        <v>0</v>
      </c>
      <c r="F66" s="26">
        <f>IFERROR(INDEX(Posição!$H$5:$H$304,MATCH($A66,Posição!$X$5:$X$304,0)),"")</f>
        <v>0</v>
      </c>
      <c r="G66" s="26">
        <f>IFERROR(INDEX(Posição!$I$5:$I$304,MATCH($A66,Posição!$X$5:$X$304,0)),"")</f>
        <v>0</v>
      </c>
      <c r="H66" s="27">
        <f>IFERROR(INDEX(Posição!$S$5:$S$304,MATCH($A66,Posição!$X$5:$X$304,0)),"")</f>
        <v>0</v>
      </c>
      <c r="I66" s="24">
        <f>IFERROR(INDEX(Posição!$K$5:$K$304,MATCH($A66,Posição!$X$5:$X$304,0)),"")</f>
        <v>0</v>
      </c>
      <c r="J66" s="24">
        <f>IF(OR(H66="",I66=""),"",H66*I66)</f>
        <v>0</v>
      </c>
      <c r="K66" s="26">
        <f>IFERROR(N(INDEX(Produtos!$J$5:$J$304,MATCH($A66,Posição!$X$5:$X$304,0))),"")</f>
        <v>0</v>
      </c>
    </row>
    <row r="67" spans="1:11">
      <c r="A67" s="34">
        <v>63</v>
      </c>
      <c r="B67" s="25">
        <f>IFERROR(INDEX(Posição!$A$5:$A$304,MATCH($A67,Posição!$X$5:$X$304,0)),"")</f>
        <v>0</v>
      </c>
      <c r="C67" s="23">
        <f>IFERROR(INDEX(Posição!$B$5:$B$304,MATCH($A67,Posição!$X$5:$X$304,0)),"")</f>
        <v>0</v>
      </c>
      <c r="D67" s="23">
        <f>IFERROR(INDEX(Produtos!$E$5:$E$304,MATCH($A67,Posição!$X$5:$X$304,0))&amp;"","")</f>
        <v>0</v>
      </c>
      <c r="E67" s="25">
        <f>IFERROR(INDEX(Posição!$Q$5:$Q$304,MATCH($A67,Posição!$X$5:$X$304,0)),"")</f>
        <v>0</v>
      </c>
      <c r="F67" s="26">
        <f>IFERROR(INDEX(Posição!$H$5:$H$304,MATCH($A67,Posição!$X$5:$X$304,0)),"")</f>
        <v>0</v>
      </c>
      <c r="G67" s="26">
        <f>IFERROR(INDEX(Posição!$I$5:$I$304,MATCH($A67,Posição!$X$5:$X$304,0)),"")</f>
        <v>0</v>
      </c>
      <c r="H67" s="27">
        <f>IFERROR(INDEX(Posição!$S$5:$S$304,MATCH($A67,Posição!$X$5:$X$304,0)),"")</f>
        <v>0</v>
      </c>
      <c r="I67" s="24">
        <f>IFERROR(INDEX(Posição!$K$5:$K$304,MATCH($A67,Posição!$X$5:$X$304,0)),"")</f>
        <v>0</v>
      </c>
      <c r="J67" s="24">
        <f>IF(OR(H67="",I67=""),"",H67*I67)</f>
        <v>0</v>
      </c>
      <c r="K67" s="26">
        <f>IFERROR(N(INDEX(Produtos!$J$5:$J$304,MATCH($A67,Posição!$X$5:$X$304,0))),"")</f>
        <v>0</v>
      </c>
    </row>
    <row r="68" spans="1:11">
      <c r="A68" s="34">
        <v>64</v>
      </c>
      <c r="B68" s="25">
        <f>IFERROR(INDEX(Posição!$A$5:$A$304,MATCH($A68,Posição!$X$5:$X$304,0)),"")</f>
        <v>0</v>
      </c>
      <c r="C68" s="23">
        <f>IFERROR(INDEX(Posição!$B$5:$B$304,MATCH($A68,Posição!$X$5:$X$304,0)),"")</f>
        <v>0</v>
      </c>
      <c r="D68" s="23">
        <f>IFERROR(INDEX(Produtos!$E$5:$E$304,MATCH($A68,Posição!$X$5:$X$304,0))&amp;"","")</f>
        <v>0</v>
      </c>
      <c r="E68" s="25">
        <f>IFERROR(INDEX(Posição!$Q$5:$Q$304,MATCH($A68,Posição!$X$5:$X$304,0)),"")</f>
        <v>0</v>
      </c>
      <c r="F68" s="26">
        <f>IFERROR(INDEX(Posição!$H$5:$H$304,MATCH($A68,Posição!$X$5:$X$304,0)),"")</f>
        <v>0</v>
      </c>
      <c r="G68" s="26">
        <f>IFERROR(INDEX(Posição!$I$5:$I$304,MATCH($A68,Posição!$X$5:$X$304,0)),"")</f>
        <v>0</v>
      </c>
      <c r="H68" s="27">
        <f>IFERROR(INDEX(Posição!$S$5:$S$304,MATCH($A68,Posição!$X$5:$X$304,0)),"")</f>
        <v>0</v>
      </c>
      <c r="I68" s="24">
        <f>IFERROR(INDEX(Posição!$K$5:$K$304,MATCH($A68,Posição!$X$5:$X$304,0)),"")</f>
        <v>0</v>
      </c>
      <c r="J68" s="24">
        <f>IF(OR(H68="",I68=""),"",H68*I68)</f>
        <v>0</v>
      </c>
      <c r="K68" s="26">
        <f>IFERROR(N(INDEX(Produtos!$J$5:$J$304,MATCH($A68,Posição!$X$5:$X$304,0))),"")</f>
        <v>0</v>
      </c>
    </row>
    <row r="69" spans="1:11">
      <c r="A69" s="34">
        <v>65</v>
      </c>
      <c r="B69" s="25">
        <f>IFERROR(INDEX(Posição!$A$5:$A$304,MATCH($A69,Posição!$X$5:$X$304,0)),"")</f>
        <v>0</v>
      </c>
      <c r="C69" s="23">
        <f>IFERROR(INDEX(Posição!$B$5:$B$304,MATCH($A69,Posição!$X$5:$X$304,0)),"")</f>
        <v>0</v>
      </c>
      <c r="D69" s="23">
        <f>IFERROR(INDEX(Produtos!$E$5:$E$304,MATCH($A69,Posição!$X$5:$X$304,0))&amp;"","")</f>
        <v>0</v>
      </c>
      <c r="E69" s="25">
        <f>IFERROR(INDEX(Posição!$Q$5:$Q$304,MATCH($A69,Posição!$X$5:$X$304,0)),"")</f>
        <v>0</v>
      </c>
      <c r="F69" s="26">
        <f>IFERROR(INDEX(Posição!$H$5:$H$304,MATCH($A69,Posição!$X$5:$X$304,0)),"")</f>
        <v>0</v>
      </c>
      <c r="G69" s="26">
        <f>IFERROR(INDEX(Posição!$I$5:$I$304,MATCH($A69,Posição!$X$5:$X$304,0)),"")</f>
        <v>0</v>
      </c>
      <c r="H69" s="27">
        <f>IFERROR(INDEX(Posição!$S$5:$S$304,MATCH($A69,Posição!$X$5:$X$304,0)),"")</f>
        <v>0</v>
      </c>
      <c r="I69" s="24">
        <f>IFERROR(INDEX(Posição!$K$5:$K$304,MATCH($A69,Posição!$X$5:$X$304,0)),"")</f>
        <v>0</v>
      </c>
      <c r="J69" s="24">
        <f>IF(OR(H69="",I69=""),"",H69*I69)</f>
        <v>0</v>
      </c>
      <c r="K69" s="26">
        <f>IFERROR(N(INDEX(Produtos!$J$5:$J$304,MATCH($A69,Posição!$X$5:$X$304,0))),"")</f>
        <v>0</v>
      </c>
    </row>
    <row r="70" spans="1:11">
      <c r="A70" s="34">
        <v>66</v>
      </c>
      <c r="B70" s="25">
        <f>IFERROR(INDEX(Posição!$A$5:$A$304,MATCH($A70,Posição!$X$5:$X$304,0)),"")</f>
        <v>0</v>
      </c>
      <c r="C70" s="23">
        <f>IFERROR(INDEX(Posição!$B$5:$B$304,MATCH($A70,Posição!$X$5:$X$304,0)),"")</f>
        <v>0</v>
      </c>
      <c r="D70" s="23">
        <f>IFERROR(INDEX(Produtos!$E$5:$E$304,MATCH($A70,Posição!$X$5:$X$304,0))&amp;"","")</f>
        <v>0</v>
      </c>
      <c r="E70" s="25">
        <f>IFERROR(INDEX(Posição!$Q$5:$Q$304,MATCH($A70,Posição!$X$5:$X$304,0)),"")</f>
        <v>0</v>
      </c>
      <c r="F70" s="26">
        <f>IFERROR(INDEX(Posição!$H$5:$H$304,MATCH($A70,Posição!$X$5:$X$304,0)),"")</f>
        <v>0</v>
      </c>
      <c r="G70" s="26">
        <f>IFERROR(INDEX(Posição!$I$5:$I$304,MATCH($A70,Posição!$X$5:$X$304,0)),"")</f>
        <v>0</v>
      </c>
      <c r="H70" s="27">
        <f>IFERROR(INDEX(Posição!$S$5:$S$304,MATCH($A70,Posição!$X$5:$X$304,0)),"")</f>
        <v>0</v>
      </c>
      <c r="I70" s="24">
        <f>IFERROR(INDEX(Posição!$K$5:$K$304,MATCH($A70,Posição!$X$5:$X$304,0)),"")</f>
        <v>0</v>
      </c>
      <c r="J70" s="24">
        <f>IF(OR(H70="",I70=""),"",H70*I70)</f>
        <v>0</v>
      </c>
      <c r="K70" s="26">
        <f>IFERROR(N(INDEX(Produtos!$J$5:$J$304,MATCH($A70,Posição!$X$5:$X$304,0))),"")</f>
        <v>0</v>
      </c>
    </row>
    <row r="71" spans="1:11">
      <c r="A71" s="34">
        <v>67</v>
      </c>
      <c r="B71" s="25">
        <f>IFERROR(INDEX(Posição!$A$5:$A$304,MATCH($A71,Posição!$X$5:$X$304,0)),"")</f>
        <v>0</v>
      </c>
      <c r="C71" s="23">
        <f>IFERROR(INDEX(Posição!$B$5:$B$304,MATCH($A71,Posição!$X$5:$X$304,0)),"")</f>
        <v>0</v>
      </c>
      <c r="D71" s="23">
        <f>IFERROR(INDEX(Produtos!$E$5:$E$304,MATCH($A71,Posição!$X$5:$X$304,0))&amp;"","")</f>
        <v>0</v>
      </c>
      <c r="E71" s="25">
        <f>IFERROR(INDEX(Posição!$Q$5:$Q$304,MATCH($A71,Posição!$X$5:$X$304,0)),"")</f>
        <v>0</v>
      </c>
      <c r="F71" s="26">
        <f>IFERROR(INDEX(Posição!$H$5:$H$304,MATCH($A71,Posição!$X$5:$X$304,0)),"")</f>
        <v>0</v>
      </c>
      <c r="G71" s="26">
        <f>IFERROR(INDEX(Posição!$I$5:$I$304,MATCH($A71,Posição!$X$5:$X$304,0)),"")</f>
        <v>0</v>
      </c>
      <c r="H71" s="27">
        <f>IFERROR(INDEX(Posição!$S$5:$S$304,MATCH($A71,Posição!$X$5:$X$304,0)),"")</f>
        <v>0</v>
      </c>
      <c r="I71" s="24">
        <f>IFERROR(INDEX(Posição!$K$5:$K$304,MATCH($A71,Posição!$X$5:$X$304,0)),"")</f>
        <v>0</v>
      </c>
      <c r="J71" s="24">
        <f>IF(OR(H71="",I71=""),"",H71*I71)</f>
        <v>0</v>
      </c>
      <c r="K71" s="26">
        <f>IFERROR(N(INDEX(Produtos!$J$5:$J$304,MATCH($A71,Posição!$X$5:$X$304,0))),"")</f>
        <v>0</v>
      </c>
    </row>
    <row r="72" spans="1:11">
      <c r="A72" s="34">
        <v>68</v>
      </c>
      <c r="B72" s="25">
        <f>IFERROR(INDEX(Posição!$A$5:$A$304,MATCH($A72,Posição!$X$5:$X$304,0)),"")</f>
        <v>0</v>
      </c>
      <c r="C72" s="23">
        <f>IFERROR(INDEX(Posição!$B$5:$B$304,MATCH($A72,Posição!$X$5:$X$304,0)),"")</f>
        <v>0</v>
      </c>
      <c r="D72" s="23">
        <f>IFERROR(INDEX(Produtos!$E$5:$E$304,MATCH($A72,Posição!$X$5:$X$304,0))&amp;"","")</f>
        <v>0</v>
      </c>
      <c r="E72" s="25">
        <f>IFERROR(INDEX(Posição!$Q$5:$Q$304,MATCH($A72,Posição!$X$5:$X$304,0)),"")</f>
        <v>0</v>
      </c>
      <c r="F72" s="26">
        <f>IFERROR(INDEX(Posição!$H$5:$H$304,MATCH($A72,Posição!$X$5:$X$304,0)),"")</f>
        <v>0</v>
      </c>
      <c r="G72" s="26">
        <f>IFERROR(INDEX(Posição!$I$5:$I$304,MATCH($A72,Posição!$X$5:$X$304,0)),"")</f>
        <v>0</v>
      </c>
      <c r="H72" s="27">
        <f>IFERROR(INDEX(Posição!$S$5:$S$304,MATCH($A72,Posição!$X$5:$X$304,0)),"")</f>
        <v>0</v>
      </c>
      <c r="I72" s="24">
        <f>IFERROR(INDEX(Posição!$K$5:$K$304,MATCH($A72,Posição!$X$5:$X$304,0)),"")</f>
        <v>0</v>
      </c>
      <c r="J72" s="24">
        <f>IF(OR(H72="",I72=""),"",H72*I72)</f>
        <v>0</v>
      </c>
      <c r="K72" s="26">
        <f>IFERROR(N(INDEX(Produtos!$J$5:$J$304,MATCH($A72,Posição!$X$5:$X$304,0))),"")</f>
        <v>0</v>
      </c>
    </row>
    <row r="73" spans="1:11">
      <c r="A73" s="34">
        <v>69</v>
      </c>
      <c r="B73" s="25">
        <f>IFERROR(INDEX(Posição!$A$5:$A$304,MATCH($A73,Posição!$X$5:$X$304,0)),"")</f>
        <v>0</v>
      </c>
      <c r="C73" s="23">
        <f>IFERROR(INDEX(Posição!$B$5:$B$304,MATCH($A73,Posição!$X$5:$X$304,0)),"")</f>
        <v>0</v>
      </c>
      <c r="D73" s="23">
        <f>IFERROR(INDEX(Produtos!$E$5:$E$304,MATCH($A73,Posição!$X$5:$X$304,0))&amp;"","")</f>
        <v>0</v>
      </c>
      <c r="E73" s="25">
        <f>IFERROR(INDEX(Posição!$Q$5:$Q$304,MATCH($A73,Posição!$X$5:$X$304,0)),"")</f>
        <v>0</v>
      </c>
      <c r="F73" s="26">
        <f>IFERROR(INDEX(Posição!$H$5:$H$304,MATCH($A73,Posição!$X$5:$X$304,0)),"")</f>
        <v>0</v>
      </c>
      <c r="G73" s="26">
        <f>IFERROR(INDEX(Posição!$I$5:$I$304,MATCH($A73,Posição!$X$5:$X$304,0)),"")</f>
        <v>0</v>
      </c>
      <c r="H73" s="27">
        <f>IFERROR(INDEX(Posição!$S$5:$S$304,MATCH($A73,Posição!$X$5:$X$304,0)),"")</f>
        <v>0</v>
      </c>
      <c r="I73" s="24">
        <f>IFERROR(INDEX(Posição!$K$5:$K$304,MATCH($A73,Posição!$X$5:$X$304,0)),"")</f>
        <v>0</v>
      </c>
      <c r="J73" s="24">
        <f>IF(OR(H73="",I73=""),"",H73*I73)</f>
        <v>0</v>
      </c>
      <c r="K73" s="26">
        <f>IFERROR(N(INDEX(Produtos!$J$5:$J$304,MATCH($A73,Posição!$X$5:$X$304,0))),"")</f>
        <v>0</v>
      </c>
    </row>
    <row r="74" spans="1:11">
      <c r="A74" s="34">
        <v>70</v>
      </c>
      <c r="B74" s="25">
        <f>IFERROR(INDEX(Posição!$A$5:$A$304,MATCH($A74,Posição!$X$5:$X$304,0)),"")</f>
        <v>0</v>
      </c>
      <c r="C74" s="23">
        <f>IFERROR(INDEX(Posição!$B$5:$B$304,MATCH($A74,Posição!$X$5:$X$304,0)),"")</f>
        <v>0</v>
      </c>
      <c r="D74" s="23">
        <f>IFERROR(INDEX(Produtos!$E$5:$E$304,MATCH($A74,Posição!$X$5:$X$304,0))&amp;"","")</f>
        <v>0</v>
      </c>
      <c r="E74" s="25">
        <f>IFERROR(INDEX(Posição!$Q$5:$Q$304,MATCH($A74,Posição!$X$5:$X$304,0)),"")</f>
        <v>0</v>
      </c>
      <c r="F74" s="26">
        <f>IFERROR(INDEX(Posição!$H$5:$H$304,MATCH($A74,Posição!$X$5:$X$304,0)),"")</f>
        <v>0</v>
      </c>
      <c r="G74" s="26">
        <f>IFERROR(INDEX(Posição!$I$5:$I$304,MATCH($A74,Posição!$X$5:$X$304,0)),"")</f>
        <v>0</v>
      </c>
      <c r="H74" s="27">
        <f>IFERROR(INDEX(Posição!$S$5:$S$304,MATCH($A74,Posição!$X$5:$X$304,0)),"")</f>
        <v>0</v>
      </c>
      <c r="I74" s="24">
        <f>IFERROR(INDEX(Posição!$K$5:$K$304,MATCH($A74,Posição!$X$5:$X$304,0)),"")</f>
        <v>0</v>
      </c>
      <c r="J74" s="24">
        <f>IF(OR(H74="",I74=""),"",H74*I74)</f>
        <v>0</v>
      </c>
      <c r="K74" s="26">
        <f>IFERROR(N(INDEX(Produtos!$J$5:$J$304,MATCH($A74,Posição!$X$5:$X$304,0))),"")</f>
        <v>0</v>
      </c>
    </row>
    <row r="75" spans="1:11">
      <c r="A75" s="34">
        <v>71</v>
      </c>
      <c r="B75" s="25">
        <f>IFERROR(INDEX(Posição!$A$5:$A$304,MATCH($A75,Posição!$X$5:$X$304,0)),"")</f>
        <v>0</v>
      </c>
      <c r="C75" s="23">
        <f>IFERROR(INDEX(Posição!$B$5:$B$304,MATCH($A75,Posição!$X$5:$X$304,0)),"")</f>
        <v>0</v>
      </c>
      <c r="D75" s="23">
        <f>IFERROR(INDEX(Produtos!$E$5:$E$304,MATCH($A75,Posição!$X$5:$X$304,0))&amp;"","")</f>
        <v>0</v>
      </c>
      <c r="E75" s="25">
        <f>IFERROR(INDEX(Posição!$Q$5:$Q$304,MATCH($A75,Posição!$X$5:$X$304,0)),"")</f>
        <v>0</v>
      </c>
      <c r="F75" s="26">
        <f>IFERROR(INDEX(Posição!$H$5:$H$304,MATCH($A75,Posição!$X$5:$X$304,0)),"")</f>
        <v>0</v>
      </c>
      <c r="G75" s="26">
        <f>IFERROR(INDEX(Posição!$I$5:$I$304,MATCH($A75,Posição!$X$5:$X$304,0)),"")</f>
        <v>0</v>
      </c>
      <c r="H75" s="27">
        <f>IFERROR(INDEX(Posição!$S$5:$S$304,MATCH($A75,Posição!$X$5:$X$304,0)),"")</f>
        <v>0</v>
      </c>
      <c r="I75" s="24">
        <f>IFERROR(INDEX(Posição!$K$5:$K$304,MATCH($A75,Posição!$X$5:$X$304,0)),"")</f>
        <v>0</v>
      </c>
      <c r="J75" s="24">
        <f>IF(OR(H75="",I75=""),"",H75*I75)</f>
        <v>0</v>
      </c>
      <c r="K75" s="26">
        <f>IFERROR(N(INDEX(Produtos!$J$5:$J$304,MATCH($A75,Posição!$X$5:$X$304,0))),"")</f>
        <v>0</v>
      </c>
    </row>
    <row r="76" spans="1:11">
      <c r="A76" s="34">
        <v>72</v>
      </c>
      <c r="B76" s="25">
        <f>IFERROR(INDEX(Posição!$A$5:$A$304,MATCH($A76,Posição!$X$5:$X$304,0)),"")</f>
        <v>0</v>
      </c>
      <c r="C76" s="23">
        <f>IFERROR(INDEX(Posição!$B$5:$B$304,MATCH($A76,Posição!$X$5:$X$304,0)),"")</f>
        <v>0</v>
      </c>
      <c r="D76" s="23">
        <f>IFERROR(INDEX(Produtos!$E$5:$E$304,MATCH($A76,Posição!$X$5:$X$304,0))&amp;"","")</f>
        <v>0</v>
      </c>
      <c r="E76" s="25">
        <f>IFERROR(INDEX(Posição!$Q$5:$Q$304,MATCH($A76,Posição!$X$5:$X$304,0)),"")</f>
        <v>0</v>
      </c>
      <c r="F76" s="26">
        <f>IFERROR(INDEX(Posição!$H$5:$H$304,MATCH($A76,Posição!$X$5:$X$304,0)),"")</f>
        <v>0</v>
      </c>
      <c r="G76" s="26">
        <f>IFERROR(INDEX(Posição!$I$5:$I$304,MATCH($A76,Posição!$X$5:$X$304,0)),"")</f>
        <v>0</v>
      </c>
      <c r="H76" s="27">
        <f>IFERROR(INDEX(Posição!$S$5:$S$304,MATCH($A76,Posição!$X$5:$X$304,0)),"")</f>
        <v>0</v>
      </c>
      <c r="I76" s="24">
        <f>IFERROR(INDEX(Posição!$K$5:$K$304,MATCH($A76,Posição!$X$5:$X$304,0)),"")</f>
        <v>0</v>
      </c>
      <c r="J76" s="24">
        <f>IF(OR(H76="",I76=""),"",H76*I76)</f>
        <v>0</v>
      </c>
      <c r="K76" s="26">
        <f>IFERROR(N(INDEX(Produtos!$J$5:$J$304,MATCH($A76,Posição!$X$5:$X$304,0))),"")</f>
        <v>0</v>
      </c>
    </row>
    <row r="77" spans="1:11">
      <c r="A77" s="34">
        <v>73</v>
      </c>
      <c r="B77" s="25">
        <f>IFERROR(INDEX(Posição!$A$5:$A$304,MATCH($A77,Posição!$X$5:$X$304,0)),"")</f>
        <v>0</v>
      </c>
      <c r="C77" s="23">
        <f>IFERROR(INDEX(Posição!$B$5:$B$304,MATCH($A77,Posição!$X$5:$X$304,0)),"")</f>
        <v>0</v>
      </c>
      <c r="D77" s="23">
        <f>IFERROR(INDEX(Produtos!$E$5:$E$304,MATCH($A77,Posição!$X$5:$X$304,0))&amp;"","")</f>
        <v>0</v>
      </c>
      <c r="E77" s="25">
        <f>IFERROR(INDEX(Posição!$Q$5:$Q$304,MATCH($A77,Posição!$X$5:$X$304,0)),"")</f>
        <v>0</v>
      </c>
      <c r="F77" s="26">
        <f>IFERROR(INDEX(Posição!$H$5:$H$304,MATCH($A77,Posição!$X$5:$X$304,0)),"")</f>
        <v>0</v>
      </c>
      <c r="G77" s="26">
        <f>IFERROR(INDEX(Posição!$I$5:$I$304,MATCH($A77,Posição!$X$5:$X$304,0)),"")</f>
        <v>0</v>
      </c>
      <c r="H77" s="27">
        <f>IFERROR(INDEX(Posição!$S$5:$S$304,MATCH($A77,Posição!$X$5:$X$304,0)),"")</f>
        <v>0</v>
      </c>
      <c r="I77" s="24">
        <f>IFERROR(INDEX(Posição!$K$5:$K$304,MATCH($A77,Posição!$X$5:$X$304,0)),"")</f>
        <v>0</v>
      </c>
      <c r="J77" s="24">
        <f>IF(OR(H77="",I77=""),"",H77*I77)</f>
        <v>0</v>
      </c>
      <c r="K77" s="26">
        <f>IFERROR(N(INDEX(Produtos!$J$5:$J$304,MATCH($A77,Posição!$X$5:$X$304,0))),"")</f>
        <v>0</v>
      </c>
    </row>
    <row r="78" spans="1:11">
      <c r="A78" s="34">
        <v>74</v>
      </c>
      <c r="B78" s="25">
        <f>IFERROR(INDEX(Posição!$A$5:$A$304,MATCH($A78,Posição!$X$5:$X$304,0)),"")</f>
        <v>0</v>
      </c>
      <c r="C78" s="23">
        <f>IFERROR(INDEX(Posição!$B$5:$B$304,MATCH($A78,Posição!$X$5:$X$304,0)),"")</f>
        <v>0</v>
      </c>
      <c r="D78" s="23">
        <f>IFERROR(INDEX(Produtos!$E$5:$E$304,MATCH($A78,Posição!$X$5:$X$304,0))&amp;"","")</f>
        <v>0</v>
      </c>
      <c r="E78" s="25">
        <f>IFERROR(INDEX(Posição!$Q$5:$Q$304,MATCH($A78,Posição!$X$5:$X$304,0)),"")</f>
        <v>0</v>
      </c>
      <c r="F78" s="26">
        <f>IFERROR(INDEX(Posição!$H$5:$H$304,MATCH($A78,Posição!$X$5:$X$304,0)),"")</f>
        <v>0</v>
      </c>
      <c r="G78" s="26">
        <f>IFERROR(INDEX(Posição!$I$5:$I$304,MATCH($A78,Posição!$X$5:$X$304,0)),"")</f>
        <v>0</v>
      </c>
      <c r="H78" s="27">
        <f>IFERROR(INDEX(Posição!$S$5:$S$304,MATCH($A78,Posição!$X$5:$X$304,0)),"")</f>
        <v>0</v>
      </c>
      <c r="I78" s="24">
        <f>IFERROR(INDEX(Posição!$K$5:$K$304,MATCH($A78,Posição!$X$5:$X$304,0)),"")</f>
        <v>0</v>
      </c>
      <c r="J78" s="24">
        <f>IF(OR(H78="",I78=""),"",H78*I78)</f>
        <v>0</v>
      </c>
      <c r="K78" s="26">
        <f>IFERROR(N(INDEX(Produtos!$J$5:$J$304,MATCH($A78,Posição!$X$5:$X$304,0))),"")</f>
        <v>0</v>
      </c>
    </row>
    <row r="79" spans="1:11">
      <c r="A79" s="34">
        <v>75</v>
      </c>
      <c r="B79" s="25">
        <f>IFERROR(INDEX(Posição!$A$5:$A$304,MATCH($A79,Posição!$X$5:$X$304,0)),"")</f>
        <v>0</v>
      </c>
      <c r="C79" s="23">
        <f>IFERROR(INDEX(Posição!$B$5:$B$304,MATCH($A79,Posição!$X$5:$X$304,0)),"")</f>
        <v>0</v>
      </c>
      <c r="D79" s="23">
        <f>IFERROR(INDEX(Produtos!$E$5:$E$304,MATCH($A79,Posição!$X$5:$X$304,0))&amp;"","")</f>
        <v>0</v>
      </c>
      <c r="E79" s="25">
        <f>IFERROR(INDEX(Posição!$Q$5:$Q$304,MATCH($A79,Posição!$X$5:$X$304,0)),"")</f>
        <v>0</v>
      </c>
      <c r="F79" s="26">
        <f>IFERROR(INDEX(Posição!$H$5:$H$304,MATCH($A79,Posição!$X$5:$X$304,0)),"")</f>
        <v>0</v>
      </c>
      <c r="G79" s="26">
        <f>IFERROR(INDEX(Posição!$I$5:$I$304,MATCH($A79,Posição!$X$5:$X$304,0)),"")</f>
        <v>0</v>
      </c>
      <c r="H79" s="27">
        <f>IFERROR(INDEX(Posição!$S$5:$S$304,MATCH($A79,Posição!$X$5:$X$304,0)),"")</f>
        <v>0</v>
      </c>
      <c r="I79" s="24">
        <f>IFERROR(INDEX(Posição!$K$5:$K$304,MATCH($A79,Posição!$X$5:$X$304,0)),"")</f>
        <v>0</v>
      </c>
      <c r="J79" s="24">
        <f>IF(OR(H79="",I79=""),"",H79*I79)</f>
        <v>0</v>
      </c>
      <c r="K79" s="26">
        <f>IFERROR(N(INDEX(Produtos!$J$5:$J$304,MATCH($A79,Posição!$X$5:$X$304,0))),"")</f>
        <v>0</v>
      </c>
    </row>
    <row r="80" spans="1:11">
      <c r="A80" s="34">
        <v>76</v>
      </c>
      <c r="B80" s="25">
        <f>IFERROR(INDEX(Posição!$A$5:$A$304,MATCH($A80,Posição!$X$5:$X$304,0)),"")</f>
        <v>0</v>
      </c>
      <c r="C80" s="23">
        <f>IFERROR(INDEX(Posição!$B$5:$B$304,MATCH($A80,Posição!$X$5:$X$304,0)),"")</f>
        <v>0</v>
      </c>
      <c r="D80" s="23">
        <f>IFERROR(INDEX(Produtos!$E$5:$E$304,MATCH($A80,Posição!$X$5:$X$304,0))&amp;"","")</f>
        <v>0</v>
      </c>
      <c r="E80" s="25">
        <f>IFERROR(INDEX(Posição!$Q$5:$Q$304,MATCH($A80,Posição!$X$5:$X$304,0)),"")</f>
        <v>0</v>
      </c>
      <c r="F80" s="26">
        <f>IFERROR(INDEX(Posição!$H$5:$H$304,MATCH($A80,Posição!$X$5:$X$304,0)),"")</f>
        <v>0</v>
      </c>
      <c r="G80" s="26">
        <f>IFERROR(INDEX(Posição!$I$5:$I$304,MATCH($A80,Posição!$X$5:$X$304,0)),"")</f>
        <v>0</v>
      </c>
      <c r="H80" s="27">
        <f>IFERROR(INDEX(Posição!$S$5:$S$304,MATCH($A80,Posição!$X$5:$X$304,0)),"")</f>
        <v>0</v>
      </c>
      <c r="I80" s="24">
        <f>IFERROR(INDEX(Posição!$K$5:$K$304,MATCH($A80,Posição!$X$5:$X$304,0)),"")</f>
        <v>0</v>
      </c>
      <c r="J80" s="24">
        <f>IF(OR(H80="",I80=""),"",H80*I80)</f>
        <v>0</v>
      </c>
      <c r="K80" s="26">
        <f>IFERROR(N(INDEX(Produtos!$J$5:$J$304,MATCH($A80,Posição!$X$5:$X$304,0))),"")</f>
        <v>0</v>
      </c>
    </row>
    <row r="81" spans="1:11">
      <c r="A81" s="34">
        <v>77</v>
      </c>
      <c r="B81" s="25">
        <f>IFERROR(INDEX(Posição!$A$5:$A$304,MATCH($A81,Posição!$X$5:$X$304,0)),"")</f>
        <v>0</v>
      </c>
      <c r="C81" s="23">
        <f>IFERROR(INDEX(Posição!$B$5:$B$304,MATCH($A81,Posição!$X$5:$X$304,0)),"")</f>
        <v>0</v>
      </c>
      <c r="D81" s="23">
        <f>IFERROR(INDEX(Produtos!$E$5:$E$304,MATCH($A81,Posição!$X$5:$X$304,0))&amp;"","")</f>
        <v>0</v>
      </c>
      <c r="E81" s="25">
        <f>IFERROR(INDEX(Posição!$Q$5:$Q$304,MATCH($A81,Posição!$X$5:$X$304,0)),"")</f>
        <v>0</v>
      </c>
      <c r="F81" s="26">
        <f>IFERROR(INDEX(Posição!$H$5:$H$304,MATCH($A81,Posição!$X$5:$X$304,0)),"")</f>
        <v>0</v>
      </c>
      <c r="G81" s="26">
        <f>IFERROR(INDEX(Posição!$I$5:$I$304,MATCH($A81,Posição!$X$5:$X$304,0)),"")</f>
        <v>0</v>
      </c>
      <c r="H81" s="27">
        <f>IFERROR(INDEX(Posição!$S$5:$S$304,MATCH($A81,Posição!$X$5:$X$304,0)),"")</f>
        <v>0</v>
      </c>
      <c r="I81" s="24">
        <f>IFERROR(INDEX(Posição!$K$5:$K$304,MATCH($A81,Posição!$X$5:$X$304,0)),"")</f>
        <v>0</v>
      </c>
      <c r="J81" s="24">
        <f>IF(OR(H81="",I81=""),"",H81*I81)</f>
        <v>0</v>
      </c>
      <c r="K81" s="26">
        <f>IFERROR(N(INDEX(Produtos!$J$5:$J$304,MATCH($A81,Posição!$X$5:$X$304,0))),"")</f>
        <v>0</v>
      </c>
    </row>
    <row r="82" spans="1:11">
      <c r="A82" s="34">
        <v>78</v>
      </c>
      <c r="B82" s="25">
        <f>IFERROR(INDEX(Posição!$A$5:$A$304,MATCH($A82,Posição!$X$5:$X$304,0)),"")</f>
        <v>0</v>
      </c>
      <c r="C82" s="23">
        <f>IFERROR(INDEX(Posição!$B$5:$B$304,MATCH($A82,Posição!$X$5:$X$304,0)),"")</f>
        <v>0</v>
      </c>
      <c r="D82" s="23">
        <f>IFERROR(INDEX(Produtos!$E$5:$E$304,MATCH($A82,Posição!$X$5:$X$304,0))&amp;"","")</f>
        <v>0</v>
      </c>
      <c r="E82" s="25">
        <f>IFERROR(INDEX(Posição!$Q$5:$Q$304,MATCH($A82,Posição!$X$5:$X$304,0)),"")</f>
        <v>0</v>
      </c>
      <c r="F82" s="26">
        <f>IFERROR(INDEX(Posição!$H$5:$H$304,MATCH($A82,Posição!$X$5:$X$304,0)),"")</f>
        <v>0</v>
      </c>
      <c r="G82" s="26">
        <f>IFERROR(INDEX(Posição!$I$5:$I$304,MATCH($A82,Posição!$X$5:$X$304,0)),"")</f>
        <v>0</v>
      </c>
      <c r="H82" s="27">
        <f>IFERROR(INDEX(Posição!$S$5:$S$304,MATCH($A82,Posição!$X$5:$X$304,0)),"")</f>
        <v>0</v>
      </c>
      <c r="I82" s="24">
        <f>IFERROR(INDEX(Posição!$K$5:$K$304,MATCH($A82,Posição!$X$5:$X$304,0)),"")</f>
        <v>0</v>
      </c>
      <c r="J82" s="24">
        <f>IF(OR(H82="",I82=""),"",H82*I82)</f>
        <v>0</v>
      </c>
      <c r="K82" s="26">
        <f>IFERROR(N(INDEX(Produtos!$J$5:$J$304,MATCH($A82,Posição!$X$5:$X$304,0))),"")</f>
        <v>0</v>
      </c>
    </row>
    <row r="83" spans="1:11">
      <c r="A83" s="34">
        <v>79</v>
      </c>
      <c r="B83" s="25">
        <f>IFERROR(INDEX(Posição!$A$5:$A$304,MATCH($A83,Posição!$X$5:$X$304,0)),"")</f>
        <v>0</v>
      </c>
      <c r="C83" s="23">
        <f>IFERROR(INDEX(Posição!$B$5:$B$304,MATCH($A83,Posição!$X$5:$X$304,0)),"")</f>
        <v>0</v>
      </c>
      <c r="D83" s="23">
        <f>IFERROR(INDEX(Produtos!$E$5:$E$304,MATCH($A83,Posição!$X$5:$X$304,0))&amp;"","")</f>
        <v>0</v>
      </c>
      <c r="E83" s="25">
        <f>IFERROR(INDEX(Posição!$Q$5:$Q$304,MATCH($A83,Posição!$X$5:$X$304,0)),"")</f>
        <v>0</v>
      </c>
      <c r="F83" s="26">
        <f>IFERROR(INDEX(Posição!$H$5:$H$304,MATCH($A83,Posição!$X$5:$X$304,0)),"")</f>
        <v>0</v>
      </c>
      <c r="G83" s="26">
        <f>IFERROR(INDEX(Posição!$I$5:$I$304,MATCH($A83,Posição!$X$5:$X$304,0)),"")</f>
        <v>0</v>
      </c>
      <c r="H83" s="27">
        <f>IFERROR(INDEX(Posição!$S$5:$S$304,MATCH($A83,Posição!$X$5:$X$304,0)),"")</f>
        <v>0</v>
      </c>
      <c r="I83" s="24">
        <f>IFERROR(INDEX(Posição!$K$5:$K$304,MATCH($A83,Posição!$X$5:$X$304,0)),"")</f>
        <v>0</v>
      </c>
      <c r="J83" s="24">
        <f>IF(OR(H83="",I83=""),"",H83*I83)</f>
        <v>0</v>
      </c>
      <c r="K83" s="26">
        <f>IFERROR(N(INDEX(Produtos!$J$5:$J$304,MATCH($A83,Posição!$X$5:$X$304,0))),"")</f>
        <v>0</v>
      </c>
    </row>
    <row r="84" spans="1:11">
      <c r="A84" s="34">
        <v>80</v>
      </c>
      <c r="B84" s="25">
        <f>IFERROR(INDEX(Posição!$A$5:$A$304,MATCH($A84,Posição!$X$5:$X$304,0)),"")</f>
        <v>0</v>
      </c>
      <c r="C84" s="23">
        <f>IFERROR(INDEX(Posição!$B$5:$B$304,MATCH($A84,Posição!$X$5:$X$304,0)),"")</f>
        <v>0</v>
      </c>
      <c r="D84" s="23">
        <f>IFERROR(INDEX(Produtos!$E$5:$E$304,MATCH($A84,Posição!$X$5:$X$304,0))&amp;"","")</f>
        <v>0</v>
      </c>
      <c r="E84" s="25">
        <f>IFERROR(INDEX(Posição!$Q$5:$Q$304,MATCH($A84,Posição!$X$5:$X$304,0)),"")</f>
        <v>0</v>
      </c>
      <c r="F84" s="26">
        <f>IFERROR(INDEX(Posição!$H$5:$H$304,MATCH($A84,Posição!$X$5:$X$304,0)),"")</f>
        <v>0</v>
      </c>
      <c r="G84" s="26">
        <f>IFERROR(INDEX(Posição!$I$5:$I$304,MATCH($A84,Posição!$X$5:$X$304,0)),"")</f>
        <v>0</v>
      </c>
      <c r="H84" s="27">
        <f>IFERROR(INDEX(Posição!$S$5:$S$304,MATCH($A84,Posição!$X$5:$X$304,0)),"")</f>
        <v>0</v>
      </c>
      <c r="I84" s="24">
        <f>IFERROR(INDEX(Posição!$K$5:$K$304,MATCH($A84,Posição!$X$5:$X$304,0)),"")</f>
        <v>0</v>
      </c>
      <c r="J84" s="24">
        <f>IF(OR(H84="",I84=""),"",H84*I84)</f>
        <v>0</v>
      </c>
      <c r="K84" s="26">
        <f>IFERROR(N(INDEX(Produtos!$J$5:$J$304,MATCH($A84,Posição!$X$5:$X$304,0))),"")</f>
        <v>0</v>
      </c>
    </row>
  </sheetData>
  <mergeCells count="2">
    <mergeCell ref="A1:K1"/>
    <mergeCell ref="A2:K2"/>
  </mergeCells>
  <conditionalFormatting sqref="E5:E84">
    <cfRule type="cellIs" dxfId="3" priority="1" operator="equal">
      <formula>"RUPTURA"</formula>
    </cfRule>
    <cfRule type="cellIs" dxfId="4" priority="2" operator="equal">
      <formula>"REPOR"</formula>
    </cfRule>
  </conditionalFormatting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15"/>
  <sheetViews>
    <sheetView showGridLines="0" workbookViewId="0"/>
  </sheetViews>
  <sheetFormatPr defaultRowHeight="15"/>
  <cols>
    <col min="1" max="10" width="13.7109375" customWidth="1"/>
  </cols>
  <sheetData>
    <row r="1" spans="1:10" ht="36" customHeight="1">
      <c r="A1" s="1" t="s">
        <v>427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428</v>
      </c>
      <c r="B2" s="2"/>
      <c r="C2" s="2"/>
      <c r="D2" s="2"/>
      <c r="E2" s="2"/>
      <c r="F2" s="2"/>
      <c r="G2" s="2"/>
      <c r="H2" s="2"/>
      <c r="I2" s="2"/>
      <c r="J2" s="13" t="s">
        <v>45</v>
      </c>
    </row>
    <row r="4" spans="1:10" ht="24" customHeight="1">
      <c r="A4" s="40" t="s">
        <v>429</v>
      </c>
      <c r="B4" s="40"/>
      <c r="C4" s="40" t="s">
        <v>430</v>
      </c>
      <c r="D4" s="40"/>
      <c r="E4" s="40" t="s">
        <v>431</v>
      </c>
      <c r="F4" s="40"/>
      <c r="G4" s="40" t="s">
        <v>432</v>
      </c>
      <c r="H4" s="40"/>
      <c r="I4" s="40" t="s">
        <v>433</v>
      </c>
      <c r="J4" s="40"/>
    </row>
    <row r="5" spans="1:10" ht="32" customHeight="1">
      <c r="A5" s="41">
        <f>SUMPRODUCT(--(Posição!$A$5:$A$304&lt;&gt;""))</f>
        <v>40</v>
      </c>
      <c r="B5" s="41"/>
      <c r="C5" s="42">
        <f>SUM(Posição!$L$5:$L$304)</f>
        <v>5485.5</v>
      </c>
      <c r="D5" s="42"/>
      <c r="E5" s="43">
        <f>COUNTIF(Posição!$Q$5:$Q$304,"RUPTURA")</f>
        <v>7</v>
      </c>
      <c r="F5" s="43"/>
      <c r="G5" s="44">
        <f>COUNTIF(Posição!$Q$5:$Q$304,"REPOR")</f>
        <v>5</v>
      </c>
      <c r="H5" s="44"/>
      <c r="I5" s="45">
        <f>COUNTIF(Posição!$Q$5:$Q$304,"EXCESSO")</f>
        <v>3</v>
      </c>
      <c r="J5" s="45"/>
    </row>
    <row r="7" spans="1:10" ht="24" customHeight="1">
      <c r="A7" s="40" t="s">
        <v>434</v>
      </c>
      <c r="B7" s="40"/>
      <c r="C7" s="40" t="s">
        <v>435</v>
      </c>
      <c r="D7" s="40"/>
      <c r="E7" s="40" t="s">
        <v>436</v>
      </c>
      <c r="F7" s="40"/>
      <c r="G7" s="40" t="s">
        <v>437</v>
      </c>
      <c r="H7" s="40"/>
      <c r="I7" s="40" t="s">
        <v>438</v>
      </c>
      <c r="J7" s="40"/>
    </row>
    <row r="8" spans="1:10" ht="32" customHeight="1">
      <c r="A8" s="41">
        <f>COUNTIF(Posição!$R$5:$R$304,"Parado")</f>
        <v>3</v>
      </c>
      <c r="B8" s="41"/>
      <c r="C8" s="46">
        <f>SUM(Posição!$W$5:$W$304)</f>
        <v>108.6</v>
      </c>
      <c r="D8" s="46"/>
      <c r="E8" s="47">
        <f>IFERROR(C8/C5,0)</f>
        <v>0.0197976483456385</v>
      </c>
      <c r="F8" s="47"/>
      <c r="G8" s="41">
        <f>COUNTIF(Posição!$V$5:$V$304,"A")</f>
        <v>10</v>
      </c>
      <c r="H8" s="41"/>
      <c r="I8" s="42">
        <f>Compras!J3</f>
        <v>811.2</v>
      </c>
      <c r="J8" s="42"/>
    </row>
    <row r="10" spans="1:10">
      <c r="A10" s="4" t="s">
        <v>439</v>
      </c>
      <c r="B10" s="4"/>
      <c r="C10" s="4"/>
      <c r="D10" s="4"/>
      <c r="E10" s="4"/>
    </row>
    <row r="11" spans="1:10" ht="20" customHeight="1">
      <c r="A11" s="11" t="s">
        <v>421</v>
      </c>
      <c r="B11" s="11" t="s">
        <v>410</v>
      </c>
    </row>
    <row r="12" spans="1:10">
      <c r="A12" s="37" t="s">
        <v>440</v>
      </c>
      <c r="B12" s="26">
        <f>COUNTIF(Posição!$Q$5:$Q$304,A12)</f>
        <v>7</v>
      </c>
    </row>
    <row r="13" spans="1:10">
      <c r="A13" s="37" t="s">
        <v>441</v>
      </c>
      <c r="B13" s="26">
        <f>COUNTIF(Posição!$Q$5:$Q$304,A13)</f>
        <v>5</v>
      </c>
    </row>
    <row r="14" spans="1:10">
      <c r="A14" s="37" t="s">
        <v>442</v>
      </c>
      <c r="B14" s="26">
        <f>COUNTIF(Posição!$Q$5:$Q$304,A14)</f>
        <v>25</v>
      </c>
    </row>
    <row r="15" spans="1:10">
      <c r="A15" s="37" t="s">
        <v>443</v>
      </c>
      <c r="B15" s="26">
        <f>COUNTIF(Posição!$Q$5:$Q$304,A15)</f>
        <v>3</v>
      </c>
    </row>
  </sheetData>
  <sheetProtection sheet="1" objects="1" scenarios="1"/>
  <mergeCells count="23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E10"/>
  </mergeCells>
  <pageMargins left="0.7" right="0.7" top="0.75" bottom="0.75" header="0.3" footer="0.3"/>
  <pageSetup paperSize="9" orientation="landscape"/>
  <headerFooter>
    <oddFooter>&amp;L&amp;8Carvex XLS - Estoque Inteligente com Curva ABC&amp;R&amp;8Página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Início</vt:lpstr>
      <vt:lpstr>Config</vt:lpstr>
      <vt:lpstr>Produtos</vt:lpstr>
      <vt:lpstr>Movimentações</vt:lpstr>
      <vt:lpstr>Posição</vt:lpstr>
      <vt:lpstr>Curva ABC</vt:lpstr>
      <vt:lpstr>Compras</vt:lpstr>
      <vt:lpstr>Dashboard</vt:lpstr>
      <vt:lpstr>Categorias</vt:lpstr>
      <vt:lpstr>CorteA</vt:lpstr>
      <vt:lpstr>CorteB</vt:lpstr>
      <vt:lpstr>DiasAn</vt:lpstr>
      <vt:lpstr>DiasParado</vt:lpstr>
      <vt:lpstr>FatMax</vt:lpstr>
      <vt:lpstr>Fornecedores</vt:lpstr>
      <vt:lpstr>Hoje</vt:lpstr>
      <vt:lpstr>MovCod</vt:lpstr>
      <vt:lpstr>MovData</vt:lpstr>
      <vt:lpstr>MovQtd</vt:lpstr>
      <vt:lpstr>MovTipo</vt:lpstr>
      <vt:lpstr>ProdCod</vt:lpstr>
      <vt:lpstr>ProdCusto</vt:lpstr>
      <vt:lpstr>ProdNome</vt:lpstr>
      <vt:lpstr>Unidades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Estoque Inteligente com Curva ABC</dc:title>
  <dc:creator>Carvex XLS</dc:creator>
  <dc:description>Planilha empresarial Carvex XLS (EXEMPLO com dados fictícios)</dc:description>
  <cp:lastModifiedBy>Carvex XLS</cp:lastModifiedBy>
  <dcterms:created xsi:type="dcterms:W3CDTF">2026-10-08T12:40:08Z</dcterms:created>
  <dcterms:modified xsi:type="dcterms:W3CDTF">2026-10-08T12:40:08Z</dcterms:modified>
</cp:coreProperties>
</file>